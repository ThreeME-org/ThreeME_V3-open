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chartsheets/sheet20.xml" ContentType="application/vnd.openxmlformats-officedocument.spreadsheetml.chartsheet+xml"/>
  <Override PartName="/xl/chartsheets/sheet21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ml.chartshapes+xml"/>
  <Override PartName="/xl/drawings/drawing22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xr:revisionPtr revIDLastSave="0" documentId="13_ncr:1_{7A3EFE6B-89BC-4317-B614-222DE65467C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Données" sheetId="2" r:id="rId1"/>
    <sheet name="Gr Macro" sheetId="5" r:id="rId2"/>
    <sheet name="Gr inflation" sheetId="6" r:id="rId3"/>
    <sheet name="Gr émissions" sheetId="7" r:id="rId4"/>
    <sheet name="Gr conso éner" sheetId="28" r:id="rId5"/>
    <sheet name="GR macro ener" sheetId="30" r:id="rId6"/>
    <sheet name="Gr éner prim" sheetId="29" r:id="rId7"/>
    <sheet name="BUIL (class,base)" sheetId="25" r:id="rId8"/>
    <sheet name="BUIL (class,shock)" sheetId="26" r:id="rId9"/>
    <sheet name="Auto (class,base)" sheetId="24" r:id="rId10"/>
    <sheet name="Auto (class,shock)" sheetId="23" r:id="rId11"/>
    <sheet name="Auto (ener,shock)" sheetId="21" r:id="rId12"/>
    <sheet name="Auto (ener,base)" sheetId="22" r:id="rId13"/>
    <sheet name="Employment" sheetId="16" r:id="rId14"/>
    <sheet name="Investment" sheetId="20" r:id="rId15"/>
    <sheet name="Firms' emissions" sheetId="27" r:id="rId16"/>
    <sheet name="Capital intensity" sheetId="17" r:id="rId17"/>
    <sheet name="Energy intensity" sheetId="18" r:id="rId18"/>
    <sheet name="Gr VA secteurs (% dev)" sheetId="12" r:id="rId19"/>
    <sheet name="Gr VA secteurs (% share)" sheetId="13" r:id="rId20"/>
    <sheet name="Gr Y secteurs (% dev)" sheetId="14" r:id="rId21"/>
    <sheet name="Gr Y secteurs (% share)" sheetId="15" r:id="rId22"/>
  </sheets>
  <externalReferences>
    <externalReference r:id="rId23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F523" i="2" l="1"/>
  <c r="BE523" i="2"/>
  <c r="BD523" i="2"/>
  <c r="BC523" i="2"/>
  <c r="BB523" i="2"/>
  <c r="BA523" i="2"/>
  <c r="AZ523" i="2"/>
  <c r="AY523" i="2"/>
  <c r="AX523" i="2"/>
  <c r="AW523" i="2"/>
  <c r="AV523" i="2"/>
  <c r="AU523" i="2"/>
  <c r="AT523" i="2"/>
  <c r="AS523" i="2"/>
  <c r="AR523" i="2"/>
  <c r="AQ523" i="2"/>
  <c r="AP523" i="2"/>
  <c r="AO523" i="2"/>
  <c r="AN523" i="2"/>
  <c r="AM523" i="2"/>
  <c r="AL523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T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BF522" i="2"/>
  <c r="BE522" i="2"/>
  <c r="BD522" i="2"/>
  <c r="BC522" i="2"/>
  <c r="BB522" i="2"/>
  <c r="BA522" i="2"/>
  <c r="AZ522" i="2"/>
  <c r="AY522" i="2"/>
  <c r="AX522" i="2"/>
  <c r="AW522" i="2"/>
  <c r="AV522" i="2"/>
  <c r="AU522" i="2"/>
  <c r="AT522" i="2"/>
  <c r="AS522" i="2"/>
  <c r="AR522" i="2"/>
  <c r="AQ522" i="2"/>
  <c r="AP522" i="2"/>
  <c r="AO522" i="2"/>
  <c r="AN522" i="2"/>
  <c r="AM522" i="2"/>
  <c r="AL522" i="2"/>
  <c r="AK522" i="2"/>
  <c r="AJ522" i="2"/>
  <c r="AI522" i="2"/>
  <c r="AH522" i="2"/>
  <c r="AG522" i="2"/>
  <c r="AF522" i="2"/>
  <c r="AE522" i="2"/>
  <c r="AD522" i="2"/>
  <c r="AC522" i="2"/>
  <c r="AB522" i="2"/>
  <c r="AA522" i="2"/>
  <c r="Z522" i="2"/>
  <c r="Y522" i="2"/>
  <c r="X522" i="2"/>
  <c r="W522" i="2"/>
  <c r="V522" i="2"/>
  <c r="U522" i="2"/>
  <c r="T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BF521" i="2"/>
  <c r="BE521" i="2"/>
  <c r="BD521" i="2"/>
  <c r="BC521" i="2"/>
  <c r="BB521" i="2"/>
  <c r="BA521" i="2"/>
  <c r="AZ521" i="2"/>
  <c r="AY521" i="2"/>
  <c r="AX521" i="2"/>
  <c r="AW521" i="2"/>
  <c r="AV521" i="2"/>
  <c r="AU521" i="2"/>
  <c r="AT521" i="2"/>
  <c r="AS521" i="2"/>
  <c r="AR521" i="2"/>
  <c r="AQ521" i="2"/>
  <c r="AP521" i="2"/>
  <c r="AO521" i="2"/>
  <c r="AN521" i="2"/>
  <c r="AM521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T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BF520" i="2"/>
  <c r="BE520" i="2"/>
  <c r="BD520" i="2"/>
  <c r="BC520" i="2"/>
  <c r="BB520" i="2"/>
  <c r="BA520" i="2"/>
  <c r="AZ520" i="2"/>
  <c r="AY520" i="2"/>
  <c r="AX520" i="2"/>
  <c r="AW520" i="2"/>
  <c r="AV520" i="2"/>
  <c r="AU520" i="2"/>
  <c r="AT520" i="2"/>
  <c r="AS520" i="2"/>
  <c r="AR520" i="2"/>
  <c r="AQ520" i="2"/>
  <c r="AP520" i="2"/>
  <c r="AO520" i="2"/>
  <c r="AN520" i="2"/>
  <c r="AM520" i="2"/>
  <c r="AL520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T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BF519" i="2"/>
  <c r="BE519" i="2"/>
  <c r="BD519" i="2"/>
  <c r="BC519" i="2"/>
  <c r="BB519" i="2"/>
  <c r="BA519" i="2"/>
  <c r="AZ519" i="2"/>
  <c r="AY519" i="2"/>
  <c r="AX519" i="2"/>
  <c r="AW519" i="2"/>
  <c r="AV519" i="2"/>
  <c r="AU519" i="2"/>
  <c r="AT519" i="2"/>
  <c r="AS519" i="2"/>
  <c r="AR519" i="2"/>
  <c r="AQ519" i="2"/>
  <c r="AP519" i="2"/>
  <c r="AO519" i="2"/>
  <c r="AN519" i="2"/>
  <c r="AM519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T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BF517" i="2"/>
  <c r="BE517" i="2"/>
  <c r="BD517" i="2"/>
  <c r="BC517" i="2"/>
  <c r="BB517" i="2"/>
  <c r="BA517" i="2"/>
  <c r="AZ517" i="2"/>
  <c r="AY517" i="2"/>
  <c r="AX517" i="2"/>
  <c r="AW517" i="2"/>
  <c r="AV517" i="2"/>
  <c r="AU517" i="2"/>
  <c r="AT517" i="2"/>
  <c r="AS517" i="2"/>
  <c r="AR517" i="2"/>
  <c r="AQ517" i="2"/>
  <c r="AP517" i="2"/>
  <c r="AO517" i="2"/>
  <c r="AN517" i="2"/>
  <c r="AM517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T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BF516" i="2"/>
  <c r="BE516" i="2"/>
  <c r="BD516" i="2"/>
  <c r="BC516" i="2"/>
  <c r="BB516" i="2"/>
  <c r="BA516" i="2"/>
  <c r="AZ516" i="2"/>
  <c r="AY516" i="2"/>
  <c r="AX516" i="2"/>
  <c r="AW516" i="2"/>
  <c r="AV516" i="2"/>
  <c r="AU516" i="2"/>
  <c r="AT516" i="2"/>
  <c r="AS516" i="2"/>
  <c r="AR516" i="2"/>
  <c r="AQ516" i="2"/>
  <c r="AP516" i="2"/>
  <c r="AO516" i="2"/>
  <c r="AN516" i="2"/>
  <c r="AM516" i="2"/>
  <c r="AL516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T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BF515" i="2"/>
  <c r="BE515" i="2"/>
  <c r="BD515" i="2"/>
  <c r="BC515" i="2"/>
  <c r="BB515" i="2"/>
  <c r="BA515" i="2"/>
  <c r="AZ515" i="2"/>
  <c r="AY515" i="2"/>
  <c r="AX515" i="2"/>
  <c r="AW515" i="2"/>
  <c r="AV515" i="2"/>
  <c r="AU515" i="2"/>
  <c r="AT515" i="2"/>
  <c r="AS515" i="2"/>
  <c r="AR515" i="2"/>
  <c r="AQ515" i="2"/>
  <c r="AP515" i="2"/>
  <c r="AO515" i="2"/>
  <c r="AN515" i="2"/>
  <c r="AM515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T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BF514" i="2"/>
  <c r="BE514" i="2"/>
  <c r="BD514" i="2"/>
  <c r="BC514" i="2"/>
  <c r="BB514" i="2"/>
  <c r="BA514" i="2"/>
  <c r="AZ514" i="2"/>
  <c r="AY514" i="2"/>
  <c r="AX514" i="2"/>
  <c r="AW514" i="2"/>
  <c r="AV514" i="2"/>
  <c r="AU514" i="2"/>
  <c r="AT514" i="2"/>
  <c r="AS514" i="2"/>
  <c r="AR514" i="2"/>
  <c r="AQ514" i="2"/>
  <c r="AP514" i="2"/>
  <c r="AO514" i="2"/>
  <c r="AN514" i="2"/>
  <c r="AM514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T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BF513" i="2"/>
  <c r="BE513" i="2"/>
  <c r="BD513" i="2"/>
  <c r="BC513" i="2"/>
  <c r="BB513" i="2"/>
  <c r="BA513" i="2"/>
  <c r="AZ513" i="2"/>
  <c r="AY513" i="2"/>
  <c r="AX513" i="2"/>
  <c r="AW513" i="2"/>
  <c r="AV513" i="2"/>
  <c r="AU513" i="2"/>
  <c r="AT513" i="2"/>
  <c r="AS513" i="2"/>
  <c r="AR513" i="2"/>
  <c r="AQ513" i="2"/>
  <c r="AP513" i="2"/>
  <c r="AO513" i="2"/>
  <c r="AN513" i="2"/>
  <c r="AM513" i="2"/>
  <c r="AL513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T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BF359" i="2"/>
  <c r="BE359" i="2"/>
  <c r="BD359" i="2"/>
  <c r="BC359" i="2"/>
  <c r="BB359" i="2"/>
  <c r="BA359" i="2"/>
  <c r="AZ359" i="2"/>
  <c r="AY359" i="2"/>
  <c r="AX359" i="2"/>
  <c r="AW359" i="2"/>
  <c r="AV359" i="2"/>
  <c r="AU359" i="2"/>
  <c r="AT359" i="2"/>
  <c r="AS359" i="2"/>
  <c r="AR359" i="2"/>
  <c r="AQ359" i="2"/>
  <c r="AP359" i="2"/>
  <c r="AO359" i="2"/>
  <c r="AN359" i="2"/>
  <c r="AM359" i="2"/>
  <c r="AL359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T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BF358" i="2"/>
  <c r="BE358" i="2"/>
  <c r="BD358" i="2"/>
  <c r="BC358" i="2"/>
  <c r="BB358" i="2"/>
  <c r="BA358" i="2"/>
  <c r="AZ358" i="2"/>
  <c r="AY358" i="2"/>
  <c r="AX358" i="2"/>
  <c r="AW358" i="2"/>
  <c r="AV358" i="2"/>
  <c r="AU358" i="2"/>
  <c r="AT358" i="2"/>
  <c r="AS358" i="2"/>
  <c r="AR358" i="2"/>
  <c r="AQ358" i="2"/>
  <c r="AP358" i="2"/>
  <c r="AO358" i="2"/>
  <c r="AN358" i="2"/>
  <c r="AM358" i="2"/>
  <c r="AL358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T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BF357" i="2"/>
  <c r="BE357" i="2"/>
  <c r="BD357" i="2"/>
  <c r="BC357" i="2"/>
  <c r="BB357" i="2"/>
  <c r="BA357" i="2"/>
  <c r="AZ357" i="2"/>
  <c r="AY357" i="2"/>
  <c r="AX357" i="2"/>
  <c r="AW357" i="2"/>
  <c r="AV357" i="2"/>
  <c r="AU357" i="2"/>
  <c r="AT357" i="2"/>
  <c r="AS357" i="2"/>
  <c r="AR357" i="2"/>
  <c r="AQ357" i="2"/>
  <c r="AP357" i="2"/>
  <c r="AO357" i="2"/>
  <c r="AN357" i="2"/>
  <c r="AM357" i="2"/>
  <c r="AL357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BF356" i="2"/>
  <c r="BE356" i="2"/>
  <c r="BD356" i="2"/>
  <c r="BC356" i="2"/>
  <c r="BB356" i="2"/>
  <c r="BA356" i="2"/>
  <c r="AZ356" i="2"/>
  <c r="AY356" i="2"/>
  <c r="AX356" i="2"/>
  <c r="AW356" i="2"/>
  <c r="AV356" i="2"/>
  <c r="AU356" i="2"/>
  <c r="AT356" i="2"/>
  <c r="AS356" i="2"/>
  <c r="AR356" i="2"/>
  <c r="AQ356" i="2"/>
  <c r="AP356" i="2"/>
  <c r="AO356" i="2"/>
  <c r="AN356" i="2"/>
  <c r="AM356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T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BF355" i="2"/>
  <c r="BE355" i="2"/>
  <c r="BD355" i="2"/>
  <c r="BC355" i="2"/>
  <c r="BB355" i="2"/>
  <c r="BA355" i="2"/>
  <c r="AZ355" i="2"/>
  <c r="AY355" i="2"/>
  <c r="AX355" i="2"/>
  <c r="AW355" i="2"/>
  <c r="AV355" i="2"/>
  <c r="AU355" i="2"/>
  <c r="AT355" i="2"/>
  <c r="AS355" i="2"/>
  <c r="AR355" i="2"/>
  <c r="AQ355" i="2"/>
  <c r="AP355" i="2"/>
  <c r="AO355" i="2"/>
  <c r="AN355" i="2"/>
  <c r="AM355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T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BF354" i="2"/>
  <c r="BE354" i="2"/>
  <c r="BD354" i="2"/>
  <c r="BC354" i="2"/>
  <c r="BB354" i="2"/>
  <c r="BA354" i="2"/>
  <c r="AZ354" i="2"/>
  <c r="AY354" i="2"/>
  <c r="AX354" i="2"/>
  <c r="AW354" i="2"/>
  <c r="AV354" i="2"/>
  <c r="AU354" i="2"/>
  <c r="AT354" i="2"/>
  <c r="AS354" i="2"/>
  <c r="AR354" i="2"/>
  <c r="AQ354" i="2"/>
  <c r="AP354" i="2"/>
  <c r="AO354" i="2"/>
  <c r="AN354" i="2"/>
  <c r="AM354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T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BF353" i="2"/>
  <c r="BE353" i="2"/>
  <c r="BD353" i="2"/>
  <c r="BC353" i="2"/>
  <c r="BB353" i="2"/>
  <c r="BA353" i="2"/>
  <c r="AZ353" i="2"/>
  <c r="AY353" i="2"/>
  <c r="AX353" i="2"/>
  <c r="AW353" i="2"/>
  <c r="AV353" i="2"/>
  <c r="AU353" i="2"/>
  <c r="AT353" i="2"/>
  <c r="AS353" i="2"/>
  <c r="AR353" i="2"/>
  <c r="AQ353" i="2"/>
  <c r="AP353" i="2"/>
  <c r="AO353" i="2"/>
  <c r="AN353" i="2"/>
  <c r="AM353" i="2"/>
  <c r="AL353" i="2"/>
  <c r="AK353" i="2"/>
  <c r="AJ353" i="2"/>
  <c r="AI353" i="2"/>
  <c r="AH353" i="2"/>
  <c r="AG353" i="2"/>
  <c r="AF353" i="2"/>
  <c r="AE353" i="2"/>
  <c r="AD353" i="2"/>
  <c r="AC353" i="2"/>
  <c r="AB353" i="2"/>
  <c r="AA353" i="2"/>
  <c r="Z353" i="2"/>
  <c r="Y353" i="2"/>
  <c r="X353" i="2"/>
  <c r="W353" i="2"/>
  <c r="V353" i="2"/>
  <c r="U353" i="2"/>
  <c r="T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BF352" i="2"/>
  <c r="BE352" i="2"/>
  <c r="BD352" i="2"/>
  <c r="BC352" i="2"/>
  <c r="BB352" i="2"/>
  <c r="BA352" i="2"/>
  <c r="AZ352" i="2"/>
  <c r="AY352" i="2"/>
  <c r="AX352" i="2"/>
  <c r="AW352" i="2"/>
  <c r="AV352" i="2"/>
  <c r="AU352" i="2"/>
  <c r="AT352" i="2"/>
  <c r="AS352" i="2"/>
  <c r="AR352" i="2"/>
  <c r="AQ352" i="2"/>
  <c r="AP352" i="2"/>
  <c r="AO352" i="2"/>
  <c r="AN352" i="2"/>
  <c r="AM352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Z352" i="2"/>
  <c r="Y352" i="2"/>
  <c r="X352" i="2"/>
  <c r="W352" i="2"/>
  <c r="V352" i="2"/>
  <c r="U352" i="2"/>
  <c r="T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BF351" i="2"/>
  <c r="BE351" i="2"/>
  <c r="BD351" i="2"/>
  <c r="BC351" i="2"/>
  <c r="BB351" i="2"/>
  <c r="BA351" i="2"/>
  <c r="AZ351" i="2"/>
  <c r="AY351" i="2"/>
  <c r="AX351" i="2"/>
  <c r="AW351" i="2"/>
  <c r="AV351" i="2"/>
  <c r="AU351" i="2"/>
  <c r="AT351" i="2"/>
  <c r="AS351" i="2"/>
  <c r="AR351" i="2"/>
  <c r="AQ351" i="2"/>
  <c r="AP351" i="2"/>
  <c r="AO351" i="2"/>
  <c r="AN351" i="2"/>
  <c r="AM351" i="2"/>
  <c r="AL351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T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BF350" i="2"/>
  <c r="BE350" i="2"/>
  <c r="BD350" i="2"/>
  <c r="BC350" i="2"/>
  <c r="BB350" i="2"/>
  <c r="BA350" i="2"/>
  <c r="AZ350" i="2"/>
  <c r="AY350" i="2"/>
  <c r="AX350" i="2"/>
  <c r="AW350" i="2"/>
  <c r="AV350" i="2"/>
  <c r="AU350" i="2"/>
  <c r="AT350" i="2"/>
  <c r="AS350" i="2"/>
  <c r="AR350" i="2"/>
  <c r="AQ350" i="2"/>
  <c r="AP350" i="2"/>
  <c r="AO350" i="2"/>
  <c r="AN350" i="2"/>
  <c r="AM350" i="2"/>
  <c r="AL350" i="2"/>
  <c r="AK350" i="2"/>
  <c r="AJ350" i="2"/>
  <c r="AI350" i="2"/>
  <c r="AH350" i="2"/>
  <c r="AG350" i="2"/>
  <c r="AF350" i="2"/>
  <c r="AE350" i="2"/>
  <c r="AD350" i="2"/>
  <c r="AC350" i="2"/>
  <c r="AB350" i="2"/>
  <c r="AA350" i="2"/>
  <c r="Z350" i="2"/>
  <c r="Y350" i="2"/>
  <c r="X350" i="2"/>
  <c r="W350" i="2"/>
  <c r="V350" i="2"/>
  <c r="U350" i="2"/>
  <c r="T350" i="2"/>
  <c r="S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BF349" i="2"/>
  <c r="BE349" i="2"/>
  <c r="BD349" i="2"/>
  <c r="BC349" i="2"/>
  <c r="BB349" i="2"/>
  <c r="BA349" i="2"/>
  <c r="AZ349" i="2"/>
  <c r="AY349" i="2"/>
  <c r="AX349" i="2"/>
  <c r="AW349" i="2"/>
  <c r="AV349" i="2"/>
  <c r="AU349" i="2"/>
  <c r="AT349" i="2"/>
  <c r="AS349" i="2"/>
  <c r="AR349" i="2"/>
  <c r="AQ349" i="2"/>
  <c r="AP349" i="2"/>
  <c r="AO349" i="2"/>
  <c r="AN349" i="2"/>
  <c r="AM349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T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BF348" i="2"/>
  <c r="BE348" i="2"/>
  <c r="BD348" i="2"/>
  <c r="BC348" i="2"/>
  <c r="BB348" i="2"/>
  <c r="BA348" i="2"/>
  <c r="AZ348" i="2"/>
  <c r="AY348" i="2"/>
  <c r="AX348" i="2"/>
  <c r="AW348" i="2"/>
  <c r="AV348" i="2"/>
  <c r="AU348" i="2"/>
  <c r="AT348" i="2"/>
  <c r="AS348" i="2"/>
  <c r="AR348" i="2"/>
  <c r="AQ348" i="2"/>
  <c r="AP348" i="2"/>
  <c r="AO348" i="2"/>
  <c r="AN348" i="2"/>
  <c r="AM348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T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BF347" i="2"/>
  <c r="BE347" i="2"/>
  <c r="BD347" i="2"/>
  <c r="BC347" i="2"/>
  <c r="BB347" i="2"/>
  <c r="BA347" i="2"/>
  <c r="AZ347" i="2"/>
  <c r="AY347" i="2"/>
  <c r="AX347" i="2"/>
  <c r="AW347" i="2"/>
  <c r="AV347" i="2"/>
  <c r="AU347" i="2"/>
  <c r="AT347" i="2"/>
  <c r="AS347" i="2"/>
  <c r="AR347" i="2"/>
  <c r="AQ347" i="2"/>
  <c r="AP347" i="2"/>
  <c r="AO347" i="2"/>
  <c r="AN347" i="2"/>
  <c r="AM347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T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BF346" i="2"/>
  <c r="BE346" i="2"/>
  <c r="BD346" i="2"/>
  <c r="BC346" i="2"/>
  <c r="BB346" i="2"/>
  <c r="BA346" i="2"/>
  <c r="AZ346" i="2"/>
  <c r="AY346" i="2"/>
  <c r="AX346" i="2"/>
  <c r="AW346" i="2"/>
  <c r="AV346" i="2"/>
  <c r="AU346" i="2"/>
  <c r="AT346" i="2"/>
  <c r="AS346" i="2"/>
  <c r="AR346" i="2"/>
  <c r="AQ346" i="2"/>
  <c r="AP346" i="2"/>
  <c r="AO346" i="2"/>
  <c r="AN346" i="2"/>
  <c r="AM346" i="2"/>
  <c r="AL346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T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BF345" i="2"/>
  <c r="BE345" i="2"/>
  <c r="BD345" i="2"/>
  <c r="BC345" i="2"/>
  <c r="BB345" i="2"/>
  <c r="BA345" i="2"/>
  <c r="AZ345" i="2"/>
  <c r="AY345" i="2"/>
  <c r="AX345" i="2"/>
  <c r="AW345" i="2"/>
  <c r="AV345" i="2"/>
  <c r="AU345" i="2"/>
  <c r="AT345" i="2"/>
  <c r="AS345" i="2"/>
  <c r="AR345" i="2"/>
  <c r="AQ345" i="2"/>
  <c r="AP345" i="2"/>
  <c r="AO345" i="2"/>
  <c r="AN345" i="2"/>
  <c r="AM345" i="2"/>
  <c r="AL345" i="2"/>
  <c r="AK345" i="2"/>
  <c r="AJ345" i="2"/>
  <c r="AI345" i="2"/>
  <c r="AH345" i="2"/>
  <c r="AG345" i="2"/>
  <c r="AF345" i="2"/>
  <c r="AE345" i="2"/>
  <c r="AD345" i="2"/>
  <c r="AC345" i="2"/>
  <c r="AB345" i="2"/>
  <c r="AA345" i="2"/>
  <c r="Z345" i="2"/>
  <c r="Y345" i="2"/>
  <c r="X345" i="2"/>
  <c r="W345" i="2"/>
  <c r="V345" i="2"/>
  <c r="U345" i="2"/>
  <c r="T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BF344" i="2"/>
  <c r="BE344" i="2"/>
  <c r="BD344" i="2"/>
  <c r="BC344" i="2"/>
  <c r="BB344" i="2"/>
  <c r="BA344" i="2"/>
  <c r="AZ344" i="2"/>
  <c r="AY344" i="2"/>
  <c r="AX344" i="2"/>
  <c r="AW344" i="2"/>
  <c r="AV344" i="2"/>
  <c r="AU344" i="2"/>
  <c r="AT344" i="2"/>
  <c r="AS344" i="2"/>
  <c r="AR344" i="2"/>
  <c r="AQ344" i="2"/>
  <c r="AP344" i="2"/>
  <c r="AO344" i="2"/>
  <c r="AN344" i="2"/>
  <c r="AM344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T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BF343" i="2"/>
  <c r="BE343" i="2"/>
  <c r="BD343" i="2"/>
  <c r="BC343" i="2"/>
  <c r="BB343" i="2"/>
  <c r="BA343" i="2"/>
  <c r="AZ343" i="2"/>
  <c r="AY343" i="2"/>
  <c r="AX343" i="2"/>
  <c r="AW343" i="2"/>
  <c r="AV343" i="2"/>
  <c r="AU343" i="2"/>
  <c r="AT343" i="2"/>
  <c r="AS343" i="2"/>
  <c r="AR343" i="2"/>
  <c r="AQ343" i="2"/>
  <c r="AP343" i="2"/>
  <c r="AO343" i="2"/>
  <c r="AN343" i="2"/>
  <c r="AM343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T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BF342" i="2"/>
  <c r="BE342" i="2"/>
  <c r="BD342" i="2"/>
  <c r="BC342" i="2"/>
  <c r="BB342" i="2"/>
  <c r="BA342" i="2"/>
  <c r="AZ342" i="2"/>
  <c r="AY342" i="2"/>
  <c r="AX342" i="2"/>
  <c r="AW342" i="2"/>
  <c r="AV342" i="2"/>
  <c r="AU342" i="2"/>
  <c r="AT342" i="2"/>
  <c r="AS342" i="2"/>
  <c r="AR342" i="2"/>
  <c r="AQ342" i="2"/>
  <c r="AP342" i="2"/>
  <c r="AO342" i="2"/>
  <c r="AN342" i="2"/>
  <c r="AM342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Z342" i="2"/>
  <c r="Y342" i="2"/>
  <c r="X342" i="2"/>
  <c r="W342" i="2"/>
  <c r="V342" i="2"/>
  <c r="U342" i="2"/>
  <c r="T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BF341" i="2"/>
  <c r="BE341" i="2"/>
  <c r="BD341" i="2"/>
  <c r="BC341" i="2"/>
  <c r="BB341" i="2"/>
  <c r="BA341" i="2"/>
  <c r="AZ341" i="2"/>
  <c r="AY341" i="2"/>
  <c r="AX341" i="2"/>
  <c r="AW341" i="2"/>
  <c r="AV341" i="2"/>
  <c r="AU341" i="2"/>
  <c r="AT341" i="2"/>
  <c r="AS341" i="2"/>
  <c r="AR341" i="2"/>
  <c r="AQ341" i="2"/>
  <c r="AP341" i="2"/>
  <c r="AO341" i="2"/>
  <c r="AN341" i="2"/>
  <c r="AM341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Z341" i="2"/>
  <c r="Y341" i="2"/>
  <c r="X341" i="2"/>
  <c r="W341" i="2"/>
  <c r="V341" i="2"/>
  <c r="U341" i="2"/>
  <c r="T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BF340" i="2"/>
  <c r="BE340" i="2"/>
  <c r="BD340" i="2"/>
  <c r="BC340" i="2"/>
  <c r="BB340" i="2"/>
  <c r="BA340" i="2"/>
  <c r="AZ340" i="2"/>
  <c r="AY340" i="2"/>
  <c r="AX340" i="2"/>
  <c r="AW340" i="2"/>
  <c r="AV340" i="2"/>
  <c r="AU340" i="2"/>
  <c r="AT340" i="2"/>
  <c r="AS340" i="2"/>
  <c r="AR340" i="2"/>
  <c r="AQ340" i="2"/>
  <c r="AP340" i="2"/>
  <c r="AO340" i="2"/>
  <c r="AN340" i="2"/>
  <c r="AM340" i="2"/>
  <c r="AL340" i="2"/>
  <c r="AK340" i="2"/>
  <c r="AJ340" i="2"/>
  <c r="AI340" i="2"/>
  <c r="AH340" i="2"/>
  <c r="AG340" i="2"/>
  <c r="AF340" i="2"/>
  <c r="AE340" i="2"/>
  <c r="AD340" i="2"/>
  <c r="AC340" i="2"/>
  <c r="AB340" i="2"/>
  <c r="AA340" i="2"/>
  <c r="Z340" i="2"/>
  <c r="Y340" i="2"/>
  <c r="X340" i="2"/>
  <c r="W340" i="2"/>
  <c r="V340" i="2"/>
  <c r="U340" i="2"/>
  <c r="T340" i="2"/>
  <c r="S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BF339" i="2"/>
  <c r="BE339" i="2"/>
  <c r="BD339" i="2"/>
  <c r="BC339" i="2"/>
  <c r="BB339" i="2"/>
  <c r="BA339" i="2"/>
  <c r="AZ339" i="2"/>
  <c r="AY339" i="2"/>
  <c r="AX339" i="2"/>
  <c r="AW339" i="2"/>
  <c r="AV339" i="2"/>
  <c r="AU339" i="2"/>
  <c r="AT339" i="2"/>
  <c r="AS339" i="2"/>
  <c r="AR339" i="2"/>
  <c r="AQ339" i="2"/>
  <c r="AP339" i="2"/>
  <c r="AO339" i="2"/>
  <c r="AN339" i="2"/>
  <c r="AM339" i="2"/>
  <c r="AL339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T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BF328" i="2"/>
  <c r="BE328" i="2"/>
  <c r="BD328" i="2"/>
  <c r="BC328" i="2"/>
  <c r="BB328" i="2"/>
  <c r="BA328" i="2"/>
  <c r="AZ328" i="2"/>
  <c r="AY328" i="2"/>
  <c r="AX328" i="2"/>
  <c r="AW328" i="2"/>
  <c r="AV328" i="2"/>
  <c r="AU328" i="2"/>
  <c r="AT328" i="2"/>
  <c r="AS328" i="2"/>
  <c r="AR328" i="2"/>
  <c r="AQ328" i="2"/>
  <c r="AP328" i="2"/>
  <c r="AO328" i="2"/>
  <c r="AN328" i="2"/>
  <c r="AM328" i="2"/>
  <c r="AL328" i="2"/>
  <c r="AK328" i="2"/>
  <c r="AJ328" i="2"/>
  <c r="AI328" i="2"/>
  <c r="AH328" i="2"/>
  <c r="AG328" i="2"/>
  <c r="AF328" i="2"/>
  <c r="AE328" i="2"/>
  <c r="AD328" i="2"/>
  <c r="AC328" i="2"/>
  <c r="AB328" i="2"/>
  <c r="AA328" i="2"/>
  <c r="Z328" i="2"/>
  <c r="Y328" i="2"/>
  <c r="X328" i="2"/>
  <c r="W328" i="2"/>
  <c r="V328" i="2"/>
  <c r="U328" i="2"/>
  <c r="T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BF327" i="2"/>
  <c r="BE327" i="2"/>
  <c r="BD327" i="2"/>
  <c r="BC327" i="2"/>
  <c r="BB327" i="2"/>
  <c r="BA327" i="2"/>
  <c r="AZ327" i="2"/>
  <c r="AY327" i="2"/>
  <c r="AX327" i="2"/>
  <c r="AW327" i="2"/>
  <c r="AV327" i="2"/>
  <c r="AU327" i="2"/>
  <c r="AT327" i="2"/>
  <c r="AS327" i="2"/>
  <c r="AR327" i="2"/>
  <c r="AQ327" i="2"/>
  <c r="AP327" i="2"/>
  <c r="AO327" i="2"/>
  <c r="AN327" i="2"/>
  <c r="AM327" i="2"/>
  <c r="AL327" i="2"/>
  <c r="AK327" i="2"/>
  <c r="AJ327" i="2"/>
  <c r="AI327" i="2"/>
  <c r="AH327" i="2"/>
  <c r="AG327" i="2"/>
  <c r="AF327" i="2"/>
  <c r="AE327" i="2"/>
  <c r="AD327" i="2"/>
  <c r="AC327" i="2"/>
  <c r="AB327" i="2"/>
  <c r="AA327" i="2"/>
  <c r="Z327" i="2"/>
  <c r="Y327" i="2"/>
  <c r="X327" i="2"/>
  <c r="W327" i="2"/>
  <c r="V327" i="2"/>
  <c r="U327" i="2"/>
  <c r="T327" i="2"/>
  <c r="S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BF326" i="2"/>
  <c r="BE326" i="2"/>
  <c r="BD326" i="2"/>
  <c r="BC326" i="2"/>
  <c r="BB326" i="2"/>
  <c r="BA326" i="2"/>
  <c r="AZ326" i="2"/>
  <c r="AY326" i="2"/>
  <c r="AX326" i="2"/>
  <c r="AW326" i="2"/>
  <c r="AV326" i="2"/>
  <c r="AU326" i="2"/>
  <c r="AT326" i="2"/>
  <c r="AS326" i="2"/>
  <c r="AR326" i="2"/>
  <c r="AQ326" i="2"/>
  <c r="AP326" i="2"/>
  <c r="AO326" i="2"/>
  <c r="AN326" i="2"/>
  <c r="AM326" i="2"/>
  <c r="AL326" i="2"/>
  <c r="AK326" i="2"/>
  <c r="AJ326" i="2"/>
  <c r="AI326" i="2"/>
  <c r="AH326" i="2"/>
  <c r="AG326" i="2"/>
  <c r="AF326" i="2"/>
  <c r="AE326" i="2"/>
  <c r="AD326" i="2"/>
  <c r="AC326" i="2"/>
  <c r="AB326" i="2"/>
  <c r="AA326" i="2"/>
  <c r="Z326" i="2"/>
  <c r="Y326" i="2"/>
  <c r="X326" i="2"/>
  <c r="W326" i="2"/>
  <c r="V326" i="2"/>
  <c r="U326" i="2"/>
  <c r="T326" i="2"/>
  <c r="S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BF325" i="2"/>
  <c r="BE325" i="2"/>
  <c r="BD325" i="2"/>
  <c r="BC325" i="2"/>
  <c r="BB325" i="2"/>
  <c r="BA325" i="2"/>
  <c r="AZ325" i="2"/>
  <c r="AY325" i="2"/>
  <c r="AX325" i="2"/>
  <c r="AW325" i="2"/>
  <c r="AV325" i="2"/>
  <c r="AU325" i="2"/>
  <c r="AT325" i="2"/>
  <c r="AS325" i="2"/>
  <c r="AR325" i="2"/>
  <c r="AQ325" i="2"/>
  <c r="AP325" i="2"/>
  <c r="AO325" i="2"/>
  <c r="AN325" i="2"/>
  <c r="AM325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T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BF324" i="2"/>
  <c r="BE324" i="2"/>
  <c r="BD324" i="2"/>
  <c r="BC324" i="2"/>
  <c r="BB324" i="2"/>
  <c r="BA324" i="2"/>
  <c r="AZ324" i="2"/>
  <c r="AY324" i="2"/>
  <c r="AX324" i="2"/>
  <c r="AW324" i="2"/>
  <c r="AV324" i="2"/>
  <c r="AU324" i="2"/>
  <c r="AT324" i="2"/>
  <c r="AS324" i="2"/>
  <c r="AR324" i="2"/>
  <c r="AQ324" i="2"/>
  <c r="AP324" i="2"/>
  <c r="AO324" i="2"/>
  <c r="AN324" i="2"/>
  <c r="AM324" i="2"/>
  <c r="AL324" i="2"/>
  <c r="AK324" i="2"/>
  <c r="AJ324" i="2"/>
  <c r="AI324" i="2"/>
  <c r="AH324" i="2"/>
  <c r="AG324" i="2"/>
  <c r="AF324" i="2"/>
  <c r="AE324" i="2"/>
  <c r="AD324" i="2"/>
  <c r="AC324" i="2"/>
  <c r="AB324" i="2"/>
  <c r="AA324" i="2"/>
  <c r="Z324" i="2"/>
  <c r="Y324" i="2"/>
  <c r="X324" i="2"/>
  <c r="W324" i="2"/>
  <c r="V324" i="2"/>
  <c r="U324" i="2"/>
  <c r="T324" i="2"/>
  <c r="S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BF323" i="2"/>
  <c r="BE323" i="2"/>
  <c r="BD323" i="2"/>
  <c r="BC323" i="2"/>
  <c r="BB323" i="2"/>
  <c r="BA323" i="2"/>
  <c r="AZ323" i="2"/>
  <c r="AY323" i="2"/>
  <c r="AX323" i="2"/>
  <c r="AW323" i="2"/>
  <c r="AV323" i="2"/>
  <c r="AU323" i="2"/>
  <c r="AT323" i="2"/>
  <c r="AS323" i="2"/>
  <c r="AR323" i="2"/>
  <c r="AQ323" i="2"/>
  <c r="AP323" i="2"/>
  <c r="AO323" i="2"/>
  <c r="AN323" i="2"/>
  <c r="AM323" i="2"/>
  <c r="AL323" i="2"/>
  <c r="AK323" i="2"/>
  <c r="AJ323" i="2"/>
  <c r="AI323" i="2"/>
  <c r="AH323" i="2"/>
  <c r="AG323" i="2"/>
  <c r="AF323" i="2"/>
  <c r="AE323" i="2"/>
  <c r="AD323" i="2"/>
  <c r="AC323" i="2"/>
  <c r="AB323" i="2"/>
  <c r="AA323" i="2"/>
  <c r="Z323" i="2"/>
  <c r="Y323" i="2"/>
  <c r="X323" i="2"/>
  <c r="W323" i="2"/>
  <c r="V323" i="2"/>
  <c r="U323" i="2"/>
  <c r="T323" i="2"/>
  <c r="S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BF322" i="2"/>
  <c r="BE322" i="2"/>
  <c r="BD322" i="2"/>
  <c r="BC322" i="2"/>
  <c r="BB322" i="2"/>
  <c r="BA322" i="2"/>
  <c r="AZ322" i="2"/>
  <c r="AY322" i="2"/>
  <c r="AX322" i="2"/>
  <c r="AW322" i="2"/>
  <c r="AV322" i="2"/>
  <c r="AU322" i="2"/>
  <c r="AT322" i="2"/>
  <c r="AS322" i="2"/>
  <c r="AR322" i="2"/>
  <c r="AQ322" i="2"/>
  <c r="AP322" i="2"/>
  <c r="AO322" i="2"/>
  <c r="AN322" i="2"/>
  <c r="AM322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T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BF321" i="2"/>
  <c r="BE321" i="2"/>
  <c r="BD321" i="2"/>
  <c r="BC321" i="2"/>
  <c r="BB321" i="2"/>
  <c r="BA321" i="2"/>
  <c r="AZ321" i="2"/>
  <c r="AY321" i="2"/>
  <c r="AX321" i="2"/>
  <c r="AW321" i="2"/>
  <c r="AV321" i="2"/>
  <c r="AU321" i="2"/>
  <c r="AT321" i="2"/>
  <c r="AS321" i="2"/>
  <c r="AR321" i="2"/>
  <c r="AQ321" i="2"/>
  <c r="AP321" i="2"/>
  <c r="AO321" i="2"/>
  <c r="AN321" i="2"/>
  <c r="AM321" i="2"/>
  <c r="AL321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T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BF320" i="2"/>
  <c r="BE320" i="2"/>
  <c r="BD320" i="2"/>
  <c r="BC320" i="2"/>
  <c r="BB320" i="2"/>
  <c r="BA320" i="2"/>
  <c r="AZ320" i="2"/>
  <c r="AY320" i="2"/>
  <c r="AX320" i="2"/>
  <c r="AW320" i="2"/>
  <c r="AV320" i="2"/>
  <c r="AU320" i="2"/>
  <c r="AT320" i="2"/>
  <c r="AS320" i="2"/>
  <c r="AR320" i="2"/>
  <c r="AQ320" i="2"/>
  <c r="AP320" i="2"/>
  <c r="AO320" i="2"/>
  <c r="AN320" i="2"/>
  <c r="AM320" i="2"/>
  <c r="AL320" i="2"/>
  <c r="AK320" i="2"/>
  <c r="AJ320" i="2"/>
  <c r="AI320" i="2"/>
  <c r="AH320" i="2"/>
  <c r="AG320" i="2"/>
  <c r="AF320" i="2"/>
  <c r="AE320" i="2"/>
  <c r="AD320" i="2"/>
  <c r="AC320" i="2"/>
  <c r="AB320" i="2"/>
  <c r="AA320" i="2"/>
  <c r="Z320" i="2"/>
  <c r="Y320" i="2"/>
  <c r="X320" i="2"/>
  <c r="W320" i="2"/>
  <c r="V320" i="2"/>
  <c r="U320" i="2"/>
  <c r="T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BF319" i="2"/>
  <c r="BE319" i="2"/>
  <c r="BD319" i="2"/>
  <c r="BC319" i="2"/>
  <c r="BB319" i="2"/>
  <c r="BA319" i="2"/>
  <c r="AZ319" i="2"/>
  <c r="AY319" i="2"/>
  <c r="AX319" i="2"/>
  <c r="AW319" i="2"/>
  <c r="AV319" i="2"/>
  <c r="AU319" i="2"/>
  <c r="AT319" i="2"/>
  <c r="AS319" i="2"/>
  <c r="AR319" i="2"/>
  <c r="AQ319" i="2"/>
  <c r="AP319" i="2"/>
  <c r="AO319" i="2"/>
  <c r="AN319" i="2"/>
  <c r="AM319" i="2"/>
  <c r="AL319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T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BF318" i="2"/>
  <c r="BE318" i="2"/>
  <c r="BD318" i="2"/>
  <c r="BC318" i="2"/>
  <c r="BB318" i="2"/>
  <c r="BA318" i="2"/>
  <c r="AZ318" i="2"/>
  <c r="AY318" i="2"/>
  <c r="AX318" i="2"/>
  <c r="AW318" i="2"/>
  <c r="AV318" i="2"/>
  <c r="AU318" i="2"/>
  <c r="AT318" i="2"/>
  <c r="AS318" i="2"/>
  <c r="AR318" i="2"/>
  <c r="AQ318" i="2"/>
  <c r="AP318" i="2"/>
  <c r="AO318" i="2"/>
  <c r="AN318" i="2"/>
  <c r="AM318" i="2"/>
  <c r="AL318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T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BF317" i="2"/>
  <c r="BE317" i="2"/>
  <c r="BD317" i="2"/>
  <c r="BC317" i="2"/>
  <c r="BB317" i="2"/>
  <c r="BA317" i="2"/>
  <c r="AZ317" i="2"/>
  <c r="AY317" i="2"/>
  <c r="AX317" i="2"/>
  <c r="AW317" i="2"/>
  <c r="AV317" i="2"/>
  <c r="AU317" i="2"/>
  <c r="AT317" i="2"/>
  <c r="AS317" i="2"/>
  <c r="AR317" i="2"/>
  <c r="AQ317" i="2"/>
  <c r="AP317" i="2"/>
  <c r="AO317" i="2"/>
  <c r="AN317" i="2"/>
  <c r="AM317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T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BF316" i="2"/>
  <c r="BE316" i="2"/>
  <c r="BD316" i="2"/>
  <c r="BC316" i="2"/>
  <c r="BB316" i="2"/>
  <c r="BA316" i="2"/>
  <c r="AZ316" i="2"/>
  <c r="AY316" i="2"/>
  <c r="AX316" i="2"/>
  <c r="AW316" i="2"/>
  <c r="AV316" i="2"/>
  <c r="AU316" i="2"/>
  <c r="AT316" i="2"/>
  <c r="AS316" i="2"/>
  <c r="AR316" i="2"/>
  <c r="AQ316" i="2"/>
  <c r="AP316" i="2"/>
  <c r="AO316" i="2"/>
  <c r="AN316" i="2"/>
  <c r="AM316" i="2"/>
  <c r="AL316" i="2"/>
  <c r="AK316" i="2"/>
  <c r="AJ316" i="2"/>
  <c r="AI316" i="2"/>
  <c r="AH316" i="2"/>
  <c r="AG316" i="2"/>
  <c r="AF316" i="2"/>
  <c r="AE316" i="2"/>
  <c r="AD316" i="2"/>
  <c r="AC316" i="2"/>
  <c r="AB316" i="2"/>
  <c r="AA316" i="2"/>
  <c r="Z316" i="2"/>
  <c r="Y316" i="2"/>
  <c r="X316" i="2"/>
  <c r="W316" i="2"/>
  <c r="V316" i="2"/>
  <c r="U316" i="2"/>
  <c r="T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BF315" i="2"/>
  <c r="BE315" i="2"/>
  <c r="BD315" i="2"/>
  <c r="BC315" i="2"/>
  <c r="BB315" i="2"/>
  <c r="BA315" i="2"/>
  <c r="AZ315" i="2"/>
  <c r="AY315" i="2"/>
  <c r="AX315" i="2"/>
  <c r="AW315" i="2"/>
  <c r="AV315" i="2"/>
  <c r="AU315" i="2"/>
  <c r="AT315" i="2"/>
  <c r="AS315" i="2"/>
  <c r="AR315" i="2"/>
  <c r="AQ315" i="2"/>
  <c r="AP315" i="2"/>
  <c r="AO315" i="2"/>
  <c r="AN315" i="2"/>
  <c r="AM315" i="2"/>
  <c r="AL315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T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BF314" i="2"/>
  <c r="BE314" i="2"/>
  <c r="BD314" i="2"/>
  <c r="BC314" i="2"/>
  <c r="BB314" i="2"/>
  <c r="BA314" i="2"/>
  <c r="AZ314" i="2"/>
  <c r="AY314" i="2"/>
  <c r="AX314" i="2"/>
  <c r="AW314" i="2"/>
  <c r="AV314" i="2"/>
  <c r="AU314" i="2"/>
  <c r="AT314" i="2"/>
  <c r="AS314" i="2"/>
  <c r="AR314" i="2"/>
  <c r="AQ314" i="2"/>
  <c r="AP314" i="2"/>
  <c r="AO314" i="2"/>
  <c r="AN314" i="2"/>
  <c r="AM314" i="2"/>
  <c r="AL314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T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BF313" i="2"/>
  <c r="BE313" i="2"/>
  <c r="BD313" i="2"/>
  <c r="BC313" i="2"/>
  <c r="BB313" i="2"/>
  <c r="BA313" i="2"/>
  <c r="AZ313" i="2"/>
  <c r="AY313" i="2"/>
  <c r="AX313" i="2"/>
  <c r="AW313" i="2"/>
  <c r="AV313" i="2"/>
  <c r="AU313" i="2"/>
  <c r="AT313" i="2"/>
  <c r="AS313" i="2"/>
  <c r="AR313" i="2"/>
  <c r="AQ313" i="2"/>
  <c r="AP313" i="2"/>
  <c r="AO313" i="2"/>
  <c r="AN313" i="2"/>
  <c r="AM313" i="2"/>
  <c r="AL313" i="2"/>
  <c r="AK313" i="2"/>
  <c r="AJ313" i="2"/>
  <c r="AI313" i="2"/>
  <c r="AH313" i="2"/>
  <c r="AG313" i="2"/>
  <c r="AF313" i="2"/>
  <c r="AE313" i="2"/>
  <c r="AD313" i="2"/>
  <c r="AC313" i="2"/>
  <c r="AB313" i="2"/>
  <c r="AA313" i="2"/>
  <c r="Z313" i="2"/>
  <c r="Y313" i="2"/>
  <c r="X313" i="2"/>
  <c r="W313" i="2"/>
  <c r="V313" i="2"/>
  <c r="U313" i="2"/>
  <c r="T313" i="2"/>
  <c r="S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BF312" i="2"/>
  <c r="BE312" i="2"/>
  <c r="BD312" i="2"/>
  <c r="BC312" i="2"/>
  <c r="BB312" i="2"/>
  <c r="BA312" i="2"/>
  <c r="AZ312" i="2"/>
  <c r="AY312" i="2"/>
  <c r="AX312" i="2"/>
  <c r="AW312" i="2"/>
  <c r="AV312" i="2"/>
  <c r="AU312" i="2"/>
  <c r="AT312" i="2"/>
  <c r="AS312" i="2"/>
  <c r="AR312" i="2"/>
  <c r="AQ312" i="2"/>
  <c r="AP312" i="2"/>
  <c r="AO312" i="2"/>
  <c r="AN312" i="2"/>
  <c r="AM312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T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BF311" i="2"/>
  <c r="BE311" i="2"/>
  <c r="BD311" i="2"/>
  <c r="BC311" i="2"/>
  <c r="BB311" i="2"/>
  <c r="BA311" i="2"/>
  <c r="AZ311" i="2"/>
  <c r="AY311" i="2"/>
  <c r="AX311" i="2"/>
  <c r="AW311" i="2"/>
  <c r="AV311" i="2"/>
  <c r="AU311" i="2"/>
  <c r="AT311" i="2"/>
  <c r="AS311" i="2"/>
  <c r="AR311" i="2"/>
  <c r="AQ311" i="2"/>
  <c r="AP311" i="2"/>
  <c r="AO311" i="2"/>
  <c r="AN311" i="2"/>
  <c r="AM311" i="2"/>
  <c r="AL311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T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BF310" i="2"/>
  <c r="BE310" i="2"/>
  <c r="BD310" i="2"/>
  <c r="BC310" i="2"/>
  <c r="BB310" i="2"/>
  <c r="BA310" i="2"/>
  <c r="AZ310" i="2"/>
  <c r="AY310" i="2"/>
  <c r="AX310" i="2"/>
  <c r="AW310" i="2"/>
  <c r="AV310" i="2"/>
  <c r="AU310" i="2"/>
  <c r="AT310" i="2"/>
  <c r="AS310" i="2"/>
  <c r="AR310" i="2"/>
  <c r="AQ310" i="2"/>
  <c r="AP310" i="2"/>
  <c r="AO310" i="2"/>
  <c r="AN310" i="2"/>
  <c r="AM310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BF309" i="2"/>
  <c r="BE309" i="2"/>
  <c r="BD309" i="2"/>
  <c r="BC309" i="2"/>
  <c r="BB309" i="2"/>
  <c r="BA309" i="2"/>
  <c r="AZ309" i="2"/>
  <c r="AY309" i="2"/>
  <c r="AX309" i="2"/>
  <c r="AW309" i="2"/>
  <c r="AV309" i="2"/>
  <c r="AU309" i="2"/>
  <c r="AT309" i="2"/>
  <c r="AS309" i="2"/>
  <c r="AR309" i="2"/>
  <c r="AQ309" i="2"/>
  <c r="AP309" i="2"/>
  <c r="AO309" i="2"/>
  <c r="AN309" i="2"/>
  <c r="AM309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T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BF308" i="2"/>
  <c r="BE308" i="2"/>
  <c r="BD308" i="2"/>
  <c r="BC308" i="2"/>
  <c r="BB308" i="2"/>
  <c r="BA308" i="2"/>
  <c r="AZ308" i="2"/>
  <c r="AY308" i="2"/>
  <c r="AX308" i="2"/>
  <c r="AW308" i="2"/>
  <c r="AV308" i="2"/>
  <c r="AU308" i="2"/>
  <c r="AT308" i="2"/>
  <c r="AS308" i="2"/>
  <c r="AR308" i="2"/>
  <c r="AQ308" i="2"/>
  <c r="AP308" i="2"/>
  <c r="AO308" i="2"/>
  <c r="AN308" i="2"/>
  <c r="AM308" i="2"/>
  <c r="AL308" i="2"/>
  <c r="AK308" i="2"/>
  <c r="AJ308" i="2"/>
  <c r="AI308" i="2"/>
  <c r="AH308" i="2"/>
  <c r="AG308" i="2"/>
  <c r="AF308" i="2"/>
  <c r="AE308" i="2"/>
  <c r="AD308" i="2"/>
  <c r="AC308" i="2"/>
  <c r="AB308" i="2"/>
  <c r="AA308" i="2"/>
  <c r="Z308" i="2"/>
  <c r="Y308" i="2"/>
  <c r="X308" i="2"/>
  <c r="W308" i="2"/>
  <c r="V308" i="2"/>
  <c r="U308" i="2"/>
  <c r="T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BF181" i="2"/>
  <c r="BE181" i="2"/>
  <c r="BD181" i="2"/>
  <c r="BC181" i="2"/>
  <c r="BB181" i="2"/>
  <c r="BA181" i="2"/>
  <c r="AZ181" i="2"/>
  <c r="AY181" i="2"/>
  <c r="AX181" i="2"/>
  <c r="AW181" i="2"/>
  <c r="AV181" i="2"/>
  <c r="AU181" i="2"/>
  <c r="AT181" i="2"/>
  <c r="AS181" i="2"/>
  <c r="AR181" i="2"/>
  <c r="AQ181" i="2"/>
  <c r="AP181" i="2"/>
  <c r="AO181" i="2"/>
  <c r="AN181" i="2"/>
  <c r="AM181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F180" i="2"/>
  <c r="BE180" i="2"/>
  <c r="BD180" i="2"/>
  <c r="BC180" i="2"/>
  <c r="BB180" i="2"/>
  <c r="BA180" i="2"/>
  <c r="AZ180" i="2"/>
  <c r="AY180" i="2"/>
  <c r="AX180" i="2"/>
  <c r="AW180" i="2"/>
  <c r="AV180" i="2"/>
  <c r="AU180" i="2"/>
  <c r="AT180" i="2"/>
  <c r="AS180" i="2"/>
  <c r="AR180" i="2"/>
  <c r="AQ180" i="2"/>
  <c r="AP180" i="2"/>
  <c r="AO180" i="2"/>
  <c r="AN180" i="2"/>
  <c r="AM180" i="2"/>
  <c r="AL180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F177" i="2"/>
  <c r="BE177" i="2"/>
  <c r="BD177" i="2"/>
  <c r="BC177" i="2"/>
  <c r="BB177" i="2"/>
  <c r="BA177" i="2"/>
  <c r="AZ177" i="2"/>
  <c r="AY177" i="2"/>
  <c r="AX177" i="2"/>
  <c r="AW177" i="2"/>
  <c r="AV177" i="2"/>
  <c r="AU177" i="2"/>
  <c r="AT177" i="2"/>
  <c r="AS177" i="2"/>
  <c r="AR177" i="2"/>
  <c r="AQ177" i="2"/>
  <c r="AP177" i="2"/>
  <c r="AO177" i="2"/>
  <c r="AN177" i="2"/>
  <c r="AM177" i="2"/>
  <c r="AL177" i="2"/>
  <c r="AK177" i="2"/>
  <c r="AJ177" i="2"/>
  <c r="AI177" i="2"/>
  <c r="AH177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F176" i="2"/>
  <c r="BE176" i="2"/>
  <c r="BD176" i="2"/>
  <c r="BC176" i="2"/>
  <c r="BB176" i="2"/>
  <c r="BA176" i="2"/>
  <c r="AZ176" i="2"/>
  <c r="AY176" i="2"/>
  <c r="AX176" i="2"/>
  <c r="AW176" i="2"/>
  <c r="AV176" i="2"/>
  <c r="AU176" i="2"/>
  <c r="AT176" i="2"/>
  <c r="AS176" i="2"/>
  <c r="AR176" i="2"/>
  <c r="AQ176" i="2"/>
  <c r="AP176" i="2"/>
  <c r="AO176" i="2"/>
  <c r="AN176" i="2"/>
  <c r="AM176" i="2"/>
  <c r="AL176" i="2"/>
  <c r="AK176" i="2"/>
  <c r="AJ176" i="2"/>
  <c r="AI176" i="2"/>
  <c r="AH176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F175" i="2"/>
  <c r="BE175" i="2"/>
  <c r="BD175" i="2"/>
  <c r="BC175" i="2"/>
  <c r="BB175" i="2"/>
  <c r="BA175" i="2"/>
  <c r="AZ175" i="2"/>
  <c r="AY175" i="2"/>
  <c r="AX175" i="2"/>
  <c r="AW175" i="2"/>
  <c r="AV175" i="2"/>
  <c r="AU175" i="2"/>
  <c r="AT175" i="2"/>
  <c r="AS175" i="2"/>
  <c r="AR175" i="2"/>
  <c r="AQ175" i="2"/>
  <c r="AP175" i="2"/>
  <c r="AO175" i="2"/>
  <c r="AN175" i="2"/>
  <c r="AM175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F174" i="2"/>
  <c r="BE174" i="2"/>
  <c r="BD174" i="2"/>
  <c r="BC174" i="2"/>
  <c r="BB174" i="2"/>
  <c r="BA174" i="2"/>
  <c r="AZ174" i="2"/>
  <c r="AY174" i="2"/>
  <c r="AX174" i="2"/>
  <c r="AW174" i="2"/>
  <c r="AV174" i="2"/>
  <c r="AU174" i="2"/>
  <c r="AT174" i="2"/>
  <c r="AS174" i="2"/>
  <c r="AR174" i="2"/>
  <c r="AQ174" i="2"/>
  <c r="AP174" i="2"/>
  <c r="AO174" i="2"/>
  <c r="AN174" i="2"/>
  <c r="AM174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F171" i="2"/>
  <c r="BE171" i="2"/>
  <c r="BD171" i="2"/>
  <c r="BC171" i="2"/>
  <c r="BB171" i="2"/>
  <c r="BA171" i="2"/>
  <c r="AZ171" i="2"/>
  <c r="AY171" i="2"/>
  <c r="AX171" i="2"/>
  <c r="AW171" i="2"/>
  <c r="AV171" i="2"/>
  <c r="AU171" i="2"/>
  <c r="AT171" i="2"/>
  <c r="AS171" i="2"/>
  <c r="AR171" i="2"/>
  <c r="AQ171" i="2"/>
  <c r="AP171" i="2"/>
  <c r="AO171" i="2"/>
  <c r="AN171" i="2"/>
  <c r="AM171" i="2"/>
  <c r="AL171" i="2"/>
  <c r="AK171" i="2"/>
  <c r="AJ171" i="2"/>
  <c r="AI171" i="2"/>
  <c r="AH171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F170" i="2"/>
  <c r="BE170" i="2"/>
  <c r="BD170" i="2"/>
  <c r="BC170" i="2"/>
  <c r="BB170" i="2"/>
  <c r="BA170" i="2"/>
  <c r="AZ170" i="2"/>
  <c r="AY170" i="2"/>
  <c r="AX170" i="2"/>
  <c r="AW170" i="2"/>
  <c r="AV170" i="2"/>
  <c r="AU170" i="2"/>
  <c r="AT170" i="2"/>
  <c r="AS170" i="2"/>
  <c r="AR170" i="2"/>
  <c r="AQ170" i="2"/>
  <c r="AP170" i="2"/>
  <c r="AO170" i="2"/>
  <c r="AN170" i="2"/>
  <c r="AM170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F169" i="2"/>
  <c r="BE169" i="2"/>
  <c r="BD169" i="2"/>
  <c r="BC169" i="2"/>
  <c r="BB169" i="2"/>
  <c r="BA169" i="2"/>
  <c r="AZ169" i="2"/>
  <c r="AY169" i="2"/>
  <c r="AX169" i="2"/>
  <c r="AW169" i="2"/>
  <c r="AV169" i="2"/>
  <c r="AU169" i="2"/>
  <c r="AT169" i="2"/>
  <c r="AS169" i="2"/>
  <c r="AR169" i="2"/>
  <c r="AQ169" i="2"/>
  <c r="AP169" i="2"/>
  <c r="AO169" i="2"/>
  <c r="AN169" i="2"/>
  <c r="AM169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F168" i="2"/>
  <c r="BE168" i="2"/>
  <c r="BD168" i="2"/>
  <c r="BC168" i="2"/>
  <c r="BB168" i="2"/>
  <c r="BA168" i="2"/>
  <c r="AZ168" i="2"/>
  <c r="AY168" i="2"/>
  <c r="AX168" i="2"/>
  <c r="AW168" i="2"/>
  <c r="AV168" i="2"/>
  <c r="AU168" i="2"/>
  <c r="AT168" i="2"/>
  <c r="AS168" i="2"/>
  <c r="AR168" i="2"/>
  <c r="AQ168" i="2"/>
  <c r="AP168" i="2"/>
  <c r="AO168" i="2"/>
  <c r="AN168" i="2"/>
  <c r="AM168" i="2"/>
  <c r="AL168" i="2"/>
  <c r="AK168" i="2"/>
  <c r="AJ168" i="2"/>
  <c r="AI168" i="2"/>
  <c r="AH168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F167" i="2"/>
  <c r="BE167" i="2"/>
  <c r="BD167" i="2"/>
  <c r="BC167" i="2"/>
  <c r="BB167" i="2"/>
  <c r="BA167" i="2"/>
  <c r="AZ167" i="2"/>
  <c r="AY167" i="2"/>
  <c r="AX167" i="2"/>
  <c r="AW167" i="2"/>
  <c r="AV167" i="2"/>
  <c r="AU167" i="2"/>
  <c r="AT167" i="2"/>
  <c r="AS167" i="2"/>
  <c r="AR167" i="2"/>
  <c r="AQ167" i="2"/>
  <c r="AP167" i="2"/>
  <c r="AO167" i="2"/>
  <c r="AN167" i="2"/>
  <c r="AM167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F166" i="2"/>
  <c r="BE166" i="2"/>
  <c r="BD166" i="2"/>
  <c r="BC166" i="2"/>
  <c r="BB166" i="2"/>
  <c r="BA166" i="2"/>
  <c r="AZ166" i="2"/>
  <c r="AY166" i="2"/>
  <c r="AX166" i="2"/>
  <c r="AW166" i="2"/>
  <c r="AV166" i="2"/>
  <c r="AU166" i="2"/>
  <c r="AT166" i="2"/>
  <c r="AS166" i="2"/>
  <c r="AR166" i="2"/>
  <c r="AQ166" i="2"/>
  <c r="AP166" i="2"/>
  <c r="AO166" i="2"/>
  <c r="AN166" i="2"/>
  <c r="AM166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F165" i="2"/>
  <c r="BE165" i="2"/>
  <c r="BD165" i="2"/>
  <c r="BC165" i="2"/>
  <c r="BB165" i="2"/>
  <c r="BA165" i="2"/>
  <c r="AZ165" i="2"/>
  <c r="AY165" i="2"/>
  <c r="AX165" i="2"/>
  <c r="AW165" i="2"/>
  <c r="AV165" i="2"/>
  <c r="AU165" i="2"/>
  <c r="AT165" i="2"/>
  <c r="AS165" i="2"/>
  <c r="AR165" i="2"/>
  <c r="AQ165" i="2"/>
  <c r="AP165" i="2"/>
  <c r="AO165" i="2"/>
  <c r="AN165" i="2"/>
  <c r="AM165" i="2"/>
  <c r="AL165" i="2"/>
  <c r="AK165" i="2"/>
  <c r="AJ165" i="2"/>
  <c r="AI165" i="2"/>
  <c r="AH165" i="2"/>
  <c r="AG165" i="2"/>
  <c r="AF165" i="2"/>
  <c r="AE165" i="2"/>
  <c r="AD165" i="2"/>
  <c r="AC165" i="2"/>
  <c r="AB165" i="2"/>
  <c r="AA165" i="2"/>
  <c r="Z165" i="2"/>
  <c r="Y165" i="2"/>
  <c r="X165" i="2"/>
  <c r="W165" i="2"/>
  <c r="V165" i="2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F164" i="2"/>
  <c r="BE164" i="2"/>
  <c r="BD164" i="2"/>
  <c r="BC164" i="2"/>
  <c r="BB164" i="2"/>
  <c r="BA164" i="2"/>
  <c r="AZ164" i="2"/>
  <c r="AY164" i="2"/>
  <c r="AX164" i="2"/>
  <c r="AW164" i="2"/>
  <c r="AV164" i="2"/>
  <c r="AU164" i="2"/>
  <c r="AT164" i="2"/>
  <c r="AS164" i="2"/>
  <c r="AR164" i="2"/>
  <c r="AQ164" i="2"/>
  <c r="AP164" i="2"/>
  <c r="AO164" i="2"/>
  <c r="AN164" i="2"/>
  <c r="AM164" i="2"/>
  <c r="AL164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F143" i="2"/>
  <c r="BE143" i="2"/>
  <c r="BD143" i="2"/>
  <c r="BC143" i="2"/>
  <c r="BB143" i="2"/>
  <c r="BA143" i="2"/>
  <c r="AZ143" i="2"/>
  <c r="AY143" i="2"/>
  <c r="AX143" i="2"/>
  <c r="AW143" i="2"/>
  <c r="AV143" i="2"/>
  <c r="AU143" i="2"/>
  <c r="AT143" i="2"/>
  <c r="AS143" i="2"/>
  <c r="AR143" i="2"/>
  <c r="AQ143" i="2"/>
  <c r="AP143" i="2"/>
  <c r="AO143" i="2"/>
  <c r="AN143" i="2"/>
  <c r="AM143" i="2"/>
  <c r="AL143" i="2"/>
  <c r="AK143" i="2"/>
  <c r="AJ143" i="2"/>
  <c r="AI143" i="2"/>
  <c r="AH143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F142" i="2"/>
  <c r="BE142" i="2"/>
  <c r="BD142" i="2"/>
  <c r="BC142" i="2"/>
  <c r="BB142" i="2"/>
  <c r="BA142" i="2"/>
  <c r="AZ142" i="2"/>
  <c r="AY142" i="2"/>
  <c r="AX142" i="2"/>
  <c r="AW142" i="2"/>
  <c r="AV142" i="2"/>
  <c r="AU142" i="2"/>
  <c r="AT142" i="2"/>
  <c r="AS142" i="2"/>
  <c r="AR142" i="2"/>
  <c r="AQ142" i="2"/>
  <c r="AP142" i="2"/>
  <c r="AO142" i="2"/>
  <c r="AN142" i="2"/>
  <c r="AM142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F141" i="2"/>
  <c r="BE141" i="2"/>
  <c r="BD141" i="2"/>
  <c r="BC141" i="2"/>
  <c r="BB141" i="2"/>
  <c r="BA141" i="2"/>
  <c r="AZ141" i="2"/>
  <c r="AY141" i="2"/>
  <c r="AX141" i="2"/>
  <c r="AW141" i="2"/>
  <c r="AV141" i="2"/>
  <c r="AU141" i="2"/>
  <c r="AT141" i="2"/>
  <c r="AS141" i="2"/>
  <c r="AR141" i="2"/>
  <c r="AQ141" i="2"/>
  <c r="AP141" i="2"/>
  <c r="AO141" i="2"/>
  <c r="AN141" i="2"/>
  <c r="AM141" i="2"/>
  <c r="AL141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F140" i="2"/>
  <c r="BE140" i="2"/>
  <c r="BD140" i="2"/>
  <c r="BC140" i="2"/>
  <c r="BB140" i="2"/>
  <c r="BA140" i="2"/>
  <c r="AZ140" i="2"/>
  <c r="AY140" i="2"/>
  <c r="AX140" i="2"/>
  <c r="AW140" i="2"/>
  <c r="AV140" i="2"/>
  <c r="AU140" i="2"/>
  <c r="AT140" i="2"/>
  <c r="AS140" i="2"/>
  <c r="AR140" i="2"/>
  <c r="AQ140" i="2"/>
  <c r="AP140" i="2"/>
  <c r="AO140" i="2"/>
  <c r="AN140" i="2"/>
  <c r="AM140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F139" i="2"/>
  <c r="BE139" i="2"/>
  <c r="BD139" i="2"/>
  <c r="BC139" i="2"/>
  <c r="BB139" i="2"/>
  <c r="BA139" i="2"/>
  <c r="AZ139" i="2"/>
  <c r="AY139" i="2"/>
  <c r="AX139" i="2"/>
  <c r="AW139" i="2"/>
  <c r="AV139" i="2"/>
  <c r="AU139" i="2"/>
  <c r="AT139" i="2"/>
  <c r="AS139" i="2"/>
  <c r="AR139" i="2"/>
  <c r="AQ139" i="2"/>
  <c r="AP139" i="2"/>
  <c r="AO139" i="2"/>
  <c r="AN139" i="2"/>
  <c r="AM139" i="2"/>
  <c r="AL139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F138" i="2"/>
  <c r="BE138" i="2"/>
  <c r="BD138" i="2"/>
  <c r="BC138" i="2"/>
  <c r="BB138" i="2"/>
  <c r="BA138" i="2"/>
  <c r="AZ138" i="2"/>
  <c r="AY138" i="2"/>
  <c r="AX138" i="2"/>
  <c r="AW138" i="2"/>
  <c r="AV138" i="2"/>
  <c r="AU138" i="2"/>
  <c r="AT138" i="2"/>
  <c r="AS138" i="2"/>
  <c r="AR138" i="2"/>
  <c r="AQ138" i="2"/>
  <c r="AP138" i="2"/>
  <c r="AO138" i="2"/>
  <c r="AN138" i="2"/>
  <c r="AM138" i="2"/>
  <c r="AL138" i="2"/>
  <c r="AK138" i="2"/>
  <c r="AJ138" i="2"/>
  <c r="AI138" i="2"/>
  <c r="AH138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F137" i="2"/>
  <c r="BE137" i="2"/>
  <c r="BD137" i="2"/>
  <c r="BC137" i="2"/>
  <c r="BB137" i="2"/>
  <c r="BA137" i="2"/>
  <c r="AZ137" i="2"/>
  <c r="AY137" i="2"/>
  <c r="AX137" i="2"/>
  <c r="AW137" i="2"/>
  <c r="AV137" i="2"/>
  <c r="AU137" i="2"/>
  <c r="AT137" i="2"/>
  <c r="AS137" i="2"/>
  <c r="AR137" i="2"/>
  <c r="AQ137" i="2"/>
  <c r="AP137" i="2"/>
  <c r="AO137" i="2"/>
  <c r="AN137" i="2"/>
  <c r="AM137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F136" i="2"/>
  <c r="BE136" i="2"/>
  <c r="BD136" i="2"/>
  <c r="BC136" i="2"/>
  <c r="BB136" i="2"/>
  <c r="BA136" i="2"/>
  <c r="AZ136" i="2"/>
  <c r="AY136" i="2"/>
  <c r="AX136" i="2"/>
  <c r="AW136" i="2"/>
  <c r="AV136" i="2"/>
  <c r="AU136" i="2"/>
  <c r="AT136" i="2"/>
  <c r="AS136" i="2"/>
  <c r="AR136" i="2"/>
  <c r="AQ136" i="2"/>
  <c r="AP136" i="2"/>
  <c r="AO136" i="2"/>
  <c r="AN136" i="2"/>
  <c r="AM136" i="2"/>
  <c r="AL136" i="2"/>
  <c r="AK136" i="2"/>
  <c r="AJ136" i="2"/>
  <c r="AI136" i="2"/>
  <c r="AH136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F132" i="2"/>
  <c r="BE132" i="2"/>
  <c r="BD132" i="2"/>
  <c r="BC132" i="2"/>
  <c r="BB132" i="2"/>
  <c r="BA132" i="2"/>
  <c r="AZ132" i="2"/>
  <c r="AY132" i="2"/>
  <c r="AX132" i="2"/>
  <c r="AW132" i="2"/>
  <c r="AV132" i="2"/>
  <c r="AU132" i="2"/>
  <c r="AT132" i="2"/>
  <c r="AS132" i="2"/>
  <c r="AR132" i="2"/>
  <c r="AQ132" i="2"/>
  <c r="AP132" i="2"/>
  <c r="AO132" i="2"/>
  <c r="AN132" i="2"/>
  <c r="AM132" i="2"/>
  <c r="AL132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F131" i="2"/>
  <c r="BE131" i="2"/>
  <c r="BD131" i="2"/>
  <c r="BC131" i="2"/>
  <c r="BB131" i="2"/>
  <c r="BA131" i="2"/>
  <c r="AZ131" i="2"/>
  <c r="AY131" i="2"/>
  <c r="AX131" i="2"/>
  <c r="AW131" i="2"/>
  <c r="AV131" i="2"/>
  <c r="AU131" i="2"/>
  <c r="AT131" i="2"/>
  <c r="AS131" i="2"/>
  <c r="AR131" i="2"/>
  <c r="AQ131" i="2"/>
  <c r="AP131" i="2"/>
  <c r="AO131" i="2"/>
  <c r="AN131" i="2"/>
  <c r="AM131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F130" i="2"/>
  <c r="BE130" i="2"/>
  <c r="BD130" i="2"/>
  <c r="BC130" i="2"/>
  <c r="BB130" i="2"/>
  <c r="BA130" i="2"/>
  <c r="AZ130" i="2"/>
  <c r="AY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F129" i="2"/>
  <c r="BE129" i="2"/>
  <c r="BD129" i="2"/>
  <c r="BC129" i="2"/>
  <c r="BB129" i="2"/>
  <c r="BA129" i="2"/>
  <c r="AZ129" i="2"/>
  <c r="AY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F128" i="2"/>
  <c r="BE128" i="2"/>
  <c r="BD128" i="2"/>
  <c r="BC128" i="2"/>
  <c r="BB128" i="2"/>
  <c r="BA128" i="2"/>
  <c r="AZ128" i="2"/>
  <c r="AY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F127" i="2"/>
  <c r="BE127" i="2"/>
  <c r="BD127" i="2"/>
  <c r="BC127" i="2"/>
  <c r="BB127" i="2"/>
  <c r="BA127" i="2"/>
  <c r="AZ127" i="2"/>
  <c r="AY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F126" i="2"/>
  <c r="BE126" i="2"/>
  <c r="BD126" i="2"/>
  <c r="BC126" i="2"/>
  <c r="BB126" i="2"/>
  <c r="BA126" i="2"/>
  <c r="AZ126" i="2"/>
  <c r="AY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F125" i="2"/>
  <c r="BE125" i="2"/>
  <c r="BD125" i="2"/>
  <c r="BC125" i="2"/>
  <c r="BB125" i="2"/>
  <c r="BA125" i="2"/>
  <c r="AZ125" i="2"/>
  <c r="AY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K125" i="2"/>
  <c r="AJ125" i="2"/>
  <c r="AI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F416" i="2"/>
  <c r="BE416" i="2"/>
  <c r="BD416" i="2"/>
  <c r="BC416" i="2"/>
  <c r="BB416" i="2"/>
  <c r="BA416" i="2"/>
  <c r="AZ416" i="2"/>
  <c r="AY416" i="2"/>
  <c r="AX416" i="2"/>
  <c r="AW416" i="2"/>
  <c r="AV416" i="2"/>
  <c r="AU416" i="2"/>
  <c r="AT416" i="2"/>
  <c r="AS416" i="2"/>
  <c r="AR416" i="2"/>
  <c r="AQ416" i="2"/>
  <c r="AP416" i="2"/>
  <c r="AO416" i="2"/>
  <c r="AN416" i="2"/>
  <c r="AM416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T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BF415" i="2"/>
  <c r="BE415" i="2"/>
  <c r="BD415" i="2"/>
  <c r="BC415" i="2"/>
  <c r="BB415" i="2"/>
  <c r="BA415" i="2"/>
  <c r="AZ415" i="2"/>
  <c r="AY415" i="2"/>
  <c r="AX415" i="2"/>
  <c r="AW415" i="2"/>
  <c r="AV415" i="2"/>
  <c r="AU415" i="2"/>
  <c r="AT415" i="2"/>
  <c r="AS415" i="2"/>
  <c r="AR415" i="2"/>
  <c r="AQ415" i="2"/>
  <c r="AP415" i="2"/>
  <c r="AO415" i="2"/>
  <c r="AN415" i="2"/>
  <c r="AM415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T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BF414" i="2"/>
  <c r="BE414" i="2"/>
  <c r="BD414" i="2"/>
  <c r="BC414" i="2"/>
  <c r="BB414" i="2"/>
  <c r="BA414" i="2"/>
  <c r="AZ414" i="2"/>
  <c r="AY414" i="2"/>
  <c r="AX414" i="2"/>
  <c r="AW414" i="2"/>
  <c r="AV414" i="2"/>
  <c r="AU414" i="2"/>
  <c r="AT414" i="2"/>
  <c r="AS414" i="2"/>
  <c r="AR414" i="2"/>
  <c r="AQ414" i="2"/>
  <c r="AP414" i="2"/>
  <c r="AO414" i="2"/>
  <c r="AN414" i="2"/>
  <c r="AM414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T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BF413" i="2"/>
  <c r="BE413" i="2"/>
  <c r="BD413" i="2"/>
  <c r="BC413" i="2"/>
  <c r="BB413" i="2"/>
  <c r="BA413" i="2"/>
  <c r="AZ413" i="2"/>
  <c r="AY413" i="2"/>
  <c r="AX413" i="2"/>
  <c r="AW413" i="2"/>
  <c r="AV413" i="2"/>
  <c r="AU413" i="2"/>
  <c r="AT413" i="2"/>
  <c r="AS413" i="2"/>
  <c r="AR413" i="2"/>
  <c r="AQ413" i="2"/>
  <c r="AP413" i="2"/>
  <c r="AO413" i="2"/>
  <c r="AN413" i="2"/>
  <c r="AM413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T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BF412" i="2"/>
  <c r="BE412" i="2"/>
  <c r="BD412" i="2"/>
  <c r="BC412" i="2"/>
  <c r="BB412" i="2"/>
  <c r="BA412" i="2"/>
  <c r="AZ412" i="2"/>
  <c r="AY412" i="2"/>
  <c r="AX412" i="2"/>
  <c r="AW412" i="2"/>
  <c r="AV412" i="2"/>
  <c r="AU412" i="2"/>
  <c r="AT412" i="2"/>
  <c r="AS412" i="2"/>
  <c r="AR412" i="2"/>
  <c r="AQ412" i="2"/>
  <c r="AP412" i="2"/>
  <c r="AO412" i="2"/>
  <c r="AN412" i="2"/>
  <c r="AM412" i="2"/>
  <c r="AL412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T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BF411" i="2"/>
  <c r="BE411" i="2"/>
  <c r="BD411" i="2"/>
  <c r="BC411" i="2"/>
  <c r="BB411" i="2"/>
  <c r="BA411" i="2"/>
  <c r="AZ411" i="2"/>
  <c r="AY411" i="2"/>
  <c r="AX411" i="2"/>
  <c r="AW411" i="2"/>
  <c r="AV411" i="2"/>
  <c r="AU411" i="2"/>
  <c r="AT411" i="2"/>
  <c r="AS411" i="2"/>
  <c r="AR411" i="2"/>
  <c r="AQ411" i="2"/>
  <c r="AP411" i="2"/>
  <c r="AO411" i="2"/>
  <c r="AN411" i="2"/>
  <c r="AM411" i="2"/>
  <c r="AL411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T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BF410" i="2"/>
  <c r="BE410" i="2"/>
  <c r="BD410" i="2"/>
  <c r="BC410" i="2"/>
  <c r="BB410" i="2"/>
  <c r="BA410" i="2"/>
  <c r="AZ410" i="2"/>
  <c r="AY410" i="2"/>
  <c r="AX410" i="2"/>
  <c r="AW410" i="2"/>
  <c r="AV410" i="2"/>
  <c r="AU410" i="2"/>
  <c r="AT410" i="2"/>
  <c r="AS410" i="2"/>
  <c r="AR410" i="2"/>
  <c r="AQ410" i="2"/>
  <c r="AP410" i="2"/>
  <c r="AO410" i="2"/>
  <c r="AN410" i="2"/>
  <c r="AM410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Y410" i="2"/>
  <c r="X410" i="2"/>
  <c r="W410" i="2"/>
  <c r="V410" i="2"/>
  <c r="U410" i="2"/>
  <c r="T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BF409" i="2"/>
  <c r="BE409" i="2"/>
  <c r="BD409" i="2"/>
  <c r="BC409" i="2"/>
  <c r="BB409" i="2"/>
  <c r="BA409" i="2"/>
  <c r="AZ409" i="2"/>
  <c r="AY409" i="2"/>
  <c r="AX409" i="2"/>
  <c r="AW409" i="2"/>
  <c r="AV409" i="2"/>
  <c r="AU409" i="2"/>
  <c r="AT409" i="2"/>
  <c r="AS409" i="2"/>
  <c r="AR409" i="2"/>
  <c r="AQ409" i="2"/>
  <c r="AP409" i="2"/>
  <c r="AO409" i="2"/>
  <c r="AN409" i="2"/>
  <c r="AM409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T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BF408" i="2"/>
  <c r="BE408" i="2"/>
  <c r="BD408" i="2"/>
  <c r="BC408" i="2"/>
  <c r="BB408" i="2"/>
  <c r="BA408" i="2"/>
  <c r="AZ408" i="2"/>
  <c r="AY408" i="2"/>
  <c r="AX408" i="2"/>
  <c r="AW408" i="2"/>
  <c r="AV408" i="2"/>
  <c r="AU408" i="2"/>
  <c r="AT408" i="2"/>
  <c r="AS408" i="2"/>
  <c r="AR408" i="2"/>
  <c r="AQ408" i="2"/>
  <c r="AP408" i="2"/>
  <c r="AO408" i="2"/>
  <c r="AN408" i="2"/>
  <c r="AM408" i="2"/>
  <c r="AL408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T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BF407" i="2"/>
  <c r="BE407" i="2"/>
  <c r="BD407" i="2"/>
  <c r="BC407" i="2"/>
  <c r="BB407" i="2"/>
  <c r="BA407" i="2"/>
  <c r="AZ407" i="2"/>
  <c r="AY407" i="2"/>
  <c r="AX407" i="2"/>
  <c r="AW407" i="2"/>
  <c r="AV407" i="2"/>
  <c r="AU407" i="2"/>
  <c r="AT407" i="2"/>
  <c r="AS407" i="2"/>
  <c r="AR407" i="2"/>
  <c r="AQ407" i="2"/>
  <c r="AP407" i="2"/>
  <c r="AO407" i="2"/>
  <c r="AN407" i="2"/>
  <c r="AM407" i="2"/>
  <c r="AL407" i="2"/>
  <c r="AK407" i="2"/>
  <c r="AJ407" i="2"/>
  <c r="AI407" i="2"/>
  <c r="AH407" i="2"/>
  <c r="AG407" i="2"/>
  <c r="AF407" i="2"/>
  <c r="AE407" i="2"/>
  <c r="AD407" i="2"/>
  <c r="AC407" i="2"/>
  <c r="AB407" i="2"/>
  <c r="AA407" i="2"/>
  <c r="Z407" i="2"/>
  <c r="Y407" i="2"/>
  <c r="X407" i="2"/>
  <c r="W407" i="2"/>
  <c r="V407" i="2"/>
  <c r="U407" i="2"/>
  <c r="T407" i="2"/>
  <c r="S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BF406" i="2"/>
  <c r="BE406" i="2"/>
  <c r="BD406" i="2"/>
  <c r="BC406" i="2"/>
  <c r="BB406" i="2"/>
  <c r="BA406" i="2"/>
  <c r="AZ406" i="2"/>
  <c r="AY406" i="2"/>
  <c r="AX406" i="2"/>
  <c r="AW406" i="2"/>
  <c r="AV406" i="2"/>
  <c r="AU406" i="2"/>
  <c r="AT406" i="2"/>
  <c r="AS406" i="2"/>
  <c r="AR406" i="2"/>
  <c r="AQ406" i="2"/>
  <c r="AP406" i="2"/>
  <c r="AO406" i="2"/>
  <c r="AN406" i="2"/>
  <c r="AM406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T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BF405" i="2"/>
  <c r="BE405" i="2"/>
  <c r="BD405" i="2"/>
  <c r="BC405" i="2"/>
  <c r="BB405" i="2"/>
  <c r="BA405" i="2"/>
  <c r="AZ405" i="2"/>
  <c r="AY405" i="2"/>
  <c r="AX405" i="2"/>
  <c r="AW405" i="2"/>
  <c r="AV405" i="2"/>
  <c r="AU405" i="2"/>
  <c r="AT405" i="2"/>
  <c r="AS405" i="2"/>
  <c r="AR405" i="2"/>
  <c r="AQ405" i="2"/>
  <c r="AP405" i="2"/>
  <c r="AO405" i="2"/>
  <c r="AN405" i="2"/>
  <c r="AM405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T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BF404" i="2"/>
  <c r="BE404" i="2"/>
  <c r="BD404" i="2"/>
  <c r="BC404" i="2"/>
  <c r="BB404" i="2"/>
  <c r="BA404" i="2"/>
  <c r="AZ404" i="2"/>
  <c r="AY404" i="2"/>
  <c r="AX404" i="2"/>
  <c r="AW404" i="2"/>
  <c r="AV404" i="2"/>
  <c r="AU404" i="2"/>
  <c r="AT404" i="2"/>
  <c r="AS404" i="2"/>
  <c r="AR404" i="2"/>
  <c r="AQ404" i="2"/>
  <c r="AP404" i="2"/>
  <c r="AO404" i="2"/>
  <c r="AN404" i="2"/>
  <c r="AM404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T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BF403" i="2"/>
  <c r="BE403" i="2"/>
  <c r="BD403" i="2"/>
  <c r="BC403" i="2"/>
  <c r="BB403" i="2"/>
  <c r="BA403" i="2"/>
  <c r="AZ403" i="2"/>
  <c r="AY403" i="2"/>
  <c r="AX403" i="2"/>
  <c r="AW403" i="2"/>
  <c r="AV403" i="2"/>
  <c r="AU403" i="2"/>
  <c r="AT403" i="2"/>
  <c r="AS403" i="2"/>
  <c r="AR403" i="2"/>
  <c r="AQ403" i="2"/>
  <c r="AP403" i="2"/>
  <c r="AO403" i="2"/>
  <c r="AN403" i="2"/>
  <c r="AM403" i="2"/>
  <c r="AL403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T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BF402" i="2"/>
  <c r="BE402" i="2"/>
  <c r="BD402" i="2"/>
  <c r="BC402" i="2"/>
  <c r="BB402" i="2"/>
  <c r="BA402" i="2"/>
  <c r="AZ402" i="2"/>
  <c r="AY402" i="2"/>
  <c r="AX402" i="2"/>
  <c r="AW402" i="2"/>
  <c r="AV402" i="2"/>
  <c r="AU402" i="2"/>
  <c r="AT402" i="2"/>
  <c r="AS402" i="2"/>
  <c r="AR402" i="2"/>
  <c r="AQ402" i="2"/>
  <c r="AP402" i="2"/>
  <c r="AO402" i="2"/>
  <c r="AN402" i="2"/>
  <c r="AM402" i="2"/>
  <c r="AL402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T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BF401" i="2"/>
  <c r="BE401" i="2"/>
  <c r="BD401" i="2"/>
  <c r="BC401" i="2"/>
  <c r="BB401" i="2"/>
  <c r="BA401" i="2"/>
  <c r="AZ401" i="2"/>
  <c r="AY401" i="2"/>
  <c r="AX401" i="2"/>
  <c r="AW401" i="2"/>
  <c r="AV401" i="2"/>
  <c r="AU401" i="2"/>
  <c r="AT401" i="2"/>
  <c r="AS401" i="2"/>
  <c r="AR401" i="2"/>
  <c r="AQ401" i="2"/>
  <c r="AP401" i="2"/>
  <c r="AO401" i="2"/>
  <c r="AN401" i="2"/>
  <c r="AM401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T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BF400" i="2"/>
  <c r="BE400" i="2"/>
  <c r="BD400" i="2"/>
  <c r="BC400" i="2"/>
  <c r="BB400" i="2"/>
  <c r="BA400" i="2"/>
  <c r="AZ400" i="2"/>
  <c r="AY400" i="2"/>
  <c r="AX400" i="2"/>
  <c r="AW400" i="2"/>
  <c r="AV400" i="2"/>
  <c r="AU400" i="2"/>
  <c r="AT400" i="2"/>
  <c r="AS400" i="2"/>
  <c r="AR400" i="2"/>
  <c r="AQ400" i="2"/>
  <c r="AP400" i="2"/>
  <c r="AO400" i="2"/>
  <c r="AN400" i="2"/>
  <c r="AM400" i="2"/>
  <c r="AL400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T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BF399" i="2"/>
  <c r="BE399" i="2"/>
  <c r="BD399" i="2"/>
  <c r="BC399" i="2"/>
  <c r="BB399" i="2"/>
  <c r="BA399" i="2"/>
  <c r="AZ399" i="2"/>
  <c r="AY399" i="2"/>
  <c r="AX399" i="2"/>
  <c r="AW399" i="2"/>
  <c r="AV399" i="2"/>
  <c r="AU399" i="2"/>
  <c r="AT399" i="2"/>
  <c r="AS399" i="2"/>
  <c r="AR399" i="2"/>
  <c r="AQ399" i="2"/>
  <c r="AP399" i="2"/>
  <c r="AO399" i="2"/>
  <c r="AN399" i="2"/>
  <c r="AM399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T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BF398" i="2"/>
  <c r="BE398" i="2"/>
  <c r="BD398" i="2"/>
  <c r="BC398" i="2"/>
  <c r="BB398" i="2"/>
  <c r="BA398" i="2"/>
  <c r="AZ398" i="2"/>
  <c r="AY398" i="2"/>
  <c r="AX398" i="2"/>
  <c r="AW398" i="2"/>
  <c r="AV398" i="2"/>
  <c r="AU398" i="2"/>
  <c r="AT398" i="2"/>
  <c r="AS398" i="2"/>
  <c r="AR398" i="2"/>
  <c r="AQ398" i="2"/>
  <c r="AP398" i="2"/>
  <c r="AO398" i="2"/>
  <c r="AN398" i="2"/>
  <c r="AM398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T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BF397" i="2"/>
  <c r="BE397" i="2"/>
  <c r="BD397" i="2"/>
  <c r="BC397" i="2"/>
  <c r="BB397" i="2"/>
  <c r="BA397" i="2"/>
  <c r="AZ397" i="2"/>
  <c r="AY397" i="2"/>
  <c r="AX397" i="2"/>
  <c r="AW397" i="2"/>
  <c r="AV397" i="2"/>
  <c r="AU397" i="2"/>
  <c r="AT397" i="2"/>
  <c r="AS397" i="2"/>
  <c r="AR397" i="2"/>
  <c r="AQ397" i="2"/>
  <c r="AP397" i="2"/>
  <c r="AO397" i="2"/>
  <c r="AN397" i="2"/>
  <c r="AM397" i="2"/>
  <c r="AL397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T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BF396" i="2"/>
  <c r="BE396" i="2"/>
  <c r="BD396" i="2"/>
  <c r="BC396" i="2"/>
  <c r="BB396" i="2"/>
  <c r="BA396" i="2"/>
  <c r="AZ396" i="2"/>
  <c r="AY396" i="2"/>
  <c r="AX396" i="2"/>
  <c r="AW396" i="2"/>
  <c r="AV396" i="2"/>
  <c r="AU396" i="2"/>
  <c r="AT396" i="2"/>
  <c r="AS396" i="2"/>
  <c r="AR396" i="2"/>
  <c r="AQ396" i="2"/>
  <c r="AP396" i="2"/>
  <c r="AO396" i="2"/>
  <c r="AN396" i="2"/>
  <c r="AM396" i="2"/>
  <c r="AL396" i="2"/>
  <c r="AK396" i="2"/>
  <c r="AJ396" i="2"/>
  <c r="AI396" i="2"/>
  <c r="AH396" i="2"/>
  <c r="AG396" i="2"/>
  <c r="AF396" i="2"/>
  <c r="AE396" i="2"/>
  <c r="AD396" i="2"/>
  <c r="AC396" i="2"/>
  <c r="AB396" i="2"/>
  <c r="AA396" i="2"/>
  <c r="Z396" i="2"/>
  <c r="Y396" i="2"/>
  <c r="X396" i="2"/>
  <c r="W396" i="2"/>
  <c r="V396" i="2"/>
  <c r="U396" i="2"/>
  <c r="T396" i="2"/>
  <c r="S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BF395" i="2"/>
  <c r="BE395" i="2"/>
  <c r="BD395" i="2"/>
  <c r="BC395" i="2"/>
  <c r="BB395" i="2"/>
  <c r="BA395" i="2"/>
  <c r="AZ395" i="2"/>
  <c r="AY395" i="2"/>
  <c r="AX395" i="2"/>
  <c r="AW395" i="2"/>
  <c r="AV395" i="2"/>
  <c r="AU395" i="2"/>
  <c r="AT395" i="2"/>
  <c r="AS395" i="2"/>
  <c r="AR395" i="2"/>
  <c r="AQ395" i="2"/>
  <c r="AP395" i="2"/>
  <c r="AO395" i="2"/>
  <c r="AN395" i="2"/>
  <c r="AM395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T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BF394" i="2"/>
  <c r="BE394" i="2"/>
  <c r="BD394" i="2"/>
  <c r="BC394" i="2"/>
  <c r="BB394" i="2"/>
  <c r="BA394" i="2"/>
  <c r="AZ394" i="2"/>
  <c r="AY394" i="2"/>
  <c r="AX394" i="2"/>
  <c r="AW394" i="2"/>
  <c r="AV394" i="2"/>
  <c r="AU394" i="2"/>
  <c r="AT394" i="2"/>
  <c r="AS394" i="2"/>
  <c r="AR394" i="2"/>
  <c r="AQ394" i="2"/>
  <c r="AP394" i="2"/>
  <c r="AO394" i="2"/>
  <c r="AN394" i="2"/>
  <c r="AM394" i="2"/>
  <c r="AL394" i="2"/>
  <c r="AK394" i="2"/>
  <c r="AJ394" i="2"/>
  <c r="AI394" i="2"/>
  <c r="AH394" i="2"/>
  <c r="AG394" i="2"/>
  <c r="AF394" i="2"/>
  <c r="AE394" i="2"/>
  <c r="AD394" i="2"/>
  <c r="AC394" i="2"/>
  <c r="AB394" i="2"/>
  <c r="AA394" i="2"/>
  <c r="Z394" i="2"/>
  <c r="Y394" i="2"/>
  <c r="X394" i="2"/>
  <c r="W394" i="2"/>
  <c r="V394" i="2"/>
  <c r="U394" i="2"/>
  <c r="T394" i="2"/>
  <c r="S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BF393" i="2"/>
  <c r="BE393" i="2"/>
  <c r="BD393" i="2"/>
  <c r="BC393" i="2"/>
  <c r="BB393" i="2"/>
  <c r="BA393" i="2"/>
  <c r="AZ393" i="2"/>
  <c r="AY393" i="2"/>
  <c r="AX393" i="2"/>
  <c r="AW393" i="2"/>
  <c r="AV393" i="2"/>
  <c r="AU393" i="2"/>
  <c r="AT393" i="2"/>
  <c r="AS393" i="2"/>
  <c r="AR393" i="2"/>
  <c r="AQ393" i="2"/>
  <c r="AP393" i="2"/>
  <c r="AO393" i="2"/>
  <c r="AN393" i="2"/>
  <c r="AM393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T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BF392" i="2"/>
  <c r="BE392" i="2"/>
  <c r="BD392" i="2"/>
  <c r="BC392" i="2"/>
  <c r="BB392" i="2"/>
  <c r="BA392" i="2"/>
  <c r="AZ392" i="2"/>
  <c r="AY392" i="2"/>
  <c r="AX392" i="2"/>
  <c r="AW392" i="2"/>
  <c r="AV392" i="2"/>
  <c r="AU392" i="2"/>
  <c r="AT392" i="2"/>
  <c r="AS392" i="2"/>
  <c r="AR392" i="2"/>
  <c r="AQ392" i="2"/>
  <c r="AP392" i="2"/>
  <c r="AO392" i="2"/>
  <c r="AN392" i="2"/>
  <c r="AM392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T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BF391" i="2"/>
  <c r="BE391" i="2"/>
  <c r="BD391" i="2"/>
  <c r="BC391" i="2"/>
  <c r="BB391" i="2"/>
  <c r="BA391" i="2"/>
  <c r="AZ391" i="2"/>
  <c r="AY391" i="2"/>
  <c r="AX391" i="2"/>
  <c r="AW391" i="2"/>
  <c r="AV391" i="2"/>
  <c r="AU391" i="2"/>
  <c r="AT391" i="2"/>
  <c r="AS391" i="2"/>
  <c r="AR391" i="2"/>
  <c r="AQ391" i="2"/>
  <c r="AP391" i="2"/>
  <c r="AO391" i="2"/>
  <c r="AN391" i="2"/>
  <c r="AM391" i="2"/>
  <c r="AL391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T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BF390" i="2"/>
  <c r="BE390" i="2"/>
  <c r="BD390" i="2"/>
  <c r="BC390" i="2"/>
  <c r="BB390" i="2"/>
  <c r="BA390" i="2"/>
  <c r="AZ390" i="2"/>
  <c r="AY390" i="2"/>
  <c r="AX390" i="2"/>
  <c r="AW390" i="2"/>
  <c r="AV390" i="2"/>
  <c r="AU390" i="2"/>
  <c r="AT390" i="2"/>
  <c r="AS390" i="2"/>
  <c r="AR390" i="2"/>
  <c r="AQ390" i="2"/>
  <c r="AP390" i="2"/>
  <c r="AO390" i="2"/>
  <c r="AN390" i="2"/>
  <c r="AM390" i="2"/>
  <c r="AL390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T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BF389" i="2"/>
  <c r="BE389" i="2"/>
  <c r="BD389" i="2"/>
  <c r="BC389" i="2"/>
  <c r="BB389" i="2"/>
  <c r="BA389" i="2"/>
  <c r="AZ389" i="2"/>
  <c r="AY389" i="2"/>
  <c r="AX389" i="2"/>
  <c r="AW389" i="2"/>
  <c r="AV389" i="2"/>
  <c r="AU389" i="2"/>
  <c r="AT389" i="2"/>
  <c r="AS389" i="2"/>
  <c r="AR389" i="2"/>
  <c r="AQ389" i="2"/>
  <c r="AP389" i="2"/>
  <c r="AO389" i="2"/>
  <c r="AN389" i="2"/>
  <c r="AM389" i="2"/>
  <c r="AL389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T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BF388" i="2"/>
  <c r="BE388" i="2"/>
  <c r="BD388" i="2"/>
  <c r="BC388" i="2"/>
  <c r="BB388" i="2"/>
  <c r="BA388" i="2"/>
  <c r="AZ388" i="2"/>
  <c r="AY388" i="2"/>
  <c r="AX388" i="2"/>
  <c r="AW388" i="2"/>
  <c r="AV388" i="2"/>
  <c r="AU388" i="2"/>
  <c r="AT388" i="2"/>
  <c r="AS388" i="2"/>
  <c r="AR388" i="2"/>
  <c r="AQ388" i="2"/>
  <c r="AP388" i="2"/>
  <c r="AO388" i="2"/>
  <c r="AN388" i="2"/>
  <c r="AM388" i="2"/>
  <c r="AL388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T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F503" i="2"/>
  <c r="BE503" i="2"/>
  <c r="BD503" i="2"/>
  <c r="BC503" i="2"/>
  <c r="BB503" i="2"/>
  <c r="BA503" i="2"/>
  <c r="AZ503" i="2"/>
  <c r="AY503" i="2"/>
  <c r="AX503" i="2"/>
  <c r="AW503" i="2"/>
  <c r="AV503" i="2"/>
  <c r="AU503" i="2"/>
  <c r="AT503" i="2"/>
  <c r="AS503" i="2"/>
  <c r="AR503" i="2"/>
  <c r="AQ503" i="2"/>
  <c r="AP503" i="2"/>
  <c r="AO503" i="2"/>
  <c r="AN503" i="2"/>
  <c r="AM503" i="2"/>
  <c r="AL503" i="2"/>
  <c r="AK503" i="2"/>
  <c r="AJ503" i="2"/>
  <c r="AI503" i="2"/>
  <c r="AH503" i="2"/>
  <c r="AG503" i="2"/>
  <c r="AF503" i="2"/>
  <c r="AE503" i="2"/>
  <c r="AD503" i="2"/>
  <c r="AC503" i="2"/>
  <c r="AB503" i="2"/>
  <c r="AA503" i="2"/>
  <c r="Z503" i="2"/>
  <c r="Y503" i="2"/>
  <c r="X503" i="2"/>
  <c r="W503" i="2"/>
  <c r="V503" i="2"/>
  <c r="U503" i="2"/>
  <c r="T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BF502" i="2"/>
  <c r="BE502" i="2"/>
  <c r="BD502" i="2"/>
  <c r="BC502" i="2"/>
  <c r="BB502" i="2"/>
  <c r="BA502" i="2"/>
  <c r="AZ502" i="2"/>
  <c r="AY502" i="2"/>
  <c r="AX502" i="2"/>
  <c r="AW502" i="2"/>
  <c r="AV502" i="2"/>
  <c r="AU502" i="2"/>
  <c r="AT502" i="2"/>
  <c r="AS502" i="2"/>
  <c r="AR502" i="2"/>
  <c r="AQ502" i="2"/>
  <c r="AP502" i="2"/>
  <c r="AO502" i="2"/>
  <c r="AN502" i="2"/>
  <c r="AM502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T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BF501" i="2"/>
  <c r="BE501" i="2"/>
  <c r="BD501" i="2"/>
  <c r="BC501" i="2"/>
  <c r="BB501" i="2"/>
  <c r="BA501" i="2"/>
  <c r="AZ501" i="2"/>
  <c r="AY501" i="2"/>
  <c r="AX501" i="2"/>
  <c r="AW501" i="2"/>
  <c r="AV501" i="2"/>
  <c r="AU501" i="2"/>
  <c r="AT501" i="2"/>
  <c r="AS501" i="2"/>
  <c r="AR501" i="2"/>
  <c r="AQ501" i="2"/>
  <c r="AP501" i="2"/>
  <c r="AO501" i="2"/>
  <c r="AN501" i="2"/>
  <c r="AM501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T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BF499" i="2"/>
  <c r="BE499" i="2"/>
  <c r="BD499" i="2"/>
  <c r="BC499" i="2"/>
  <c r="BB499" i="2"/>
  <c r="BA499" i="2"/>
  <c r="AZ499" i="2"/>
  <c r="AY499" i="2"/>
  <c r="AX499" i="2"/>
  <c r="AW499" i="2"/>
  <c r="AV499" i="2"/>
  <c r="AU499" i="2"/>
  <c r="AT499" i="2"/>
  <c r="AS499" i="2"/>
  <c r="AR499" i="2"/>
  <c r="AQ499" i="2"/>
  <c r="AP499" i="2"/>
  <c r="AO499" i="2"/>
  <c r="AN499" i="2"/>
  <c r="AM499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T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BF498" i="2"/>
  <c r="BE498" i="2"/>
  <c r="BD498" i="2"/>
  <c r="BC498" i="2"/>
  <c r="BB498" i="2"/>
  <c r="BA498" i="2"/>
  <c r="AZ498" i="2"/>
  <c r="AY498" i="2"/>
  <c r="AX498" i="2"/>
  <c r="AW498" i="2"/>
  <c r="AV498" i="2"/>
  <c r="AU498" i="2"/>
  <c r="AT498" i="2"/>
  <c r="AS498" i="2"/>
  <c r="AR498" i="2"/>
  <c r="AQ498" i="2"/>
  <c r="AP498" i="2"/>
  <c r="AO498" i="2"/>
  <c r="AN498" i="2"/>
  <c r="AM498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T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BF497" i="2"/>
  <c r="BE497" i="2"/>
  <c r="BD497" i="2"/>
  <c r="BC497" i="2"/>
  <c r="BB497" i="2"/>
  <c r="BA497" i="2"/>
  <c r="AZ497" i="2"/>
  <c r="AY497" i="2"/>
  <c r="AX497" i="2"/>
  <c r="AW497" i="2"/>
  <c r="AV497" i="2"/>
  <c r="AU497" i="2"/>
  <c r="AT497" i="2"/>
  <c r="AS497" i="2"/>
  <c r="AR497" i="2"/>
  <c r="AQ497" i="2"/>
  <c r="AP497" i="2"/>
  <c r="AO497" i="2"/>
  <c r="AN497" i="2"/>
  <c r="AM497" i="2"/>
  <c r="AL497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T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BF496" i="2"/>
  <c r="BE496" i="2"/>
  <c r="BD496" i="2"/>
  <c r="BC496" i="2"/>
  <c r="BB496" i="2"/>
  <c r="BA496" i="2"/>
  <c r="AZ496" i="2"/>
  <c r="AY496" i="2"/>
  <c r="AX496" i="2"/>
  <c r="AW496" i="2"/>
  <c r="AV496" i="2"/>
  <c r="AU496" i="2"/>
  <c r="AT496" i="2"/>
  <c r="AS496" i="2"/>
  <c r="AR496" i="2"/>
  <c r="AQ496" i="2"/>
  <c r="AP496" i="2"/>
  <c r="AO496" i="2"/>
  <c r="AN496" i="2"/>
  <c r="AM496" i="2"/>
  <c r="AL496" i="2"/>
  <c r="AK496" i="2"/>
  <c r="AJ496" i="2"/>
  <c r="AI496" i="2"/>
  <c r="AH496" i="2"/>
  <c r="AG496" i="2"/>
  <c r="AF496" i="2"/>
  <c r="AE496" i="2"/>
  <c r="AD496" i="2"/>
  <c r="AC496" i="2"/>
  <c r="AB496" i="2"/>
  <c r="AA496" i="2"/>
  <c r="Z496" i="2"/>
  <c r="Y496" i="2"/>
  <c r="X496" i="2"/>
  <c r="W496" i="2"/>
  <c r="V496" i="2"/>
  <c r="U496" i="2"/>
  <c r="T496" i="2"/>
  <c r="S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BF495" i="2"/>
  <c r="BE495" i="2"/>
  <c r="BD495" i="2"/>
  <c r="BC495" i="2"/>
  <c r="BB495" i="2"/>
  <c r="BA495" i="2"/>
  <c r="AZ495" i="2"/>
  <c r="AY495" i="2"/>
  <c r="AX495" i="2"/>
  <c r="AW495" i="2"/>
  <c r="AV495" i="2"/>
  <c r="AU495" i="2"/>
  <c r="AT495" i="2"/>
  <c r="AS495" i="2"/>
  <c r="AR495" i="2"/>
  <c r="AQ495" i="2"/>
  <c r="AP495" i="2"/>
  <c r="AO495" i="2"/>
  <c r="AN495" i="2"/>
  <c r="AM495" i="2"/>
  <c r="AL495" i="2"/>
  <c r="AK495" i="2"/>
  <c r="AJ495" i="2"/>
  <c r="AI495" i="2"/>
  <c r="AH495" i="2"/>
  <c r="AG495" i="2"/>
  <c r="AF495" i="2"/>
  <c r="AE495" i="2"/>
  <c r="AD495" i="2"/>
  <c r="AC495" i="2"/>
  <c r="AB495" i="2"/>
  <c r="AA495" i="2"/>
  <c r="Z495" i="2"/>
  <c r="Y495" i="2"/>
  <c r="X495" i="2"/>
  <c r="W495" i="2"/>
  <c r="V495" i="2"/>
  <c r="U495" i="2"/>
  <c r="T495" i="2"/>
  <c r="S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BF493" i="2"/>
  <c r="BE493" i="2"/>
  <c r="BD493" i="2"/>
  <c r="BC493" i="2"/>
  <c r="BB493" i="2"/>
  <c r="BA493" i="2"/>
  <c r="AZ493" i="2"/>
  <c r="AY493" i="2"/>
  <c r="AX493" i="2"/>
  <c r="AW493" i="2"/>
  <c r="AV493" i="2"/>
  <c r="AU493" i="2"/>
  <c r="AT493" i="2"/>
  <c r="AS493" i="2"/>
  <c r="AR493" i="2"/>
  <c r="AQ493" i="2"/>
  <c r="AP493" i="2"/>
  <c r="AO493" i="2"/>
  <c r="AN493" i="2"/>
  <c r="AM493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T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BF492" i="2"/>
  <c r="BE492" i="2"/>
  <c r="BD492" i="2"/>
  <c r="BC492" i="2"/>
  <c r="BB492" i="2"/>
  <c r="BA492" i="2"/>
  <c r="AZ492" i="2"/>
  <c r="AY492" i="2"/>
  <c r="AX492" i="2"/>
  <c r="AW492" i="2"/>
  <c r="AV492" i="2"/>
  <c r="AU492" i="2"/>
  <c r="AT492" i="2"/>
  <c r="AS492" i="2"/>
  <c r="AR492" i="2"/>
  <c r="AQ492" i="2"/>
  <c r="AP492" i="2"/>
  <c r="AO492" i="2"/>
  <c r="AN492" i="2"/>
  <c r="AM492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T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BF490" i="2"/>
  <c r="BE490" i="2"/>
  <c r="BD490" i="2"/>
  <c r="BC490" i="2"/>
  <c r="BB490" i="2"/>
  <c r="BA490" i="2"/>
  <c r="AZ490" i="2"/>
  <c r="AY490" i="2"/>
  <c r="AX490" i="2"/>
  <c r="AW490" i="2"/>
  <c r="AV490" i="2"/>
  <c r="AU490" i="2"/>
  <c r="AT490" i="2"/>
  <c r="AS490" i="2"/>
  <c r="AR490" i="2"/>
  <c r="AQ490" i="2"/>
  <c r="AP490" i="2"/>
  <c r="AO490" i="2"/>
  <c r="AN490" i="2"/>
  <c r="AM490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T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BF489" i="2"/>
  <c r="BE489" i="2"/>
  <c r="BD489" i="2"/>
  <c r="BC489" i="2"/>
  <c r="BB489" i="2"/>
  <c r="BA489" i="2"/>
  <c r="AZ489" i="2"/>
  <c r="AY489" i="2"/>
  <c r="AX489" i="2"/>
  <c r="AW489" i="2"/>
  <c r="AV489" i="2"/>
  <c r="AU489" i="2"/>
  <c r="AT489" i="2"/>
  <c r="AS489" i="2"/>
  <c r="AR489" i="2"/>
  <c r="AQ489" i="2"/>
  <c r="AP489" i="2"/>
  <c r="AO489" i="2"/>
  <c r="AN489" i="2"/>
  <c r="AM489" i="2"/>
  <c r="AL489" i="2"/>
  <c r="AK489" i="2"/>
  <c r="AJ489" i="2"/>
  <c r="AI489" i="2"/>
  <c r="AH489" i="2"/>
  <c r="AG489" i="2"/>
  <c r="AF489" i="2"/>
  <c r="AE489" i="2"/>
  <c r="AD489" i="2"/>
  <c r="AC489" i="2"/>
  <c r="AB489" i="2"/>
  <c r="AA489" i="2"/>
  <c r="Z489" i="2"/>
  <c r="Y489" i="2"/>
  <c r="X489" i="2"/>
  <c r="W489" i="2"/>
  <c r="V489" i="2"/>
  <c r="U489" i="2"/>
  <c r="T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BF488" i="2"/>
  <c r="BE488" i="2"/>
  <c r="BD488" i="2"/>
  <c r="BC488" i="2"/>
  <c r="BB488" i="2"/>
  <c r="BA488" i="2"/>
  <c r="AZ488" i="2"/>
  <c r="AY488" i="2"/>
  <c r="AX488" i="2"/>
  <c r="AW488" i="2"/>
  <c r="AV488" i="2"/>
  <c r="AU488" i="2"/>
  <c r="AT488" i="2"/>
  <c r="AS488" i="2"/>
  <c r="AR488" i="2"/>
  <c r="AQ488" i="2"/>
  <c r="AP488" i="2"/>
  <c r="AO488" i="2"/>
  <c r="AN488" i="2"/>
  <c r="AM488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T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BF486" i="2"/>
  <c r="BE486" i="2"/>
  <c r="BD486" i="2"/>
  <c r="BC486" i="2"/>
  <c r="BB486" i="2"/>
  <c r="BA486" i="2"/>
  <c r="AZ486" i="2"/>
  <c r="AY486" i="2"/>
  <c r="AX486" i="2"/>
  <c r="AW486" i="2"/>
  <c r="AV486" i="2"/>
  <c r="AU486" i="2"/>
  <c r="AT486" i="2"/>
  <c r="AS486" i="2"/>
  <c r="AR486" i="2"/>
  <c r="AQ486" i="2"/>
  <c r="AP486" i="2"/>
  <c r="AO486" i="2"/>
  <c r="AN486" i="2"/>
  <c r="AM486" i="2"/>
  <c r="AL486" i="2"/>
  <c r="AK486" i="2"/>
  <c r="AJ486" i="2"/>
  <c r="AI486" i="2"/>
  <c r="AH486" i="2"/>
  <c r="AG486" i="2"/>
  <c r="AF486" i="2"/>
  <c r="AE486" i="2"/>
  <c r="AD486" i="2"/>
  <c r="AC486" i="2"/>
  <c r="AB486" i="2"/>
  <c r="AA486" i="2"/>
  <c r="Z486" i="2"/>
  <c r="Y486" i="2"/>
  <c r="X486" i="2"/>
  <c r="W486" i="2"/>
  <c r="V486" i="2"/>
  <c r="U486" i="2"/>
  <c r="T486" i="2"/>
  <c r="S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BF485" i="2"/>
  <c r="BE485" i="2"/>
  <c r="BD485" i="2"/>
  <c r="BC485" i="2"/>
  <c r="BB485" i="2"/>
  <c r="BA485" i="2"/>
  <c r="AZ485" i="2"/>
  <c r="AY485" i="2"/>
  <c r="AX485" i="2"/>
  <c r="AW485" i="2"/>
  <c r="AV485" i="2"/>
  <c r="AU485" i="2"/>
  <c r="AT485" i="2"/>
  <c r="AS485" i="2"/>
  <c r="AR485" i="2"/>
  <c r="AQ485" i="2"/>
  <c r="AP485" i="2"/>
  <c r="AO485" i="2"/>
  <c r="AN485" i="2"/>
  <c r="AM485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T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BF484" i="2"/>
  <c r="BE484" i="2"/>
  <c r="BD484" i="2"/>
  <c r="BC484" i="2"/>
  <c r="BB484" i="2"/>
  <c r="BA484" i="2"/>
  <c r="AZ484" i="2"/>
  <c r="AY484" i="2"/>
  <c r="AX484" i="2"/>
  <c r="AW484" i="2"/>
  <c r="AV484" i="2"/>
  <c r="AU484" i="2"/>
  <c r="AT484" i="2"/>
  <c r="AS484" i="2"/>
  <c r="AR484" i="2"/>
  <c r="AQ484" i="2"/>
  <c r="AP484" i="2"/>
  <c r="AO484" i="2"/>
  <c r="AN484" i="2"/>
  <c r="AM484" i="2"/>
  <c r="AL484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T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BF483" i="2"/>
  <c r="BE483" i="2"/>
  <c r="BD483" i="2"/>
  <c r="BC483" i="2"/>
  <c r="BB483" i="2"/>
  <c r="BA483" i="2"/>
  <c r="AZ483" i="2"/>
  <c r="AY483" i="2"/>
  <c r="AX483" i="2"/>
  <c r="AW483" i="2"/>
  <c r="AV483" i="2"/>
  <c r="AU483" i="2"/>
  <c r="AT483" i="2"/>
  <c r="AS483" i="2"/>
  <c r="AR483" i="2"/>
  <c r="AQ483" i="2"/>
  <c r="AP483" i="2"/>
  <c r="AO483" i="2"/>
  <c r="AN483" i="2"/>
  <c r="AM483" i="2"/>
  <c r="AL483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T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BF482" i="2"/>
  <c r="BE482" i="2"/>
  <c r="BD482" i="2"/>
  <c r="BC482" i="2"/>
  <c r="BB482" i="2"/>
  <c r="BA482" i="2"/>
  <c r="AZ482" i="2"/>
  <c r="AY482" i="2"/>
  <c r="AX482" i="2"/>
  <c r="AW482" i="2"/>
  <c r="AV482" i="2"/>
  <c r="AU482" i="2"/>
  <c r="AT482" i="2"/>
  <c r="AS482" i="2"/>
  <c r="AR482" i="2"/>
  <c r="AQ482" i="2"/>
  <c r="AP482" i="2"/>
  <c r="AO482" i="2"/>
  <c r="AN482" i="2"/>
  <c r="AM482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T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BF480" i="2"/>
  <c r="BE480" i="2"/>
  <c r="BD480" i="2"/>
  <c r="BC480" i="2"/>
  <c r="BB480" i="2"/>
  <c r="BA480" i="2"/>
  <c r="AZ480" i="2"/>
  <c r="AY480" i="2"/>
  <c r="AX480" i="2"/>
  <c r="AW480" i="2"/>
  <c r="AV480" i="2"/>
  <c r="AU480" i="2"/>
  <c r="AT480" i="2"/>
  <c r="AS480" i="2"/>
  <c r="AR480" i="2"/>
  <c r="AQ480" i="2"/>
  <c r="AP480" i="2"/>
  <c r="AO480" i="2"/>
  <c r="AN480" i="2"/>
  <c r="AM480" i="2"/>
  <c r="AL480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T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BF479" i="2"/>
  <c r="BE479" i="2"/>
  <c r="BD479" i="2"/>
  <c r="BC479" i="2"/>
  <c r="BB479" i="2"/>
  <c r="BA479" i="2"/>
  <c r="AZ479" i="2"/>
  <c r="AY479" i="2"/>
  <c r="AX479" i="2"/>
  <c r="AW479" i="2"/>
  <c r="AV479" i="2"/>
  <c r="AU479" i="2"/>
  <c r="AT479" i="2"/>
  <c r="AS479" i="2"/>
  <c r="AR479" i="2"/>
  <c r="AQ479" i="2"/>
  <c r="AP479" i="2"/>
  <c r="AO479" i="2"/>
  <c r="AN479" i="2"/>
  <c r="AM479" i="2"/>
  <c r="AL479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T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BF469" i="2"/>
  <c r="BE469" i="2"/>
  <c r="BD469" i="2"/>
  <c r="BC469" i="2"/>
  <c r="BB469" i="2"/>
  <c r="BA469" i="2"/>
  <c r="AZ469" i="2"/>
  <c r="AY469" i="2"/>
  <c r="AX469" i="2"/>
  <c r="AW469" i="2"/>
  <c r="AV469" i="2"/>
  <c r="AU469" i="2"/>
  <c r="AT469" i="2"/>
  <c r="AS469" i="2"/>
  <c r="AR469" i="2"/>
  <c r="AQ469" i="2"/>
  <c r="AP469" i="2"/>
  <c r="AO469" i="2"/>
  <c r="AN469" i="2"/>
  <c r="AM469" i="2"/>
  <c r="AL469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T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BF468" i="2"/>
  <c r="BE468" i="2"/>
  <c r="BD468" i="2"/>
  <c r="BC468" i="2"/>
  <c r="BB468" i="2"/>
  <c r="BA468" i="2"/>
  <c r="AZ468" i="2"/>
  <c r="AY468" i="2"/>
  <c r="AX468" i="2"/>
  <c r="AW468" i="2"/>
  <c r="AV468" i="2"/>
  <c r="AU468" i="2"/>
  <c r="AT468" i="2"/>
  <c r="AS468" i="2"/>
  <c r="AR468" i="2"/>
  <c r="AQ468" i="2"/>
  <c r="AP468" i="2"/>
  <c r="AO468" i="2"/>
  <c r="AN468" i="2"/>
  <c r="AM468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Z468" i="2"/>
  <c r="Y468" i="2"/>
  <c r="X468" i="2"/>
  <c r="W468" i="2"/>
  <c r="V468" i="2"/>
  <c r="U468" i="2"/>
  <c r="T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BF467" i="2"/>
  <c r="BE467" i="2"/>
  <c r="BD467" i="2"/>
  <c r="BC467" i="2"/>
  <c r="BB467" i="2"/>
  <c r="BA467" i="2"/>
  <c r="AZ467" i="2"/>
  <c r="AY467" i="2"/>
  <c r="AX467" i="2"/>
  <c r="AW467" i="2"/>
  <c r="AV467" i="2"/>
  <c r="AU467" i="2"/>
  <c r="AT467" i="2"/>
  <c r="AS467" i="2"/>
  <c r="AR467" i="2"/>
  <c r="AQ467" i="2"/>
  <c r="AP467" i="2"/>
  <c r="AO467" i="2"/>
  <c r="AN467" i="2"/>
  <c r="AM467" i="2"/>
  <c r="AL467" i="2"/>
  <c r="AK467" i="2"/>
  <c r="AJ467" i="2"/>
  <c r="AI467" i="2"/>
  <c r="AH467" i="2"/>
  <c r="AG467" i="2"/>
  <c r="AF467" i="2"/>
  <c r="AE467" i="2"/>
  <c r="AD467" i="2"/>
  <c r="AC467" i="2"/>
  <c r="AB467" i="2"/>
  <c r="AA467" i="2"/>
  <c r="Z467" i="2"/>
  <c r="Y467" i="2"/>
  <c r="X467" i="2"/>
  <c r="W467" i="2"/>
  <c r="V467" i="2"/>
  <c r="U467" i="2"/>
  <c r="T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BF465" i="2"/>
  <c r="BE465" i="2"/>
  <c r="BD465" i="2"/>
  <c r="BC465" i="2"/>
  <c r="BB465" i="2"/>
  <c r="BA465" i="2"/>
  <c r="AZ465" i="2"/>
  <c r="AY465" i="2"/>
  <c r="AX465" i="2"/>
  <c r="AW465" i="2"/>
  <c r="AV465" i="2"/>
  <c r="AU465" i="2"/>
  <c r="AT465" i="2"/>
  <c r="AS465" i="2"/>
  <c r="AR465" i="2"/>
  <c r="AQ465" i="2"/>
  <c r="AP465" i="2"/>
  <c r="AO465" i="2"/>
  <c r="AN465" i="2"/>
  <c r="AM465" i="2"/>
  <c r="AL465" i="2"/>
  <c r="AK465" i="2"/>
  <c r="AJ465" i="2"/>
  <c r="AI465" i="2"/>
  <c r="AH465" i="2"/>
  <c r="AG465" i="2"/>
  <c r="AF465" i="2"/>
  <c r="AE465" i="2"/>
  <c r="AD465" i="2"/>
  <c r="AC465" i="2"/>
  <c r="AB465" i="2"/>
  <c r="AA465" i="2"/>
  <c r="Z465" i="2"/>
  <c r="Y465" i="2"/>
  <c r="X465" i="2"/>
  <c r="W465" i="2"/>
  <c r="V465" i="2"/>
  <c r="U465" i="2"/>
  <c r="T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BF464" i="2"/>
  <c r="BE464" i="2"/>
  <c r="BD464" i="2"/>
  <c r="BC464" i="2"/>
  <c r="BB464" i="2"/>
  <c r="BA464" i="2"/>
  <c r="AZ464" i="2"/>
  <c r="AY464" i="2"/>
  <c r="AX464" i="2"/>
  <c r="AW464" i="2"/>
  <c r="AV464" i="2"/>
  <c r="AU464" i="2"/>
  <c r="AT464" i="2"/>
  <c r="AS464" i="2"/>
  <c r="AR464" i="2"/>
  <c r="AQ464" i="2"/>
  <c r="AP464" i="2"/>
  <c r="AO464" i="2"/>
  <c r="AN464" i="2"/>
  <c r="AM464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T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BF463" i="2"/>
  <c r="BE463" i="2"/>
  <c r="BD463" i="2"/>
  <c r="BC463" i="2"/>
  <c r="BB463" i="2"/>
  <c r="BA463" i="2"/>
  <c r="AZ463" i="2"/>
  <c r="AY463" i="2"/>
  <c r="AX463" i="2"/>
  <c r="AW463" i="2"/>
  <c r="AV463" i="2"/>
  <c r="AU463" i="2"/>
  <c r="AT463" i="2"/>
  <c r="AS463" i="2"/>
  <c r="AR463" i="2"/>
  <c r="AQ463" i="2"/>
  <c r="AP463" i="2"/>
  <c r="AO463" i="2"/>
  <c r="AN463" i="2"/>
  <c r="AM463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T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BF462" i="2"/>
  <c r="BE462" i="2"/>
  <c r="BD462" i="2"/>
  <c r="BC462" i="2"/>
  <c r="BB462" i="2"/>
  <c r="BA462" i="2"/>
  <c r="AZ462" i="2"/>
  <c r="AY462" i="2"/>
  <c r="AX462" i="2"/>
  <c r="AW462" i="2"/>
  <c r="AV462" i="2"/>
  <c r="AU462" i="2"/>
  <c r="AT462" i="2"/>
  <c r="AS462" i="2"/>
  <c r="AR462" i="2"/>
  <c r="AQ462" i="2"/>
  <c r="AP462" i="2"/>
  <c r="AO462" i="2"/>
  <c r="AN462" i="2"/>
  <c r="AM462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T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BF461" i="2"/>
  <c r="BE461" i="2"/>
  <c r="BD461" i="2"/>
  <c r="BC461" i="2"/>
  <c r="BB461" i="2"/>
  <c r="BA461" i="2"/>
  <c r="AZ461" i="2"/>
  <c r="AY461" i="2"/>
  <c r="AX461" i="2"/>
  <c r="AW461" i="2"/>
  <c r="AV461" i="2"/>
  <c r="AU461" i="2"/>
  <c r="AT461" i="2"/>
  <c r="AS461" i="2"/>
  <c r="AR461" i="2"/>
  <c r="AQ461" i="2"/>
  <c r="AP461" i="2"/>
  <c r="AO461" i="2"/>
  <c r="AN461" i="2"/>
  <c r="AM461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T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BF459" i="2"/>
  <c r="BE459" i="2"/>
  <c r="BD459" i="2"/>
  <c r="BC459" i="2"/>
  <c r="BB459" i="2"/>
  <c r="BA459" i="2"/>
  <c r="AZ459" i="2"/>
  <c r="AY459" i="2"/>
  <c r="AX459" i="2"/>
  <c r="AW459" i="2"/>
  <c r="AV459" i="2"/>
  <c r="AU459" i="2"/>
  <c r="AT459" i="2"/>
  <c r="AS459" i="2"/>
  <c r="AR459" i="2"/>
  <c r="AQ459" i="2"/>
  <c r="AP459" i="2"/>
  <c r="AO459" i="2"/>
  <c r="AN459" i="2"/>
  <c r="AM459" i="2"/>
  <c r="AL459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T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BF458" i="2"/>
  <c r="BE458" i="2"/>
  <c r="BD458" i="2"/>
  <c r="BC458" i="2"/>
  <c r="BB458" i="2"/>
  <c r="BA458" i="2"/>
  <c r="AZ458" i="2"/>
  <c r="AY458" i="2"/>
  <c r="AX458" i="2"/>
  <c r="AW458" i="2"/>
  <c r="AV458" i="2"/>
  <c r="AU458" i="2"/>
  <c r="AT458" i="2"/>
  <c r="AS458" i="2"/>
  <c r="AR458" i="2"/>
  <c r="AQ458" i="2"/>
  <c r="AP458" i="2"/>
  <c r="AO458" i="2"/>
  <c r="AN458" i="2"/>
  <c r="AM458" i="2"/>
  <c r="AL458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T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BF456" i="2"/>
  <c r="BE456" i="2"/>
  <c r="BD456" i="2"/>
  <c r="BC456" i="2"/>
  <c r="BB456" i="2"/>
  <c r="BA456" i="2"/>
  <c r="AZ456" i="2"/>
  <c r="AY456" i="2"/>
  <c r="AX456" i="2"/>
  <c r="AW456" i="2"/>
  <c r="AV456" i="2"/>
  <c r="AU456" i="2"/>
  <c r="AT456" i="2"/>
  <c r="AS456" i="2"/>
  <c r="AR456" i="2"/>
  <c r="AQ456" i="2"/>
  <c r="AP456" i="2"/>
  <c r="AO456" i="2"/>
  <c r="AN456" i="2"/>
  <c r="AM456" i="2"/>
  <c r="AL456" i="2"/>
  <c r="AK456" i="2"/>
  <c r="AJ456" i="2"/>
  <c r="AI456" i="2"/>
  <c r="AH456" i="2"/>
  <c r="AG456" i="2"/>
  <c r="AF456" i="2"/>
  <c r="AE456" i="2"/>
  <c r="AD456" i="2"/>
  <c r="AC456" i="2"/>
  <c r="AB456" i="2"/>
  <c r="AA456" i="2"/>
  <c r="Z456" i="2"/>
  <c r="Y456" i="2"/>
  <c r="X456" i="2"/>
  <c r="W456" i="2"/>
  <c r="V456" i="2"/>
  <c r="U456" i="2"/>
  <c r="T456" i="2"/>
  <c r="S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BF455" i="2"/>
  <c r="BE455" i="2"/>
  <c r="BD455" i="2"/>
  <c r="BC455" i="2"/>
  <c r="BB455" i="2"/>
  <c r="BA455" i="2"/>
  <c r="AZ455" i="2"/>
  <c r="AY455" i="2"/>
  <c r="AX455" i="2"/>
  <c r="AW455" i="2"/>
  <c r="AV455" i="2"/>
  <c r="AU455" i="2"/>
  <c r="AT455" i="2"/>
  <c r="AS455" i="2"/>
  <c r="AR455" i="2"/>
  <c r="AQ455" i="2"/>
  <c r="AP455" i="2"/>
  <c r="AO455" i="2"/>
  <c r="AN455" i="2"/>
  <c r="AM455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T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BF454" i="2"/>
  <c r="BE454" i="2"/>
  <c r="BD454" i="2"/>
  <c r="BC454" i="2"/>
  <c r="BB454" i="2"/>
  <c r="BA454" i="2"/>
  <c r="AZ454" i="2"/>
  <c r="AY454" i="2"/>
  <c r="AX454" i="2"/>
  <c r="AW454" i="2"/>
  <c r="AV454" i="2"/>
  <c r="AU454" i="2"/>
  <c r="AT454" i="2"/>
  <c r="AS454" i="2"/>
  <c r="AR454" i="2"/>
  <c r="AQ454" i="2"/>
  <c r="AP454" i="2"/>
  <c r="AO454" i="2"/>
  <c r="AN454" i="2"/>
  <c r="AM454" i="2"/>
  <c r="AL454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T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BF452" i="2"/>
  <c r="BE452" i="2"/>
  <c r="BD452" i="2"/>
  <c r="BC452" i="2"/>
  <c r="BB452" i="2"/>
  <c r="BA452" i="2"/>
  <c r="AZ452" i="2"/>
  <c r="AY452" i="2"/>
  <c r="AX452" i="2"/>
  <c r="AW452" i="2"/>
  <c r="AV452" i="2"/>
  <c r="AU452" i="2"/>
  <c r="AT452" i="2"/>
  <c r="AS452" i="2"/>
  <c r="AR452" i="2"/>
  <c r="AQ452" i="2"/>
  <c r="AP452" i="2"/>
  <c r="AO452" i="2"/>
  <c r="AN452" i="2"/>
  <c r="AM452" i="2"/>
  <c r="AL452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T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BF451" i="2"/>
  <c r="BE451" i="2"/>
  <c r="BD451" i="2"/>
  <c r="BC451" i="2"/>
  <c r="BB451" i="2"/>
  <c r="BA451" i="2"/>
  <c r="AZ451" i="2"/>
  <c r="AY451" i="2"/>
  <c r="AX451" i="2"/>
  <c r="AW451" i="2"/>
  <c r="AV451" i="2"/>
  <c r="AU451" i="2"/>
  <c r="AT451" i="2"/>
  <c r="AS451" i="2"/>
  <c r="AR451" i="2"/>
  <c r="AQ451" i="2"/>
  <c r="AP451" i="2"/>
  <c r="AO451" i="2"/>
  <c r="AN451" i="2"/>
  <c r="AM451" i="2"/>
  <c r="AL451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T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BF450" i="2"/>
  <c r="BE450" i="2"/>
  <c r="BD450" i="2"/>
  <c r="BC450" i="2"/>
  <c r="BB450" i="2"/>
  <c r="BA450" i="2"/>
  <c r="AZ450" i="2"/>
  <c r="AY450" i="2"/>
  <c r="AX450" i="2"/>
  <c r="AW450" i="2"/>
  <c r="AV450" i="2"/>
  <c r="AU450" i="2"/>
  <c r="AT450" i="2"/>
  <c r="AS450" i="2"/>
  <c r="AR450" i="2"/>
  <c r="AQ450" i="2"/>
  <c r="AP450" i="2"/>
  <c r="AO450" i="2"/>
  <c r="AN450" i="2"/>
  <c r="AM450" i="2"/>
  <c r="AL450" i="2"/>
  <c r="AK450" i="2"/>
  <c r="AJ450" i="2"/>
  <c r="AI450" i="2"/>
  <c r="AH450" i="2"/>
  <c r="AG450" i="2"/>
  <c r="AF450" i="2"/>
  <c r="AE450" i="2"/>
  <c r="AD450" i="2"/>
  <c r="AC450" i="2"/>
  <c r="AB450" i="2"/>
  <c r="AA450" i="2"/>
  <c r="Z450" i="2"/>
  <c r="Y450" i="2"/>
  <c r="X450" i="2"/>
  <c r="W450" i="2"/>
  <c r="V450" i="2"/>
  <c r="U450" i="2"/>
  <c r="T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BF449" i="2"/>
  <c r="BE449" i="2"/>
  <c r="BD449" i="2"/>
  <c r="BC449" i="2"/>
  <c r="BB449" i="2"/>
  <c r="BA449" i="2"/>
  <c r="AZ449" i="2"/>
  <c r="AY449" i="2"/>
  <c r="AX449" i="2"/>
  <c r="AW449" i="2"/>
  <c r="AV449" i="2"/>
  <c r="AU449" i="2"/>
  <c r="AT449" i="2"/>
  <c r="AS449" i="2"/>
  <c r="AR449" i="2"/>
  <c r="AQ449" i="2"/>
  <c r="AP449" i="2"/>
  <c r="AO449" i="2"/>
  <c r="AN449" i="2"/>
  <c r="AM449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T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BF448" i="2"/>
  <c r="BE448" i="2"/>
  <c r="BD448" i="2"/>
  <c r="BC448" i="2"/>
  <c r="BB448" i="2"/>
  <c r="BA448" i="2"/>
  <c r="AZ448" i="2"/>
  <c r="AY448" i="2"/>
  <c r="AX448" i="2"/>
  <c r="AW448" i="2"/>
  <c r="AV448" i="2"/>
  <c r="AU448" i="2"/>
  <c r="AT448" i="2"/>
  <c r="AS448" i="2"/>
  <c r="AR448" i="2"/>
  <c r="AQ448" i="2"/>
  <c r="AP448" i="2"/>
  <c r="AO448" i="2"/>
  <c r="AN448" i="2"/>
  <c r="AM448" i="2"/>
  <c r="AL448" i="2"/>
  <c r="AK448" i="2"/>
  <c r="AJ448" i="2"/>
  <c r="AI448" i="2"/>
  <c r="AH448" i="2"/>
  <c r="AG448" i="2"/>
  <c r="AF448" i="2"/>
  <c r="AE448" i="2"/>
  <c r="AD448" i="2"/>
  <c r="AC448" i="2"/>
  <c r="AB448" i="2"/>
  <c r="AA448" i="2"/>
  <c r="Z448" i="2"/>
  <c r="Y448" i="2"/>
  <c r="X448" i="2"/>
  <c r="W448" i="2"/>
  <c r="V448" i="2"/>
  <c r="U448" i="2"/>
  <c r="T448" i="2"/>
  <c r="S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BF446" i="2"/>
  <c r="BE446" i="2"/>
  <c r="BD446" i="2"/>
  <c r="BC446" i="2"/>
  <c r="BB446" i="2"/>
  <c r="BA446" i="2"/>
  <c r="AZ446" i="2"/>
  <c r="AY446" i="2"/>
  <c r="AX446" i="2"/>
  <c r="AW446" i="2"/>
  <c r="AV446" i="2"/>
  <c r="AU446" i="2"/>
  <c r="AT446" i="2"/>
  <c r="AS446" i="2"/>
  <c r="AR446" i="2"/>
  <c r="AQ446" i="2"/>
  <c r="AP446" i="2"/>
  <c r="AO446" i="2"/>
  <c r="AN446" i="2"/>
  <c r="AM446" i="2"/>
  <c r="AL446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T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BF445" i="2"/>
  <c r="BE445" i="2"/>
  <c r="BD445" i="2"/>
  <c r="BC445" i="2"/>
  <c r="BB445" i="2"/>
  <c r="BA445" i="2"/>
  <c r="AZ445" i="2"/>
  <c r="AY445" i="2"/>
  <c r="AX445" i="2"/>
  <c r="AW445" i="2"/>
  <c r="AV445" i="2"/>
  <c r="AU445" i="2"/>
  <c r="AT445" i="2"/>
  <c r="AS445" i="2"/>
  <c r="AR445" i="2"/>
  <c r="AQ445" i="2"/>
  <c r="AP445" i="2"/>
  <c r="AO445" i="2"/>
  <c r="AN445" i="2"/>
  <c r="AM445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T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F386" i="2"/>
  <c r="BE386" i="2"/>
  <c r="BD386" i="2"/>
  <c r="BC386" i="2"/>
  <c r="BB386" i="2"/>
  <c r="BA386" i="2"/>
  <c r="AZ386" i="2"/>
  <c r="AY386" i="2"/>
  <c r="AX386" i="2"/>
  <c r="AW386" i="2"/>
  <c r="AV386" i="2"/>
  <c r="AU386" i="2"/>
  <c r="AT386" i="2"/>
  <c r="AS386" i="2"/>
  <c r="AR386" i="2"/>
  <c r="AQ386" i="2"/>
  <c r="AP386" i="2"/>
  <c r="AO386" i="2"/>
  <c r="AN386" i="2"/>
  <c r="AM386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T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BF385" i="2"/>
  <c r="BE385" i="2"/>
  <c r="BD385" i="2"/>
  <c r="BC385" i="2"/>
  <c r="BB385" i="2"/>
  <c r="BA385" i="2"/>
  <c r="AZ385" i="2"/>
  <c r="AY385" i="2"/>
  <c r="AX385" i="2"/>
  <c r="AW385" i="2"/>
  <c r="AV385" i="2"/>
  <c r="AU385" i="2"/>
  <c r="AT385" i="2"/>
  <c r="AS385" i="2"/>
  <c r="AR385" i="2"/>
  <c r="AQ385" i="2"/>
  <c r="AP385" i="2"/>
  <c r="AO385" i="2"/>
  <c r="AN385" i="2"/>
  <c r="AM385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T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BF384" i="2"/>
  <c r="BE384" i="2"/>
  <c r="BD384" i="2"/>
  <c r="BC384" i="2"/>
  <c r="BB384" i="2"/>
  <c r="BA384" i="2"/>
  <c r="AZ384" i="2"/>
  <c r="AY384" i="2"/>
  <c r="AX384" i="2"/>
  <c r="AW384" i="2"/>
  <c r="AV384" i="2"/>
  <c r="AU384" i="2"/>
  <c r="AT384" i="2"/>
  <c r="AS384" i="2"/>
  <c r="AR384" i="2"/>
  <c r="AQ384" i="2"/>
  <c r="AP384" i="2"/>
  <c r="AO384" i="2"/>
  <c r="AN384" i="2"/>
  <c r="AM384" i="2"/>
  <c r="AL384" i="2"/>
  <c r="AK384" i="2"/>
  <c r="AJ384" i="2"/>
  <c r="AI384" i="2"/>
  <c r="AH384" i="2"/>
  <c r="AG384" i="2"/>
  <c r="AF384" i="2"/>
  <c r="AE384" i="2"/>
  <c r="AD384" i="2"/>
  <c r="AC384" i="2"/>
  <c r="AB384" i="2"/>
  <c r="AA384" i="2"/>
  <c r="Z384" i="2"/>
  <c r="Y384" i="2"/>
  <c r="X384" i="2"/>
  <c r="W384" i="2"/>
  <c r="V384" i="2"/>
  <c r="U384" i="2"/>
  <c r="T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BF383" i="2"/>
  <c r="BE383" i="2"/>
  <c r="BD383" i="2"/>
  <c r="BC383" i="2"/>
  <c r="BB383" i="2"/>
  <c r="BA383" i="2"/>
  <c r="AZ383" i="2"/>
  <c r="AY383" i="2"/>
  <c r="AX383" i="2"/>
  <c r="AW383" i="2"/>
  <c r="AV383" i="2"/>
  <c r="AU383" i="2"/>
  <c r="AT383" i="2"/>
  <c r="AS383" i="2"/>
  <c r="AR383" i="2"/>
  <c r="AQ383" i="2"/>
  <c r="AP383" i="2"/>
  <c r="AO383" i="2"/>
  <c r="AN383" i="2"/>
  <c r="AM383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T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BF382" i="2"/>
  <c r="BE382" i="2"/>
  <c r="BD382" i="2"/>
  <c r="BC382" i="2"/>
  <c r="BB382" i="2"/>
  <c r="BA382" i="2"/>
  <c r="AZ382" i="2"/>
  <c r="AY382" i="2"/>
  <c r="AX382" i="2"/>
  <c r="AW382" i="2"/>
  <c r="AV382" i="2"/>
  <c r="AU382" i="2"/>
  <c r="AT382" i="2"/>
  <c r="AS382" i="2"/>
  <c r="AR382" i="2"/>
  <c r="AQ382" i="2"/>
  <c r="AP382" i="2"/>
  <c r="AO382" i="2"/>
  <c r="AN382" i="2"/>
  <c r="AM382" i="2"/>
  <c r="AL382" i="2"/>
  <c r="AK382" i="2"/>
  <c r="AJ382" i="2"/>
  <c r="AI382" i="2"/>
  <c r="AH382" i="2"/>
  <c r="AG382" i="2"/>
  <c r="AF382" i="2"/>
  <c r="AE382" i="2"/>
  <c r="AD382" i="2"/>
  <c r="AC382" i="2"/>
  <c r="AB382" i="2"/>
  <c r="AA382" i="2"/>
  <c r="Z382" i="2"/>
  <c r="Y382" i="2"/>
  <c r="X382" i="2"/>
  <c r="W382" i="2"/>
  <c r="V382" i="2"/>
  <c r="U382" i="2"/>
  <c r="T382" i="2"/>
  <c r="S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BF381" i="2"/>
  <c r="BE381" i="2"/>
  <c r="BD381" i="2"/>
  <c r="BC381" i="2"/>
  <c r="BB381" i="2"/>
  <c r="BA381" i="2"/>
  <c r="AZ381" i="2"/>
  <c r="AY381" i="2"/>
  <c r="AX381" i="2"/>
  <c r="AW381" i="2"/>
  <c r="AV381" i="2"/>
  <c r="AU381" i="2"/>
  <c r="AT381" i="2"/>
  <c r="AS381" i="2"/>
  <c r="AR381" i="2"/>
  <c r="AQ381" i="2"/>
  <c r="AP381" i="2"/>
  <c r="AO381" i="2"/>
  <c r="AN381" i="2"/>
  <c r="AM381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Z381" i="2"/>
  <c r="Y381" i="2"/>
  <c r="X381" i="2"/>
  <c r="W381" i="2"/>
  <c r="V381" i="2"/>
  <c r="U381" i="2"/>
  <c r="T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BF380" i="2"/>
  <c r="BE380" i="2"/>
  <c r="BD380" i="2"/>
  <c r="BC380" i="2"/>
  <c r="BB380" i="2"/>
  <c r="BA380" i="2"/>
  <c r="AZ380" i="2"/>
  <c r="AY380" i="2"/>
  <c r="AX380" i="2"/>
  <c r="AW380" i="2"/>
  <c r="AV380" i="2"/>
  <c r="AU380" i="2"/>
  <c r="AT380" i="2"/>
  <c r="AS380" i="2"/>
  <c r="AR380" i="2"/>
  <c r="AQ380" i="2"/>
  <c r="AP380" i="2"/>
  <c r="AO380" i="2"/>
  <c r="AN380" i="2"/>
  <c r="AM380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T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F377" i="2"/>
  <c r="BE377" i="2"/>
  <c r="BD377" i="2"/>
  <c r="BC377" i="2"/>
  <c r="BB377" i="2"/>
  <c r="BA377" i="2"/>
  <c r="AZ377" i="2"/>
  <c r="AY377" i="2"/>
  <c r="AX377" i="2"/>
  <c r="AW377" i="2"/>
  <c r="AV377" i="2"/>
  <c r="AU377" i="2"/>
  <c r="AT377" i="2"/>
  <c r="AS377" i="2"/>
  <c r="AR377" i="2"/>
  <c r="AQ377" i="2"/>
  <c r="AP377" i="2"/>
  <c r="AO377" i="2"/>
  <c r="AN377" i="2"/>
  <c r="AM377" i="2"/>
  <c r="AL377" i="2"/>
  <c r="AK377" i="2"/>
  <c r="AJ377" i="2"/>
  <c r="AI377" i="2"/>
  <c r="AH377" i="2"/>
  <c r="AG377" i="2"/>
  <c r="AF377" i="2"/>
  <c r="AE377" i="2"/>
  <c r="AD377" i="2"/>
  <c r="AC377" i="2"/>
  <c r="AB377" i="2"/>
  <c r="AA377" i="2"/>
  <c r="Z377" i="2"/>
  <c r="Y377" i="2"/>
  <c r="X377" i="2"/>
  <c r="W377" i="2"/>
  <c r="V377" i="2"/>
  <c r="U377" i="2"/>
  <c r="T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F376" i="2"/>
  <c r="BE376" i="2"/>
  <c r="BD376" i="2"/>
  <c r="BC376" i="2"/>
  <c r="BB376" i="2"/>
  <c r="BA376" i="2"/>
  <c r="AZ376" i="2"/>
  <c r="AY376" i="2"/>
  <c r="AX376" i="2"/>
  <c r="AW376" i="2"/>
  <c r="AV376" i="2"/>
  <c r="AU376" i="2"/>
  <c r="AT376" i="2"/>
  <c r="AS376" i="2"/>
  <c r="AR376" i="2"/>
  <c r="AQ376" i="2"/>
  <c r="AP376" i="2"/>
  <c r="AO376" i="2"/>
  <c r="AN376" i="2"/>
  <c r="AM376" i="2"/>
  <c r="AL376" i="2"/>
  <c r="AK376" i="2"/>
  <c r="AJ376" i="2"/>
  <c r="AI376" i="2"/>
  <c r="AH376" i="2"/>
  <c r="AG376" i="2"/>
  <c r="AF376" i="2"/>
  <c r="AE376" i="2"/>
  <c r="AD376" i="2"/>
  <c r="AC376" i="2"/>
  <c r="AB376" i="2"/>
  <c r="AA376" i="2"/>
  <c r="Z376" i="2"/>
  <c r="Y376" i="2"/>
  <c r="X376" i="2"/>
  <c r="W376" i="2"/>
  <c r="V376" i="2"/>
  <c r="U376" i="2"/>
  <c r="T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BF375" i="2"/>
  <c r="BE375" i="2"/>
  <c r="BD375" i="2"/>
  <c r="BC375" i="2"/>
  <c r="BB375" i="2"/>
  <c r="BA375" i="2"/>
  <c r="AZ375" i="2"/>
  <c r="AY375" i="2"/>
  <c r="AX375" i="2"/>
  <c r="AW375" i="2"/>
  <c r="AV375" i="2"/>
  <c r="AU375" i="2"/>
  <c r="AT375" i="2"/>
  <c r="AS375" i="2"/>
  <c r="AR375" i="2"/>
  <c r="AQ375" i="2"/>
  <c r="AP375" i="2"/>
  <c r="AO375" i="2"/>
  <c r="AN375" i="2"/>
  <c r="AM375" i="2"/>
  <c r="AL375" i="2"/>
  <c r="AK375" i="2"/>
  <c r="AJ375" i="2"/>
  <c r="AI375" i="2"/>
  <c r="AH375" i="2"/>
  <c r="AG375" i="2"/>
  <c r="AF375" i="2"/>
  <c r="AE375" i="2"/>
  <c r="AD375" i="2"/>
  <c r="AC375" i="2"/>
  <c r="AB375" i="2"/>
  <c r="AA375" i="2"/>
  <c r="Z375" i="2"/>
  <c r="Y375" i="2"/>
  <c r="X375" i="2"/>
  <c r="W375" i="2"/>
  <c r="V375" i="2"/>
  <c r="U375" i="2"/>
  <c r="T375" i="2"/>
  <c r="S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F374" i="2"/>
  <c r="BE374" i="2"/>
  <c r="BD374" i="2"/>
  <c r="BC374" i="2"/>
  <c r="BB374" i="2"/>
  <c r="BA374" i="2"/>
  <c r="AZ374" i="2"/>
  <c r="AY374" i="2"/>
  <c r="AX374" i="2"/>
  <c r="AW374" i="2"/>
  <c r="AV374" i="2"/>
  <c r="AU374" i="2"/>
  <c r="AT374" i="2"/>
  <c r="AS374" i="2"/>
  <c r="AR374" i="2"/>
  <c r="AQ374" i="2"/>
  <c r="AP374" i="2"/>
  <c r="AO374" i="2"/>
  <c r="AN374" i="2"/>
  <c r="AM374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T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BF373" i="2"/>
  <c r="BE373" i="2"/>
  <c r="BD373" i="2"/>
  <c r="BC373" i="2"/>
  <c r="BB373" i="2"/>
  <c r="BA373" i="2"/>
  <c r="AZ373" i="2"/>
  <c r="AY373" i="2"/>
  <c r="AX373" i="2"/>
  <c r="AW373" i="2"/>
  <c r="AV373" i="2"/>
  <c r="AU373" i="2"/>
  <c r="AT373" i="2"/>
  <c r="AS373" i="2"/>
  <c r="AR373" i="2"/>
  <c r="AQ373" i="2"/>
  <c r="AP373" i="2"/>
  <c r="AO373" i="2"/>
  <c r="AN373" i="2"/>
  <c r="AM373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T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BF372" i="2"/>
  <c r="BE372" i="2"/>
  <c r="BD372" i="2"/>
  <c r="BC372" i="2"/>
  <c r="BB372" i="2"/>
  <c r="BA372" i="2"/>
  <c r="AZ372" i="2"/>
  <c r="AY372" i="2"/>
  <c r="AX372" i="2"/>
  <c r="AW372" i="2"/>
  <c r="AV372" i="2"/>
  <c r="AU372" i="2"/>
  <c r="AT372" i="2"/>
  <c r="AS372" i="2"/>
  <c r="AR372" i="2"/>
  <c r="AQ372" i="2"/>
  <c r="AP372" i="2"/>
  <c r="AO372" i="2"/>
  <c r="AN372" i="2"/>
  <c r="AM372" i="2"/>
  <c r="AL372" i="2"/>
  <c r="AK372" i="2"/>
  <c r="AJ372" i="2"/>
  <c r="AI372" i="2"/>
  <c r="AH372" i="2"/>
  <c r="AG372" i="2"/>
  <c r="AF372" i="2"/>
  <c r="AE372" i="2"/>
  <c r="AD372" i="2"/>
  <c r="AC372" i="2"/>
  <c r="AB372" i="2"/>
  <c r="AA372" i="2"/>
  <c r="Z372" i="2"/>
  <c r="Y372" i="2"/>
  <c r="X372" i="2"/>
  <c r="W372" i="2"/>
  <c r="V372" i="2"/>
  <c r="U372" i="2"/>
  <c r="T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BF371" i="2"/>
  <c r="BE371" i="2"/>
  <c r="BD371" i="2"/>
  <c r="BC371" i="2"/>
  <c r="BB371" i="2"/>
  <c r="BA371" i="2"/>
  <c r="AZ371" i="2"/>
  <c r="AY371" i="2"/>
  <c r="AX371" i="2"/>
  <c r="AW371" i="2"/>
  <c r="AV371" i="2"/>
  <c r="AU371" i="2"/>
  <c r="AT371" i="2"/>
  <c r="AS371" i="2"/>
  <c r="AR371" i="2"/>
  <c r="AQ371" i="2"/>
  <c r="AP371" i="2"/>
  <c r="AO371" i="2"/>
  <c r="AN371" i="2"/>
  <c r="AM371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T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BF306" i="2"/>
  <c r="BE306" i="2"/>
  <c r="BD306" i="2"/>
  <c r="BC306" i="2"/>
  <c r="BB306" i="2"/>
  <c r="BA306" i="2"/>
  <c r="AZ306" i="2"/>
  <c r="AY306" i="2"/>
  <c r="AX306" i="2"/>
  <c r="AW306" i="2"/>
  <c r="AV306" i="2"/>
  <c r="AU306" i="2"/>
  <c r="AT306" i="2"/>
  <c r="AS306" i="2"/>
  <c r="AR306" i="2"/>
  <c r="AQ306" i="2"/>
  <c r="AP306" i="2"/>
  <c r="AO306" i="2"/>
  <c r="AN306" i="2"/>
  <c r="AM306" i="2"/>
  <c r="AL306" i="2"/>
  <c r="AK306" i="2"/>
  <c r="AJ306" i="2"/>
  <c r="AI306" i="2"/>
  <c r="AH306" i="2"/>
  <c r="AG306" i="2"/>
  <c r="AF306" i="2"/>
  <c r="AE306" i="2"/>
  <c r="AD306" i="2"/>
  <c r="AC306" i="2"/>
  <c r="AB306" i="2"/>
  <c r="AA306" i="2"/>
  <c r="Z306" i="2"/>
  <c r="Y306" i="2"/>
  <c r="X306" i="2"/>
  <c r="W306" i="2"/>
  <c r="V306" i="2"/>
  <c r="U306" i="2"/>
  <c r="T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F305" i="2"/>
  <c r="BE305" i="2"/>
  <c r="BD305" i="2"/>
  <c r="BC305" i="2"/>
  <c r="BB305" i="2"/>
  <c r="BA305" i="2"/>
  <c r="AZ305" i="2"/>
  <c r="AY305" i="2"/>
  <c r="AX305" i="2"/>
  <c r="AW305" i="2"/>
  <c r="AV305" i="2"/>
  <c r="AU305" i="2"/>
  <c r="AT305" i="2"/>
  <c r="AS305" i="2"/>
  <c r="AR305" i="2"/>
  <c r="AQ305" i="2"/>
  <c r="AP305" i="2"/>
  <c r="AO305" i="2"/>
  <c r="AN305" i="2"/>
  <c r="AM305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Z305" i="2"/>
  <c r="Y305" i="2"/>
  <c r="X305" i="2"/>
  <c r="W305" i="2"/>
  <c r="V305" i="2"/>
  <c r="U305" i="2"/>
  <c r="T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BF304" i="2"/>
  <c r="BE304" i="2"/>
  <c r="BD304" i="2"/>
  <c r="BC304" i="2"/>
  <c r="BB304" i="2"/>
  <c r="BA304" i="2"/>
  <c r="AZ304" i="2"/>
  <c r="AY304" i="2"/>
  <c r="AX304" i="2"/>
  <c r="AW304" i="2"/>
  <c r="AV304" i="2"/>
  <c r="AU304" i="2"/>
  <c r="AT304" i="2"/>
  <c r="AS304" i="2"/>
  <c r="AR304" i="2"/>
  <c r="AQ304" i="2"/>
  <c r="AP304" i="2"/>
  <c r="AO304" i="2"/>
  <c r="AN304" i="2"/>
  <c r="AM304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T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BF303" i="2"/>
  <c r="BE303" i="2"/>
  <c r="BD303" i="2"/>
  <c r="BC303" i="2"/>
  <c r="BB303" i="2"/>
  <c r="BA303" i="2"/>
  <c r="AZ303" i="2"/>
  <c r="AY303" i="2"/>
  <c r="AX303" i="2"/>
  <c r="AW303" i="2"/>
  <c r="AV303" i="2"/>
  <c r="AU303" i="2"/>
  <c r="AT303" i="2"/>
  <c r="AS303" i="2"/>
  <c r="AR303" i="2"/>
  <c r="AQ303" i="2"/>
  <c r="AP303" i="2"/>
  <c r="AO303" i="2"/>
  <c r="AN303" i="2"/>
  <c r="AM303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T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BF300" i="2"/>
  <c r="BE300" i="2"/>
  <c r="BD300" i="2"/>
  <c r="BC300" i="2"/>
  <c r="BB300" i="2"/>
  <c r="BA300" i="2"/>
  <c r="AZ300" i="2"/>
  <c r="AY300" i="2"/>
  <c r="AX300" i="2"/>
  <c r="AW300" i="2"/>
  <c r="AV300" i="2"/>
  <c r="AU300" i="2"/>
  <c r="AT300" i="2"/>
  <c r="AS300" i="2"/>
  <c r="AR300" i="2"/>
  <c r="AQ300" i="2"/>
  <c r="AP300" i="2"/>
  <c r="AO300" i="2"/>
  <c r="AN300" i="2"/>
  <c r="AM300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T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F299" i="2"/>
  <c r="BE299" i="2"/>
  <c r="BD299" i="2"/>
  <c r="BC299" i="2"/>
  <c r="BB299" i="2"/>
  <c r="BA299" i="2"/>
  <c r="AZ299" i="2"/>
  <c r="AY299" i="2"/>
  <c r="AX299" i="2"/>
  <c r="AW299" i="2"/>
  <c r="AV299" i="2"/>
  <c r="AU299" i="2"/>
  <c r="AT299" i="2"/>
  <c r="AS299" i="2"/>
  <c r="AR299" i="2"/>
  <c r="AQ299" i="2"/>
  <c r="AP299" i="2"/>
  <c r="AO299" i="2"/>
  <c r="AN299" i="2"/>
  <c r="AM299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T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F298" i="2"/>
  <c r="BE298" i="2"/>
  <c r="BD298" i="2"/>
  <c r="BC298" i="2"/>
  <c r="BB298" i="2"/>
  <c r="BA298" i="2"/>
  <c r="AZ298" i="2"/>
  <c r="AY298" i="2"/>
  <c r="AX298" i="2"/>
  <c r="AW298" i="2"/>
  <c r="AV298" i="2"/>
  <c r="AU298" i="2"/>
  <c r="AT298" i="2"/>
  <c r="AS298" i="2"/>
  <c r="AR298" i="2"/>
  <c r="AQ298" i="2"/>
  <c r="AP298" i="2"/>
  <c r="AO298" i="2"/>
  <c r="AN298" i="2"/>
  <c r="AM298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T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F297" i="2"/>
  <c r="BE297" i="2"/>
  <c r="BD297" i="2"/>
  <c r="BC297" i="2"/>
  <c r="BB297" i="2"/>
  <c r="BA297" i="2"/>
  <c r="AZ297" i="2"/>
  <c r="AY297" i="2"/>
  <c r="AX297" i="2"/>
  <c r="AW297" i="2"/>
  <c r="AV297" i="2"/>
  <c r="AU297" i="2"/>
  <c r="AT297" i="2"/>
  <c r="AS297" i="2"/>
  <c r="AR297" i="2"/>
  <c r="AQ297" i="2"/>
  <c r="AP297" i="2"/>
  <c r="AO297" i="2"/>
  <c r="AN297" i="2"/>
  <c r="AM297" i="2"/>
  <c r="AL297" i="2"/>
  <c r="AK297" i="2"/>
  <c r="AJ297" i="2"/>
  <c r="AI297" i="2"/>
  <c r="AH297" i="2"/>
  <c r="AG297" i="2"/>
  <c r="AF297" i="2"/>
  <c r="AE297" i="2"/>
  <c r="AD297" i="2"/>
  <c r="AC297" i="2"/>
  <c r="AB297" i="2"/>
  <c r="AA297" i="2"/>
  <c r="Z297" i="2"/>
  <c r="Y297" i="2"/>
  <c r="X297" i="2"/>
  <c r="W297" i="2"/>
  <c r="V297" i="2"/>
  <c r="U297" i="2"/>
  <c r="T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F277" i="2"/>
  <c r="BE277" i="2"/>
  <c r="BD277" i="2"/>
  <c r="BC277" i="2"/>
  <c r="BB277" i="2"/>
  <c r="BA277" i="2"/>
  <c r="AZ277" i="2"/>
  <c r="AY277" i="2"/>
  <c r="AX277" i="2"/>
  <c r="AW277" i="2"/>
  <c r="AV277" i="2"/>
  <c r="AU277" i="2"/>
  <c r="AT277" i="2"/>
  <c r="AS277" i="2"/>
  <c r="AR277" i="2"/>
  <c r="AQ277" i="2"/>
  <c r="AP277" i="2"/>
  <c r="AO277" i="2"/>
  <c r="AN277" i="2"/>
  <c r="AM277" i="2"/>
  <c r="AL277" i="2"/>
  <c r="AK277" i="2"/>
  <c r="AJ277" i="2"/>
  <c r="AI277" i="2"/>
  <c r="AH277" i="2"/>
  <c r="AG277" i="2"/>
  <c r="AF277" i="2"/>
  <c r="AE277" i="2"/>
  <c r="AD277" i="2"/>
  <c r="AC277" i="2"/>
  <c r="AB277" i="2"/>
  <c r="AA277" i="2"/>
  <c r="Z277" i="2"/>
  <c r="Y277" i="2"/>
  <c r="X277" i="2"/>
  <c r="W277" i="2"/>
  <c r="V277" i="2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F276" i="2"/>
  <c r="BE276" i="2"/>
  <c r="BD276" i="2"/>
  <c r="BC276" i="2"/>
  <c r="BB276" i="2"/>
  <c r="BA276" i="2"/>
  <c r="AZ276" i="2"/>
  <c r="AY276" i="2"/>
  <c r="AX276" i="2"/>
  <c r="AW276" i="2"/>
  <c r="AV276" i="2"/>
  <c r="AU276" i="2"/>
  <c r="AT276" i="2"/>
  <c r="AS276" i="2"/>
  <c r="AR276" i="2"/>
  <c r="AQ276" i="2"/>
  <c r="AP276" i="2"/>
  <c r="AO276" i="2"/>
  <c r="AN276" i="2"/>
  <c r="AM276" i="2"/>
  <c r="AL276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F275" i="2"/>
  <c r="BE275" i="2"/>
  <c r="BD275" i="2"/>
  <c r="BC275" i="2"/>
  <c r="BB275" i="2"/>
  <c r="BA275" i="2"/>
  <c r="AZ275" i="2"/>
  <c r="AY275" i="2"/>
  <c r="AX275" i="2"/>
  <c r="AW275" i="2"/>
  <c r="AV275" i="2"/>
  <c r="AU275" i="2"/>
  <c r="AT275" i="2"/>
  <c r="AS275" i="2"/>
  <c r="AR275" i="2"/>
  <c r="AQ275" i="2"/>
  <c r="AP275" i="2"/>
  <c r="AO275" i="2"/>
  <c r="AN275" i="2"/>
  <c r="AM275" i="2"/>
  <c r="AL275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F274" i="2"/>
  <c r="BE274" i="2"/>
  <c r="BD274" i="2"/>
  <c r="BC274" i="2"/>
  <c r="BB274" i="2"/>
  <c r="BA274" i="2"/>
  <c r="AZ274" i="2"/>
  <c r="AY274" i="2"/>
  <c r="AX274" i="2"/>
  <c r="AW274" i="2"/>
  <c r="AV274" i="2"/>
  <c r="AU274" i="2"/>
  <c r="AT274" i="2"/>
  <c r="AS274" i="2"/>
  <c r="AR274" i="2"/>
  <c r="AQ274" i="2"/>
  <c r="AP274" i="2"/>
  <c r="AO274" i="2"/>
  <c r="AN274" i="2"/>
  <c r="AM274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F273" i="2"/>
  <c r="BE273" i="2"/>
  <c r="BD273" i="2"/>
  <c r="BC273" i="2"/>
  <c r="BB273" i="2"/>
  <c r="BA273" i="2"/>
  <c r="AZ273" i="2"/>
  <c r="AY273" i="2"/>
  <c r="AX273" i="2"/>
  <c r="AW273" i="2"/>
  <c r="AV273" i="2"/>
  <c r="AU273" i="2"/>
  <c r="AT273" i="2"/>
  <c r="AS273" i="2"/>
  <c r="AR273" i="2"/>
  <c r="AQ273" i="2"/>
  <c r="AP273" i="2"/>
  <c r="AO273" i="2"/>
  <c r="AN273" i="2"/>
  <c r="AM273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T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BF272" i="2"/>
  <c r="BE272" i="2"/>
  <c r="BD272" i="2"/>
  <c r="BC272" i="2"/>
  <c r="BB272" i="2"/>
  <c r="BA272" i="2"/>
  <c r="AZ272" i="2"/>
  <c r="AY272" i="2"/>
  <c r="AX272" i="2"/>
  <c r="AW272" i="2"/>
  <c r="AV272" i="2"/>
  <c r="AU272" i="2"/>
  <c r="AT272" i="2"/>
  <c r="AS272" i="2"/>
  <c r="AR272" i="2"/>
  <c r="AQ272" i="2"/>
  <c r="AP272" i="2"/>
  <c r="AO272" i="2"/>
  <c r="AN272" i="2"/>
  <c r="AM272" i="2"/>
  <c r="AL272" i="2"/>
  <c r="AK272" i="2"/>
  <c r="AJ272" i="2"/>
  <c r="AI272" i="2"/>
  <c r="AH272" i="2"/>
  <c r="AG272" i="2"/>
  <c r="AF272" i="2"/>
  <c r="AE272" i="2"/>
  <c r="AD272" i="2"/>
  <c r="AC272" i="2"/>
  <c r="AB272" i="2"/>
  <c r="AA272" i="2"/>
  <c r="Z272" i="2"/>
  <c r="Y272" i="2"/>
  <c r="X272" i="2"/>
  <c r="W272" i="2"/>
  <c r="V272" i="2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F271" i="2"/>
  <c r="BE271" i="2"/>
  <c r="BD271" i="2"/>
  <c r="BC271" i="2"/>
  <c r="BB271" i="2"/>
  <c r="BA271" i="2"/>
  <c r="AZ271" i="2"/>
  <c r="AY271" i="2"/>
  <c r="AX271" i="2"/>
  <c r="AW271" i="2"/>
  <c r="AV271" i="2"/>
  <c r="AU271" i="2"/>
  <c r="AT271" i="2"/>
  <c r="AS271" i="2"/>
  <c r="AR271" i="2"/>
  <c r="AQ271" i="2"/>
  <c r="AP271" i="2"/>
  <c r="AO271" i="2"/>
  <c r="AN271" i="2"/>
  <c r="AM271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F269" i="2"/>
  <c r="BE269" i="2"/>
  <c r="BD269" i="2"/>
  <c r="BC269" i="2"/>
  <c r="BB269" i="2"/>
  <c r="BA269" i="2"/>
  <c r="AZ269" i="2"/>
  <c r="AY269" i="2"/>
  <c r="AX269" i="2"/>
  <c r="AW269" i="2"/>
  <c r="AV269" i="2"/>
  <c r="AU269" i="2"/>
  <c r="AT269" i="2"/>
  <c r="AS269" i="2"/>
  <c r="AR269" i="2"/>
  <c r="AQ269" i="2"/>
  <c r="AP269" i="2"/>
  <c r="AO269" i="2"/>
  <c r="AN269" i="2"/>
  <c r="AM269" i="2"/>
  <c r="AL269" i="2"/>
  <c r="AK269" i="2"/>
  <c r="AJ269" i="2"/>
  <c r="AI269" i="2"/>
  <c r="AH269" i="2"/>
  <c r="AG269" i="2"/>
  <c r="AF269" i="2"/>
  <c r="AE269" i="2"/>
  <c r="AD269" i="2"/>
  <c r="AC269" i="2"/>
  <c r="AB269" i="2"/>
  <c r="AA269" i="2"/>
  <c r="Z269" i="2"/>
  <c r="Y269" i="2"/>
  <c r="X269" i="2"/>
  <c r="W269" i="2"/>
  <c r="V269" i="2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F268" i="2"/>
  <c r="BE268" i="2"/>
  <c r="BD268" i="2"/>
  <c r="BC268" i="2"/>
  <c r="BB268" i="2"/>
  <c r="BA268" i="2"/>
  <c r="AZ268" i="2"/>
  <c r="AY268" i="2"/>
  <c r="AX268" i="2"/>
  <c r="AW268" i="2"/>
  <c r="AV268" i="2"/>
  <c r="AU268" i="2"/>
  <c r="AT268" i="2"/>
  <c r="AS268" i="2"/>
  <c r="AR268" i="2"/>
  <c r="AQ268" i="2"/>
  <c r="AP268" i="2"/>
  <c r="AO268" i="2"/>
  <c r="AN268" i="2"/>
  <c r="AM268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F267" i="2"/>
  <c r="BE267" i="2"/>
  <c r="BD267" i="2"/>
  <c r="BC267" i="2"/>
  <c r="BB267" i="2"/>
  <c r="BA267" i="2"/>
  <c r="AZ267" i="2"/>
  <c r="AY267" i="2"/>
  <c r="AX267" i="2"/>
  <c r="AW267" i="2"/>
  <c r="AV267" i="2"/>
  <c r="AU267" i="2"/>
  <c r="AT267" i="2"/>
  <c r="AS267" i="2"/>
  <c r="AR267" i="2"/>
  <c r="AQ267" i="2"/>
  <c r="AP267" i="2"/>
  <c r="AO267" i="2"/>
  <c r="AN267" i="2"/>
  <c r="AM267" i="2"/>
  <c r="AL267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F266" i="2"/>
  <c r="BE266" i="2"/>
  <c r="BD266" i="2"/>
  <c r="BC266" i="2"/>
  <c r="BB266" i="2"/>
  <c r="BA266" i="2"/>
  <c r="AZ266" i="2"/>
  <c r="AY266" i="2"/>
  <c r="AX266" i="2"/>
  <c r="AW266" i="2"/>
  <c r="AV266" i="2"/>
  <c r="AU266" i="2"/>
  <c r="AT266" i="2"/>
  <c r="AS266" i="2"/>
  <c r="AR266" i="2"/>
  <c r="AQ266" i="2"/>
  <c r="AP266" i="2"/>
  <c r="AO266" i="2"/>
  <c r="AN266" i="2"/>
  <c r="AM266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T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BF265" i="2"/>
  <c r="BE265" i="2"/>
  <c r="BD265" i="2"/>
  <c r="BC265" i="2"/>
  <c r="BB265" i="2"/>
  <c r="BA265" i="2"/>
  <c r="AZ265" i="2"/>
  <c r="AY265" i="2"/>
  <c r="AX265" i="2"/>
  <c r="AW265" i="2"/>
  <c r="AV265" i="2"/>
  <c r="AU265" i="2"/>
  <c r="AT265" i="2"/>
  <c r="AS265" i="2"/>
  <c r="AR265" i="2"/>
  <c r="AQ265" i="2"/>
  <c r="AP265" i="2"/>
  <c r="AO265" i="2"/>
  <c r="AN265" i="2"/>
  <c r="AM265" i="2"/>
  <c r="AL265" i="2"/>
  <c r="AK265" i="2"/>
  <c r="AJ265" i="2"/>
  <c r="AI265" i="2"/>
  <c r="AH265" i="2"/>
  <c r="AG265" i="2"/>
  <c r="AF265" i="2"/>
  <c r="AE265" i="2"/>
  <c r="AD265" i="2"/>
  <c r="AC265" i="2"/>
  <c r="AB265" i="2"/>
  <c r="AA265" i="2"/>
  <c r="Z265" i="2"/>
  <c r="Y265" i="2"/>
  <c r="X265" i="2"/>
  <c r="W265" i="2"/>
  <c r="V265" i="2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F264" i="2"/>
  <c r="BE264" i="2"/>
  <c r="BD264" i="2"/>
  <c r="BC264" i="2"/>
  <c r="BB264" i="2"/>
  <c r="BA264" i="2"/>
  <c r="AZ264" i="2"/>
  <c r="AY264" i="2"/>
  <c r="AX264" i="2"/>
  <c r="AW264" i="2"/>
  <c r="AV264" i="2"/>
  <c r="AU264" i="2"/>
  <c r="AT264" i="2"/>
  <c r="AS264" i="2"/>
  <c r="AR264" i="2"/>
  <c r="AQ264" i="2"/>
  <c r="AP264" i="2"/>
  <c r="AO264" i="2"/>
  <c r="AN264" i="2"/>
  <c r="AM264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Z264" i="2"/>
  <c r="Y264" i="2"/>
  <c r="X264" i="2"/>
  <c r="W264" i="2"/>
  <c r="V264" i="2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F263" i="2"/>
  <c r="BE263" i="2"/>
  <c r="BD263" i="2"/>
  <c r="BC263" i="2"/>
  <c r="BB263" i="2"/>
  <c r="BA263" i="2"/>
  <c r="AZ263" i="2"/>
  <c r="AY263" i="2"/>
  <c r="AX263" i="2"/>
  <c r="AW263" i="2"/>
  <c r="AV263" i="2"/>
  <c r="AU263" i="2"/>
  <c r="AT263" i="2"/>
  <c r="AS263" i="2"/>
  <c r="AR263" i="2"/>
  <c r="AQ263" i="2"/>
  <c r="AP263" i="2"/>
  <c r="AO263" i="2"/>
  <c r="AN263" i="2"/>
  <c r="AM263" i="2"/>
  <c r="AL263" i="2"/>
  <c r="AK263" i="2"/>
  <c r="AJ263" i="2"/>
  <c r="AI263" i="2"/>
  <c r="AH263" i="2"/>
  <c r="AG263" i="2"/>
  <c r="AF263" i="2"/>
  <c r="AE263" i="2"/>
  <c r="AD263" i="2"/>
  <c r="AC263" i="2"/>
  <c r="AB263" i="2"/>
  <c r="AA263" i="2"/>
  <c r="Z263" i="2"/>
  <c r="Y263" i="2"/>
  <c r="X263" i="2"/>
  <c r="W263" i="2"/>
  <c r="V263" i="2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F251" i="2"/>
  <c r="BE251" i="2"/>
  <c r="BD251" i="2"/>
  <c r="BC251" i="2"/>
  <c r="BB251" i="2"/>
  <c r="BA251" i="2"/>
  <c r="AZ251" i="2"/>
  <c r="AY251" i="2"/>
  <c r="AX251" i="2"/>
  <c r="AW251" i="2"/>
  <c r="AV251" i="2"/>
  <c r="AU251" i="2"/>
  <c r="AT251" i="2"/>
  <c r="AS251" i="2"/>
  <c r="AR251" i="2"/>
  <c r="AQ251" i="2"/>
  <c r="AP251" i="2"/>
  <c r="AO251" i="2"/>
  <c r="AN251" i="2"/>
  <c r="AM251" i="2"/>
  <c r="AL251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F250" i="2"/>
  <c r="BE250" i="2"/>
  <c r="BD250" i="2"/>
  <c r="BC250" i="2"/>
  <c r="BB250" i="2"/>
  <c r="BA250" i="2"/>
  <c r="AZ250" i="2"/>
  <c r="AY250" i="2"/>
  <c r="AX250" i="2"/>
  <c r="AW250" i="2"/>
  <c r="AV250" i="2"/>
  <c r="AU250" i="2"/>
  <c r="AT250" i="2"/>
  <c r="AS250" i="2"/>
  <c r="AR250" i="2"/>
  <c r="AQ250" i="2"/>
  <c r="AP250" i="2"/>
  <c r="AO250" i="2"/>
  <c r="AN250" i="2"/>
  <c r="AM250" i="2"/>
  <c r="AL250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F249" i="2"/>
  <c r="BE249" i="2"/>
  <c r="BD249" i="2"/>
  <c r="BC249" i="2"/>
  <c r="BB249" i="2"/>
  <c r="BA249" i="2"/>
  <c r="AZ249" i="2"/>
  <c r="AY249" i="2"/>
  <c r="AX249" i="2"/>
  <c r="AW249" i="2"/>
  <c r="AV249" i="2"/>
  <c r="AU249" i="2"/>
  <c r="AT249" i="2"/>
  <c r="AS249" i="2"/>
  <c r="AR249" i="2"/>
  <c r="AQ249" i="2"/>
  <c r="AP249" i="2"/>
  <c r="AO249" i="2"/>
  <c r="AN249" i="2"/>
  <c r="AM249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T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F248" i="2"/>
  <c r="BE248" i="2"/>
  <c r="BD248" i="2"/>
  <c r="BC248" i="2"/>
  <c r="BB248" i="2"/>
  <c r="BA248" i="2"/>
  <c r="AZ248" i="2"/>
  <c r="AY248" i="2"/>
  <c r="AX248" i="2"/>
  <c r="AW248" i="2"/>
  <c r="AV248" i="2"/>
  <c r="AU248" i="2"/>
  <c r="AT248" i="2"/>
  <c r="AS248" i="2"/>
  <c r="AR248" i="2"/>
  <c r="AQ248" i="2"/>
  <c r="AP248" i="2"/>
  <c r="AO248" i="2"/>
  <c r="AN248" i="2"/>
  <c r="AM248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F247" i="2"/>
  <c r="BE247" i="2"/>
  <c r="BD247" i="2"/>
  <c r="BC247" i="2"/>
  <c r="BB247" i="2"/>
  <c r="BA247" i="2"/>
  <c r="AZ247" i="2"/>
  <c r="AY247" i="2"/>
  <c r="AX247" i="2"/>
  <c r="AW247" i="2"/>
  <c r="AV247" i="2"/>
  <c r="AU247" i="2"/>
  <c r="AT247" i="2"/>
  <c r="AS247" i="2"/>
  <c r="AR247" i="2"/>
  <c r="AQ247" i="2"/>
  <c r="AP247" i="2"/>
  <c r="AO247" i="2"/>
  <c r="AN247" i="2"/>
  <c r="AM247" i="2"/>
  <c r="AL247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F246" i="2"/>
  <c r="BE246" i="2"/>
  <c r="BD246" i="2"/>
  <c r="BC246" i="2"/>
  <c r="BB246" i="2"/>
  <c r="BA246" i="2"/>
  <c r="AZ246" i="2"/>
  <c r="AY246" i="2"/>
  <c r="AX246" i="2"/>
  <c r="AW246" i="2"/>
  <c r="AV246" i="2"/>
  <c r="AU246" i="2"/>
  <c r="AT246" i="2"/>
  <c r="AS246" i="2"/>
  <c r="AR246" i="2"/>
  <c r="AQ246" i="2"/>
  <c r="AP246" i="2"/>
  <c r="AO246" i="2"/>
  <c r="AN246" i="2"/>
  <c r="AM246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F245" i="2"/>
  <c r="BE245" i="2"/>
  <c r="BD245" i="2"/>
  <c r="BC245" i="2"/>
  <c r="BB245" i="2"/>
  <c r="BA245" i="2"/>
  <c r="AZ245" i="2"/>
  <c r="AY245" i="2"/>
  <c r="AX245" i="2"/>
  <c r="AW245" i="2"/>
  <c r="AV245" i="2"/>
  <c r="AU245" i="2"/>
  <c r="AT245" i="2"/>
  <c r="AS245" i="2"/>
  <c r="AR245" i="2"/>
  <c r="AQ245" i="2"/>
  <c r="AP245" i="2"/>
  <c r="AO245" i="2"/>
  <c r="AN245" i="2"/>
  <c r="AM245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T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F242" i="2"/>
  <c r="BE242" i="2"/>
  <c r="BD242" i="2"/>
  <c r="BC242" i="2"/>
  <c r="BB242" i="2"/>
  <c r="BA242" i="2"/>
  <c r="AZ242" i="2"/>
  <c r="AY242" i="2"/>
  <c r="AX242" i="2"/>
  <c r="AW242" i="2"/>
  <c r="AV242" i="2"/>
  <c r="AU242" i="2"/>
  <c r="AT242" i="2"/>
  <c r="AS242" i="2"/>
  <c r="AR242" i="2"/>
  <c r="AQ242" i="2"/>
  <c r="AP242" i="2"/>
  <c r="AO242" i="2"/>
  <c r="AN242" i="2"/>
  <c r="AM242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F241" i="2"/>
  <c r="BE241" i="2"/>
  <c r="BD241" i="2"/>
  <c r="BC241" i="2"/>
  <c r="BB241" i="2"/>
  <c r="BA241" i="2"/>
  <c r="AZ241" i="2"/>
  <c r="AY241" i="2"/>
  <c r="AX241" i="2"/>
  <c r="AW241" i="2"/>
  <c r="AV241" i="2"/>
  <c r="AU241" i="2"/>
  <c r="AT241" i="2"/>
  <c r="AS241" i="2"/>
  <c r="AR241" i="2"/>
  <c r="AQ241" i="2"/>
  <c r="AP241" i="2"/>
  <c r="AO241" i="2"/>
  <c r="AN241" i="2"/>
  <c r="AM241" i="2"/>
  <c r="AL241" i="2"/>
  <c r="AK241" i="2"/>
  <c r="AJ241" i="2"/>
  <c r="AI241" i="2"/>
  <c r="AH241" i="2"/>
  <c r="AG241" i="2"/>
  <c r="AF241" i="2"/>
  <c r="AE241" i="2"/>
  <c r="AD241" i="2"/>
  <c r="AC241" i="2"/>
  <c r="AB241" i="2"/>
  <c r="AA241" i="2"/>
  <c r="Z241" i="2"/>
  <c r="Y241" i="2"/>
  <c r="X241" i="2"/>
  <c r="W241" i="2"/>
  <c r="V241" i="2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F240" i="2"/>
  <c r="BE240" i="2"/>
  <c r="BD240" i="2"/>
  <c r="BC240" i="2"/>
  <c r="BB240" i="2"/>
  <c r="BA240" i="2"/>
  <c r="AZ240" i="2"/>
  <c r="AY240" i="2"/>
  <c r="AX240" i="2"/>
  <c r="AW240" i="2"/>
  <c r="AV240" i="2"/>
  <c r="AU240" i="2"/>
  <c r="AT240" i="2"/>
  <c r="AS240" i="2"/>
  <c r="AR240" i="2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X240" i="2"/>
  <c r="W240" i="2"/>
  <c r="V240" i="2"/>
  <c r="U240" i="2"/>
  <c r="T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F239" i="2"/>
  <c r="BE239" i="2"/>
  <c r="BD239" i="2"/>
  <c r="BC239" i="2"/>
  <c r="BB239" i="2"/>
  <c r="BA239" i="2"/>
  <c r="AZ239" i="2"/>
  <c r="AY239" i="2"/>
  <c r="AX239" i="2"/>
  <c r="AW239" i="2"/>
  <c r="AV239" i="2"/>
  <c r="AU239" i="2"/>
  <c r="AT239" i="2"/>
  <c r="AS239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X239" i="2"/>
  <c r="W239" i="2"/>
  <c r="V239" i="2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F238" i="2"/>
  <c r="BE238" i="2"/>
  <c r="BD238" i="2"/>
  <c r="BC238" i="2"/>
  <c r="BB238" i="2"/>
  <c r="BA238" i="2"/>
  <c r="AZ238" i="2"/>
  <c r="AY238" i="2"/>
  <c r="AX238" i="2"/>
  <c r="AW238" i="2"/>
  <c r="AV238" i="2"/>
  <c r="AU238" i="2"/>
  <c r="AT238" i="2"/>
  <c r="AS238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F237" i="2"/>
  <c r="BE237" i="2"/>
  <c r="BD237" i="2"/>
  <c r="BC237" i="2"/>
  <c r="BB237" i="2"/>
  <c r="BA237" i="2"/>
  <c r="AZ237" i="2"/>
  <c r="AY237" i="2"/>
  <c r="AX237" i="2"/>
  <c r="AW237" i="2"/>
  <c r="AV237" i="2"/>
  <c r="AU237" i="2"/>
  <c r="AT237" i="2"/>
  <c r="AS237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X237" i="2"/>
  <c r="W237" i="2"/>
  <c r="V237" i="2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F236" i="2"/>
  <c r="BE236" i="2"/>
  <c r="BD236" i="2"/>
  <c r="BC236" i="2"/>
  <c r="BB236" i="2"/>
  <c r="BA236" i="2"/>
  <c r="AZ236" i="2"/>
  <c r="AY236" i="2"/>
  <c r="AX236" i="2"/>
  <c r="AW236" i="2"/>
  <c r="AV236" i="2"/>
  <c r="AU236" i="2"/>
  <c r="AT236" i="2"/>
  <c r="AS236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F214" i="2"/>
  <c r="BE214" i="2"/>
  <c r="BD214" i="2"/>
  <c r="BC214" i="2"/>
  <c r="BB214" i="2"/>
  <c r="BA214" i="2"/>
  <c r="AZ214" i="2"/>
  <c r="AY214" i="2"/>
  <c r="AX214" i="2"/>
  <c r="AW214" i="2"/>
  <c r="AV214" i="2"/>
  <c r="AU214" i="2"/>
  <c r="AT214" i="2"/>
  <c r="AS214" i="2"/>
  <c r="AR214" i="2"/>
  <c r="AQ214" i="2"/>
  <c r="AP214" i="2"/>
  <c r="AO214" i="2"/>
  <c r="AN214" i="2"/>
  <c r="AM214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F213" i="2"/>
  <c r="BE213" i="2"/>
  <c r="BD213" i="2"/>
  <c r="BC213" i="2"/>
  <c r="BB213" i="2"/>
  <c r="BA213" i="2"/>
  <c r="AZ213" i="2"/>
  <c r="AY213" i="2"/>
  <c r="AX213" i="2"/>
  <c r="AW213" i="2"/>
  <c r="AV213" i="2"/>
  <c r="AU213" i="2"/>
  <c r="AT213" i="2"/>
  <c r="AS213" i="2"/>
  <c r="AR213" i="2"/>
  <c r="AQ213" i="2"/>
  <c r="AP213" i="2"/>
  <c r="AO213" i="2"/>
  <c r="AN213" i="2"/>
  <c r="AM213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F212" i="2"/>
  <c r="BE212" i="2"/>
  <c r="BD212" i="2"/>
  <c r="BC212" i="2"/>
  <c r="BB212" i="2"/>
  <c r="BA212" i="2"/>
  <c r="AZ212" i="2"/>
  <c r="AY212" i="2"/>
  <c r="AX212" i="2"/>
  <c r="AW212" i="2"/>
  <c r="AV212" i="2"/>
  <c r="AU212" i="2"/>
  <c r="AT212" i="2"/>
  <c r="AS212" i="2"/>
  <c r="AR212" i="2"/>
  <c r="AQ212" i="2"/>
  <c r="AP212" i="2"/>
  <c r="AO212" i="2"/>
  <c r="AN212" i="2"/>
  <c r="AM212" i="2"/>
  <c r="AL212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F211" i="2"/>
  <c r="BE211" i="2"/>
  <c r="BD211" i="2"/>
  <c r="BC211" i="2"/>
  <c r="BB211" i="2"/>
  <c r="BA211" i="2"/>
  <c r="AZ211" i="2"/>
  <c r="AY211" i="2"/>
  <c r="AX211" i="2"/>
  <c r="AW211" i="2"/>
  <c r="AV211" i="2"/>
  <c r="AU211" i="2"/>
  <c r="AT211" i="2"/>
  <c r="AS211" i="2"/>
  <c r="AR211" i="2"/>
  <c r="AQ211" i="2"/>
  <c r="AP211" i="2"/>
  <c r="AO211" i="2"/>
  <c r="AN211" i="2"/>
  <c r="AM211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F208" i="2"/>
  <c r="BE208" i="2"/>
  <c r="BD208" i="2"/>
  <c r="BC208" i="2"/>
  <c r="BB208" i="2"/>
  <c r="BA208" i="2"/>
  <c r="AZ208" i="2"/>
  <c r="AY208" i="2"/>
  <c r="AX208" i="2"/>
  <c r="AW208" i="2"/>
  <c r="AV208" i="2"/>
  <c r="AU208" i="2"/>
  <c r="AT208" i="2"/>
  <c r="AS208" i="2"/>
  <c r="AR208" i="2"/>
  <c r="AQ208" i="2"/>
  <c r="AP208" i="2"/>
  <c r="AO208" i="2"/>
  <c r="AN208" i="2"/>
  <c r="AM208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F207" i="2"/>
  <c r="BE207" i="2"/>
  <c r="BD207" i="2"/>
  <c r="BC207" i="2"/>
  <c r="BB207" i="2"/>
  <c r="BA207" i="2"/>
  <c r="AZ207" i="2"/>
  <c r="AY207" i="2"/>
  <c r="AX207" i="2"/>
  <c r="AW207" i="2"/>
  <c r="AV207" i="2"/>
  <c r="AU207" i="2"/>
  <c r="AT207" i="2"/>
  <c r="AS207" i="2"/>
  <c r="AR207" i="2"/>
  <c r="AQ207" i="2"/>
  <c r="AP207" i="2"/>
  <c r="AO207" i="2"/>
  <c r="AN207" i="2"/>
  <c r="AM207" i="2"/>
  <c r="AL207" i="2"/>
  <c r="AK207" i="2"/>
  <c r="AJ207" i="2"/>
  <c r="AI207" i="2"/>
  <c r="AH207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F206" i="2"/>
  <c r="BE206" i="2"/>
  <c r="BD206" i="2"/>
  <c r="BC206" i="2"/>
  <c r="BB206" i="2"/>
  <c r="BA206" i="2"/>
  <c r="AZ206" i="2"/>
  <c r="AY206" i="2"/>
  <c r="AX206" i="2"/>
  <c r="AW206" i="2"/>
  <c r="AV206" i="2"/>
  <c r="AU206" i="2"/>
  <c r="AT206" i="2"/>
  <c r="AS206" i="2"/>
  <c r="AR206" i="2"/>
  <c r="AQ206" i="2"/>
  <c r="AP206" i="2"/>
  <c r="AO206" i="2"/>
  <c r="AN206" i="2"/>
  <c r="AM206" i="2"/>
  <c r="AL206" i="2"/>
  <c r="AK206" i="2"/>
  <c r="AJ206" i="2"/>
  <c r="AI206" i="2"/>
  <c r="AH206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F205" i="2"/>
  <c r="BE205" i="2"/>
  <c r="BD205" i="2"/>
  <c r="BC205" i="2"/>
  <c r="BB205" i="2"/>
  <c r="BA205" i="2"/>
  <c r="AZ205" i="2"/>
  <c r="AY205" i="2"/>
  <c r="AX205" i="2"/>
  <c r="AW205" i="2"/>
  <c r="AV205" i="2"/>
  <c r="AU205" i="2"/>
  <c r="AT205" i="2"/>
  <c r="AS205" i="2"/>
  <c r="AR205" i="2"/>
  <c r="AQ205" i="2"/>
  <c r="AP205" i="2"/>
  <c r="AO205" i="2"/>
  <c r="AN205" i="2"/>
  <c r="AM205" i="2"/>
  <c r="AL205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F204" i="2"/>
  <c r="BE204" i="2"/>
  <c r="BD204" i="2"/>
  <c r="BC204" i="2"/>
  <c r="BB204" i="2"/>
  <c r="BA204" i="2"/>
  <c r="AZ204" i="2"/>
  <c r="AY204" i="2"/>
  <c r="AX204" i="2"/>
  <c r="AW204" i="2"/>
  <c r="AV204" i="2"/>
  <c r="AU204" i="2"/>
  <c r="AT204" i="2"/>
  <c r="AS204" i="2"/>
  <c r="AR204" i="2"/>
  <c r="AQ204" i="2"/>
  <c r="AP204" i="2"/>
  <c r="AO204" i="2"/>
  <c r="AN204" i="2"/>
  <c r="AM204" i="2"/>
  <c r="AL204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F202" i="2"/>
  <c r="BE202" i="2"/>
  <c r="BD202" i="2"/>
  <c r="BC202" i="2"/>
  <c r="BB202" i="2"/>
  <c r="BA202" i="2"/>
  <c r="AZ202" i="2"/>
  <c r="AY202" i="2"/>
  <c r="AX202" i="2"/>
  <c r="AW202" i="2"/>
  <c r="AV202" i="2"/>
  <c r="AU202" i="2"/>
  <c r="AT202" i="2"/>
  <c r="AS202" i="2"/>
  <c r="AR202" i="2"/>
  <c r="AQ202" i="2"/>
  <c r="AP202" i="2"/>
  <c r="AO202" i="2"/>
  <c r="AN202" i="2"/>
  <c r="AM202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F201" i="2"/>
  <c r="BE201" i="2"/>
  <c r="BD201" i="2"/>
  <c r="BC201" i="2"/>
  <c r="BB201" i="2"/>
  <c r="BA201" i="2"/>
  <c r="AZ201" i="2"/>
  <c r="AY201" i="2"/>
  <c r="AX201" i="2"/>
  <c r="AW201" i="2"/>
  <c r="AV201" i="2"/>
  <c r="AU201" i="2"/>
  <c r="AT201" i="2"/>
  <c r="AS201" i="2"/>
  <c r="AR201" i="2"/>
  <c r="AQ201" i="2"/>
  <c r="AP201" i="2"/>
  <c r="AO201" i="2"/>
  <c r="AN201" i="2"/>
  <c r="AM201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F200" i="2"/>
  <c r="BE200" i="2"/>
  <c r="BD200" i="2"/>
  <c r="BC200" i="2"/>
  <c r="BB200" i="2"/>
  <c r="BA200" i="2"/>
  <c r="AZ200" i="2"/>
  <c r="AY200" i="2"/>
  <c r="AX200" i="2"/>
  <c r="AW200" i="2"/>
  <c r="AV200" i="2"/>
  <c r="AU200" i="2"/>
  <c r="AT200" i="2"/>
  <c r="AS200" i="2"/>
  <c r="AR200" i="2"/>
  <c r="AQ200" i="2"/>
  <c r="AP200" i="2"/>
  <c r="AO200" i="2"/>
  <c r="AN200" i="2"/>
  <c r="AM200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F199" i="2"/>
  <c r="BE199" i="2"/>
  <c r="BD199" i="2"/>
  <c r="BC199" i="2"/>
  <c r="BB199" i="2"/>
  <c r="BA199" i="2"/>
  <c r="AZ199" i="2"/>
  <c r="AY199" i="2"/>
  <c r="AX199" i="2"/>
  <c r="AW199" i="2"/>
  <c r="AV199" i="2"/>
  <c r="AU199" i="2"/>
  <c r="AT199" i="2"/>
  <c r="AS199" i="2"/>
  <c r="AR199" i="2"/>
  <c r="AQ199" i="2"/>
  <c r="AP199" i="2"/>
  <c r="AO199" i="2"/>
  <c r="AN199" i="2"/>
  <c r="AM199" i="2"/>
  <c r="AL199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F196" i="2"/>
  <c r="BE196" i="2"/>
  <c r="BD196" i="2"/>
  <c r="BC196" i="2"/>
  <c r="BB196" i="2"/>
  <c r="BA196" i="2"/>
  <c r="AZ196" i="2"/>
  <c r="AY196" i="2"/>
  <c r="AX196" i="2"/>
  <c r="AW196" i="2"/>
  <c r="AV196" i="2"/>
  <c r="AU196" i="2"/>
  <c r="AT196" i="2"/>
  <c r="AS196" i="2"/>
  <c r="AR196" i="2"/>
  <c r="AQ196" i="2"/>
  <c r="AP196" i="2"/>
  <c r="AO196" i="2"/>
  <c r="AN196" i="2"/>
  <c r="AM196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F195" i="2"/>
  <c r="BE195" i="2"/>
  <c r="BD195" i="2"/>
  <c r="BC195" i="2"/>
  <c r="BB195" i="2"/>
  <c r="BA195" i="2"/>
  <c r="AZ195" i="2"/>
  <c r="AY195" i="2"/>
  <c r="AX195" i="2"/>
  <c r="AW195" i="2"/>
  <c r="AV195" i="2"/>
  <c r="AU195" i="2"/>
  <c r="AT195" i="2"/>
  <c r="AS195" i="2"/>
  <c r="AR195" i="2"/>
  <c r="AQ195" i="2"/>
  <c r="AP195" i="2"/>
  <c r="AO195" i="2"/>
  <c r="AN195" i="2"/>
  <c r="AM195" i="2"/>
  <c r="AL195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F194" i="2"/>
  <c r="BE194" i="2"/>
  <c r="BD194" i="2"/>
  <c r="BC194" i="2"/>
  <c r="BB194" i="2"/>
  <c r="BA194" i="2"/>
  <c r="AZ194" i="2"/>
  <c r="AY194" i="2"/>
  <c r="AX194" i="2"/>
  <c r="AW194" i="2"/>
  <c r="AV194" i="2"/>
  <c r="AU194" i="2"/>
  <c r="AT194" i="2"/>
  <c r="AS194" i="2"/>
  <c r="AR194" i="2"/>
  <c r="AQ194" i="2"/>
  <c r="AP194" i="2"/>
  <c r="AO194" i="2"/>
  <c r="AN194" i="2"/>
  <c r="AM194" i="2"/>
  <c r="AL194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F193" i="2"/>
  <c r="BE193" i="2"/>
  <c r="BD193" i="2"/>
  <c r="BC193" i="2"/>
  <c r="BB193" i="2"/>
  <c r="BA193" i="2"/>
  <c r="AZ193" i="2"/>
  <c r="AY193" i="2"/>
  <c r="AX193" i="2"/>
  <c r="AW193" i="2"/>
  <c r="AV193" i="2"/>
  <c r="AU193" i="2"/>
  <c r="AT193" i="2"/>
  <c r="AS193" i="2"/>
  <c r="AR193" i="2"/>
  <c r="AQ193" i="2"/>
  <c r="AP193" i="2"/>
  <c r="AO193" i="2"/>
  <c r="AN193" i="2"/>
  <c r="AM193" i="2"/>
  <c r="AL193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F192" i="2"/>
  <c r="BE192" i="2"/>
  <c r="BD192" i="2"/>
  <c r="BC192" i="2"/>
  <c r="BB192" i="2"/>
  <c r="BA192" i="2"/>
  <c r="AZ192" i="2"/>
  <c r="AY192" i="2"/>
  <c r="AX192" i="2"/>
  <c r="AW192" i="2"/>
  <c r="AV192" i="2"/>
  <c r="AU192" i="2"/>
  <c r="AT192" i="2"/>
  <c r="AS192" i="2"/>
  <c r="AR192" i="2"/>
  <c r="AQ192" i="2"/>
  <c r="AP192" i="2"/>
  <c r="AO192" i="2"/>
  <c r="AN192" i="2"/>
  <c r="AM192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A24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A23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A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BF216" i="2" l="1"/>
  <c r="BE217" i="2"/>
  <c r="BF218" i="2"/>
  <c r="BF219" i="2"/>
  <c r="BE210" i="2"/>
  <c r="BE209" i="2" s="1"/>
  <c r="BF281" i="2"/>
  <c r="BF284" i="2"/>
  <c r="AM223" i="2"/>
  <c r="AU87" i="2"/>
  <c r="BD87" i="2"/>
  <c r="AP279" i="2"/>
  <c r="AT64" i="2"/>
  <c r="BF60" i="2"/>
  <c r="BF65" i="2"/>
  <c r="BE69" i="2"/>
  <c r="BD75" i="2"/>
  <c r="BF75" i="2"/>
  <c r="BF99" i="2"/>
  <c r="BF258" i="2"/>
  <c r="BF186" i="2"/>
  <c r="BE188" i="2"/>
  <c r="BF188" i="2"/>
  <c r="BD189" i="2"/>
  <c r="BE189" i="2"/>
  <c r="BE190" i="2"/>
  <c r="BF190" i="2"/>
  <c r="BD184" i="2"/>
  <c r="BE184" i="2"/>
  <c r="BF184" i="2"/>
  <c r="BD185" i="2"/>
  <c r="BE185" i="2"/>
  <c r="BF185" i="2"/>
  <c r="BD186" i="2"/>
  <c r="BE186" i="2"/>
  <c r="BD187" i="2"/>
  <c r="BE187" i="2"/>
  <c r="BF187" i="2"/>
  <c r="BD188" i="2"/>
  <c r="BF189" i="2"/>
  <c r="BD190" i="2"/>
  <c r="BE223" i="2"/>
  <c r="BE198" i="2"/>
  <c r="BE216" i="2"/>
  <c r="BE258" i="2"/>
  <c r="BF279" i="2"/>
  <c r="BE282" i="2"/>
  <c r="BF331" i="2"/>
  <c r="BD332" i="2"/>
  <c r="BE332" i="2"/>
  <c r="BE334" i="2"/>
  <c r="BF334" i="2"/>
  <c r="BD337" i="2"/>
  <c r="BE337" i="2"/>
  <c r="BF337" i="2"/>
  <c r="BF332" i="2"/>
  <c r="BD333" i="2"/>
  <c r="BE335" i="2"/>
  <c r="BF335" i="2"/>
  <c r="BD331" i="2"/>
  <c r="BE331" i="2"/>
  <c r="BF333" i="2"/>
  <c r="BD334" i="2"/>
  <c r="BD336" i="2"/>
  <c r="BE336" i="2"/>
  <c r="BF336" i="2"/>
  <c r="BE333" i="2"/>
  <c r="BD335" i="2"/>
  <c r="BD363" i="2"/>
  <c r="BE368" i="2"/>
  <c r="BE364" i="2"/>
  <c r="BF364" i="2"/>
  <c r="BE367" i="2"/>
  <c r="BF365" i="2"/>
  <c r="BD367" i="2"/>
  <c r="BD418" i="2"/>
  <c r="BF419" i="2"/>
  <c r="BD421" i="2"/>
  <c r="BD422" i="2"/>
  <c r="BE422" i="2"/>
  <c r="BD424" i="2"/>
  <c r="BE424" i="2"/>
  <c r="BF424" i="2"/>
  <c r="BD426" i="2"/>
  <c r="BF425" i="2"/>
  <c r="BE427" i="2"/>
  <c r="BE428" i="2"/>
  <c r="BF428" i="2"/>
  <c r="BD428" i="2"/>
  <c r="BF418" i="2"/>
  <c r="BE418" i="2"/>
  <c r="BD419" i="2"/>
  <c r="BE419" i="2"/>
  <c r="BD420" i="2"/>
  <c r="BE420" i="2"/>
  <c r="BF420" i="2"/>
  <c r="BE421" i="2"/>
  <c r="BF421" i="2"/>
  <c r="BF422" i="2"/>
  <c r="BF423" i="2"/>
  <c r="BD425" i="2"/>
  <c r="BE425" i="2"/>
  <c r="BE426" i="2"/>
  <c r="BF426" i="2"/>
  <c r="BF427" i="2"/>
  <c r="BF466" i="2"/>
  <c r="BF507" i="2"/>
  <c r="BE481" i="2"/>
  <c r="BF509" i="2"/>
  <c r="BE506" i="2"/>
  <c r="BF506" i="2"/>
  <c r="BD526" i="2"/>
  <c r="BE529" i="2"/>
  <c r="BD529" i="2"/>
  <c r="BD528" i="2"/>
  <c r="AO60" i="2"/>
  <c r="BA65" i="2"/>
  <c r="AO69" i="2"/>
  <c r="AP69" i="2"/>
  <c r="AW69" i="2"/>
  <c r="AX69" i="2"/>
  <c r="AM75" i="2"/>
  <c r="AN75" i="2"/>
  <c r="AO75" i="2"/>
  <c r="AR75" i="2"/>
  <c r="AT75" i="2"/>
  <c r="AU75" i="2"/>
  <c r="AV75" i="2"/>
  <c r="AW75" i="2"/>
  <c r="BB75" i="2"/>
  <c r="BC75" i="2"/>
  <c r="AS75" i="2"/>
  <c r="BA75" i="2"/>
  <c r="AZ75" i="2"/>
  <c r="AO87" i="2"/>
  <c r="AQ87" i="2"/>
  <c r="AR87" i="2"/>
  <c r="AR189" i="2"/>
  <c r="AZ189" i="2"/>
  <c r="BB189" i="2"/>
  <c r="BC189" i="2"/>
  <c r="AQ189" i="2"/>
  <c r="AY189" i="2"/>
  <c r="AP190" i="2"/>
  <c r="AQ190" i="2"/>
  <c r="AR190" i="2"/>
  <c r="AS190" i="2"/>
  <c r="AX190" i="2"/>
  <c r="AY190" i="2"/>
  <c r="AZ190" i="2"/>
  <c r="BA190" i="2"/>
  <c r="AM184" i="2"/>
  <c r="AN184" i="2"/>
  <c r="AO184" i="2"/>
  <c r="AP184" i="2"/>
  <c r="AQ184" i="2"/>
  <c r="AR184" i="2"/>
  <c r="AS184" i="2"/>
  <c r="AT184" i="2"/>
  <c r="AU184" i="2"/>
  <c r="AV184" i="2"/>
  <c r="AW184" i="2"/>
  <c r="AX184" i="2"/>
  <c r="AY184" i="2"/>
  <c r="AZ184" i="2"/>
  <c r="BA184" i="2"/>
  <c r="BB184" i="2"/>
  <c r="BC184" i="2"/>
  <c r="AM185" i="2"/>
  <c r="AN185" i="2"/>
  <c r="AO185" i="2"/>
  <c r="AP185" i="2"/>
  <c r="AQ185" i="2"/>
  <c r="AR185" i="2"/>
  <c r="AS185" i="2"/>
  <c r="AT185" i="2"/>
  <c r="AU185" i="2"/>
  <c r="AV185" i="2"/>
  <c r="AW185" i="2"/>
  <c r="AX185" i="2"/>
  <c r="AY185" i="2"/>
  <c r="AZ185" i="2"/>
  <c r="BA185" i="2"/>
  <c r="BB185" i="2"/>
  <c r="BC185" i="2"/>
  <c r="AM186" i="2"/>
  <c r="AN186" i="2"/>
  <c r="AO186" i="2"/>
  <c r="AP186" i="2"/>
  <c r="AQ186" i="2"/>
  <c r="AR186" i="2"/>
  <c r="AS186" i="2"/>
  <c r="AT186" i="2"/>
  <c r="AU186" i="2"/>
  <c r="AV186" i="2"/>
  <c r="AW186" i="2"/>
  <c r="AX186" i="2"/>
  <c r="AY186" i="2"/>
  <c r="AZ186" i="2"/>
  <c r="BA186" i="2"/>
  <c r="BB186" i="2"/>
  <c r="BC186" i="2"/>
  <c r="AM187" i="2"/>
  <c r="AN187" i="2"/>
  <c r="AO187" i="2"/>
  <c r="AP187" i="2"/>
  <c r="AQ187" i="2"/>
  <c r="AR187" i="2"/>
  <c r="AS187" i="2"/>
  <c r="AT187" i="2"/>
  <c r="AU187" i="2"/>
  <c r="AV187" i="2"/>
  <c r="AW187" i="2"/>
  <c r="AX187" i="2"/>
  <c r="AY187" i="2"/>
  <c r="AZ187" i="2"/>
  <c r="BA187" i="2"/>
  <c r="BB187" i="2"/>
  <c r="BC187" i="2"/>
  <c r="AM188" i="2"/>
  <c r="AN188" i="2"/>
  <c r="AO188" i="2"/>
  <c r="AP188" i="2"/>
  <c r="AQ188" i="2"/>
  <c r="AR188" i="2"/>
  <c r="AS188" i="2"/>
  <c r="AT188" i="2"/>
  <c r="AU188" i="2"/>
  <c r="AV188" i="2"/>
  <c r="AW188" i="2"/>
  <c r="AX188" i="2"/>
  <c r="AY188" i="2"/>
  <c r="AZ188" i="2"/>
  <c r="BA188" i="2"/>
  <c r="BB188" i="2"/>
  <c r="BC188" i="2"/>
  <c r="AM189" i="2"/>
  <c r="AN189" i="2"/>
  <c r="AO189" i="2"/>
  <c r="AP189" i="2"/>
  <c r="AT189" i="2"/>
  <c r="AU189" i="2"/>
  <c r="AV189" i="2"/>
  <c r="AW189" i="2"/>
  <c r="AX189" i="2"/>
  <c r="AM190" i="2"/>
  <c r="AN190" i="2"/>
  <c r="AO190" i="2"/>
  <c r="AT190" i="2"/>
  <c r="AU190" i="2"/>
  <c r="AV190" i="2"/>
  <c r="AW190" i="2"/>
  <c r="BB190" i="2"/>
  <c r="BC190" i="2"/>
  <c r="AR216" i="2"/>
  <c r="AN217" i="2"/>
  <c r="AV217" i="2"/>
  <c r="BC217" i="2"/>
  <c r="AX218" i="2"/>
  <c r="AV220" i="2"/>
  <c r="AW216" i="2"/>
  <c r="AT218" i="2"/>
  <c r="AZ218" i="2"/>
  <c r="AO219" i="2"/>
  <c r="BB219" i="2"/>
  <c r="AO216" i="2"/>
  <c r="AZ255" i="2"/>
  <c r="AT256" i="2"/>
  <c r="AR256" i="2"/>
  <c r="AZ257" i="2"/>
  <c r="AR258" i="2"/>
  <c r="BC258" i="2"/>
  <c r="AV259" i="2"/>
  <c r="AQ256" i="2"/>
  <c r="AT283" i="2"/>
  <c r="AZ331" i="2"/>
  <c r="AQ332" i="2"/>
  <c r="AR332" i="2"/>
  <c r="AY332" i="2"/>
  <c r="AP333" i="2"/>
  <c r="AX333" i="2"/>
  <c r="AY333" i="2"/>
  <c r="AO334" i="2"/>
  <c r="AW334" i="2"/>
  <c r="AN335" i="2"/>
  <c r="AO335" i="2"/>
  <c r="AV335" i="2"/>
  <c r="AM336" i="2"/>
  <c r="AN336" i="2"/>
  <c r="AU336" i="2"/>
  <c r="BC336" i="2"/>
  <c r="AT337" i="2"/>
  <c r="BB337" i="2"/>
  <c r="AR335" i="2"/>
  <c r="AZ335" i="2"/>
  <c r="AQ336" i="2"/>
  <c r="AY336" i="2"/>
  <c r="AP337" i="2"/>
  <c r="AU337" i="2"/>
  <c r="AX337" i="2"/>
  <c r="AZ337" i="2"/>
  <c r="AS331" i="2"/>
  <c r="AT331" i="2"/>
  <c r="BB331" i="2"/>
  <c r="AS332" i="2"/>
  <c r="BA332" i="2"/>
  <c r="AR333" i="2"/>
  <c r="AZ333" i="2"/>
  <c r="AQ334" i="2"/>
  <c r="AP335" i="2"/>
  <c r="AX335" i="2"/>
  <c r="AO336" i="2"/>
  <c r="AW336" i="2"/>
  <c r="AN337" i="2"/>
  <c r="AR331" i="2"/>
  <c r="AY334" i="2"/>
  <c r="AV337" i="2"/>
  <c r="AP362" i="2"/>
  <c r="AX362" i="2"/>
  <c r="AW363" i="2"/>
  <c r="AN364" i="2"/>
  <c r="AM365" i="2"/>
  <c r="AU365" i="2"/>
  <c r="BC365" i="2"/>
  <c r="AT366" i="2"/>
  <c r="AM362" i="2"/>
  <c r="AO362" i="2"/>
  <c r="AU362" i="2"/>
  <c r="BC362" i="2"/>
  <c r="AN363" i="2"/>
  <c r="AU363" i="2"/>
  <c r="AV363" i="2"/>
  <c r="BB363" i="2"/>
  <c r="AM364" i="2"/>
  <c r="AS364" i="2"/>
  <c r="AT364" i="2"/>
  <c r="BA364" i="2"/>
  <c r="BC364" i="2"/>
  <c r="AR365" i="2"/>
  <c r="AT365" i="2"/>
  <c r="AZ365" i="2"/>
  <c r="BB365" i="2"/>
  <c r="AQ366" i="2"/>
  <c r="AS366" i="2"/>
  <c r="AX366" i="2"/>
  <c r="AY366" i="2"/>
  <c r="BA366" i="2"/>
  <c r="AR367" i="2"/>
  <c r="AX367" i="2"/>
  <c r="AZ367" i="2"/>
  <c r="AO368" i="2"/>
  <c r="AQ368" i="2"/>
  <c r="AW368" i="2"/>
  <c r="AY368" i="2"/>
  <c r="AN362" i="2"/>
  <c r="AV362" i="2"/>
  <c r="AW362" i="2"/>
  <c r="AZ362" i="2"/>
  <c r="AM363" i="2"/>
  <c r="AO363" i="2"/>
  <c r="AT363" i="2"/>
  <c r="BC363" i="2"/>
  <c r="AU364" i="2"/>
  <c r="AV364" i="2"/>
  <c r="AX364" i="2"/>
  <c r="BB364" i="2"/>
  <c r="AS365" i="2"/>
  <c r="AW365" i="2"/>
  <c r="BA365" i="2"/>
  <c r="AR366" i="2"/>
  <c r="BB366" i="2"/>
  <c r="AP367" i="2"/>
  <c r="AU367" i="2"/>
  <c r="AY367" i="2"/>
  <c r="AR419" i="2"/>
  <c r="AS419" i="2"/>
  <c r="AT419" i="2"/>
  <c r="BA419" i="2"/>
  <c r="BB419" i="2"/>
  <c r="AN423" i="2"/>
  <c r="AM421" i="2"/>
  <c r="AP421" i="2"/>
  <c r="AT421" i="2"/>
  <c r="AU421" i="2"/>
  <c r="AV421" i="2"/>
  <c r="AW421" i="2"/>
  <c r="BB421" i="2"/>
  <c r="BC421" i="2"/>
  <c r="AM422" i="2"/>
  <c r="AN422" i="2"/>
  <c r="AP422" i="2"/>
  <c r="AR422" i="2"/>
  <c r="AT422" i="2"/>
  <c r="AV422" i="2"/>
  <c r="AX422" i="2"/>
  <c r="AZ422" i="2"/>
  <c r="BA422" i="2"/>
  <c r="BB422" i="2"/>
  <c r="BC422" i="2"/>
  <c r="AQ426" i="2"/>
  <c r="AN424" i="2"/>
  <c r="AO424" i="2"/>
  <c r="AP424" i="2"/>
  <c r="AQ424" i="2"/>
  <c r="AV424" i="2"/>
  <c r="AW424" i="2"/>
  <c r="AX424" i="2"/>
  <c r="AY424" i="2"/>
  <c r="BC424" i="2"/>
  <c r="AN426" i="2"/>
  <c r="AT426" i="2"/>
  <c r="AU426" i="2"/>
  <c r="AV426" i="2"/>
  <c r="AW426" i="2"/>
  <c r="BB426" i="2"/>
  <c r="AM425" i="2"/>
  <c r="AO425" i="2"/>
  <c r="AQ425" i="2"/>
  <c r="AS425" i="2"/>
  <c r="AT425" i="2"/>
  <c r="AU425" i="2"/>
  <c r="AV425" i="2"/>
  <c r="AW425" i="2"/>
  <c r="AY425" i="2"/>
  <c r="BA425" i="2"/>
  <c r="BC425" i="2"/>
  <c r="AT427" i="2"/>
  <c r="BB427" i="2"/>
  <c r="AM428" i="2"/>
  <c r="AU428" i="2"/>
  <c r="AY428" i="2"/>
  <c r="BC428" i="2"/>
  <c r="AN428" i="2"/>
  <c r="AP428" i="2"/>
  <c r="AV428" i="2"/>
  <c r="AX428" i="2"/>
  <c r="AX429" i="2"/>
  <c r="AZ429" i="2"/>
  <c r="AY418" i="2"/>
  <c r="AX427" i="2"/>
  <c r="AO418" i="2"/>
  <c r="AQ418" i="2"/>
  <c r="AS418" i="2"/>
  <c r="AU418" i="2"/>
  <c r="AW418" i="2"/>
  <c r="AM419" i="2"/>
  <c r="AN419" i="2"/>
  <c r="AO419" i="2"/>
  <c r="AP419" i="2"/>
  <c r="AQ419" i="2"/>
  <c r="AU419" i="2"/>
  <c r="AV419" i="2"/>
  <c r="AW419" i="2"/>
  <c r="AX419" i="2"/>
  <c r="AY419" i="2"/>
  <c r="AZ419" i="2"/>
  <c r="BC419" i="2"/>
  <c r="AM420" i="2"/>
  <c r="AS420" i="2"/>
  <c r="AU420" i="2"/>
  <c r="AW420" i="2"/>
  <c r="BA420" i="2"/>
  <c r="BC420" i="2"/>
  <c r="AN421" i="2"/>
  <c r="AO421" i="2"/>
  <c r="AQ421" i="2"/>
  <c r="AR421" i="2"/>
  <c r="AS421" i="2"/>
  <c r="AX421" i="2"/>
  <c r="AY421" i="2"/>
  <c r="AZ421" i="2"/>
  <c r="BA421" i="2"/>
  <c r="AO422" i="2"/>
  <c r="AQ422" i="2"/>
  <c r="AS422" i="2"/>
  <c r="AU422" i="2"/>
  <c r="AW422" i="2"/>
  <c r="AY422" i="2"/>
  <c r="AR423" i="2"/>
  <c r="AV423" i="2"/>
  <c r="AX423" i="2"/>
  <c r="AZ423" i="2"/>
  <c r="AM424" i="2"/>
  <c r="AR424" i="2"/>
  <c r="AS424" i="2"/>
  <c r="AT424" i="2"/>
  <c r="AU424" i="2"/>
  <c r="AZ424" i="2"/>
  <c r="BA424" i="2"/>
  <c r="BB424" i="2"/>
  <c r="AN425" i="2"/>
  <c r="AP425" i="2"/>
  <c r="AR425" i="2"/>
  <c r="AX425" i="2"/>
  <c r="AZ425" i="2"/>
  <c r="BB425" i="2"/>
  <c r="AM426" i="2"/>
  <c r="AO426" i="2"/>
  <c r="AS426" i="2"/>
  <c r="AY426" i="2"/>
  <c r="BA426" i="2"/>
  <c r="BC426" i="2"/>
  <c r="AP427" i="2"/>
  <c r="AQ428" i="2"/>
  <c r="AS428" i="2"/>
  <c r="AW428" i="2"/>
  <c r="AO481" i="2"/>
  <c r="AR487" i="2"/>
  <c r="AR509" i="2"/>
  <c r="AO494" i="2"/>
  <c r="BC494" i="2"/>
  <c r="AZ510" i="2"/>
  <c r="AQ500" i="2"/>
  <c r="AM526" i="2"/>
  <c r="AS526" i="2"/>
  <c r="AU526" i="2"/>
  <c r="BA526" i="2"/>
  <c r="AR529" i="2"/>
  <c r="AZ529" i="2"/>
  <c r="AQ528" i="2"/>
  <c r="AY528" i="2"/>
  <c r="AT527" i="2"/>
  <c r="AU527" i="2"/>
  <c r="BB527" i="2"/>
  <c r="BC527" i="2"/>
  <c r="AP529" i="2"/>
  <c r="AX529" i="2"/>
  <c r="AN527" i="2"/>
  <c r="AR526" i="2"/>
  <c r="AV527" i="2"/>
  <c r="AZ526" i="2"/>
  <c r="BB528" i="2"/>
  <c r="BC526" i="2"/>
  <c r="AM527" i="2"/>
  <c r="AS528" i="2"/>
  <c r="AT528" i="2"/>
  <c r="BA528" i="2"/>
  <c r="BE510" i="2" l="1"/>
  <c r="BE476" i="2"/>
  <c r="AV279" i="2"/>
  <c r="AV526" i="2"/>
  <c r="AT466" i="2"/>
  <c r="AO473" i="2"/>
  <c r="AY420" i="2"/>
  <c r="AQ420" i="2"/>
  <c r="AU368" i="2"/>
  <c r="AS362" i="2"/>
  <c r="AV366" i="2"/>
  <c r="AY363" i="2"/>
  <c r="BE500" i="2"/>
  <c r="BE507" i="2"/>
  <c r="BE466" i="2"/>
  <c r="BF429" i="2"/>
  <c r="BD423" i="2"/>
  <c r="AY527" i="2"/>
  <c r="AQ527" i="2"/>
  <c r="AZ528" i="2"/>
  <c r="AR528" i="2"/>
  <c r="BB526" i="2"/>
  <c r="AT526" i="2"/>
  <c r="BC529" i="2"/>
  <c r="AU529" i="2"/>
  <c r="AM529" i="2"/>
  <c r="AW528" i="2"/>
  <c r="AO528" i="2"/>
  <c r="AY526" i="2"/>
  <c r="AQ526" i="2"/>
  <c r="AO466" i="2"/>
  <c r="AO476" i="2"/>
  <c r="AX420" i="2"/>
  <c r="AP420" i="2"/>
  <c r="BB368" i="2"/>
  <c r="AT368" i="2"/>
  <c r="BC367" i="2"/>
  <c r="AM367" i="2"/>
  <c r="AN366" i="2"/>
  <c r="AO365" i="2"/>
  <c r="AP364" i="2"/>
  <c r="AQ363" i="2"/>
  <c r="AR362" i="2"/>
  <c r="AU69" i="2"/>
  <c r="AV69" i="2"/>
  <c r="AN69" i="2"/>
  <c r="BE527" i="2"/>
  <c r="BF527" i="2"/>
  <c r="BF529" i="2"/>
  <c r="BD527" i="2"/>
  <c r="BE526" i="2"/>
  <c r="BE429" i="2"/>
  <c r="BD427" i="2"/>
  <c r="BE423" i="2"/>
  <c r="AO453" i="2"/>
  <c r="AZ427" i="2"/>
  <c r="AR427" i="2"/>
  <c r="AO420" i="2"/>
  <c r="AP423" i="2"/>
  <c r="BA418" i="2"/>
  <c r="BC69" i="2"/>
  <c r="AM69" i="2"/>
  <c r="BD429" i="2"/>
  <c r="BD362" i="2"/>
  <c r="AN526" i="2"/>
  <c r="AP527" i="2"/>
  <c r="AS527" i="2"/>
  <c r="AT529" i="2"/>
  <c r="AV528" i="2"/>
  <c r="AW529" i="2"/>
  <c r="AX526" i="2"/>
  <c r="AW527" i="2"/>
  <c r="AO527" i="2"/>
  <c r="AX528" i="2"/>
  <c r="AP528" i="2"/>
  <c r="AY529" i="2"/>
  <c r="AQ529" i="2"/>
  <c r="BA529" i="2"/>
  <c r="AS529" i="2"/>
  <c r="BC528" i="2"/>
  <c r="AU528" i="2"/>
  <c r="AM528" i="2"/>
  <c r="AV529" i="2"/>
  <c r="AN529" i="2"/>
  <c r="AW526" i="2"/>
  <c r="AO526" i="2"/>
  <c r="AV500" i="2"/>
  <c r="BB69" i="2"/>
  <c r="AT69" i="2"/>
  <c r="BE528" i="2"/>
  <c r="BF260" i="2"/>
  <c r="AX527" i="2"/>
  <c r="BA527" i="2"/>
  <c r="BB529" i="2"/>
  <c r="AN528" i="2"/>
  <c r="AO529" i="2"/>
  <c r="AP526" i="2"/>
  <c r="AZ466" i="2"/>
  <c r="AT472" i="2"/>
  <c r="BA189" i="2"/>
  <c r="AS189" i="2"/>
  <c r="BE260" i="2"/>
  <c r="BE256" i="2"/>
  <c r="BE75" i="2"/>
  <c r="AR472" i="2"/>
  <c r="BC337" i="2"/>
  <c r="AM337" i="2"/>
  <c r="AV336" i="2"/>
  <c r="AW335" i="2"/>
  <c r="AX334" i="2"/>
  <c r="AP334" i="2"/>
  <c r="AQ333" i="2"/>
  <c r="AZ332" i="2"/>
  <c r="BA331" i="2"/>
  <c r="BF259" i="2"/>
  <c r="BF235" i="2"/>
  <c r="BF255" i="2"/>
  <c r="BE285" i="2"/>
  <c r="BE284" i="2"/>
  <c r="BE281" i="2"/>
  <c r="BE218" i="2"/>
  <c r="AR429" i="2"/>
  <c r="BB429" i="2"/>
  <c r="AT429" i="2"/>
  <c r="AO428" i="2"/>
  <c r="AY427" i="2"/>
  <c r="AQ427" i="2"/>
  <c r="AZ418" i="2"/>
  <c r="AR418" i="2"/>
  <c r="BA368" i="2"/>
  <c r="AS368" i="2"/>
  <c r="AZ368" i="2"/>
  <c r="AR368" i="2"/>
  <c r="BA367" i="2"/>
  <c r="AS367" i="2"/>
  <c r="AW258" i="2"/>
  <c r="AZ220" i="2"/>
  <c r="AR217" i="2"/>
  <c r="AT216" i="2"/>
  <c r="BC87" i="2"/>
  <c r="BC86" i="2" s="1"/>
  <c r="AN87" i="2"/>
  <c r="AN86" i="2" s="1"/>
  <c r="BF510" i="2"/>
  <c r="BF494" i="2"/>
  <c r="BF476" i="2"/>
  <c r="BF460" i="2"/>
  <c r="BE259" i="2"/>
  <c r="BE235" i="2"/>
  <c r="BF87" i="2"/>
  <c r="BF86" i="2" s="1"/>
  <c r="AZ472" i="2"/>
  <c r="BA337" i="2"/>
  <c r="AS337" i="2"/>
  <c r="BB336" i="2"/>
  <c r="AT336" i="2"/>
  <c r="BC335" i="2"/>
  <c r="AU335" i="2"/>
  <c r="AM335" i="2"/>
  <c r="AV334" i="2"/>
  <c r="AN334" i="2"/>
  <c r="AW333" i="2"/>
  <c r="AO333" i="2"/>
  <c r="AX332" i="2"/>
  <c r="AP332" i="2"/>
  <c r="AY331" i="2"/>
  <c r="AQ331" i="2"/>
  <c r="AR337" i="2"/>
  <c r="BA336" i="2"/>
  <c r="AS336" i="2"/>
  <c r="BB335" i="2"/>
  <c r="AT335" i="2"/>
  <c r="BC334" i="2"/>
  <c r="AU334" i="2"/>
  <c r="AM334" i="2"/>
  <c r="AV333" i="2"/>
  <c r="AN333" i="2"/>
  <c r="AW332" i="2"/>
  <c r="AO332" i="2"/>
  <c r="AX331" i="2"/>
  <c r="AP331" i="2"/>
  <c r="AY337" i="2"/>
  <c r="AQ337" i="2"/>
  <c r="AZ336" i="2"/>
  <c r="AR336" i="2"/>
  <c r="BA335" i="2"/>
  <c r="AS335" i="2"/>
  <c r="BB334" i="2"/>
  <c r="AT334" i="2"/>
  <c r="BC333" i="2"/>
  <c r="AU333" i="2"/>
  <c r="AM333" i="2"/>
  <c r="AV332" i="2"/>
  <c r="AN332" i="2"/>
  <c r="AW331" i="2"/>
  <c r="AO331" i="2"/>
  <c r="AW99" i="2"/>
  <c r="AW98" i="2" s="1"/>
  <c r="BA69" i="2"/>
  <c r="AS69" i="2"/>
  <c r="BE494" i="2"/>
  <c r="BE508" i="2" s="1"/>
  <c r="BE460" i="2"/>
  <c r="BF244" i="2"/>
  <c r="BE220" i="2"/>
  <c r="BF69" i="2"/>
  <c r="AY87" i="2"/>
  <c r="AY86" i="2" s="1"/>
  <c r="AP87" i="2"/>
  <c r="AP86" i="2" s="1"/>
  <c r="AR223" i="2"/>
  <c r="AV473" i="2"/>
  <c r="AT420" i="2"/>
  <c r="AX368" i="2"/>
  <c r="AP368" i="2"/>
  <c r="AQ367" i="2"/>
  <c r="AZ366" i="2"/>
  <c r="AR255" i="2"/>
  <c r="AU218" i="2"/>
  <c r="AT99" i="2"/>
  <c r="AT98" i="2" s="1"/>
  <c r="AZ87" i="2"/>
  <c r="AZ86" i="2" s="1"/>
  <c r="AY75" i="2"/>
  <c r="AQ75" i="2"/>
  <c r="AY69" i="2"/>
  <c r="AQ69" i="2"/>
  <c r="AZ69" i="2"/>
  <c r="AR69" i="2"/>
  <c r="BF473" i="2"/>
  <c r="BE366" i="2"/>
  <c r="BF363" i="2"/>
  <c r="BD368" i="2"/>
  <c r="BE365" i="2"/>
  <c r="BF362" i="2"/>
  <c r="BE244" i="2"/>
  <c r="BE219" i="2"/>
  <c r="AX87" i="2"/>
  <c r="AX86" i="2" s="1"/>
  <c r="BA334" i="2"/>
  <c r="AS334" i="2"/>
  <c r="BB333" i="2"/>
  <c r="AT333" i="2"/>
  <c r="BC332" i="2"/>
  <c r="AU332" i="2"/>
  <c r="AM332" i="2"/>
  <c r="AV331" i="2"/>
  <c r="AN331" i="2"/>
  <c r="AW337" i="2"/>
  <c r="AO337" i="2"/>
  <c r="AX336" i="2"/>
  <c r="AP336" i="2"/>
  <c r="AY335" i="2"/>
  <c r="AQ335" i="2"/>
  <c r="AZ334" i="2"/>
  <c r="AR334" i="2"/>
  <c r="BA333" i="2"/>
  <c r="AS333" i="2"/>
  <c r="BB332" i="2"/>
  <c r="AT332" i="2"/>
  <c r="BC331" i="2"/>
  <c r="AU331" i="2"/>
  <c r="AM331" i="2"/>
  <c r="AV257" i="2"/>
  <c r="AW87" i="2"/>
  <c r="AW86" i="2" s="1"/>
  <c r="AX75" i="2"/>
  <c r="AP75" i="2"/>
  <c r="BF368" i="2"/>
  <c r="BD366" i="2"/>
  <c r="BE363" i="2"/>
  <c r="BF367" i="2"/>
  <c r="BD365" i="2"/>
  <c r="BE362" i="2"/>
  <c r="BF366" i="2"/>
  <c r="BD364" i="2"/>
  <c r="BF261" i="2"/>
  <c r="BF257" i="2"/>
  <c r="BF98" i="2"/>
  <c r="BD69" i="2"/>
  <c r="AR284" i="2"/>
  <c r="AV429" i="2"/>
  <c r="AN429" i="2"/>
  <c r="AP429" i="2"/>
  <c r="AY429" i="2"/>
  <c r="AQ429" i="2"/>
  <c r="AZ428" i="2"/>
  <c r="AR428" i="2"/>
  <c r="BA428" i="2"/>
  <c r="BC427" i="2"/>
  <c r="AU427" i="2"/>
  <c r="AM427" i="2"/>
  <c r="AV427" i="2"/>
  <c r="AN427" i="2"/>
  <c r="AX426" i="2"/>
  <c r="AP426" i="2"/>
  <c r="BB423" i="2"/>
  <c r="AT423" i="2"/>
  <c r="BC418" i="2"/>
  <c r="AM418" i="2"/>
  <c r="AV418" i="2"/>
  <c r="AN418" i="2"/>
  <c r="AV368" i="2"/>
  <c r="AN368" i="2"/>
  <c r="AW367" i="2"/>
  <c r="AO367" i="2"/>
  <c r="AP366" i="2"/>
  <c r="AY365" i="2"/>
  <c r="AQ365" i="2"/>
  <c r="AZ364" i="2"/>
  <c r="AR364" i="2"/>
  <c r="BA363" i="2"/>
  <c r="AS363" i="2"/>
  <c r="BB362" i="2"/>
  <c r="AT362" i="2"/>
  <c r="BC368" i="2"/>
  <c r="AM368" i="2"/>
  <c r="AV367" i="2"/>
  <c r="AN367" i="2"/>
  <c r="AW366" i="2"/>
  <c r="AO366" i="2"/>
  <c r="AX365" i="2"/>
  <c r="AP365" i="2"/>
  <c r="AY364" i="2"/>
  <c r="AQ364" i="2"/>
  <c r="AZ363" i="2"/>
  <c r="AR363" i="2"/>
  <c r="BA362" i="2"/>
  <c r="AP220" i="2"/>
  <c r="BE261" i="2"/>
  <c r="BE257" i="2"/>
  <c r="BE99" i="2"/>
  <c r="AV87" i="2"/>
  <c r="AM87" i="2"/>
  <c r="BF64" i="2"/>
  <c r="BF283" i="2"/>
  <c r="BF210" i="2"/>
  <c r="BF209" i="2" s="1"/>
  <c r="BF223" i="2"/>
  <c r="BF220" i="2"/>
  <c r="BF217" i="2"/>
  <c r="BF285" i="2"/>
  <c r="BF280" i="2"/>
  <c r="BE197" i="2"/>
  <c r="BE221" i="2" s="1"/>
  <c r="BE283" i="2"/>
  <c r="BF256" i="2"/>
  <c r="BF472" i="2"/>
  <c r="BE447" i="2"/>
  <c r="BE87" i="2"/>
  <c r="BE86" i="2" s="1"/>
  <c r="BE64" i="2"/>
  <c r="BF453" i="2"/>
  <c r="BF477" i="2" s="1"/>
  <c r="BF447" i="2"/>
  <c r="BE280" i="2"/>
  <c r="BE509" i="2"/>
  <c r="BE472" i="2"/>
  <c r="BE487" i="2"/>
  <c r="BE255" i="2"/>
  <c r="BE453" i="2"/>
  <c r="BF282" i="2"/>
  <c r="BF487" i="2"/>
  <c r="BF500" i="2"/>
  <c r="BF481" i="2"/>
  <c r="BE279" i="2"/>
  <c r="BF198" i="2"/>
  <c r="BD64" i="2"/>
  <c r="BD510" i="2"/>
  <c r="BD506" i="2"/>
  <c r="BD509" i="2"/>
  <c r="BD460" i="2"/>
  <c r="BD261" i="2"/>
  <c r="BD256" i="2"/>
  <c r="AT284" i="2"/>
  <c r="AR198" i="2"/>
  <c r="AN261" i="2"/>
  <c r="BB99" i="2"/>
  <c r="BB98" i="2" s="1"/>
  <c r="AV507" i="2"/>
  <c r="AT475" i="2"/>
  <c r="AO258" i="2"/>
  <c r="AZ198" i="2"/>
  <c r="AZ197" i="2" s="1"/>
  <c r="AU60" i="2"/>
  <c r="AO509" i="2"/>
  <c r="AO487" i="2"/>
  <c r="AR466" i="2"/>
  <c r="AR99" i="2"/>
  <c r="AR98" i="2" s="1"/>
  <c r="AW60" i="2"/>
  <c r="AO500" i="2"/>
  <c r="AQ481" i="2"/>
  <c r="AV453" i="2"/>
  <c r="AR244" i="2"/>
  <c r="AN500" i="2"/>
  <c r="AY509" i="2"/>
  <c r="AT453" i="2"/>
  <c r="AZ475" i="2"/>
  <c r="AQ510" i="2"/>
  <c r="AQ453" i="2"/>
  <c r="AP283" i="2"/>
  <c r="BC223" i="2"/>
  <c r="AZ99" i="2"/>
  <c r="AZ98" i="2" s="1"/>
  <c r="AZ487" i="2"/>
  <c r="AN260" i="2"/>
  <c r="AT494" i="2"/>
  <c r="AN453" i="2"/>
  <c r="BB280" i="2"/>
  <c r="AN259" i="2"/>
  <c r="AU217" i="2"/>
  <c r="AT281" i="2"/>
  <c r="AU257" i="2"/>
  <c r="BC466" i="2"/>
  <c r="BC453" i="2"/>
  <c r="AW500" i="2"/>
  <c r="BB259" i="2"/>
  <c r="AU487" i="2"/>
  <c r="AW487" i="2"/>
  <c r="BB256" i="2"/>
  <c r="BB261" i="2"/>
  <c r="BB260" i="2"/>
  <c r="AW481" i="2"/>
  <c r="AU481" i="2"/>
  <c r="BB472" i="2"/>
  <c r="AV256" i="2"/>
  <c r="AN257" i="2"/>
  <c r="AW466" i="2"/>
  <c r="AO281" i="2"/>
  <c r="AO244" i="2"/>
  <c r="AX99" i="2"/>
  <c r="AX98" i="2" s="1"/>
  <c r="AR86" i="2"/>
  <c r="AT282" i="2"/>
  <c r="AV506" i="2"/>
  <c r="AN475" i="2"/>
  <c r="AZ473" i="2"/>
  <c r="AR282" i="2"/>
  <c r="AT219" i="2"/>
  <c r="BC198" i="2"/>
  <c r="BC197" i="2" s="1"/>
  <c r="AZ217" i="2"/>
  <c r="AQ494" i="2"/>
  <c r="AV509" i="2"/>
  <c r="AR460" i="2"/>
  <c r="AV472" i="2"/>
  <c r="BC476" i="2"/>
  <c r="AY510" i="2"/>
  <c r="AU223" i="2"/>
  <c r="AX220" i="2"/>
  <c r="AV510" i="2"/>
  <c r="AN506" i="2"/>
  <c r="BC487" i="2"/>
  <c r="AT473" i="2"/>
  <c r="AR257" i="2"/>
  <c r="AT255" i="2"/>
  <c r="AP218" i="2"/>
  <c r="AZ216" i="2"/>
  <c r="AR220" i="2"/>
  <c r="AP510" i="2"/>
  <c r="AX472" i="2"/>
  <c r="AX509" i="2"/>
  <c r="BD65" i="2"/>
  <c r="AP60" i="2"/>
  <c r="AR261" i="2"/>
  <c r="BD283" i="2"/>
  <c r="BD280" i="2"/>
  <c r="AN280" i="2"/>
  <c r="AT285" i="2"/>
  <c r="BD284" i="2"/>
  <c r="AZ283" i="2"/>
  <c r="AY282" i="2"/>
  <c r="BB281" i="2"/>
  <c r="AP219" i="2"/>
  <c r="AM218" i="2"/>
  <c r="AT261" i="2"/>
  <c r="AO259" i="2"/>
  <c r="AN216" i="2"/>
  <c r="BD466" i="2"/>
  <c r="BD473" i="2"/>
  <c r="BD210" i="2"/>
  <c r="BD209" i="2" s="1"/>
  <c r="AM217" i="2"/>
  <c r="BB284" i="2"/>
  <c r="AV260" i="2"/>
  <c r="AW255" i="2"/>
  <c r="AR218" i="2"/>
  <c r="BC218" i="2"/>
  <c r="BD218" i="2"/>
  <c r="AT280" i="2"/>
  <c r="AO261" i="2"/>
  <c r="AN258" i="2"/>
  <c r="AT244" i="2"/>
  <c r="AZ256" i="2"/>
  <c r="AO256" i="2"/>
  <c r="BB216" i="2"/>
  <c r="AO99" i="2"/>
  <c r="AO98" i="2" s="1"/>
  <c r="AR64" i="2"/>
  <c r="BD472" i="2"/>
  <c r="AM244" i="2"/>
  <c r="AM258" i="2"/>
  <c r="AM261" i="2"/>
  <c r="AM466" i="2"/>
  <c r="AM453" i="2"/>
  <c r="AM487" i="2"/>
  <c r="AM494" i="2"/>
  <c r="AP285" i="2"/>
  <c r="AX60" i="2"/>
  <c r="AW509" i="2"/>
  <c r="AR506" i="2"/>
  <c r="AX475" i="2"/>
  <c r="AV475" i="2"/>
  <c r="AZ460" i="2"/>
  <c r="AX473" i="2"/>
  <c r="AW473" i="2"/>
  <c r="AN472" i="2"/>
  <c r="AP475" i="2"/>
  <c r="AZ285" i="2"/>
  <c r="BB282" i="2"/>
  <c r="AW281" i="2"/>
  <c r="AZ279" i="2"/>
  <c r="BC257" i="2"/>
  <c r="AN220" i="2"/>
  <c r="BB218" i="2"/>
  <c r="AV216" i="2"/>
  <c r="BD258" i="2"/>
  <c r="AW280" i="2"/>
  <c r="AO280" i="2"/>
  <c r="BA460" i="2"/>
  <c r="BA481" i="2"/>
  <c r="BA99" i="2"/>
  <c r="BA98" i="2" s="1"/>
  <c r="BA220" i="2"/>
  <c r="BA216" i="2"/>
  <c r="BA87" i="2"/>
  <c r="BA86" i="2" s="1"/>
  <c r="AS481" i="2"/>
  <c r="AS99" i="2"/>
  <c r="AS98" i="2" s="1"/>
  <c r="AS220" i="2"/>
  <c r="AS216" i="2"/>
  <c r="AS219" i="2"/>
  <c r="AS210" i="2"/>
  <c r="AS209" i="2" s="1"/>
  <c r="AS87" i="2"/>
  <c r="AS86" i="2" s="1"/>
  <c r="AN510" i="2"/>
  <c r="AN509" i="2"/>
  <c r="AZ506" i="2"/>
  <c r="AM476" i="2"/>
  <c r="AO279" i="2"/>
  <c r="AR260" i="2"/>
  <c r="AV261" i="2"/>
  <c r="BC259" i="2"/>
  <c r="AT258" i="2"/>
  <c r="AP255" i="2"/>
  <c r="AV99" i="2"/>
  <c r="AV98" i="2" s="1"/>
  <c r="AN282" i="2"/>
  <c r="AR279" i="2"/>
  <c r="AR510" i="2"/>
  <c r="AZ507" i="2"/>
  <c r="AW279" i="2"/>
  <c r="AN279" i="2"/>
  <c r="AT260" i="2"/>
  <c r="AT259" i="2"/>
  <c r="BB258" i="2"/>
  <c r="AO255" i="2"/>
  <c r="AZ223" i="2"/>
  <c r="AP65" i="2"/>
  <c r="AU64" i="2"/>
  <c r="AQ284" i="2"/>
  <c r="AV282" i="2"/>
  <c r="AQ210" i="2"/>
  <c r="AQ209" i="2" s="1"/>
  <c r="AY284" i="2"/>
  <c r="BD282" i="2"/>
  <c r="BD279" i="2"/>
  <c r="AY64" i="2"/>
  <c r="AY494" i="2"/>
  <c r="AQ507" i="2"/>
  <c r="AS281" i="2"/>
  <c r="AW244" i="2"/>
  <c r="AW256" i="2"/>
  <c r="AN256" i="2"/>
  <c r="AY210" i="2"/>
  <c r="AY209" i="2" s="1"/>
  <c r="AP210" i="2"/>
  <c r="AP209" i="2" s="1"/>
  <c r="AU198" i="2"/>
  <c r="AU197" i="2" s="1"/>
  <c r="AM198" i="2"/>
  <c r="AM197" i="2" s="1"/>
  <c r="AY65" i="2"/>
  <c r="AQ65" i="2"/>
  <c r="BA60" i="2"/>
  <c r="AS60" i="2"/>
  <c r="AU260" i="2"/>
  <c r="AM260" i="2"/>
  <c r="AY285" i="2"/>
  <c r="AY283" i="2"/>
  <c r="AQ283" i="2"/>
  <c r="BA281" i="2"/>
  <c r="AV281" i="2"/>
  <c r="AZ509" i="2"/>
  <c r="AY507" i="2"/>
  <c r="AU510" i="2"/>
  <c r="AR473" i="2"/>
  <c r="AQ473" i="2"/>
  <c r="AW283" i="2"/>
  <c r="AP281" i="2"/>
  <c r="AV280" i="2"/>
  <c r="BC244" i="2"/>
  <c r="AX258" i="2"/>
  <c r="AU235" i="2"/>
  <c r="AT235" i="2"/>
  <c r="AX210" i="2"/>
  <c r="AX209" i="2" s="1"/>
  <c r="AW260" i="2"/>
  <c r="AZ261" i="2"/>
  <c r="BD281" i="2"/>
  <c r="AX506" i="2"/>
  <c r="AO508" i="2"/>
  <c r="AR475" i="2"/>
  <c r="AR285" i="2"/>
  <c r="AN284" i="2"/>
  <c r="AZ281" i="2"/>
  <c r="BB255" i="2"/>
  <c r="AM257" i="2"/>
  <c r="AW65" i="2"/>
  <c r="AQ282" i="2"/>
  <c r="AY279" i="2"/>
  <c r="AQ279" i="2"/>
  <c r="AY99" i="2"/>
  <c r="AY98" i="2" s="1"/>
  <c r="AQ99" i="2"/>
  <c r="AQ98" i="2" s="1"/>
  <c r="AW210" i="2"/>
  <c r="AW209" i="2" s="1"/>
  <c r="AO210" i="2"/>
  <c r="AO209" i="2" s="1"/>
  <c r="AY220" i="2"/>
  <c r="AQ220" i="2"/>
  <c r="AQ217" i="2"/>
  <c r="AW223" i="2"/>
  <c r="AO223" i="2"/>
  <c r="AW220" i="2"/>
  <c r="AO220" i="2"/>
  <c r="AY219" i="2"/>
  <c r="AQ219" i="2"/>
  <c r="AY218" i="2"/>
  <c r="AQ218" i="2"/>
  <c r="AW217" i="2"/>
  <c r="AO217" i="2"/>
  <c r="AN99" i="2"/>
  <c r="AN98" i="2" s="1"/>
  <c r="BD223" i="2"/>
  <c r="AV223" i="2"/>
  <c r="BD220" i="2"/>
  <c r="AX219" i="2"/>
  <c r="BB223" i="2"/>
  <c r="BD198" i="2"/>
  <c r="BB220" i="2"/>
  <c r="AT220" i="2"/>
  <c r="BD219" i="2"/>
  <c r="AV218" i="2"/>
  <c r="AN218" i="2"/>
  <c r="BD216" i="2"/>
  <c r="AQ466" i="2"/>
  <c r="AY466" i="2"/>
  <c r="AY258" i="2"/>
  <c r="AQ258" i="2"/>
  <c r="AY257" i="2"/>
  <c r="AQ257" i="2"/>
  <c r="AW460" i="2"/>
  <c r="AO460" i="2"/>
  <c r="BC473" i="2"/>
  <c r="AU473" i="2"/>
  <c r="AM473" i="2"/>
  <c r="AY453" i="2"/>
  <c r="AW447" i="2"/>
  <c r="BC447" i="2"/>
  <c r="AU447" i="2"/>
  <c r="BC472" i="2"/>
  <c r="AU472" i="2"/>
  <c r="AM472" i="2"/>
  <c r="AY500" i="2"/>
  <c r="AW494" i="2"/>
  <c r="AU507" i="2"/>
  <c r="AY487" i="2"/>
  <c r="AQ487" i="2"/>
  <c r="AQ511" i="2" s="1"/>
  <c r="AY476" i="2"/>
  <c r="BC507" i="2"/>
  <c r="BC510" i="2"/>
  <c r="AM507" i="2"/>
  <c r="AM510" i="2"/>
  <c r="AX285" i="2"/>
  <c r="AX279" i="2"/>
  <c r="AY217" i="2"/>
  <c r="AU509" i="2"/>
  <c r="AO447" i="2"/>
  <c r="AO283" i="2"/>
  <c r="AV285" i="2"/>
  <c r="AS244" i="2"/>
  <c r="AM235" i="2"/>
  <c r="AM255" i="2"/>
  <c r="AM99" i="2"/>
  <c r="AM98" i="2" s="1"/>
  <c r="AQ244" i="2"/>
  <c r="BD60" i="2"/>
  <c r="BE60" i="2"/>
  <c r="AS235" i="2"/>
  <c r="AO472" i="2"/>
  <c r="AU460" i="2"/>
  <c r="BC460" i="2"/>
  <c r="AW259" i="2"/>
  <c r="BC235" i="2"/>
  <c r="BC255" i="2"/>
  <c r="AU99" i="2"/>
  <c r="AU98" i="2" s="1"/>
  <c r="AQ506" i="2"/>
  <c r="AT510" i="2"/>
  <c r="BB475" i="2"/>
  <c r="AN473" i="2"/>
  <c r="AV284" i="2"/>
  <c r="AX280" i="2"/>
  <c r="BA261" i="2"/>
  <c r="BB235" i="2"/>
  <c r="AX64" i="2"/>
  <c r="AS256" i="2"/>
  <c r="BA507" i="2"/>
  <c r="AQ285" i="2"/>
  <c r="AS65" i="2"/>
  <c r="AT65" i="2"/>
  <c r="BB64" i="2"/>
  <c r="BC64" i="2"/>
  <c r="AZ259" i="2"/>
  <c r="AZ260" i="2"/>
  <c r="AX284" i="2"/>
  <c r="AP284" i="2"/>
  <c r="AX282" i="2"/>
  <c r="AP282" i="2"/>
  <c r="BB285" i="2"/>
  <c r="BB283" i="2"/>
  <c r="AN281" i="2"/>
  <c r="AM509" i="2"/>
  <c r="BA219" i="2"/>
  <c r="AY244" i="2"/>
  <c r="BA235" i="2"/>
  <c r="AS261" i="2"/>
  <c r="AU259" i="2"/>
  <c r="AS507" i="2"/>
  <c r="AR507" i="2"/>
  <c r="AW261" i="2"/>
  <c r="AY506" i="2"/>
  <c r="AS473" i="2"/>
  <c r="AX283" i="2"/>
  <c r="AU255" i="2"/>
  <c r="AN507" i="2"/>
  <c r="AW507" i="2"/>
  <c r="AO507" i="2"/>
  <c r="AW472" i="2"/>
  <c r="AY460" i="2"/>
  <c r="AQ460" i="2"/>
  <c r="BA473" i="2"/>
  <c r="BB473" i="2"/>
  <c r="AV283" i="2"/>
  <c r="AS280" i="2"/>
  <c r="AS255" i="2"/>
  <c r="AU244" i="2"/>
  <c r="AU261" i="2"/>
  <c r="BC260" i="2"/>
  <c r="AX223" i="2"/>
  <c r="AO65" i="2"/>
  <c r="BA282" i="2"/>
  <c r="BC509" i="2"/>
  <c r="BB510" i="2"/>
  <c r="AW476" i="2"/>
  <c r="BC500" i="2"/>
  <c r="AU500" i="2"/>
  <c r="AM500" i="2"/>
  <c r="BC261" i="2"/>
  <c r="AZ284" i="2"/>
  <c r="AR281" i="2"/>
  <c r="AY280" i="2"/>
  <c r="AM259" i="2"/>
  <c r="AY256" i="2"/>
  <c r="AY198" i="2"/>
  <c r="AY197" i="2" s="1"/>
  <c r="AQ198" i="2"/>
  <c r="AQ197" i="2" s="1"/>
  <c r="AP223" i="2"/>
  <c r="BB60" i="2"/>
  <c r="BD260" i="2"/>
  <c r="BD257" i="2"/>
  <c r="AP64" i="2"/>
  <c r="AZ65" i="2"/>
  <c r="AR65" i="2"/>
  <c r="BC481" i="2"/>
  <c r="BC508" i="2" s="1"/>
  <c r="AM481" i="2"/>
  <c r="AM460" i="2"/>
  <c r="AV460" i="2"/>
  <c r="AN460" i="2"/>
  <c r="AY473" i="2"/>
  <c r="AV476" i="2"/>
  <c r="AN476" i="2"/>
  <c r="AW475" i="2"/>
  <c r="AO475" i="2"/>
  <c r="AY447" i="2"/>
  <c r="AQ447" i="2"/>
  <c r="AZ447" i="2"/>
  <c r="AR447" i="2"/>
  <c r="AN285" i="2"/>
  <c r="AW284" i="2"/>
  <c r="AO284" i="2"/>
  <c r="AN283" i="2"/>
  <c r="AW282" i="2"/>
  <c r="AO282" i="2"/>
  <c r="AX281" i="2"/>
  <c r="BB279" i="2"/>
  <c r="AT279" i="2"/>
  <c r="BB244" i="2"/>
  <c r="AU258" i="2"/>
  <c r="AV235" i="2"/>
  <c r="AN235" i="2"/>
  <c r="BA258" i="2"/>
  <c r="AS258" i="2"/>
  <c r="BB257" i="2"/>
  <c r="AT257" i="2"/>
  <c r="BC256" i="2"/>
  <c r="AU256" i="2"/>
  <c r="AM256" i="2"/>
  <c r="AV255" i="2"/>
  <c r="AN255" i="2"/>
  <c r="BB65" i="2"/>
  <c r="BD285" i="2"/>
  <c r="AN223" i="2"/>
  <c r="AT223" i="2"/>
  <c r="AS460" i="2"/>
  <c r="AZ282" i="2"/>
  <c r="BA280" i="2"/>
  <c r="AQ280" i="2"/>
  <c r="AP258" i="2"/>
  <c r="AP244" i="2"/>
  <c r="AR259" i="2"/>
  <c r="AZ258" i="2"/>
  <c r="AR235" i="2"/>
  <c r="BA210" i="2"/>
  <c r="BA209" i="2" s="1"/>
  <c r="BC99" i="2"/>
  <c r="BC98" i="2" s="1"/>
  <c r="AO260" i="2"/>
  <c r="AY481" i="2"/>
  <c r="AU453" i="2"/>
  <c r="AM447" i="2"/>
  <c r="AV447" i="2"/>
  <c r="AN447" i="2"/>
  <c r="AW285" i="2"/>
  <c r="AO285" i="2"/>
  <c r="AY281" i="2"/>
  <c r="AQ281" i="2"/>
  <c r="AZ280" i="2"/>
  <c r="AR280" i="2"/>
  <c r="AR283" i="2"/>
  <c r="AS282" i="2"/>
  <c r="AP280" i="2"/>
  <c r="AX244" i="2"/>
  <c r="AZ235" i="2"/>
  <c r="AW219" i="2"/>
  <c r="BC60" i="2"/>
  <c r="AT60" i="2"/>
  <c r="BD217" i="2"/>
  <c r="BD447" i="2"/>
  <c r="AX476" i="2"/>
  <c r="AP476" i="2"/>
  <c r="AS447" i="2"/>
  <c r="BB447" i="2"/>
  <c r="AT447" i="2"/>
  <c r="AV198" i="2"/>
  <c r="AV197" i="2" s="1"/>
  <c r="AN198" i="2"/>
  <c r="AN197" i="2" s="1"/>
  <c r="AX65" i="2"/>
  <c r="AQ64" i="2"/>
  <c r="BA64" i="2"/>
  <c r="AS64" i="2"/>
  <c r="AX460" i="2"/>
  <c r="AP460" i="2"/>
  <c r="AW453" i="2"/>
  <c r="AV258" i="2"/>
  <c r="AW235" i="2"/>
  <c r="AO235" i="2"/>
  <c r="AZ210" i="2"/>
  <c r="AZ209" i="2" s="1"/>
  <c r="AR210" i="2"/>
  <c r="AR209" i="2" s="1"/>
  <c r="AP99" i="2"/>
  <c r="AP98" i="2" s="1"/>
  <c r="AZ64" i="2"/>
  <c r="BD255" i="2"/>
  <c r="BD259" i="2"/>
  <c r="BB506" i="2"/>
  <c r="BB481" i="2"/>
  <c r="BB509" i="2"/>
  <c r="BB507" i="2"/>
  <c r="AT506" i="2"/>
  <c r="AT481" i="2"/>
  <c r="AT509" i="2"/>
  <c r="AT507" i="2"/>
  <c r="AZ219" i="2"/>
  <c r="AR219" i="2"/>
  <c r="BB217" i="2"/>
  <c r="AT217" i="2"/>
  <c r="BC216" i="2"/>
  <c r="AU216" i="2"/>
  <c r="AM216" i="2"/>
  <c r="AW198" i="2"/>
  <c r="AW197" i="2" s="1"/>
  <c r="AO198" i="2"/>
  <c r="AX198" i="2"/>
  <c r="AP198" i="2"/>
  <c r="AY223" i="2"/>
  <c r="AQ223" i="2"/>
  <c r="BC219" i="2"/>
  <c r="AU219" i="2"/>
  <c r="AM219" i="2"/>
  <c r="AX216" i="2"/>
  <c r="AP216" i="2"/>
  <c r="BD476" i="2"/>
  <c r="BD99" i="2"/>
  <c r="BD98" i="2" s="1"/>
  <c r="BD86" i="2"/>
  <c r="BE65" i="2"/>
  <c r="AV210" i="2"/>
  <c r="AV209" i="2" s="1"/>
  <c r="AN210" i="2"/>
  <c r="AN209" i="2" s="1"/>
  <c r="BC220" i="2"/>
  <c r="AU220" i="2"/>
  <c r="AM220" i="2"/>
  <c r="AV219" i="2"/>
  <c r="AN219" i="2"/>
  <c r="AW218" i="2"/>
  <c r="AO218" i="2"/>
  <c r="AX217" i="2"/>
  <c r="AP217" i="2"/>
  <c r="AY216" i="2"/>
  <c r="AQ216" i="2"/>
  <c r="BB198" i="2"/>
  <c r="BB197" i="2" s="1"/>
  <c r="AT198" i="2"/>
  <c r="AT197" i="2" s="1"/>
  <c r="AQ86" i="2"/>
  <c r="BB210" i="2"/>
  <c r="AT210" i="2"/>
  <c r="AT209" i="2" s="1"/>
  <c r="BC210" i="2"/>
  <c r="BC209" i="2" s="1"/>
  <c r="AU210" i="2"/>
  <c r="AU209" i="2" s="1"/>
  <c r="AM210" i="2"/>
  <c r="AM209" i="2" s="1"/>
  <c r="BA198" i="2"/>
  <c r="BA197" i="2" s="1"/>
  <c r="AS198" i="2"/>
  <c r="AS197" i="2" s="1"/>
  <c r="AV86" i="2"/>
  <c r="BC65" i="2"/>
  <c r="AV60" i="2"/>
  <c r="AN60" i="2"/>
  <c r="BD475" i="2"/>
  <c r="BE222" i="2"/>
  <c r="BE98" i="2"/>
  <c r="BF526" i="2"/>
  <c r="BE473" i="2"/>
  <c r="BF475" i="2"/>
  <c r="BF528" i="2"/>
  <c r="BE475" i="2"/>
  <c r="AZ420" i="2"/>
  <c r="AR420" i="2"/>
  <c r="BA423" i="2"/>
  <c r="AS423" i="2"/>
  <c r="BB500" i="2"/>
  <c r="AT500" i="2"/>
  <c r="AZ494" i="2"/>
  <c r="AR494" i="2"/>
  <c r="AX487" i="2"/>
  <c r="AP487" i="2"/>
  <c r="AV481" i="2"/>
  <c r="AN481" i="2"/>
  <c r="AW429" i="2"/>
  <c r="AO429" i="2"/>
  <c r="BA427" i="2"/>
  <c r="AS427" i="2"/>
  <c r="AY423" i="2"/>
  <c r="AQ423" i="2"/>
  <c r="BB418" i="2"/>
  <c r="AT418" i="2"/>
  <c r="AZ527" i="2"/>
  <c r="AR527" i="2"/>
  <c r="AW510" i="2"/>
  <c r="AO510" i="2"/>
  <c r="AU476" i="2"/>
  <c r="BA472" i="2"/>
  <c r="AS472" i="2"/>
  <c r="AV466" i="2"/>
  <c r="AN466" i="2"/>
  <c r="BB460" i="2"/>
  <c r="AT460" i="2"/>
  <c r="AZ453" i="2"/>
  <c r="AZ477" i="2" s="1"/>
  <c r="AR453" i="2"/>
  <c r="BB476" i="2"/>
  <c r="AT476" i="2"/>
  <c r="BC475" i="2"/>
  <c r="AU475" i="2"/>
  <c r="AM475" i="2"/>
  <c r="AX447" i="2"/>
  <c r="AP447" i="2"/>
  <c r="BC279" i="2"/>
  <c r="BC281" i="2"/>
  <c r="BC282" i="2"/>
  <c r="BC283" i="2"/>
  <c r="BC280" i="2"/>
  <c r="AU279" i="2"/>
  <c r="AU281" i="2"/>
  <c r="AU282" i="2"/>
  <c r="AU283" i="2"/>
  <c r="AU280" i="2"/>
  <c r="AM279" i="2"/>
  <c r="AM281" i="2"/>
  <c r="AM282" i="2"/>
  <c r="AM283" i="2"/>
  <c r="AM280" i="2"/>
  <c r="AW506" i="2"/>
  <c r="AO506" i="2"/>
  <c r="AZ500" i="2"/>
  <c r="AZ511" i="2" s="1"/>
  <c r="AR500" i="2"/>
  <c r="AR511" i="2" s="1"/>
  <c r="AX494" i="2"/>
  <c r="AP494" i="2"/>
  <c r="AV487" i="2"/>
  <c r="AN487" i="2"/>
  <c r="AQ509" i="2"/>
  <c r="AS476" i="2"/>
  <c r="BC429" i="2"/>
  <c r="AU429" i="2"/>
  <c r="AM429" i="2"/>
  <c r="AV420" i="2"/>
  <c r="AN420" i="2"/>
  <c r="AW423" i="2"/>
  <c r="AO423" i="2"/>
  <c r="AQ476" i="2"/>
  <c r="AY472" i="2"/>
  <c r="AQ472" i="2"/>
  <c r="AZ476" i="2"/>
  <c r="AR476" i="2"/>
  <c r="BA475" i="2"/>
  <c r="AS475" i="2"/>
  <c r="BC506" i="2"/>
  <c r="AU506" i="2"/>
  <c r="AM506" i="2"/>
  <c r="AX500" i="2"/>
  <c r="AP500" i="2"/>
  <c r="AV494" i="2"/>
  <c r="AN494" i="2"/>
  <c r="BB487" i="2"/>
  <c r="AT487" i="2"/>
  <c r="AZ481" i="2"/>
  <c r="AR481" i="2"/>
  <c r="BA429" i="2"/>
  <c r="AS429" i="2"/>
  <c r="BB428" i="2"/>
  <c r="AT428" i="2"/>
  <c r="AW427" i="2"/>
  <c r="AO427" i="2"/>
  <c r="AZ426" i="2"/>
  <c r="AR426" i="2"/>
  <c r="BB420" i="2"/>
  <c r="BC423" i="2"/>
  <c r="AU423" i="2"/>
  <c r="AM423" i="2"/>
  <c r="AX418" i="2"/>
  <c r="AP418" i="2"/>
  <c r="AY475" i="2"/>
  <c r="AQ475" i="2"/>
  <c r="AW257" i="2"/>
  <c r="AV244" i="2"/>
  <c r="AN244" i="2"/>
  <c r="AX235" i="2"/>
  <c r="AP235" i="2"/>
  <c r="AY235" i="2"/>
  <c r="AQ235" i="2"/>
  <c r="AO86" i="2"/>
  <c r="AX259" i="2"/>
  <c r="AX260" i="2"/>
  <c r="AX261" i="2"/>
  <c r="AP259" i="2"/>
  <c r="AP260" i="2"/>
  <c r="AP261" i="2"/>
  <c r="AY60" i="2"/>
  <c r="AZ60" i="2"/>
  <c r="AY259" i="2"/>
  <c r="AY260" i="2"/>
  <c r="AY261" i="2"/>
  <c r="AQ60" i="2"/>
  <c r="AR60" i="2"/>
  <c r="AQ259" i="2"/>
  <c r="AQ260" i="2"/>
  <c r="AQ261" i="2"/>
  <c r="BA255" i="2"/>
  <c r="AU86" i="2"/>
  <c r="AM86" i="2"/>
  <c r="AQ255" i="2"/>
  <c r="AZ244" i="2"/>
  <c r="AR197" i="2"/>
  <c r="AU65" i="2"/>
  <c r="AV65" i="2"/>
  <c r="AN65" i="2"/>
  <c r="AV64" i="2"/>
  <c r="AW64" i="2"/>
  <c r="AN64" i="2"/>
  <c r="AO64" i="2"/>
  <c r="AY255" i="2"/>
  <c r="BB87" i="2"/>
  <c r="BB86" i="2" s="1"/>
  <c r="AT87" i="2"/>
  <c r="AT86" i="2" s="1"/>
  <c r="AX256" i="2"/>
  <c r="BB367" i="2"/>
  <c r="AT367" i="2"/>
  <c r="BC366" i="2"/>
  <c r="AU366" i="2"/>
  <c r="AM366" i="2"/>
  <c r="AV365" i="2"/>
  <c r="AN365" i="2"/>
  <c r="AW364" i="2"/>
  <c r="AO364" i="2"/>
  <c r="AX363" i="2"/>
  <c r="AP363" i="2"/>
  <c r="AY362" i="2"/>
  <c r="AQ362" i="2"/>
  <c r="BC285" i="2"/>
  <c r="AU285" i="2"/>
  <c r="AM285" i="2"/>
  <c r="BA283" i="2"/>
  <c r="BA284" i="2"/>
  <c r="BA285" i="2"/>
  <c r="BA279" i="2"/>
  <c r="AS283" i="2"/>
  <c r="AS284" i="2"/>
  <c r="AS285" i="2"/>
  <c r="AS279" i="2"/>
  <c r="BC284" i="2"/>
  <c r="AU284" i="2"/>
  <c r="AM284" i="2"/>
  <c r="AO257" i="2"/>
  <c r="I526" i="2"/>
  <c r="Q526" i="2"/>
  <c r="Y526" i="2"/>
  <c r="AG526" i="2"/>
  <c r="I528" i="2"/>
  <c r="Q528" i="2"/>
  <c r="Y528" i="2"/>
  <c r="AG528" i="2"/>
  <c r="E527" i="2"/>
  <c r="H527" i="2"/>
  <c r="M527" i="2"/>
  <c r="U527" i="2"/>
  <c r="AC527" i="2"/>
  <c r="AK527" i="2"/>
  <c r="AW477" i="2" l="1"/>
  <c r="AN511" i="2"/>
  <c r="BB474" i="2"/>
  <c r="AR254" i="2"/>
  <c r="BC511" i="2"/>
  <c r="AR474" i="2"/>
  <c r="AO477" i="2"/>
  <c r="AY254" i="2"/>
  <c r="AV254" i="2"/>
  <c r="AR221" i="2"/>
  <c r="AW508" i="2"/>
  <c r="AT477" i="2"/>
  <c r="AU474" i="2"/>
  <c r="AW474" i="2"/>
  <c r="BF222" i="2"/>
  <c r="BE474" i="2"/>
  <c r="BF511" i="2"/>
  <c r="AS254" i="2"/>
  <c r="AY222" i="2"/>
  <c r="AZ221" i="2"/>
  <c r="AV477" i="2"/>
  <c r="AU254" i="2"/>
  <c r="AP222" i="2"/>
  <c r="AM477" i="2"/>
  <c r="BF197" i="2"/>
  <c r="BF221" i="2" s="1"/>
  <c r="AP254" i="2"/>
  <c r="AT474" i="2"/>
  <c r="AT254" i="2"/>
  <c r="BE511" i="2"/>
  <c r="AR477" i="2"/>
  <c r="AX474" i="2"/>
  <c r="AZ474" i="2"/>
  <c r="BC477" i="2"/>
  <c r="AO511" i="2"/>
  <c r="AQ508" i="2"/>
  <c r="AR508" i="2"/>
  <c r="AY477" i="2"/>
  <c r="BF474" i="2"/>
  <c r="AY508" i="2"/>
  <c r="AM254" i="2"/>
  <c r="AY511" i="2"/>
  <c r="BC254" i="2"/>
  <c r="AS222" i="2"/>
  <c r="AQ477" i="2"/>
  <c r="AN474" i="2"/>
  <c r="AM508" i="2"/>
  <c r="AT508" i="2"/>
  <c r="BD222" i="2"/>
  <c r="BF508" i="2"/>
  <c r="AV511" i="2"/>
  <c r="AQ222" i="2"/>
  <c r="AN254" i="2"/>
  <c r="AN477" i="2"/>
  <c r="AM474" i="2"/>
  <c r="AM511" i="2"/>
  <c r="AO254" i="2"/>
  <c r="BE477" i="2"/>
  <c r="AW254" i="2"/>
  <c r="AU222" i="2"/>
  <c r="AY474" i="2"/>
  <c r="AS487" i="2"/>
  <c r="AW511" i="2"/>
  <c r="BF254" i="2"/>
  <c r="BE254" i="2"/>
  <c r="AP466" i="2"/>
  <c r="AP481" i="2"/>
  <c r="AP508" i="2" s="1"/>
  <c r="BD500" i="2"/>
  <c r="BD244" i="2"/>
  <c r="BD235" i="2"/>
  <c r="BD453" i="2"/>
  <c r="BD477" i="2" s="1"/>
  <c r="BD197" i="2"/>
  <c r="BD221" i="2" s="1"/>
  <c r="BD481" i="2"/>
  <c r="BD487" i="2"/>
  <c r="BD494" i="2"/>
  <c r="BD507" i="2"/>
  <c r="AX222" i="2"/>
  <c r="AU511" i="2"/>
  <c r="AQ474" i="2"/>
  <c r="AO474" i="2"/>
  <c r="BA494" i="2"/>
  <c r="BA508" i="2" s="1"/>
  <c r="AU494" i="2"/>
  <c r="AU508" i="2" s="1"/>
  <c r="AU466" i="2"/>
  <c r="AU477" i="2" s="1"/>
  <c r="AZ254" i="2"/>
  <c r="AO222" i="2"/>
  <c r="AX254" i="2"/>
  <c r="AW222" i="2"/>
  <c r="AV474" i="2"/>
  <c r="BC221" i="2"/>
  <c r="AS474" i="2"/>
  <c r="BA223" i="2"/>
  <c r="AX466" i="2"/>
  <c r="AP453" i="2"/>
  <c r="BC222" i="2"/>
  <c r="AP474" i="2"/>
  <c r="AX453" i="2"/>
  <c r="AX481" i="2"/>
  <c r="AX508" i="2" s="1"/>
  <c r="BA500" i="2"/>
  <c r="BB453" i="2"/>
  <c r="AS509" i="2"/>
  <c r="BA218" i="2"/>
  <c r="BB494" i="2"/>
  <c r="BB508" i="2" s="1"/>
  <c r="BB466" i="2"/>
  <c r="AW221" i="2"/>
  <c r="AQ254" i="2"/>
  <c r="BA222" i="2"/>
  <c r="AS453" i="2"/>
  <c r="AS500" i="2"/>
  <c r="BA487" i="2"/>
  <c r="AO197" i="2"/>
  <c r="AO221" i="2" s="1"/>
  <c r="AP506" i="2"/>
  <c r="AX507" i="2"/>
  <c r="AP507" i="2"/>
  <c r="AX257" i="2"/>
  <c r="AS223" i="2"/>
  <c r="AS259" i="2"/>
  <c r="AP472" i="2"/>
  <c r="BD474" i="2"/>
  <c r="BC474" i="2"/>
  <c r="AS506" i="2"/>
  <c r="AP256" i="2"/>
  <c r="AP257" i="2"/>
  <c r="AP509" i="2"/>
  <c r="AS221" i="2"/>
  <c r="BA257" i="2"/>
  <c r="BA466" i="2"/>
  <c r="AX255" i="2"/>
  <c r="AX510" i="2"/>
  <c r="AP473" i="2"/>
  <c r="AS218" i="2"/>
  <c r="AS494" i="2"/>
  <c r="AS508" i="2" s="1"/>
  <c r="BA506" i="2"/>
  <c r="AQ221" i="2"/>
  <c r="BB254" i="2"/>
  <c r="AY221" i="2"/>
  <c r="BA217" i="2"/>
  <c r="BA453" i="2"/>
  <c r="AT222" i="2"/>
  <c r="BA256" i="2"/>
  <c r="BB222" i="2"/>
  <c r="AS257" i="2"/>
  <c r="BA260" i="2"/>
  <c r="AS466" i="2"/>
  <c r="BA244" i="2"/>
  <c r="BA254" i="2" s="1"/>
  <c r="BA259" i="2"/>
  <c r="BA476" i="2"/>
  <c r="BA510" i="2"/>
  <c r="AM222" i="2"/>
  <c r="BA509" i="2"/>
  <c r="AU221" i="2"/>
  <c r="AS217" i="2"/>
  <c r="AS260" i="2"/>
  <c r="AS510" i="2"/>
  <c r="BA447" i="2"/>
  <c r="BA474" i="2" s="1"/>
  <c r="BB209" i="2"/>
  <c r="BB221" i="2" s="1"/>
  <c r="BB511" i="2"/>
  <c r="AN222" i="2"/>
  <c r="AN221" i="2"/>
  <c r="AM221" i="2"/>
  <c r="AV222" i="2"/>
  <c r="AX197" i="2"/>
  <c r="AX221" i="2" s="1"/>
  <c r="BA221" i="2"/>
  <c r="AP197" i="2"/>
  <c r="AP221" i="2" s="1"/>
  <c r="AZ222" i="2"/>
  <c r="AV221" i="2"/>
  <c r="AT221" i="2"/>
  <c r="AR222" i="2"/>
  <c r="AV508" i="2"/>
  <c r="AP511" i="2"/>
  <c r="AX511" i="2"/>
  <c r="AZ508" i="2"/>
  <c r="AT511" i="2"/>
  <c r="AN508" i="2"/>
  <c r="AL528" i="2"/>
  <c r="AD528" i="2"/>
  <c r="V528" i="2"/>
  <c r="N528" i="2"/>
  <c r="F528" i="2"/>
  <c r="AL526" i="2"/>
  <c r="AD526" i="2"/>
  <c r="V526" i="2"/>
  <c r="N526" i="2"/>
  <c r="F526" i="2"/>
  <c r="AK528" i="2"/>
  <c r="AC528" i="2"/>
  <c r="U528" i="2"/>
  <c r="M528" i="2"/>
  <c r="E528" i="2"/>
  <c r="X527" i="2"/>
  <c r="AF527" i="2"/>
  <c r="P527" i="2"/>
  <c r="AI528" i="2"/>
  <c r="AA528" i="2"/>
  <c r="S528" i="2"/>
  <c r="K528" i="2"/>
  <c r="C528" i="2"/>
  <c r="AI526" i="2"/>
  <c r="AA526" i="2"/>
  <c r="S526" i="2"/>
  <c r="K526" i="2"/>
  <c r="C526" i="2"/>
  <c r="AF528" i="2"/>
  <c r="X528" i="2"/>
  <c r="P528" i="2"/>
  <c r="H528" i="2"/>
  <c r="AF526" i="2"/>
  <c r="X526" i="2"/>
  <c r="P526" i="2"/>
  <c r="H526" i="2"/>
  <c r="AJ529" i="2"/>
  <c r="AB529" i="2"/>
  <c r="T529" i="2"/>
  <c r="L529" i="2"/>
  <c r="D529" i="2"/>
  <c r="AJ528" i="2"/>
  <c r="AB528" i="2"/>
  <c r="T528" i="2"/>
  <c r="L528" i="2"/>
  <c r="D528" i="2"/>
  <c r="AJ526" i="2"/>
  <c r="AB526" i="2"/>
  <c r="T526" i="2"/>
  <c r="L526" i="2"/>
  <c r="D526" i="2"/>
  <c r="AI529" i="2"/>
  <c r="AA529" i="2"/>
  <c r="S529" i="2"/>
  <c r="K529" i="2"/>
  <c r="C529" i="2"/>
  <c r="AE527" i="2"/>
  <c r="W527" i="2"/>
  <c r="O527" i="2"/>
  <c r="G527" i="2"/>
  <c r="AH529" i="2"/>
  <c r="Z529" i="2"/>
  <c r="R529" i="2"/>
  <c r="J529" i="2"/>
  <c r="AL527" i="2"/>
  <c r="AD527" i="2"/>
  <c r="V527" i="2"/>
  <c r="N527" i="2"/>
  <c r="F527" i="2"/>
  <c r="AH528" i="2"/>
  <c r="Z528" i="2"/>
  <c r="R528" i="2"/>
  <c r="J528" i="2"/>
  <c r="AH526" i="2"/>
  <c r="Z526" i="2"/>
  <c r="R526" i="2"/>
  <c r="J526" i="2"/>
  <c r="AG529" i="2"/>
  <c r="Y529" i="2"/>
  <c r="Q529" i="2"/>
  <c r="I529" i="2"/>
  <c r="AF529" i="2"/>
  <c r="X529" i="2"/>
  <c r="P529" i="2"/>
  <c r="H529" i="2"/>
  <c r="AJ527" i="2"/>
  <c r="AB527" i="2"/>
  <c r="T527" i="2"/>
  <c r="L527" i="2"/>
  <c r="D527" i="2"/>
  <c r="AE529" i="2"/>
  <c r="W529" i="2"/>
  <c r="O529" i="2"/>
  <c r="G529" i="2"/>
  <c r="AI527" i="2"/>
  <c r="AA527" i="2"/>
  <c r="S527" i="2"/>
  <c r="K527" i="2"/>
  <c r="C527" i="2"/>
  <c r="AE528" i="2"/>
  <c r="W528" i="2"/>
  <c r="O528" i="2"/>
  <c r="G528" i="2"/>
  <c r="AE526" i="2"/>
  <c r="W526" i="2"/>
  <c r="O526" i="2"/>
  <c r="G526" i="2"/>
  <c r="AL529" i="2"/>
  <c r="AD529" i="2"/>
  <c r="V529" i="2"/>
  <c r="N529" i="2"/>
  <c r="F529" i="2"/>
  <c r="AH527" i="2"/>
  <c r="Z527" i="2"/>
  <c r="R527" i="2"/>
  <c r="J527" i="2"/>
  <c r="AK529" i="2"/>
  <c r="AC529" i="2"/>
  <c r="U529" i="2"/>
  <c r="M529" i="2"/>
  <c r="E529" i="2"/>
  <c r="AG527" i="2"/>
  <c r="Y527" i="2"/>
  <c r="Q527" i="2"/>
  <c r="I527" i="2"/>
  <c r="AK526" i="2"/>
  <c r="AC526" i="2"/>
  <c r="U526" i="2"/>
  <c r="M526" i="2"/>
  <c r="E526" i="2"/>
  <c r="C506" i="2"/>
  <c r="G506" i="2"/>
  <c r="O506" i="2"/>
  <c r="W506" i="2"/>
  <c r="AE506" i="2"/>
  <c r="K510" i="2"/>
  <c r="BA511" i="2" l="1"/>
  <c r="AS511" i="2"/>
  <c r="AP477" i="2"/>
  <c r="BD254" i="2"/>
  <c r="BD508" i="2"/>
  <c r="BD511" i="2"/>
  <c r="AX477" i="2"/>
  <c r="BB477" i="2"/>
  <c r="BA477" i="2"/>
  <c r="AS477" i="2"/>
  <c r="F507" i="2"/>
  <c r="AF510" i="2"/>
  <c r="X510" i="2"/>
  <c r="P510" i="2"/>
  <c r="H510" i="2"/>
  <c r="AF506" i="2"/>
  <c r="X506" i="2"/>
  <c r="P506" i="2"/>
  <c r="H506" i="2"/>
  <c r="C509" i="2"/>
  <c r="AH509" i="2"/>
  <c r="R509" i="2"/>
  <c r="Z509" i="2"/>
  <c r="J509" i="2"/>
  <c r="AI510" i="2"/>
  <c r="AA510" i="2"/>
  <c r="S510" i="2"/>
  <c r="AI506" i="2"/>
  <c r="AA506" i="2"/>
  <c r="S506" i="2"/>
  <c r="K506" i="2"/>
  <c r="AD507" i="2"/>
  <c r="V507" i="2"/>
  <c r="N507" i="2"/>
  <c r="AG507" i="2"/>
  <c r="Y507" i="2"/>
  <c r="Q507" i="2"/>
  <c r="I507" i="2"/>
  <c r="AG510" i="2"/>
  <c r="Y510" i="2"/>
  <c r="Q510" i="2"/>
  <c r="I510" i="2"/>
  <c r="AK509" i="2"/>
  <c r="AC509" i="2"/>
  <c r="U509" i="2"/>
  <c r="M509" i="2"/>
  <c r="E509" i="2"/>
  <c r="AK507" i="2"/>
  <c r="AC507" i="2"/>
  <c r="U507" i="2"/>
  <c r="M507" i="2"/>
  <c r="E507" i="2"/>
  <c r="AG506" i="2"/>
  <c r="Y506" i="2"/>
  <c r="Q506" i="2"/>
  <c r="I506" i="2"/>
  <c r="AJ509" i="2"/>
  <c r="AB509" i="2"/>
  <c r="T509" i="2"/>
  <c r="L509" i="2"/>
  <c r="D509" i="2"/>
  <c r="AE510" i="2"/>
  <c r="W510" i="2"/>
  <c r="O510" i="2"/>
  <c r="G510" i="2"/>
  <c r="AI509" i="2"/>
  <c r="AA509" i="2"/>
  <c r="S509" i="2"/>
  <c r="K509" i="2"/>
  <c r="AI507" i="2"/>
  <c r="AA507" i="2"/>
  <c r="S507" i="2"/>
  <c r="K507" i="2"/>
  <c r="AD510" i="2"/>
  <c r="V510" i="2"/>
  <c r="N510" i="2"/>
  <c r="F510" i="2"/>
  <c r="AH507" i="2"/>
  <c r="Z507" i="2"/>
  <c r="R507" i="2"/>
  <c r="J507" i="2"/>
  <c r="AD506" i="2"/>
  <c r="V506" i="2"/>
  <c r="N506" i="2"/>
  <c r="F506" i="2"/>
  <c r="AK510" i="2"/>
  <c r="AC510" i="2"/>
  <c r="U510" i="2"/>
  <c r="M510" i="2"/>
  <c r="E510" i="2"/>
  <c r="AG509" i="2"/>
  <c r="Y509" i="2"/>
  <c r="Q509" i="2"/>
  <c r="I509" i="2"/>
  <c r="AK506" i="2"/>
  <c r="AC506" i="2"/>
  <c r="U506" i="2"/>
  <c r="M506" i="2"/>
  <c r="E506" i="2"/>
  <c r="AJ507" i="2"/>
  <c r="AB507" i="2"/>
  <c r="T507" i="2"/>
  <c r="L507" i="2"/>
  <c r="D507" i="2"/>
  <c r="AJ510" i="2"/>
  <c r="AB510" i="2"/>
  <c r="T510" i="2"/>
  <c r="L510" i="2"/>
  <c r="D510" i="2"/>
  <c r="AF509" i="2"/>
  <c r="X509" i="2"/>
  <c r="P509" i="2"/>
  <c r="H509" i="2"/>
  <c r="AF507" i="2"/>
  <c r="X507" i="2"/>
  <c r="P507" i="2"/>
  <c r="H507" i="2"/>
  <c r="AJ506" i="2"/>
  <c r="AB506" i="2"/>
  <c r="T506" i="2"/>
  <c r="L506" i="2"/>
  <c r="D506" i="2"/>
  <c r="C510" i="2"/>
  <c r="AE509" i="2"/>
  <c r="W509" i="2"/>
  <c r="O509" i="2"/>
  <c r="G509" i="2"/>
  <c r="AE507" i="2"/>
  <c r="W507" i="2"/>
  <c r="O507" i="2"/>
  <c r="G507" i="2"/>
  <c r="AH510" i="2"/>
  <c r="Z510" i="2"/>
  <c r="R510" i="2"/>
  <c r="J510" i="2"/>
  <c r="AD509" i="2"/>
  <c r="V509" i="2"/>
  <c r="N509" i="2"/>
  <c r="F509" i="2"/>
  <c r="AH506" i="2"/>
  <c r="Z506" i="2"/>
  <c r="R506" i="2"/>
  <c r="J506" i="2"/>
  <c r="C507" i="2"/>
  <c r="AH494" i="2"/>
  <c r="R500" i="2"/>
  <c r="M494" i="2"/>
  <c r="AJ500" i="2"/>
  <c r="AB500" i="2"/>
  <c r="T500" i="2"/>
  <c r="L500" i="2"/>
  <c r="D500" i="2"/>
  <c r="AI500" i="2"/>
  <c r="AA500" i="2"/>
  <c r="S500" i="2"/>
  <c r="K500" i="2"/>
  <c r="C500" i="2"/>
  <c r="AA487" i="2"/>
  <c r="AE481" i="2"/>
  <c r="J500" i="2"/>
  <c r="AG500" i="2"/>
  <c r="Y500" i="2"/>
  <c r="Q500" i="2"/>
  <c r="I500" i="2"/>
  <c r="AK494" i="2"/>
  <c r="AC494" i="2"/>
  <c r="U494" i="2"/>
  <c r="E494" i="2"/>
  <c r="AF500" i="2"/>
  <c r="X500" i="2"/>
  <c r="P500" i="2"/>
  <c r="H500" i="2"/>
  <c r="AE500" i="2"/>
  <c r="W500" i="2"/>
  <c r="O500" i="2"/>
  <c r="G500" i="2"/>
  <c r="Z500" i="2"/>
  <c r="AD500" i="2"/>
  <c r="V500" i="2"/>
  <c r="N500" i="2"/>
  <c r="F500" i="2"/>
  <c r="Z494" i="2"/>
  <c r="R494" i="2"/>
  <c r="J494" i="2"/>
  <c r="AH500" i="2"/>
  <c r="AK500" i="2"/>
  <c r="AC500" i="2"/>
  <c r="U500" i="2"/>
  <c r="M500" i="2"/>
  <c r="E500" i="2"/>
  <c r="AG494" i="2"/>
  <c r="Y494" i="2"/>
  <c r="Q494" i="2"/>
  <c r="I494" i="2"/>
  <c r="AI487" i="2"/>
  <c r="AD494" i="2"/>
  <c r="V494" i="2"/>
  <c r="N494" i="2"/>
  <c r="F494" i="2"/>
  <c r="S487" i="2"/>
  <c r="W494" i="2"/>
  <c r="G481" i="2"/>
  <c r="AJ494" i="2"/>
  <c r="AB494" i="2"/>
  <c r="T494" i="2"/>
  <c r="L494" i="2"/>
  <c r="D494" i="2"/>
  <c r="AE494" i="2"/>
  <c r="AI494" i="2"/>
  <c r="AA494" i="2"/>
  <c r="S494" i="2"/>
  <c r="K494" i="2"/>
  <c r="C494" i="2"/>
  <c r="C481" i="2"/>
  <c r="G494" i="2"/>
  <c r="O481" i="2"/>
  <c r="O494" i="2"/>
  <c r="W481" i="2"/>
  <c r="K487" i="2"/>
  <c r="AF494" i="2"/>
  <c r="X494" i="2"/>
  <c r="P494" i="2"/>
  <c r="H494" i="2"/>
  <c r="AF481" i="2"/>
  <c r="X481" i="2"/>
  <c r="P481" i="2"/>
  <c r="H481" i="2"/>
  <c r="AK487" i="2"/>
  <c r="AC487" i="2"/>
  <c r="U487" i="2"/>
  <c r="M487" i="2"/>
  <c r="E487" i="2"/>
  <c r="AG481" i="2"/>
  <c r="Y481" i="2"/>
  <c r="Q481" i="2"/>
  <c r="I481" i="2"/>
  <c r="AH487" i="2"/>
  <c r="Z487" i="2"/>
  <c r="R487" i="2"/>
  <c r="J487" i="2"/>
  <c r="AD481" i="2"/>
  <c r="V481" i="2"/>
  <c r="N481" i="2"/>
  <c r="F481" i="2"/>
  <c r="AG487" i="2"/>
  <c r="Y487" i="2"/>
  <c r="Q487" i="2"/>
  <c r="I487" i="2"/>
  <c r="AK481" i="2"/>
  <c r="AC481" i="2"/>
  <c r="U481" i="2"/>
  <c r="M481" i="2"/>
  <c r="E481" i="2"/>
  <c r="AJ487" i="2"/>
  <c r="AB487" i="2"/>
  <c r="T487" i="2"/>
  <c r="L487" i="2"/>
  <c r="AF487" i="2"/>
  <c r="X487" i="2"/>
  <c r="P487" i="2"/>
  <c r="H487" i="2"/>
  <c r="AJ481" i="2"/>
  <c r="AB481" i="2"/>
  <c r="T481" i="2"/>
  <c r="L481" i="2"/>
  <c r="D481" i="2"/>
  <c r="C487" i="2"/>
  <c r="AE487" i="2"/>
  <c r="W487" i="2"/>
  <c r="O487" i="2"/>
  <c r="G487" i="2"/>
  <c r="AI481" i="2"/>
  <c r="AA481" i="2"/>
  <c r="S481" i="2"/>
  <c r="K481" i="2"/>
  <c r="D487" i="2"/>
  <c r="AD487" i="2"/>
  <c r="V487" i="2"/>
  <c r="N487" i="2"/>
  <c r="F487" i="2"/>
  <c r="AH481" i="2"/>
  <c r="Z481" i="2"/>
  <c r="R481" i="2"/>
  <c r="J481" i="2"/>
  <c r="AE476" i="2"/>
  <c r="AD453" i="2"/>
  <c r="V453" i="2"/>
  <c r="N453" i="2"/>
  <c r="F453" i="2"/>
  <c r="AI472" i="2"/>
  <c r="AA472" i="2"/>
  <c r="S472" i="2"/>
  <c r="K472" i="2"/>
  <c r="AE473" i="2"/>
  <c r="W473" i="2"/>
  <c r="O473" i="2"/>
  <c r="G473" i="2"/>
  <c r="AH472" i="2"/>
  <c r="Z472" i="2"/>
  <c r="R472" i="2"/>
  <c r="J472" i="2"/>
  <c r="C472" i="2"/>
  <c r="C475" i="2"/>
  <c r="AI466" i="2"/>
  <c r="AA466" i="2"/>
  <c r="S466" i="2"/>
  <c r="K466" i="2"/>
  <c r="AD466" i="2"/>
  <c r="V466" i="2"/>
  <c r="N466" i="2"/>
  <c r="F466" i="2"/>
  <c r="AK460" i="2"/>
  <c r="AC460" i="2"/>
  <c r="U460" i="2"/>
  <c r="M460" i="2"/>
  <c r="E460" i="2"/>
  <c r="AJ453" i="2"/>
  <c r="AB453" i="2"/>
  <c r="T453" i="2"/>
  <c r="L453" i="2"/>
  <c r="D453" i="2"/>
  <c r="W476" i="2"/>
  <c r="O476" i="2"/>
  <c r="G476" i="2"/>
  <c r="AH475" i="2"/>
  <c r="Z475" i="2"/>
  <c r="R475" i="2"/>
  <c r="J475" i="2"/>
  <c r="AD473" i="2"/>
  <c r="V473" i="2"/>
  <c r="N473" i="2"/>
  <c r="F473" i="2"/>
  <c r="AG472" i="2"/>
  <c r="Y472" i="2"/>
  <c r="Q472" i="2"/>
  <c r="I472" i="2"/>
  <c r="AE475" i="2"/>
  <c r="W475" i="2"/>
  <c r="O475" i="2"/>
  <c r="G475" i="2"/>
  <c r="AD472" i="2"/>
  <c r="V472" i="2"/>
  <c r="N472" i="2"/>
  <c r="F472" i="2"/>
  <c r="AG476" i="2"/>
  <c r="Y476" i="2"/>
  <c r="Q476" i="2"/>
  <c r="I476" i="2"/>
  <c r="AJ475" i="2"/>
  <c r="AB475" i="2"/>
  <c r="T475" i="2"/>
  <c r="L475" i="2"/>
  <c r="D475" i="2"/>
  <c r="AF473" i="2"/>
  <c r="X473" i="2"/>
  <c r="P473" i="2"/>
  <c r="H473" i="2"/>
  <c r="C476" i="2"/>
  <c r="AD476" i="2"/>
  <c r="V476" i="2"/>
  <c r="N476" i="2"/>
  <c r="F476" i="2"/>
  <c r="AG475" i="2"/>
  <c r="Y475" i="2"/>
  <c r="Q475" i="2"/>
  <c r="I475" i="2"/>
  <c r="AK473" i="2"/>
  <c r="AC473" i="2"/>
  <c r="U473" i="2"/>
  <c r="M473" i="2"/>
  <c r="E473" i="2"/>
  <c r="AF472" i="2"/>
  <c r="X472" i="2"/>
  <c r="P472" i="2"/>
  <c r="H472" i="2"/>
  <c r="AJ473" i="2"/>
  <c r="AB473" i="2"/>
  <c r="T473" i="2"/>
  <c r="L473" i="2"/>
  <c r="D473" i="2"/>
  <c r="AE472" i="2"/>
  <c r="W472" i="2"/>
  <c r="O472" i="2"/>
  <c r="G472" i="2"/>
  <c r="AJ476" i="2"/>
  <c r="AB476" i="2"/>
  <c r="T476" i="2"/>
  <c r="L476" i="2"/>
  <c r="D476" i="2"/>
  <c r="AI473" i="2"/>
  <c r="AA473" i="2"/>
  <c r="S473" i="2"/>
  <c r="K473" i="2"/>
  <c r="AK476" i="2"/>
  <c r="U476" i="2"/>
  <c r="E476" i="2"/>
  <c r="X475" i="2"/>
  <c r="P475" i="2"/>
  <c r="AI476" i="2"/>
  <c r="AA476" i="2"/>
  <c r="S476" i="2"/>
  <c r="K476" i="2"/>
  <c r="AD475" i="2"/>
  <c r="V475" i="2"/>
  <c r="N475" i="2"/>
  <c r="F475" i="2"/>
  <c r="AH473" i="2"/>
  <c r="Z473" i="2"/>
  <c r="R473" i="2"/>
  <c r="J473" i="2"/>
  <c r="AK472" i="2"/>
  <c r="AC472" i="2"/>
  <c r="U472" i="2"/>
  <c r="M472" i="2"/>
  <c r="E472" i="2"/>
  <c r="AC476" i="2"/>
  <c r="M476" i="2"/>
  <c r="AF475" i="2"/>
  <c r="H475" i="2"/>
  <c r="AE453" i="2"/>
  <c r="W453" i="2"/>
  <c r="O453" i="2"/>
  <c r="G453" i="2"/>
  <c r="AH476" i="2"/>
  <c r="Z476" i="2"/>
  <c r="R476" i="2"/>
  <c r="J476" i="2"/>
  <c r="AK475" i="2"/>
  <c r="AC475" i="2"/>
  <c r="U475" i="2"/>
  <c r="M475" i="2"/>
  <c r="E475" i="2"/>
  <c r="AG473" i="2"/>
  <c r="Y473" i="2"/>
  <c r="Q473" i="2"/>
  <c r="I473" i="2"/>
  <c r="AJ472" i="2"/>
  <c r="AB472" i="2"/>
  <c r="T472" i="2"/>
  <c r="L472" i="2"/>
  <c r="D472" i="2"/>
  <c r="AF476" i="2"/>
  <c r="X476" i="2"/>
  <c r="P476" i="2"/>
  <c r="H476" i="2"/>
  <c r="AI475" i="2"/>
  <c r="AA475" i="2"/>
  <c r="S475" i="2"/>
  <c r="K475" i="2"/>
  <c r="AE466" i="2"/>
  <c r="W466" i="2"/>
  <c r="O466" i="2"/>
  <c r="G466" i="2"/>
  <c r="AH453" i="2"/>
  <c r="Z453" i="2"/>
  <c r="R453" i="2"/>
  <c r="J453" i="2"/>
  <c r="AK453" i="2"/>
  <c r="AC453" i="2"/>
  <c r="U453" i="2"/>
  <c r="M453" i="2"/>
  <c r="E453" i="2"/>
  <c r="AF466" i="2"/>
  <c r="AI453" i="2"/>
  <c r="AA453" i="2"/>
  <c r="S453" i="2"/>
  <c r="K453" i="2"/>
  <c r="H466" i="2"/>
  <c r="P466" i="2"/>
  <c r="C453" i="2"/>
  <c r="AG453" i="2"/>
  <c r="Y453" i="2"/>
  <c r="Q453" i="2"/>
  <c r="I453" i="2"/>
  <c r="AF453" i="2"/>
  <c r="X453" i="2"/>
  <c r="P453" i="2"/>
  <c r="H453" i="2"/>
  <c r="X466" i="2"/>
  <c r="C473" i="2"/>
  <c r="C466" i="2"/>
  <c r="AK466" i="2"/>
  <c r="AC466" i="2"/>
  <c r="U466" i="2"/>
  <c r="M466" i="2"/>
  <c r="E466" i="2"/>
  <c r="AJ460" i="2"/>
  <c r="AB460" i="2"/>
  <c r="T460" i="2"/>
  <c r="L460" i="2"/>
  <c r="D460" i="2"/>
  <c r="AJ466" i="2"/>
  <c r="AB466" i="2"/>
  <c r="T466" i="2"/>
  <c r="L466" i="2"/>
  <c r="D466" i="2"/>
  <c r="AH466" i="2"/>
  <c r="Z466" i="2"/>
  <c r="R466" i="2"/>
  <c r="J466" i="2"/>
  <c r="C447" i="2"/>
  <c r="AG466" i="2"/>
  <c r="Y466" i="2"/>
  <c r="Q466" i="2"/>
  <c r="I466" i="2"/>
  <c r="AI460" i="2"/>
  <c r="AA460" i="2"/>
  <c r="S460" i="2"/>
  <c r="K460" i="2"/>
  <c r="AE460" i="2"/>
  <c r="W460" i="2"/>
  <c r="O460" i="2"/>
  <c r="G460" i="2"/>
  <c r="AH460" i="2"/>
  <c r="Z460" i="2"/>
  <c r="R460" i="2"/>
  <c r="J460" i="2"/>
  <c r="AH447" i="2"/>
  <c r="Z447" i="2"/>
  <c r="R447" i="2"/>
  <c r="J447" i="2"/>
  <c r="AF447" i="2"/>
  <c r="X447" i="2"/>
  <c r="P447" i="2"/>
  <c r="H447" i="2"/>
  <c r="I460" i="2"/>
  <c r="H460" i="2"/>
  <c r="Y460" i="2"/>
  <c r="P460" i="2"/>
  <c r="AG460" i="2"/>
  <c r="Q460" i="2"/>
  <c r="AF460" i="2"/>
  <c r="X460" i="2"/>
  <c r="C460" i="2"/>
  <c r="AD460" i="2"/>
  <c r="V460" i="2"/>
  <c r="N460" i="2"/>
  <c r="F460" i="2"/>
  <c r="AE447" i="2"/>
  <c r="W447" i="2"/>
  <c r="O447" i="2"/>
  <c r="G447" i="2"/>
  <c r="AK447" i="2"/>
  <c r="AC447" i="2"/>
  <c r="U447" i="2"/>
  <c r="M447" i="2"/>
  <c r="E447" i="2"/>
  <c r="AD447" i="2"/>
  <c r="V447" i="2"/>
  <c r="N447" i="2"/>
  <c r="F447" i="2"/>
  <c r="AG447" i="2"/>
  <c r="Y447" i="2"/>
  <c r="Q447" i="2"/>
  <c r="I447" i="2"/>
  <c r="AJ447" i="2"/>
  <c r="AB447" i="2"/>
  <c r="T447" i="2"/>
  <c r="L447" i="2"/>
  <c r="D447" i="2"/>
  <c r="AI447" i="2"/>
  <c r="AA447" i="2"/>
  <c r="S447" i="2"/>
  <c r="K447" i="2"/>
  <c r="AI508" i="2" l="1"/>
  <c r="S508" i="2"/>
  <c r="E508" i="2"/>
  <c r="K508" i="2"/>
  <c r="AA508" i="2"/>
  <c r="M508" i="2"/>
  <c r="P511" i="2"/>
  <c r="I508" i="2"/>
  <c r="AK511" i="2"/>
  <c r="AD511" i="2"/>
  <c r="AC511" i="2"/>
  <c r="X511" i="2"/>
  <c r="AH508" i="2"/>
  <c r="D508" i="2"/>
  <c r="AF511" i="2"/>
  <c r="N508" i="2"/>
  <c r="Q508" i="2"/>
  <c r="L508" i="2"/>
  <c r="AG508" i="2"/>
  <c r="G511" i="2"/>
  <c r="J511" i="2"/>
  <c r="R508" i="2"/>
  <c r="D511" i="2"/>
  <c r="AH511" i="2"/>
  <c r="V508" i="2"/>
  <c r="H508" i="2"/>
  <c r="K511" i="2"/>
  <c r="L511" i="2"/>
  <c r="Z508" i="2"/>
  <c r="T508" i="2"/>
  <c r="I511" i="2"/>
  <c r="X508" i="2"/>
  <c r="C511" i="2"/>
  <c r="O511" i="2"/>
  <c r="AJ511" i="2"/>
  <c r="U508" i="2"/>
  <c r="AJ508" i="2"/>
  <c r="AE511" i="2"/>
  <c r="F508" i="2"/>
  <c r="AC508" i="2"/>
  <c r="F511" i="2"/>
  <c r="AK508" i="2"/>
  <c r="AD508" i="2"/>
  <c r="Y508" i="2"/>
  <c r="G508" i="2"/>
  <c r="AI511" i="2"/>
  <c r="N511" i="2"/>
  <c r="T511" i="2"/>
  <c r="V511" i="2"/>
  <c r="AB508" i="2"/>
  <c r="AB511" i="2"/>
  <c r="Q511" i="2"/>
  <c r="E511" i="2"/>
  <c r="AF508" i="2"/>
  <c r="O508" i="2"/>
  <c r="S511" i="2"/>
  <c r="J508" i="2"/>
  <c r="W511" i="2"/>
  <c r="H511" i="2"/>
  <c r="AG511" i="2"/>
  <c r="Z511" i="2"/>
  <c r="U511" i="2"/>
  <c r="C508" i="2"/>
  <c r="AE508" i="2"/>
  <c r="AA511" i="2"/>
  <c r="P508" i="2"/>
  <c r="W508" i="2"/>
  <c r="Y511" i="2"/>
  <c r="R511" i="2"/>
  <c r="M511" i="2"/>
  <c r="U474" i="2"/>
  <c r="T477" i="2"/>
  <c r="L477" i="2"/>
  <c r="P477" i="2"/>
  <c r="I477" i="2"/>
  <c r="S477" i="2"/>
  <c r="F477" i="2"/>
  <c r="M474" i="2"/>
  <c r="K477" i="2"/>
  <c r="N477" i="2"/>
  <c r="V477" i="2"/>
  <c r="AD477" i="2"/>
  <c r="AA474" i="2"/>
  <c r="Q474" i="2"/>
  <c r="E474" i="2"/>
  <c r="AJ477" i="2"/>
  <c r="O477" i="2"/>
  <c r="AE477" i="2"/>
  <c r="AA477" i="2"/>
  <c r="AK474" i="2"/>
  <c r="AI477" i="2"/>
  <c r="G477" i="2"/>
  <c r="W477" i="2"/>
  <c r="AC474" i="2"/>
  <c r="D477" i="2"/>
  <c r="Z474" i="2"/>
  <c r="K474" i="2"/>
  <c r="AB477" i="2"/>
  <c r="AG474" i="2"/>
  <c r="T474" i="2"/>
  <c r="AB474" i="2"/>
  <c r="V474" i="2"/>
  <c r="G474" i="2"/>
  <c r="AG477" i="2"/>
  <c r="Z477" i="2"/>
  <c r="C477" i="2"/>
  <c r="L474" i="2"/>
  <c r="AD474" i="2"/>
  <c r="AH474" i="2"/>
  <c r="AE474" i="2"/>
  <c r="P474" i="2"/>
  <c r="O474" i="2"/>
  <c r="AH477" i="2"/>
  <c r="AI474" i="2"/>
  <c r="Y474" i="2"/>
  <c r="X474" i="2"/>
  <c r="AJ474" i="2"/>
  <c r="H477" i="2"/>
  <c r="E477" i="2"/>
  <c r="S474" i="2"/>
  <c r="I474" i="2"/>
  <c r="W474" i="2"/>
  <c r="H474" i="2"/>
  <c r="C474" i="2"/>
  <c r="M477" i="2"/>
  <c r="AF474" i="2"/>
  <c r="AK477" i="2"/>
  <c r="U477" i="2"/>
  <c r="AF477" i="2"/>
  <c r="AC477" i="2"/>
  <c r="D474" i="2"/>
  <c r="F474" i="2"/>
  <c r="J474" i="2"/>
  <c r="Q477" i="2"/>
  <c r="J477" i="2"/>
  <c r="X477" i="2"/>
  <c r="N474" i="2"/>
  <c r="R474" i="2"/>
  <c r="Y477" i="2"/>
  <c r="R477" i="2"/>
  <c r="C419" i="2" l="1"/>
  <c r="D419" i="2"/>
  <c r="E419" i="2"/>
  <c r="F419" i="2"/>
  <c r="G419" i="2"/>
  <c r="H419" i="2"/>
  <c r="C433" i="2" s="1"/>
  <c r="I419" i="2"/>
  <c r="J419" i="2"/>
  <c r="K419" i="2"/>
  <c r="L419" i="2"/>
  <c r="M419" i="2"/>
  <c r="N419" i="2"/>
  <c r="O419" i="2"/>
  <c r="P419" i="2"/>
  <c r="Q419" i="2"/>
  <c r="R419" i="2"/>
  <c r="D433" i="2" s="1"/>
  <c r="S419" i="2"/>
  <c r="T419" i="2"/>
  <c r="U419" i="2"/>
  <c r="V419" i="2"/>
  <c r="W419" i="2"/>
  <c r="X419" i="2"/>
  <c r="Y419" i="2"/>
  <c r="Z419" i="2"/>
  <c r="AA419" i="2"/>
  <c r="AB419" i="2"/>
  <c r="E433" i="2" s="1"/>
  <c r="AC419" i="2"/>
  <c r="AD419" i="2"/>
  <c r="AE419" i="2"/>
  <c r="AF419" i="2"/>
  <c r="AG419" i="2"/>
  <c r="AH419" i="2"/>
  <c r="AI419" i="2"/>
  <c r="AJ419" i="2"/>
  <c r="AK419" i="2"/>
  <c r="AL419" i="2"/>
  <c r="F433" i="2" s="1"/>
  <c r="C421" i="2"/>
  <c r="D421" i="2"/>
  <c r="E421" i="2"/>
  <c r="F421" i="2"/>
  <c r="G421" i="2"/>
  <c r="H421" i="2"/>
  <c r="C435" i="2" s="1"/>
  <c r="I421" i="2"/>
  <c r="J421" i="2"/>
  <c r="K421" i="2"/>
  <c r="L421" i="2"/>
  <c r="M421" i="2"/>
  <c r="N421" i="2"/>
  <c r="O421" i="2"/>
  <c r="P421" i="2"/>
  <c r="Q421" i="2"/>
  <c r="R421" i="2"/>
  <c r="D435" i="2" s="1"/>
  <c r="S421" i="2"/>
  <c r="T421" i="2"/>
  <c r="U421" i="2"/>
  <c r="V421" i="2"/>
  <c r="W421" i="2"/>
  <c r="X421" i="2"/>
  <c r="Y421" i="2"/>
  <c r="Z421" i="2"/>
  <c r="AA421" i="2"/>
  <c r="AB421" i="2"/>
  <c r="E435" i="2" s="1"/>
  <c r="AC421" i="2"/>
  <c r="AD421" i="2"/>
  <c r="AE421" i="2"/>
  <c r="AF421" i="2"/>
  <c r="AG421" i="2"/>
  <c r="AH421" i="2"/>
  <c r="AI421" i="2"/>
  <c r="AJ421" i="2"/>
  <c r="AK421" i="2"/>
  <c r="AL421" i="2"/>
  <c r="F435" i="2" s="1"/>
  <c r="C422" i="2"/>
  <c r="D422" i="2"/>
  <c r="E422" i="2"/>
  <c r="F422" i="2"/>
  <c r="G422" i="2"/>
  <c r="H422" i="2"/>
  <c r="C436" i="2" s="1"/>
  <c r="I422" i="2"/>
  <c r="J422" i="2"/>
  <c r="K422" i="2"/>
  <c r="L422" i="2"/>
  <c r="M422" i="2"/>
  <c r="N422" i="2"/>
  <c r="O422" i="2"/>
  <c r="P422" i="2"/>
  <c r="Q422" i="2"/>
  <c r="R422" i="2"/>
  <c r="D436" i="2" s="1"/>
  <c r="S422" i="2"/>
  <c r="T422" i="2"/>
  <c r="U422" i="2"/>
  <c r="V422" i="2"/>
  <c r="W422" i="2"/>
  <c r="X422" i="2"/>
  <c r="Y422" i="2"/>
  <c r="Z422" i="2"/>
  <c r="AA422" i="2"/>
  <c r="AB422" i="2"/>
  <c r="E436" i="2" s="1"/>
  <c r="AC422" i="2"/>
  <c r="AD422" i="2"/>
  <c r="AE422" i="2"/>
  <c r="AF422" i="2"/>
  <c r="AG422" i="2"/>
  <c r="AH422" i="2"/>
  <c r="AI422" i="2"/>
  <c r="AJ422" i="2"/>
  <c r="AK422" i="2"/>
  <c r="AL422" i="2"/>
  <c r="F436" i="2" s="1"/>
  <c r="C424" i="2"/>
  <c r="D424" i="2"/>
  <c r="E424" i="2"/>
  <c r="F424" i="2"/>
  <c r="G424" i="2"/>
  <c r="H424" i="2"/>
  <c r="C438" i="2" s="1"/>
  <c r="I424" i="2"/>
  <c r="J424" i="2"/>
  <c r="K424" i="2"/>
  <c r="L424" i="2"/>
  <c r="M424" i="2"/>
  <c r="N424" i="2"/>
  <c r="O424" i="2"/>
  <c r="P424" i="2"/>
  <c r="Q424" i="2"/>
  <c r="R424" i="2"/>
  <c r="D438" i="2" s="1"/>
  <c r="S424" i="2"/>
  <c r="T424" i="2"/>
  <c r="U424" i="2"/>
  <c r="V424" i="2"/>
  <c r="W424" i="2"/>
  <c r="X424" i="2"/>
  <c r="Y424" i="2"/>
  <c r="Z424" i="2"/>
  <c r="AA424" i="2"/>
  <c r="AB424" i="2"/>
  <c r="E438" i="2" s="1"/>
  <c r="AC424" i="2"/>
  <c r="AD424" i="2"/>
  <c r="AE424" i="2"/>
  <c r="AF424" i="2"/>
  <c r="AG424" i="2"/>
  <c r="AH424" i="2"/>
  <c r="AI424" i="2"/>
  <c r="AJ424" i="2"/>
  <c r="AK424" i="2"/>
  <c r="AL424" i="2"/>
  <c r="F438" i="2" s="1"/>
  <c r="C426" i="2"/>
  <c r="D426" i="2"/>
  <c r="E426" i="2"/>
  <c r="F426" i="2"/>
  <c r="G426" i="2"/>
  <c r="H426" i="2"/>
  <c r="C440" i="2" s="1"/>
  <c r="I426" i="2"/>
  <c r="J426" i="2"/>
  <c r="K426" i="2"/>
  <c r="L426" i="2"/>
  <c r="M426" i="2"/>
  <c r="N426" i="2"/>
  <c r="O426" i="2"/>
  <c r="P426" i="2"/>
  <c r="Q426" i="2"/>
  <c r="R426" i="2"/>
  <c r="D440" i="2" s="1"/>
  <c r="S426" i="2"/>
  <c r="T426" i="2"/>
  <c r="U426" i="2"/>
  <c r="V426" i="2"/>
  <c r="W426" i="2"/>
  <c r="X426" i="2"/>
  <c r="Y426" i="2"/>
  <c r="Z426" i="2"/>
  <c r="AA426" i="2"/>
  <c r="AB426" i="2"/>
  <c r="E440" i="2" s="1"/>
  <c r="AC426" i="2"/>
  <c r="AD426" i="2"/>
  <c r="AE426" i="2"/>
  <c r="AF426" i="2"/>
  <c r="AG426" i="2"/>
  <c r="AH426" i="2"/>
  <c r="AI426" i="2"/>
  <c r="AJ426" i="2"/>
  <c r="AK426" i="2"/>
  <c r="AL426" i="2"/>
  <c r="F440" i="2" s="1"/>
  <c r="C425" i="2"/>
  <c r="D425" i="2"/>
  <c r="E425" i="2"/>
  <c r="F425" i="2"/>
  <c r="G425" i="2"/>
  <c r="H425" i="2"/>
  <c r="C439" i="2" s="1"/>
  <c r="I425" i="2"/>
  <c r="J425" i="2"/>
  <c r="K425" i="2"/>
  <c r="L425" i="2"/>
  <c r="M425" i="2"/>
  <c r="N425" i="2"/>
  <c r="O425" i="2"/>
  <c r="P425" i="2"/>
  <c r="Q425" i="2"/>
  <c r="R425" i="2"/>
  <c r="D439" i="2" s="1"/>
  <c r="S425" i="2"/>
  <c r="T425" i="2"/>
  <c r="U425" i="2"/>
  <c r="V425" i="2"/>
  <c r="W425" i="2"/>
  <c r="X425" i="2"/>
  <c r="Y425" i="2"/>
  <c r="Z425" i="2"/>
  <c r="AA425" i="2"/>
  <c r="AB425" i="2"/>
  <c r="E439" i="2" s="1"/>
  <c r="AC425" i="2"/>
  <c r="AD425" i="2"/>
  <c r="AE425" i="2"/>
  <c r="AF425" i="2"/>
  <c r="AG425" i="2"/>
  <c r="AH425" i="2"/>
  <c r="AI425" i="2"/>
  <c r="AJ425" i="2"/>
  <c r="AK425" i="2"/>
  <c r="AL425" i="2"/>
  <c r="F439" i="2" s="1"/>
  <c r="AJ428" i="2" l="1"/>
  <c r="AB428" i="2"/>
  <c r="E442" i="2" s="1"/>
  <c r="T428" i="2"/>
  <c r="L428" i="2"/>
  <c r="D428" i="2"/>
  <c r="AL428" i="2"/>
  <c r="F442" i="2" s="1"/>
  <c r="AD428" i="2"/>
  <c r="V428" i="2"/>
  <c r="N428" i="2"/>
  <c r="F428" i="2"/>
  <c r="AH427" i="2"/>
  <c r="Z427" i="2"/>
  <c r="R427" i="2"/>
  <c r="D441" i="2" s="1"/>
  <c r="J427" i="2"/>
  <c r="AH418" i="2"/>
  <c r="J418" i="2"/>
  <c r="AI428" i="2"/>
  <c r="AA428" i="2"/>
  <c r="S428" i="2"/>
  <c r="K428" i="2"/>
  <c r="C428" i="2"/>
  <c r="AE427" i="2"/>
  <c r="W427" i="2"/>
  <c r="O427" i="2"/>
  <c r="G427" i="2"/>
  <c r="AK429" i="2"/>
  <c r="AC429" i="2"/>
  <c r="U429" i="2"/>
  <c r="M429" i="2"/>
  <c r="E429" i="2"/>
  <c r="AK428" i="2"/>
  <c r="AC428" i="2"/>
  <c r="U428" i="2"/>
  <c r="M428" i="2"/>
  <c r="E428" i="2"/>
  <c r="AG427" i="2"/>
  <c r="Y427" i="2"/>
  <c r="Q427" i="2"/>
  <c r="I427" i="2"/>
  <c r="AG420" i="2"/>
  <c r="Y420" i="2"/>
  <c r="Q420" i="2"/>
  <c r="I420" i="2"/>
  <c r="AK423" i="2"/>
  <c r="AC423" i="2"/>
  <c r="U423" i="2"/>
  <c r="M423" i="2"/>
  <c r="E423" i="2"/>
  <c r="AG418" i="2"/>
  <c r="Y418" i="2"/>
  <c r="Q418" i="2"/>
  <c r="I418" i="2"/>
  <c r="V429" i="2"/>
  <c r="Z420" i="2"/>
  <c r="AD423" i="2"/>
  <c r="AJ429" i="2"/>
  <c r="AB429" i="2"/>
  <c r="E443" i="2" s="1"/>
  <c r="T429" i="2"/>
  <c r="L429" i="2"/>
  <c r="D429" i="2"/>
  <c r="AF427" i="2"/>
  <c r="X427" i="2"/>
  <c r="P427" i="2"/>
  <c r="H427" i="2"/>
  <c r="C441" i="2" s="1"/>
  <c r="AF420" i="2"/>
  <c r="X420" i="2"/>
  <c r="P420" i="2"/>
  <c r="H420" i="2"/>
  <c r="C434" i="2" s="1"/>
  <c r="AJ423" i="2"/>
  <c r="AB423" i="2"/>
  <c r="E437" i="2" s="1"/>
  <c r="T423" i="2"/>
  <c r="L423" i="2"/>
  <c r="D423" i="2"/>
  <c r="AF418" i="2"/>
  <c r="X418" i="2"/>
  <c r="P418" i="2"/>
  <c r="H418" i="2"/>
  <c r="C432" i="2" s="1"/>
  <c r="AI429" i="2"/>
  <c r="K429" i="2"/>
  <c r="AE420" i="2"/>
  <c r="O420" i="2"/>
  <c r="AI423" i="2"/>
  <c r="S423" i="2"/>
  <c r="K423" i="2"/>
  <c r="AE418" i="2"/>
  <c r="G418" i="2"/>
  <c r="AL429" i="2"/>
  <c r="F443" i="2" s="1"/>
  <c r="F429" i="2"/>
  <c r="AH420" i="2"/>
  <c r="AL423" i="2"/>
  <c r="F437" i="2" s="1"/>
  <c r="F423" i="2"/>
  <c r="S429" i="2"/>
  <c r="W420" i="2"/>
  <c r="G420" i="2"/>
  <c r="AA423" i="2"/>
  <c r="C423" i="2"/>
  <c r="O418" i="2"/>
  <c r="AH429" i="2"/>
  <c r="Z429" i="2"/>
  <c r="R429" i="2"/>
  <c r="D443" i="2" s="1"/>
  <c r="J429" i="2"/>
  <c r="AH428" i="2"/>
  <c r="Z428" i="2"/>
  <c r="R428" i="2"/>
  <c r="D442" i="2" s="1"/>
  <c r="J428" i="2"/>
  <c r="AL427" i="2"/>
  <c r="F441" i="2" s="1"/>
  <c r="AD427" i="2"/>
  <c r="V427" i="2"/>
  <c r="N427" i="2"/>
  <c r="F427" i="2"/>
  <c r="AL420" i="2"/>
  <c r="F434" i="2" s="1"/>
  <c r="AD420" i="2"/>
  <c r="V420" i="2"/>
  <c r="N420" i="2"/>
  <c r="F420" i="2"/>
  <c r="AH423" i="2"/>
  <c r="Z423" i="2"/>
  <c r="R423" i="2"/>
  <c r="D437" i="2" s="1"/>
  <c r="J423" i="2"/>
  <c r="AL418" i="2"/>
  <c r="F432" i="2" s="1"/>
  <c r="AD418" i="2"/>
  <c r="V418" i="2"/>
  <c r="N418" i="2"/>
  <c r="F418" i="2"/>
  <c r="AD429" i="2"/>
  <c r="J420" i="2"/>
  <c r="N423" i="2"/>
  <c r="R418" i="2"/>
  <c r="D432" i="2" s="1"/>
  <c r="AA429" i="2"/>
  <c r="C429" i="2"/>
  <c r="W418" i="2"/>
  <c r="AG429" i="2"/>
  <c r="Y429" i="2"/>
  <c r="Q429" i="2"/>
  <c r="I429" i="2"/>
  <c r="AG428" i="2"/>
  <c r="Y428" i="2"/>
  <c r="Q428" i="2"/>
  <c r="I428" i="2"/>
  <c r="AK427" i="2"/>
  <c r="AC427" i="2"/>
  <c r="U427" i="2"/>
  <c r="M427" i="2"/>
  <c r="E427" i="2"/>
  <c r="AK420" i="2"/>
  <c r="AC420" i="2"/>
  <c r="U420" i="2"/>
  <c r="M420" i="2"/>
  <c r="E420" i="2"/>
  <c r="AG423" i="2"/>
  <c r="Y423" i="2"/>
  <c r="Q423" i="2"/>
  <c r="I423" i="2"/>
  <c r="AK418" i="2"/>
  <c r="AC418" i="2"/>
  <c r="U418" i="2"/>
  <c r="M418" i="2"/>
  <c r="E418" i="2"/>
  <c r="AF429" i="2"/>
  <c r="X429" i="2"/>
  <c r="P429" i="2"/>
  <c r="H429" i="2"/>
  <c r="C443" i="2" s="1"/>
  <c r="AF428" i="2"/>
  <c r="X428" i="2"/>
  <c r="P428" i="2"/>
  <c r="H428" i="2"/>
  <c r="C442" i="2" s="1"/>
  <c r="AJ427" i="2"/>
  <c r="AB427" i="2"/>
  <c r="E441" i="2" s="1"/>
  <c r="T427" i="2"/>
  <c r="L427" i="2"/>
  <c r="D427" i="2"/>
  <c r="AJ420" i="2"/>
  <c r="AB420" i="2"/>
  <c r="E434" i="2" s="1"/>
  <c r="T420" i="2"/>
  <c r="L420" i="2"/>
  <c r="D420" i="2"/>
  <c r="AF423" i="2"/>
  <c r="X423" i="2"/>
  <c r="P423" i="2"/>
  <c r="H423" i="2"/>
  <c r="C437" i="2" s="1"/>
  <c r="AJ418" i="2"/>
  <c r="AB418" i="2"/>
  <c r="E432" i="2" s="1"/>
  <c r="T418" i="2"/>
  <c r="L418" i="2"/>
  <c r="D418" i="2"/>
  <c r="N429" i="2"/>
  <c r="R420" i="2"/>
  <c r="D434" i="2" s="1"/>
  <c r="V423" i="2"/>
  <c r="Z418" i="2"/>
  <c r="AE429" i="2"/>
  <c r="W429" i="2"/>
  <c r="O429" i="2"/>
  <c r="G429" i="2"/>
  <c r="AE428" i="2"/>
  <c r="W428" i="2"/>
  <c r="O428" i="2"/>
  <c r="G428" i="2"/>
  <c r="AI427" i="2"/>
  <c r="AA427" i="2"/>
  <c r="S427" i="2"/>
  <c r="K427" i="2"/>
  <c r="C427" i="2"/>
  <c r="AI420" i="2"/>
  <c r="AA420" i="2"/>
  <c r="S420" i="2"/>
  <c r="K420" i="2"/>
  <c r="C420" i="2"/>
  <c r="AE423" i="2"/>
  <c r="W423" i="2"/>
  <c r="O423" i="2"/>
  <c r="G423" i="2"/>
  <c r="AI418" i="2"/>
  <c r="AA418" i="2"/>
  <c r="S418" i="2"/>
  <c r="K418" i="2"/>
  <c r="C418" i="2"/>
  <c r="D362" i="2"/>
  <c r="T365" i="2"/>
  <c r="L367" i="2"/>
  <c r="AB363" i="2"/>
  <c r="X368" i="2"/>
  <c r="P368" i="2"/>
  <c r="AJ367" i="2"/>
  <c r="AB367" i="2"/>
  <c r="T367" i="2"/>
  <c r="AF366" i="2"/>
  <c r="X366" i="2"/>
  <c r="H366" i="2"/>
  <c r="AJ365" i="2"/>
  <c r="AB365" i="2"/>
  <c r="D365" i="2"/>
  <c r="AF364" i="2"/>
  <c r="P364" i="2"/>
  <c r="H364" i="2"/>
  <c r="AJ363" i="2"/>
  <c r="L363" i="2"/>
  <c r="D363" i="2"/>
  <c r="X362" i="2"/>
  <c r="P362" i="2"/>
  <c r="H362" i="2"/>
  <c r="AF368" i="2"/>
  <c r="H368" i="2"/>
  <c r="D367" i="2"/>
  <c r="P366" i="2"/>
  <c r="L365" i="2"/>
  <c r="X364" i="2"/>
  <c r="T363" i="2"/>
  <c r="AF362" i="2"/>
  <c r="AE362" i="2"/>
  <c r="W362" i="2"/>
  <c r="O362" i="2"/>
  <c r="G362" i="2"/>
  <c r="AI368" i="2"/>
  <c r="AA368" i="2"/>
  <c r="S368" i="2"/>
  <c r="K368" i="2"/>
  <c r="C368" i="2"/>
  <c r="AE367" i="2"/>
  <c r="W367" i="2"/>
  <c r="O367" i="2"/>
  <c r="G367" i="2"/>
  <c r="AI366" i="2"/>
  <c r="AA366" i="2"/>
  <c r="S366" i="2"/>
  <c r="K366" i="2"/>
  <c r="C366" i="2"/>
  <c r="AE365" i="2"/>
  <c r="W365" i="2"/>
  <c r="O365" i="2"/>
  <c r="G365" i="2"/>
  <c r="AI364" i="2"/>
  <c r="AA364" i="2"/>
  <c r="S364" i="2"/>
  <c r="K364" i="2"/>
  <c r="C364" i="2"/>
  <c r="AE363" i="2"/>
  <c r="W363" i="2"/>
  <c r="O363" i="2"/>
  <c r="G363" i="2"/>
  <c r="AI362" i="2"/>
  <c r="AA362" i="2"/>
  <c r="S362" i="2"/>
  <c r="K362" i="2"/>
  <c r="AH368" i="2"/>
  <c r="Z368" i="2"/>
  <c r="R368" i="2"/>
  <c r="J368" i="2"/>
  <c r="AL367" i="2"/>
  <c r="AD367" i="2"/>
  <c r="V367" i="2"/>
  <c r="N367" i="2"/>
  <c r="F367" i="2"/>
  <c r="AH366" i="2"/>
  <c r="Z366" i="2"/>
  <c r="R366" i="2"/>
  <c r="J366" i="2"/>
  <c r="AL365" i="2"/>
  <c r="AD365" i="2"/>
  <c r="V365" i="2"/>
  <c r="N365" i="2"/>
  <c r="F365" i="2"/>
  <c r="AH364" i="2"/>
  <c r="Z364" i="2"/>
  <c r="R364" i="2"/>
  <c r="J364" i="2"/>
  <c r="AL363" i="2"/>
  <c r="AD363" i="2"/>
  <c r="V363" i="2"/>
  <c r="N363" i="2"/>
  <c r="F363" i="2"/>
  <c r="AH362" i="2"/>
  <c r="Z362" i="2"/>
  <c r="R362" i="2"/>
  <c r="J362" i="2"/>
  <c r="AG368" i="2"/>
  <c r="Y368" i="2"/>
  <c r="Q368" i="2"/>
  <c r="I368" i="2"/>
  <c r="AK367" i="2"/>
  <c r="AC367" i="2"/>
  <c r="U367" i="2"/>
  <c r="M367" i="2"/>
  <c r="E367" i="2"/>
  <c r="AG366" i="2"/>
  <c r="Y366" i="2"/>
  <c r="Q366" i="2"/>
  <c r="I366" i="2"/>
  <c r="AK365" i="2"/>
  <c r="AC365" i="2"/>
  <c r="U365" i="2"/>
  <c r="M365" i="2"/>
  <c r="E365" i="2"/>
  <c r="AG364" i="2"/>
  <c r="Y364" i="2"/>
  <c r="Q364" i="2"/>
  <c r="I364" i="2"/>
  <c r="AK363" i="2"/>
  <c r="AC363" i="2"/>
  <c r="U363" i="2"/>
  <c r="M363" i="2"/>
  <c r="E363" i="2"/>
  <c r="AG362" i="2"/>
  <c r="Y362" i="2"/>
  <c r="Q362" i="2"/>
  <c r="I362" i="2"/>
  <c r="AJ364" i="2"/>
  <c r="AB364" i="2"/>
  <c r="T364" i="2"/>
  <c r="L364" i="2"/>
  <c r="D364" i="2"/>
  <c r="AF363" i="2"/>
  <c r="X363" i="2"/>
  <c r="P363" i="2"/>
  <c r="H363" i="2"/>
  <c r="AJ362" i="2"/>
  <c r="AB362" i="2"/>
  <c r="T362" i="2"/>
  <c r="L362" i="2"/>
  <c r="C362" i="2"/>
  <c r="AE368" i="2"/>
  <c r="W368" i="2"/>
  <c r="O368" i="2"/>
  <c r="G368" i="2"/>
  <c r="AI367" i="2"/>
  <c r="AA367" i="2"/>
  <c r="S367" i="2"/>
  <c r="K367" i="2"/>
  <c r="C367" i="2"/>
  <c r="AE366" i="2"/>
  <c r="W366" i="2"/>
  <c r="O366" i="2"/>
  <c r="G366" i="2"/>
  <c r="AI365" i="2"/>
  <c r="AA365" i="2"/>
  <c r="S365" i="2"/>
  <c r="K365" i="2"/>
  <c r="C365" i="2"/>
  <c r="AE364" i="2"/>
  <c r="W364" i="2"/>
  <c r="O364" i="2"/>
  <c r="G364" i="2"/>
  <c r="AI363" i="2"/>
  <c r="AA363" i="2"/>
  <c r="S363" i="2"/>
  <c r="K363" i="2"/>
  <c r="C363" i="2"/>
  <c r="AL368" i="2"/>
  <c r="AD368" i="2"/>
  <c r="V368" i="2"/>
  <c r="N368" i="2"/>
  <c r="F368" i="2"/>
  <c r="AH367" i="2"/>
  <c r="Z367" i="2"/>
  <c r="R367" i="2"/>
  <c r="J367" i="2"/>
  <c r="AL366" i="2"/>
  <c r="AD366" i="2"/>
  <c r="V366" i="2"/>
  <c r="N366" i="2"/>
  <c r="F366" i="2"/>
  <c r="AH365" i="2"/>
  <c r="Z365" i="2"/>
  <c r="R365" i="2"/>
  <c r="J365" i="2"/>
  <c r="AL364" i="2"/>
  <c r="AD364" i="2"/>
  <c r="V364" i="2"/>
  <c r="N364" i="2"/>
  <c r="F364" i="2"/>
  <c r="AH363" i="2"/>
  <c r="Z363" i="2"/>
  <c r="R363" i="2"/>
  <c r="J363" i="2"/>
  <c r="AL362" i="2"/>
  <c r="AD362" i="2"/>
  <c r="V362" i="2"/>
  <c r="N362" i="2"/>
  <c r="F362" i="2"/>
  <c r="AK368" i="2"/>
  <c r="AC368" i="2"/>
  <c r="U368" i="2"/>
  <c r="M368" i="2"/>
  <c r="E368" i="2"/>
  <c r="AG367" i="2"/>
  <c r="Y367" i="2"/>
  <c r="Q367" i="2"/>
  <c r="I367" i="2"/>
  <c r="AK366" i="2"/>
  <c r="AC366" i="2"/>
  <c r="U366" i="2"/>
  <c r="M366" i="2"/>
  <c r="E366" i="2"/>
  <c r="AG365" i="2"/>
  <c r="Y365" i="2"/>
  <c r="Q365" i="2"/>
  <c r="I365" i="2"/>
  <c r="AK364" i="2"/>
  <c r="AC364" i="2"/>
  <c r="U364" i="2"/>
  <c r="M364" i="2"/>
  <c r="E364" i="2"/>
  <c r="AG363" i="2"/>
  <c r="Y363" i="2"/>
  <c r="Q363" i="2"/>
  <c r="I363" i="2"/>
  <c r="AK362" i="2"/>
  <c r="AC362" i="2"/>
  <c r="U362" i="2"/>
  <c r="M362" i="2"/>
  <c r="E362" i="2"/>
  <c r="AJ368" i="2"/>
  <c r="AB368" i="2"/>
  <c r="T368" i="2"/>
  <c r="L368" i="2"/>
  <c r="D368" i="2"/>
  <c r="AF367" i="2"/>
  <c r="X367" i="2"/>
  <c r="P367" i="2"/>
  <c r="H367" i="2"/>
  <c r="AJ366" i="2"/>
  <c r="AB366" i="2"/>
  <c r="T366" i="2"/>
  <c r="L366" i="2"/>
  <c r="D366" i="2"/>
  <c r="AF365" i="2"/>
  <c r="X365" i="2"/>
  <c r="P365" i="2"/>
  <c r="H365" i="2"/>
  <c r="AF337" i="2"/>
  <c r="X337" i="2"/>
  <c r="P337" i="2"/>
  <c r="H337" i="2"/>
  <c r="AJ336" i="2"/>
  <c r="AB336" i="2"/>
  <c r="T336" i="2"/>
  <c r="L336" i="2"/>
  <c r="D336" i="2"/>
  <c r="AF335" i="2"/>
  <c r="X335" i="2"/>
  <c r="P335" i="2"/>
  <c r="H335" i="2"/>
  <c r="AJ334" i="2"/>
  <c r="AB334" i="2"/>
  <c r="T334" i="2"/>
  <c r="L334" i="2"/>
  <c r="D334" i="2"/>
  <c r="AF333" i="2"/>
  <c r="X333" i="2"/>
  <c r="P333" i="2"/>
  <c r="H333" i="2"/>
  <c r="O334" i="2"/>
  <c r="AI333" i="2"/>
  <c r="U336" i="2"/>
  <c r="M336" i="2"/>
  <c r="E336" i="2"/>
  <c r="AG335" i="2"/>
  <c r="Y335" i="2"/>
  <c r="Q335" i="2"/>
  <c r="I335" i="2"/>
  <c r="AK334" i="2"/>
  <c r="AC334" i="2"/>
  <c r="U334" i="2"/>
  <c r="M334" i="2"/>
  <c r="E334" i="2"/>
  <c r="AG333" i="2"/>
  <c r="Y333" i="2"/>
  <c r="Q333" i="2"/>
  <c r="I333" i="2"/>
  <c r="AK332" i="2"/>
  <c r="AC332" i="2"/>
  <c r="U332" i="2"/>
  <c r="M332" i="2"/>
  <c r="E332" i="2"/>
  <c r="AG331" i="2"/>
  <c r="Y331" i="2"/>
  <c r="Q331" i="2"/>
  <c r="I331" i="2"/>
  <c r="S337" i="2"/>
  <c r="K337" i="2"/>
  <c r="W332" i="2"/>
  <c r="G332" i="2"/>
  <c r="G336" i="2"/>
  <c r="AA335" i="2"/>
  <c r="S335" i="2"/>
  <c r="AA333" i="2"/>
  <c r="AI331" i="2"/>
  <c r="AI337" i="2"/>
  <c r="AA337" i="2"/>
  <c r="C337" i="2"/>
  <c r="AE336" i="2"/>
  <c r="W336" i="2"/>
  <c r="O336" i="2"/>
  <c r="AI335" i="2"/>
  <c r="K335" i="2"/>
  <c r="C335" i="2"/>
  <c r="AE334" i="2"/>
  <c r="W334" i="2"/>
  <c r="G334" i="2"/>
  <c r="S333" i="2"/>
  <c r="K333" i="2"/>
  <c r="C333" i="2"/>
  <c r="AE332" i="2"/>
  <c r="O332" i="2"/>
  <c r="AA331" i="2"/>
  <c r="S331" i="2"/>
  <c r="K331" i="2"/>
  <c r="C331" i="2"/>
  <c r="AL331" i="2"/>
  <c r="V337" i="2"/>
  <c r="Z336" i="2"/>
  <c r="AD335" i="2"/>
  <c r="N335" i="2"/>
  <c r="J334" i="2"/>
  <c r="V333" i="2"/>
  <c r="AH332" i="2"/>
  <c r="J332" i="2"/>
  <c r="N331" i="2"/>
  <c r="AK337" i="2"/>
  <c r="AC337" i="2"/>
  <c r="U337" i="2"/>
  <c r="M337" i="2"/>
  <c r="E337" i="2"/>
  <c r="AG336" i="2"/>
  <c r="Y336" i="2"/>
  <c r="Q336" i="2"/>
  <c r="I336" i="2"/>
  <c r="AK335" i="2"/>
  <c r="AC335" i="2"/>
  <c r="U335" i="2"/>
  <c r="M335" i="2"/>
  <c r="E335" i="2"/>
  <c r="F337" i="2"/>
  <c r="J336" i="2"/>
  <c r="AH334" i="2"/>
  <c r="AL333" i="2"/>
  <c r="Z332" i="2"/>
  <c r="N337" i="2"/>
  <c r="R336" i="2"/>
  <c r="V335" i="2"/>
  <c r="F335" i="2"/>
  <c r="R334" i="2"/>
  <c r="AD333" i="2"/>
  <c r="F333" i="2"/>
  <c r="R332" i="2"/>
  <c r="F331" i="2"/>
  <c r="AL337" i="2"/>
  <c r="AD331" i="2"/>
  <c r="AD337" i="2"/>
  <c r="AH336" i="2"/>
  <c r="AL335" i="2"/>
  <c r="Z334" i="2"/>
  <c r="N333" i="2"/>
  <c r="V331" i="2"/>
  <c r="AG334" i="2"/>
  <c r="Y334" i="2"/>
  <c r="Q334" i="2"/>
  <c r="I334" i="2"/>
  <c r="AK333" i="2"/>
  <c r="AC333" i="2"/>
  <c r="U333" i="2"/>
  <c r="M333" i="2"/>
  <c r="E333" i="2"/>
  <c r="AG332" i="2"/>
  <c r="Y332" i="2"/>
  <c r="Q332" i="2"/>
  <c r="I332" i="2"/>
  <c r="AK331" i="2"/>
  <c r="AC331" i="2"/>
  <c r="U331" i="2"/>
  <c r="M331" i="2"/>
  <c r="E331" i="2"/>
  <c r="AJ337" i="2"/>
  <c r="AB337" i="2"/>
  <c r="T337" i="2"/>
  <c r="L337" i="2"/>
  <c r="D337" i="2"/>
  <c r="AF336" i="2"/>
  <c r="X336" i="2"/>
  <c r="P336" i="2"/>
  <c r="H336" i="2"/>
  <c r="AJ335" i="2"/>
  <c r="AB335" i="2"/>
  <c r="T335" i="2"/>
  <c r="L335" i="2"/>
  <c r="D335" i="2"/>
  <c r="AF334" i="2"/>
  <c r="X334" i="2"/>
  <c r="P334" i="2"/>
  <c r="H334" i="2"/>
  <c r="AJ333" i="2"/>
  <c r="AB333" i="2"/>
  <c r="T333" i="2"/>
  <c r="L333" i="2"/>
  <c r="D333" i="2"/>
  <c r="AF332" i="2"/>
  <c r="X332" i="2"/>
  <c r="P332" i="2"/>
  <c r="H332" i="2"/>
  <c r="AJ331" i="2"/>
  <c r="AB331" i="2"/>
  <c r="T331" i="2"/>
  <c r="L331" i="2"/>
  <c r="D331" i="2"/>
  <c r="AH337" i="2"/>
  <c r="Z337" i="2"/>
  <c r="R337" i="2"/>
  <c r="J337" i="2"/>
  <c r="AL336" i="2"/>
  <c r="AD336" i="2"/>
  <c r="V336" i="2"/>
  <c r="N336" i="2"/>
  <c r="F336" i="2"/>
  <c r="AH335" i="2"/>
  <c r="Z335" i="2"/>
  <c r="R335" i="2"/>
  <c r="J335" i="2"/>
  <c r="AL334" i="2"/>
  <c r="AD334" i="2"/>
  <c r="V334" i="2"/>
  <c r="N334" i="2"/>
  <c r="F334" i="2"/>
  <c r="AH333" i="2"/>
  <c r="Z333" i="2"/>
  <c r="R333" i="2"/>
  <c r="J333" i="2"/>
  <c r="AL332" i="2"/>
  <c r="AD332" i="2"/>
  <c r="V332" i="2"/>
  <c r="N332" i="2"/>
  <c r="F332" i="2"/>
  <c r="AH331" i="2"/>
  <c r="Z331" i="2"/>
  <c r="R331" i="2"/>
  <c r="J331" i="2"/>
  <c r="AG337" i="2"/>
  <c r="Y337" i="2"/>
  <c r="Q337" i="2"/>
  <c r="I337" i="2"/>
  <c r="AK336" i="2"/>
  <c r="AC336" i="2"/>
  <c r="AE337" i="2"/>
  <c r="W337" i="2"/>
  <c r="O337" i="2"/>
  <c r="G337" i="2"/>
  <c r="AI336" i="2"/>
  <c r="AA336" i="2"/>
  <c r="S336" i="2"/>
  <c r="K336" i="2"/>
  <c r="C336" i="2"/>
  <c r="AE335" i="2"/>
  <c r="W335" i="2"/>
  <c r="O335" i="2"/>
  <c r="G335" i="2"/>
  <c r="AI334" i="2"/>
  <c r="AA334" i="2"/>
  <c r="S334" i="2"/>
  <c r="K334" i="2"/>
  <c r="C334" i="2"/>
  <c r="AE333" i="2"/>
  <c r="W333" i="2"/>
  <c r="O333" i="2"/>
  <c r="G333" i="2"/>
  <c r="AI332" i="2"/>
  <c r="AA332" i="2"/>
  <c r="S332" i="2"/>
  <c r="K332" i="2"/>
  <c r="C332" i="2"/>
  <c r="G331" i="2"/>
  <c r="O331" i="2"/>
  <c r="W331" i="2"/>
  <c r="AE331" i="2"/>
  <c r="H331" i="2"/>
  <c r="P331" i="2"/>
  <c r="X331" i="2"/>
  <c r="AF331" i="2"/>
  <c r="D332" i="2"/>
  <c r="L332" i="2"/>
  <c r="T332" i="2"/>
  <c r="AB332" i="2"/>
  <c r="AJ332" i="2"/>
  <c r="C283" i="2"/>
  <c r="AE283" i="2"/>
  <c r="W283" i="2"/>
  <c r="O283" i="2"/>
  <c r="G283" i="2"/>
  <c r="AI279" i="2"/>
  <c r="AA279" i="2"/>
  <c r="S279" i="2"/>
  <c r="K279" i="2"/>
  <c r="AI280" i="2"/>
  <c r="S280" i="2"/>
  <c r="K280" i="2"/>
  <c r="C281" i="2"/>
  <c r="C279" i="2"/>
  <c r="AH280" i="2"/>
  <c r="Z280" i="2"/>
  <c r="R280" i="2"/>
  <c r="C289" i="2" s="1"/>
  <c r="J280" i="2"/>
  <c r="AH282" i="2"/>
  <c r="Z282" i="2"/>
  <c r="R282" i="2"/>
  <c r="C291" i="2" s="1"/>
  <c r="J282" i="2"/>
  <c r="C284" i="2"/>
  <c r="AI284" i="2"/>
  <c r="AA284" i="2"/>
  <c r="S284" i="2"/>
  <c r="K284" i="2"/>
  <c r="AD283" i="2"/>
  <c r="V283" i="2"/>
  <c r="N283" i="2"/>
  <c r="F283" i="2"/>
  <c r="AH279" i="2"/>
  <c r="Z279" i="2"/>
  <c r="R279" i="2"/>
  <c r="C288" i="2" s="1"/>
  <c r="J279" i="2"/>
  <c r="AH284" i="2"/>
  <c r="AG285" i="2"/>
  <c r="Y285" i="2"/>
  <c r="Q285" i="2"/>
  <c r="I285" i="2"/>
  <c r="AF280" i="2"/>
  <c r="X280" i="2"/>
  <c r="P280" i="2"/>
  <c r="H280" i="2"/>
  <c r="AF285" i="2"/>
  <c r="X285" i="2"/>
  <c r="P285" i="2"/>
  <c r="H285" i="2"/>
  <c r="AG282" i="2"/>
  <c r="Y282" i="2"/>
  <c r="Q282" i="2"/>
  <c r="I282" i="2"/>
  <c r="C285" i="2"/>
  <c r="Z284" i="2"/>
  <c r="R284" i="2"/>
  <c r="C293" i="2" s="1"/>
  <c r="J284" i="2"/>
  <c r="AK283" i="2"/>
  <c r="AC283" i="2"/>
  <c r="U283" i="2"/>
  <c r="M283" i="2"/>
  <c r="E283" i="2"/>
  <c r="AF282" i="2"/>
  <c r="X282" i="2"/>
  <c r="P282" i="2"/>
  <c r="H282" i="2"/>
  <c r="AI281" i="2"/>
  <c r="AA281" i="2"/>
  <c r="S281" i="2"/>
  <c r="K281" i="2"/>
  <c r="AG279" i="2"/>
  <c r="Y279" i="2"/>
  <c r="Q279" i="2"/>
  <c r="I279" i="2"/>
  <c r="AG284" i="2"/>
  <c r="Y284" i="2"/>
  <c r="Q284" i="2"/>
  <c r="I284" i="2"/>
  <c r="AJ283" i="2"/>
  <c r="AB283" i="2"/>
  <c r="D292" i="2" s="1"/>
  <c r="T283" i="2"/>
  <c r="L283" i="2"/>
  <c r="D283" i="2"/>
  <c r="AE282" i="2"/>
  <c r="W282" i="2"/>
  <c r="O282" i="2"/>
  <c r="G282" i="2"/>
  <c r="AH281" i="2"/>
  <c r="Z281" i="2"/>
  <c r="R281" i="2"/>
  <c r="C290" i="2" s="1"/>
  <c r="J281" i="2"/>
  <c r="AK280" i="2"/>
  <c r="AC280" i="2"/>
  <c r="U280" i="2"/>
  <c r="M280" i="2"/>
  <c r="E280" i="2"/>
  <c r="AF279" i="2"/>
  <c r="X279" i="2"/>
  <c r="P279" i="2"/>
  <c r="H279" i="2"/>
  <c r="AF284" i="2"/>
  <c r="X284" i="2"/>
  <c r="P284" i="2"/>
  <c r="H284" i="2"/>
  <c r="AI283" i="2"/>
  <c r="AA283" i="2"/>
  <c r="S283" i="2"/>
  <c r="K283" i="2"/>
  <c r="AG281" i="2"/>
  <c r="Y281" i="2"/>
  <c r="Q281" i="2"/>
  <c r="I281" i="2"/>
  <c r="AE279" i="2"/>
  <c r="W279" i="2"/>
  <c r="O279" i="2"/>
  <c r="G279" i="2"/>
  <c r="C282" i="2"/>
  <c r="AJ281" i="2"/>
  <c r="AB281" i="2"/>
  <c r="D290" i="2" s="1"/>
  <c r="T281" i="2"/>
  <c r="L281" i="2"/>
  <c r="D281" i="2"/>
  <c r="AE280" i="2"/>
  <c r="W280" i="2"/>
  <c r="O280" i="2"/>
  <c r="G280" i="2"/>
  <c r="AA280" i="2"/>
  <c r="AK285" i="2"/>
  <c r="AC285" i="2"/>
  <c r="U285" i="2"/>
  <c r="M285" i="2"/>
  <c r="E285" i="2"/>
  <c r="AD282" i="2"/>
  <c r="V282" i="2"/>
  <c r="N282" i="2"/>
  <c r="F282" i="2"/>
  <c r="AJ280" i="2"/>
  <c r="AB280" i="2"/>
  <c r="D289" i="2" s="1"/>
  <c r="T280" i="2"/>
  <c r="L280" i="2"/>
  <c r="D280" i="2"/>
  <c r="AJ285" i="2"/>
  <c r="AB285" i="2"/>
  <c r="D294" i="2" s="1"/>
  <c r="T285" i="2"/>
  <c r="L285" i="2"/>
  <c r="D285" i="2"/>
  <c r="AE284" i="2"/>
  <c r="W284" i="2"/>
  <c r="O284" i="2"/>
  <c r="G284" i="2"/>
  <c r="AH283" i="2"/>
  <c r="Z283" i="2"/>
  <c r="R283" i="2"/>
  <c r="C292" i="2" s="1"/>
  <c r="J283" i="2"/>
  <c r="AK282" i="2"/>
  <c r="AC282" i="2"/>
  <c r="U282" i="2"/>
  <c r="M282" i="2"/>
  <c r="E282" i="2"/>
  <c r="AF281" i="2"/>
  <c r="X281" i="2"/>
  <c r="P281" i="2"/>
  <c r="H281" i="2"/>
  <c r="AD279" i="2"/>
  <c r="V279" i="2"/>
  <c r="N279" i="2"/>
  <c r="F279" i="2"/>
  <c r="AI285" i="2"/>
  <c r="AA285" i="2"/>
  <c r="S285" i="2"/>
  <c r="K285" i="2"/>
  <c r="AD284" i="2"/>
  <c r="V284" i="2"/>
  <c r="N284" i="2"/>
  <c r="F284" i="2"/>
  <c r="AG283" i="2"/>
  <c r="Y283" i="2"/>
  <c r="Q283" i="2"/>
  <c r="I283" i="2"/>
  <c r="AJ282" i="2"/>
  <c r="AB282" i="2"/>
  <c r="D291" i="2" s="1"/>
  <c r="T282" i="2"/>
  <c r="L282" i="2"/>
  <c r="D282" i="2"/>
  <c r="AK279" i="2"/>
  <c r="AC279" i="2"/>
  <c r="U279" i="2"/>
  <c r="M279" i="2"/>
  <c r="E279" i="2"/>
  <c r="AH285" i="2"/>
  <c r="Z285" i="2"/>
  <c r="R285" i="2"/>
  <c r="C294" i="2" s="1"/>
  <c r="J285" i="2"/>
  <c r="AK284" i="2"/>
  <c r="AC284" i="2"/>
  <c r="U284" i="2"/>
  <c r="M284" i="2"/>
  <c r="E284" i="2"/>
  <c r="AF283" i="2"/>
  <c r="X283" i="2"/>
  <c r="P283" i="2"/>
  <c r="H283" i="2"/>
  <c r="AI282" i="2"/>
  <c r="AA282" i="2"/>
  <c r="S282" i="2"/>
  <c r="K282" i="2"/>
  <c r="AD281" i="2"/>
  <c r="V281" i="2"/>
  <c r="N281" i="2"/>
  <c r="F281" i="2"/>
  <c r="AG280" i="2"/>
  <c r="Y280" i="2"/>
  <c r="Q280" i="2"/>
  <c r="I280" i="2"/>
  <c r="AJ279" i="2"/>
  <c r="AB279" i="2"/>
  <c r="D288" i="2" s="1"/>
  <c r="T279" i="2"/>
  <c r="L279" i="2"/>
  <c r="D279" i="2"/>
  <c r="AD285" i="2"/>
  <c r="V285" i="2"/>
  <c r="N285" i="2"/>
  <c r="F285" i="2"/>
  <c r="AJ284" i="2"/>
  <c r="AB284" i="2"/>
  <c r="D293" i="2" s="1"/>
  <c r="T284" i="2"/>
  <c r="L284" i="2"/>
  <c r="D284" i="2"/>
  <c r="AK281" i="2"/>
  <c r="AC281" i="2"/>
  <c r="U281" i="2"/>
  <c r="M281" i="2"/>
  <c r="E281" i="2"/>
  <c r="C280" i="2"/>
  <c r="AE285" i="2"/>
  <c r="W285" i="2"/>
  <c r="O285" i="2"/>
  <c r="G285" i="2"/>
  <c r="AD280" i="2"/>
  <c r="V280" i="2"/>
  <c r="N280" i="2"/>
  <c r="F280" i="2"/>
  <c r="G281" i="2"/>
  <c r="O281" i="2"/>
  <c r="W281" i="2"/>
  <c r="AE281" i="2"/>
  <c r="F69" i="2" l="1"/>
  <c r="J69" i="2"/>
  <c r="N69" i="2"/>
  <c r="R69" i="2"/>
  <c r="V69" i="2"/>
  <c r="Z69" i="2"/>
  <c r="AD69" i="2"/>
  <c r="AH69" i="2"/>
  <c r="AL69" i="2"/>
  <c r="G69" i="2"/>
  <c r="K69" i="2"/>
  <c r="O69" i="2"/>
  <c r="S69" i="2"/>
  <c r="W69" i="2"/>
  <c r="AA69" i="2"/>
  <c r="AE69" i="2"/>
  <c r="AI69" i="2"/>
  <c r="D69" i="2"/>
  <c r="H69" i="2"/>
  <c r="L69" i="2"/>
  <c r="P69" i="2"/>
  <c r="T69" i="2"/>
  <c r="X69" i="2"/>
  <c r="AB69" i="2"/>
  <c r="AF69" i="2"/>
  <c r="AJ69" i="2"/>
  <c r="E69" i="2"/>
  <c r="I69" i="2"/>
  <c r="M69" i="2"/>
  <c r="Q69" i="2"/>
  <c r="U69" i="2"/>
  <c r="Y69" i="2"/>
  <c r="AC69" i="2"/>
  <c r="AG69" i="2"/>
  <c r="AK69" i="2"/>
  <c r="C69" i="2"/>
  <c r="AL190" i="2" l="1"/>
  <c r="AK190" i="2"/>
  <c r="AJ190" i="2"/>
  <c r="AI190" i="2"/>
  <c r="AH190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AL186" i="2"/>
  <c r="AK186" i="2"/>
  <c r="AJ186" i="2"/>
  <c r="AI186" i="2"/>
  <c r="AH186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AL185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AL184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90" i="2"/>
  <c r="C189" i="2"/>
  <c r="C188" i="2"/>
  <c r="C187" i="2"/>
  <c r="C186" i="2"/>
  <c r="C185" i="2"/>
  <c r="C184" i="2"/>
  <c r="D146" i="2"/>
  <c r="C151" i="2"/>
  <c r="D147" i="2" l="1"/>
  <c r="D152" i="2"/>
  <c r="C152" i="2"/>
  <c r="E151" i="2"/>
  <c r="D153" i="2"/>
  <c r="E152" i="2"/>
  <c r="C146" i="2"/>
  <c r="E146" i="2"/>
  <c r="D149" i="2" l="1"/>
  <c r="D151" i="2"/>
  <c r="C147" i="2"/>
  <c r="E148" i="2"/>
  <c r="C149" i="2"/>
  <c r="E150" i="2"/>
  <c r="C153" i="2"/>
  <c r="D148" i="2"/>
  <c r="D150" i="2"/>
  <c r="E147" i="2"/>
  <c r="C148" i="2"/>
  <c r="E149" i="2"/>
  <c r="C150" i="2"/>
  <c r="E153" i="2"/>
  <c r="AL75" i="2"/>
  <c r="R75" i="2"/>
  <c r="F75" i="2" l="1"/>
  <c r="AJ75" i="2"/>
  <c r="AB75" i="2"/>
  <c r="V75" i="2"/>
  <c r="AH75" i="2"/>
  <c r="T75" i="2"/>
  <c r="Z75" i="2"/>
  <c r="J75" i="2"/>
  <c r="AK75" i="2"/>
  <c r="M75" i="2"/>
  <c r="AF75" i="2"/>
  <c r="X75" i="2"/>
  <c r="P75" i="2"/>
  <c r="H75" i="2"/>
  <c r="C75" i="2"/>
  <c r="L75" i="2"/>
  <c r="D75" i="2"/>
  <c r="AE75" i="2"/>
  <c r="W75" i="2"/>
  <c r="O75" i="2"/>
  <c r="G75" i="2"/>
  <c r="AD75" i="2"/>
  <c r="N75" i="2"/>
  <c r="K75" i="2"/>
  <c r="AI75" i="2"/>
  <c r="S75" i="2"/>
  <c r="AG75" i="2"/>
  <c r="Y75" i="2"/>
  <c r="Q75" i="2"/>
  <c r="I75" i="2"/>
  <c r="AA75" i="2"/>
  <c r="AC75" i="2"/>
  <c r="U75" i="2"/>
  <c r="E75" i="2"/>
  <c r="E159" i="2" l="1"/>
  <c r="C157" i="2"/>
  <c r="E161" i="2"/>
  <c r="D161" i="2"/>
  <c r="C161" i="2"/>
  <c r="E160" i="2"/>
  <c r="C160" i="2"/>
  <c r="C159" i="2"/>
  <c r="E158" i="2"/>
  <c r="D158" i="2"/>
  <c r="C158" i="2"/>
  <c r="E157" i="2"/>
  <c r="D157" i="2"/>
  <c r="C156" i="2"/>
  <c r="D160" i="2"/>
  <c r="D156" i="2"/>
  <c r="E156" i="2" l="1"/>
  <c r="D159" i="2"/>
  <c r="B65" i="2" l="1"/>
  <c r="B73" i="2" s="1"/>
  <c r="B64" i="2"/>
  <c r="B67" i="2" s="1"/>
  <c r="AD216" i="2" l="1"/>
  <c r="AD99" i="2"/>
  <c r="AD198" i="2"/>
  <c r="Z217" i="2"/>
  <c r="R218" i="2"/>
  <c r="C228" i="2" s="1"/>
  <c r="R259" i="2"/>
  <c r="J220" i="2"/>
  <c r="J198" i="2"/>
  <c r="F219" i="2"/>
  <c r="AG210" i="2"/>
  <c r="AG256" i="2"/>
  <c r="Y256" i="2"/>
  <c r="Y258" i="2"/>
  <c r="Q220" i="2"/>
  <c r="Q210" i="2"/>
  <c r="Q209" i="2" s="1"/>
  <c r="Q258" i="2"/>
  <c r="Q256" i="2"/>
  <c r="E256" i="2"/>
  <c r="AJ219" i="2"/>
  <c r="AJ210" i="2"/>
  <c r="AF223" i="2"/>
  <c r="AF210" i="2"/>
  <c r="AF260" i="2"/>
  <c r="AF257" i="2"/>
  <c r="AF256" i="2"/>
  <c r="AF258" i="2"/>
  <c r="P257" i="2"/>
  <c r="P256" i="2"/>
  <c r="P258" i="2"/>
  <c r="H261" i="2"/>
  <c r="H257" i="2"/>
  <c r="H256" i="2"/>
  <c r="H258" i="2"/>
  <c r="D99" i="2"/>
  <c r="AH60" i="2"/>
  <c r="AH65" i="2"/>
  <c r="AH64" i="2"/>
  <c r="V198" i="2"/>
  <c r="AK60" i="2"/>
  <c r="AK65" i="2"/>
  <c r="AK64" i="2"/>
  <c r="AC60" i="2"/>
  <c r="AC65" i="2"/>
  <c r="AC64" i="2"/>
  <c r="U60" i="2"/>
  <c r="U65" i="2"/>
  <c r="U64" i="2"/>
  <c r="U210" i="2"/>
  <c r="M60" i="2"/>
  <c r="M65" i="2"/>
  <c r="M64" i="2"/>
  <c r="I60" i="2"/>
  <c r="I65" i="2"/>
  <c r="I64" i="2"/>
  <c r="I257" i="2"/>
  <c r="AI60" i="2"/>
  <c r="AI65" i="2"/>
  <c r="AI64" i="2"/>
  <c r="AE60" i="2"/>
  <c r="AE65" i="2"/>
  <c r="AE64" i="2"/>
  <c r="AA60" i="2"/>
  <c r="AA65" i="2"/>
  <c r="AA64" i="2"/>
  <c r="W60" i="2"/>
  <c r="W65" i="2"/>
  <c r="W64" i="2"/>
  <c r="S60" i="2"/>
  <c r="S65" i="2"/>
  <c r="S64" i="2"/>
  <c r="O60" i="2"/>
  <c r="O65" i="2"/>
  <c r="O64" i="2"/>
  <c r="K60" i="2"/>
  <c r="K65" i="2"/>
  <c r="K64" i="2"/>
  <c r="G65" i="2"/>
  <c r="G64" i="2"/>
  <c r="C219" i="2"/>
  <c r="AJ261" i="2" l="1"/>
  <c r="H260" i="2"/>
  <c r="AB258" i="2"/>
  <c r="AF261" i="2"/>
  <c r="AJ256" i="2"/>
  <c r="E257" i="2"/>
  <c r="AG99" i="2"/>
  <c r="AG98" i="2" s="1"/>
  <c r="AG216" i="2"/>
  <c r="F259" i="2"/>
  <c r="F210" i="2"/>
  <c r="F209" i="2" s="1"/>
  <c r="Z216" i="2"/>
  <c r="AD98" i="2"/>
  <c r="P260" i="2"/>
  <c r="T260" i="2"/>
  <c r="AF209" i="2"/>
  <c r="AF220" i="2"/>
  <c r="C259" i="2"/>
  <c r="K260" i="2"/>
  <c r="E218" i="2"/>
  <c r="Y257" i="2"/>
  <c r="Z259" i="2"/>
  <c r="AD244" i="2"/>
  <c r="AD223" i="2"/>
  <c r="O218" i="2"/>
  <c r="I261" i="2"/>
  <c r="P261" i="2"/>
  <c r="AJ209" i="2"/>
  <c r="AG218" i="2"/>
  <c r="C258" i="2"/>
  <c r="C220" i="2"/>
  <c r="S210" i="2"/>
  <c r="S209" i="2" s="1"/>
  <c r="W223" i="2"/>
  <c r="AE218" i="2"/>
  <c r="AI99" i="2"/>
  <c r="AI98" i="2" s="1"/>
  <c r="AC198" i="2"/>
  <c r="AC197" i="2" s="1"/>
  <c r="AC218" i="2"/>
  <c r="V259" i="2"/>
  <c r="D98" i="2"/>
  <c r="J218" i="2"/>
  <c r="AA256" i="2"/>
  <c r="F216" i="2"/>
  <c r="F223" i="2"/>
  <c r="Z210" i="2"/>
  <c r="Z209" i="2" s="1"/>
  <c r="Q261" i="2"/>
  <c r="J210" i="2"/>
  <c r="J222" i="2" s="1"/>
  <c r="J259" i="2"/>
  <c r="G223" i="2"/>
  <c r="U260" i="2"/>
  <c r="J219" i="2"/>
  <c r="Z244" i="2"/>
  <c r="K223" i="2"/>
  <c r="D198" i="2"/>
  <c r="D197" i="2" s="1"/>
  <c r="C210" i="2"/>
  <c r="G261" i="2"/>
  <c r="AE210" i="2"/>
  <c r="AE209" i="2" s="1"/>
  <c r="AE217" i="2"/>
  <c r="M99" i="2"/>
  <c r="M98" i="2" s="1"/>
  <c r="O99" i="2"/>
  <c r="O98" i="2" s="1"/>
  <c r="W218" i="2"/>
  <c r="AE259" i="2"/>
  <c r="U258" i="2"/>
  <c r="AC261" i="2"/>
  <c r="AK256" i="2"/>
  <c r="N217" i="2"/>
  <c r="Y220" i="2"/>
  <c r="O198" i="2"/>
  <c r="O197" i="2" s="1"/>
  <c r="L256" i="2"/>
  <c r="L217" i="2"/>
  <c r="P223" i="2"/>
  <c r="T261" i="2"/>
  <c r="X256" i="2"/>
  <c r="AG257" i="2"/>
  <c r="W256" i="2"/>
  <c r="AC220" i="2"/>
  <c r="D260" i="2"/>
  <c r="H217" i="2"/>
  <c r="AB257" i="2"/>
  <c r="AB223" i="2"/>
  <c r="D233" i="2" s="1"/>
  <c r="AJ260" i="2"/>
  <c r="AD219" i="2"/>
  <c r="K256" i="2"/>
  <c r="O210" i="2"/>
  <c r="O209" i="2" s="1"/>
  <c r="AA260" i="2"/>
  <c r="I223" i="2"/>
  <c r="U223" i="2"/>
  <c r="U209" i="2"/>
  <c r="U219" i="2"/>
  <c r="U216" i="2"/>
  <c r="AC260" i="2"/>
  <c r="AK210" i="2"/>
  <c r="AK209" i="2" s="1"/>
  <c r="N256" i="2"/>
  <c r="V257" i="2"/>
  <c r="V218" i="2"/>
  <c r="AH244" i="2"/>
  <c r="D218" i="2"/>
  <c r="P198" i="2"/>
  <c r="P197" i="2" s="1"/>
  <c r="X219" i="2"/>
  <c r="AB218" i="2"/>
  <c r="D228" i="2" s="1"/>
  <c r="Q219" i="2"/>
  <c r="Q218" i="2"/>
  <c r="Y261" i="2"/>
  <c r="U259" i="2"/>
  <c r="G256" i="2"/>
  <c r="K99" i="2"/>
  <c r="K98" i="2" s="1"/>
  <c r="O259" i="2"/>
  <c r="O219" i="2"/>
  <c r="AA99" i="2"/>
  <c r="AA98" i="2" s="1"/>
  <c r="AE219" i="2"/>
  <c r="I258" i="2"/>
  <c r="I210" i="2"/>
  <c r="I209" i="2" s="1"/>
  <c r="AK260" i="2"/>
  <c r="AK218" i="2"/>
  <c r="V256" i="2"/>
  <c r="V210" i="2"/>
  <c r="V209" i="2" s="1"/>
  <c r="AH99" i="2"/>
  <c r="AH98" i="2" s="1"/>
  <c r="AH223" i="2"/>
  <c r="D219" i="2"/>
  <c r="D223" i="2"/>
  <c r="L258" i="2"/>
  <c r="C198" i="2"/>
  <c r="C197" i="2" s="1"/>
  <c r="O261" i="2"/>
  <c r="H198" i="2"/>
  <c r="H197" i="2" s="1"/>
  <c r="H218" i="2"/>
  <c r="L261" i="2"/>
  <c r="T219" i="2"/>
  <c r="C218" i="2"/>
  <c r="G259" i="2"/>
  <c r="G217" i="2"/>
  <c r="G218" i="2"/>
  <c r="K210" i="2"/>
  <c r="K209" i="2" s="1"/>
  <c r="O216" i="2"/>
  <c r="W257" i="2"/>
  <c r="W219" i="2"/>
  <c r="W210" i="2"/>
  <c r="W209" i="2" s="1"/>
  <c r="AA223" i="2"/>
  <c r="AE261" i="2"/>
  <c r="AE198" i="2"/>
  <c r="AE197" i="2" s="1"/>
  <c r="AI257" i="2"/>
  <c r="AI198" i="2"/>
  <c r="AI197" i="2" s="1"/>
  <c r="I260" i="2"/>
  <c r="I256" i="2"/>
  <c r="M256" i="2"/>
  <c r="M244" i="2"/>
  <c r="M216" i="2"/>
  <c r="U261" i="2"/>
  <c r="U244" i="2"/>
  <c r="AC223" i="2"/>
  <c r="AC99" i="2"/>
  <c r="AC98" i="2" s="1"/>
  <c r="AK261" i="2"/>
  <c r="AK99" i="2"/>
  <c r="AK98" i="2" s="1"/>
  <c r="N258" i="2"/>
  <c r="N219" i="2"/>
  <c r="N210" i="2"/>
  <c r="N209" i="2" s="1"/>
  <c r="V216" i="2"/>
  <c r="V220" i="2"/>
  <c r="AH256" i="2"/>
  <c r="D261" i="2"/>
  <c r="H216" i="2"/>
  <c r="AB259" i="2"/>
  <c r="E210" i="2"/>
  <c r="E209" i="2" s="1"/>
  <c r="Q223" i="2"/>
  <c r="Y99" i="2"/>
  <c r="Y98" i="2" s="1"/>
  <c r="Y198" i="2"/>
  <c r="Y197" i="2" s="1"/>
  <c r="R220" i="2"/>
  <c r="C230" i="2" s="1"/>
  <c r="AD259" i="2"/>
  <c r="S99" i="2"/>
  <c r="S98" i="2" s="1"/>
  <c r="X217" i="2"/>
  <c r="AC257" i="2"/>
  <c r="L259" i="2"/>
  <c r="P218" i="2"/>
  <c r="T218" i="2"/>
  <c r="X99" i="2"/>
  <c r="X98" i="2" s="1"/>
  <c r="AB261" i="2"/>
  <c r="Z198" i="2"/>
  <c r="C256" i="2"/>
  <c r="S220" i="2"/>
  <c r="AA217" i="2"/>
  <c r="AI223" i="2"/>
  <c r="I244" i="2"/>
  <c r="I220" i="2"/>
  <c r="I219" i="2"/>
  <c r="M198" i="2"/>
  <c r="M197" i="2" s="1"/>
  <c r="AK223" i="2"/>
  <c r="AH210" i="2"/>
  <c r="AH209" i="2" s="1"/>
  <c r="D210" i="2"/>
  <c r="D209" i="2" s="1"/>
  <c r="P244" i="2"/>
  <c r="AB210" i="2"/>
  <c r="AB209" i="2" s="1"/>
  <c r="AB216" i="2"/>
  <c r="D226" i="2" s="1"/>
  <c r="E258" i="2"/>
  <c r="Q260" i="2"/>
  <c r="AG220" i="2"/>
  <c r="O258" i="2"/>
  <c r="S258" i="2"/>
  <c r="M223" i="2"/>
  <c r="AK257" i="2"/>
  <c r="AH258" i="2"/>
  <c r="L219" i="2"/>
  <c r="P219" i="2"/>
  <c r="X258" i="2"/>
  <c r="AB244" i="2"/>
  <c r="AB99" i="2"/>
  <c r="AB98" i="2" s="1"/>
  <c r="E223" i="2"/>
  <c r="C99" i="2"/>
  <c r="C98" i="2" s="1"/>
  <c r="O257" i="2"/>
  <c r="O220" i="2"/>
  <c r="AI220" i="2"/>
  <c r="R223" i="2"/>
  <c r="C233" i="2" s="1"/>
  <c r="AD220" i="2"/>
  <c r="AD217" i="2"/>
  <c r="C261" i="2"/>
  <c r="C257" i="2"/>
  <c r="C255" i="2"/>
  <c r="C235" i="2"/>
  <c r="C216" i="2"/>
  <c r="G219" i="2"/>
  <c r="G210" i="2"/>
  <c r="G209" i="2" s="1"/>
  <c r="G198" i="2"/>
  <c r="G197" i="2" s="1"/>
  <c r="K259" i="2"/>
  <c r="K217" i="2"/>
  <c r="K219" i="2"/>
  <c r="O244" i="2"/>
  <c r="S259" i="2"/>
  <c r="S261" i="2"/>
  <c r="S244" i="2"/>
  <c r="S217" i="2"/>
  <c r="S198" i="2"/>
  <c r="S216" i="2"/>
  <c r="W258" i="2"/>
  <c r="AA258" i="2"/>
  <c r="AA219" i="2"/>
  <c r="AA210" i="2"/>
  <c r="AA209" i="2" s="1"/>
  <c r="AE257" i="2"/>
  <c r="AE244" i="2"/>
  <c r="AE220" i="2"/>
  <c r="AI258" i="2"/>
  <c r="AI244" i="2"/>
  <c r="AI216" i="2"/>
  <c r="I255" i="2"/>
  <c r="I235" i="2"/>
  <c r="I99" i="2"/>
  <c r="I98" i="2" s="1"/>
  <c r="M258" i="2"/>
  <c r="M218" i="2"/>
  <c r="AC210" i="2"/>
  <c r="AC209" i="2" s="1"/>
  <c r="AK259" i="2"/>
  <c r="N198" i="2"/>
  <c r="N218" i="2"/>
  <c r="V244" i="2"/>
  <c r="V99" i="2"/>
  <c r="V98" i="2" s="1"/>
  <c r="V65" i="2"/>
  <c r="AH259" i="2"/>
  <c r="AH261" i="2"/>
  <c r="AH220" i="2"/>
  <c r="D257" i="2"/>
  <c r="D220" i="2"/>
  <c r="H259" i="2"/>
  <c r="P210" i="2"/>
  <c r="P209" i="2" s="1"/>
  <c r="P217" i="2"/>
  <c r="P60" i="2"/>
  <c r="T257" i="2"/>
  <c r="X261" i="2"/>
  <c r="X244" i="2"/>
  <c r="X210" i="2"/>
  <c r="X209" i="2" s="1"/>
  <c r="X220" i="2"/>
  <c r="X218" i="2"/>
  <c r="X64" i="2"/>
  <c r="X60" i="2"/>
  <c r="AB255" i="2"/>
  <c r="AB235" i="2"/>
  <c r="AB198" i="2"/>
  <c r="AB217" i="2"/>
  <c r="D227" i="2" s="1"/>
  <c r="AF99" i="2"/>
  <c r="AF98" i="2" s="1"/>
  <c r="AF219" i="2"/>
  <c r="AJ257" i="2"/>
  <c r="AJ99" i="2"/>
  <c r="AJ98" i="2" s="1"/>
  <c r="AJ220" i="2"/>
  <c r="AJ217" i="2"/>
  <c r="E260" i="2"/>
  <c r="E244" i="2"/>
  <c r="E65" i="2"/>
  <c r="Q257" i="2"/>
  <c r="Q217" i="2"/>
  <c r="Y260" i="2"/>
  <c r="Y210" i="2"/>
  <c r="Y209" i="2" s="1"/>
  <c r="Y219" i="2"/>
  <c r="Y216" i="2"/>
  <c r="Y65" i="2"/>
  <c r="AG260" i="2"/>
  <c r="AG209" i="2"/>
  <c r="AG198" i="2"/>
  <c r="AG222" i="2" s="1"/>
  <c r="F260" i="2"/>
  <c r="F218" i="2"/>
  <c r="J258" i="2"/>
  <c r="J216" i="2"/>
  <c r="J223" i="2"/>
  <c r="J64" i="2"/>
  <c r="J65" i="2"/>
  <c r="R258" i="2"/>
  <c r="R219" i="2"/>
  <c r="C229" i="2" s="1"/>
  <c r="Z260" i="2"/>
  <c r="AD218" i="2"/>
  <c r="C244" i="2"/>
  <c r="AI87" i="2"/>
  <c r="AI86" i="2" s="1"/>
  <c r="S87" i="2"/>
  <c r="S86" i="2" s="1"/>
  <c r="C87" i="2"/>
  <c r="C86" i="2" s="1"/>
  <c r="AH87" i="2"/>
  <c r="AH86" i="2" s="1"/>
  <c r="Z87" i="2"/>
  <c r="Z86" i="2" s="1"/>
  <c r="R87" i="2"/>
  <c r="R86" i="2" s="1"/>
  <c r="J87" i="2"/>
  <c r="J86" i="2" s="1"/>
  <c r="AG87" i="2"/>
  <c r="AG86" i="2" s="1"/>
  <c r="Y87" i="2"/>
  <c r="Y86" i="2" s="1"/>
  <c r="AF87" i="2"/>
  <c r="AF86" i="2" s="1"/>
  <c r="X87" i="2"/>
  <c r="X86" i="2" s="1"/>
  <c r="P87" i="2"/>
  <c r="P86" i="2" s="1"/>
  <c r="AE87" i="2"/>
  <c r="AE86" i="2" s="1"/>
  <c r="W87" i="2"/>
  <c r="W86" i="2" s="1"/>
  <c r="O87" i="2"/>
  <c r="O86" i="2" s="1"/>
  <c r="G87" i="2"/>
  <c r="G86" i="2" s="1"/>
  <c r="AD87" i="2"/>
  <c r="AD86" i="2" s="1"/>
  <c r="V87" i="2"/>
  <c r="V86" i="2" s="1"/>
  <c r="N87" i="2"/>
  <c r="N86" i="2" s="1"/>
  <c r="AK87" i="2"/>
  <c r="AK86" i="2" s="1"/>
  <c r="AC87" i="2"/>
  <c r="AC86" i="2" s="1"/>
  <c r="U87" i="2"/>
  <c r="U86" i="2" s="1"/>
  <c r="M87" i="2"/>
  <c r="M86" i="2" s="1"/>
  <c r="AJ87" i="2"/>
  <c r="AJ86" i="2" s="1"/>
  <c r="AB87" i="2"/>
  <c r="D87" i="2"/>
  <c r="D86" i="2" s="1"/>
  <c r="G99" i="2"/>
  <c r="G98" i="2" s="1"/>
  <c r="K258" i="2"/>
  <c r="O256" i="2"/>
  <c r="S256" i="2"/>
  <c r="AA259" i="2"/>
  <c r="AA257" i="2"/>
  <c r="AI259" i="2"/>
  <c r="U255" i="2"/>
  <c r="U235" i="2"/>
  <c r="N259" i="2"/>
  <c r="V255" i="2"/>
  <c r="V235" i="2"/>
  <c r="AH217" i="2"/>
  <c r="D244" i="2"/>
  <c r="D64" i="2"/>
  <c r="H65" i="2"/>
  <c r="L210" i="2"/>
  <c r="L209" i="2" s="1"/>
  <c r="P99" i="2"/>
  <c r="P98" i="2" s="1"/>
  <c r="T259" i="2"/>
  <c r="T244" i="2"/>
  <c r="T87" i="2"/>
  <c r="T86" i="2" s="1"/>
  <c r="T210" i="2"/>
  <c r="T209" i="2" s="1"/>
  <c r="T64" i="2"/>
  <c r="X216" i="2"/>
  <c r="AF217" i="2"/>
  <c r="E87" i="2"/>
  <c r="E86" i="2" s="1"/>
  <c r="Q60" i="2"/>
  <c r="F99" i="2"/>
  <c r="F98" i="2" s="1"/>
  <c r="F64" i="2"/>
  <c r="J257" i="2"/>
  <c r="R257" i="2"/>
  <c r="R99" i="2"/>
  <c r="AD255" i="2"/>
  <c r="AD235" i="2"/>
  <c r="AD197" i="2"/>
  <c r="G255" i="2"/>
  <c r="G235" i="2"/>
  <c r="G216" i="2"/>
  <c r="K257" i="2"/>
  <c r="O260" i="2"/>
  <c r="S260" i="2"/>
  <c r="W261" i="2"/>
  <c r="W99" i="2"/>
  <c r="W98" i="2" s="1"/>
  <c r="AA261" i="2"/>
  <c r="AA244" i="2"/>
  <c r="AE256" i="2"/>
  <c r="AI261" i="2"/>
  <c r="AI217" i="2"/>
  <c r="I259" i="2"/>
  <c r="M255" i="2"/>
  <c r="M235" i="2"/>
  <c r="U257" i="2"/>
  <c r="AC219" i="2"/>
  <c r="AK220" i="2"/>
  <c r="AK217" i="2"/>
  <c r="N257" i="2"/>
  <c r="N223" i="2"/>
  <c r="AH260" i="2"/>
  <c r="AH218" i="2"/>
  <c r="D259" i="2"/>
  <c r="D256" i="2"/>
  <c r="D65" i="2"/>
  <c r="H87" i="2"/>
  <c r="H86" i="2" s="1"/>
  <c r="H210" i="2"/>
  <c r="H209" i="2" s="1"/>
  <c r="L260" i="2"/>
  <c r="L99" i="2"/>
  <c r="L98" i="2" s="1"/>
  <c r="L223" i="2"/>
  <c r="T256" i="2"/>
  <c r="T99" i="2"/>
  <c r="T98" i="2" s="1"/>
  <c r="T198" i="2"/>
  <c r="X260" i="2"/>
  <c r="X65" i="2"/>
  <c r="D110" i="2"/>
  <c r="D119" i="2"/>
  <c r="D108" i="2"/>
  <c r="D117" i="2"/>
  <c r="AF259" i="2"/>
  <c r="AJ244" i="2"/>
  <c r="Q65" i="2"/>
  <c r="Q64" i="2"/>
  <c r="F255" i="2"/>
  <c r="F235" i="2"/>
  <c r="F87" i="2"/>
  <c r="F86" i="2" s="1"/>
  <c r="F65" i="2"/>
  <c r="J261" i="2"/>
  <c r="R261" i="2"/>
  <c r="R217" i="2"/>
  <c r="C227" i="2" s="1"/>
  <c r="R64" i="2"/>
  <c r="R65" i="2"/>
  <c r="Z255" i="2"/>
  <c r="Z235" i="2"/>
  <c r="C223" i="2"/>
  <c r="G258" i="2"/>
  <c r="G244" i="2"/>
  <c r="G220" i="2"/>
  <c r="K261" i="2"/>
  <c r="K244" i="2"/>
  <c r="K87" i="2"/>
  <c r="K86" i="2" s="1"/>
  <c r="K218" i="2"/>
  <c r="S219" i="2"/>
  <c r="S223" i="2"/>
  <c r="W244" i="2"/>
  <c r="W217" i="2"/>
  <c r="AA220" i="2"/>
  <c r="AA218" i="2"/>
  <c r="AE260" i="2"/>
  <c r="AE216" i="2"/>
  <c r="AI256" i="2"/>
  <c r="AI219" i="2"/>
  <c r="I87" i="2"/>
  <c r="I86" i="2" s="1"/>
  <c r="M260" i="2"/>
  <c r="M261" i="2"/>
  <c r="M220" i="2"/>
  <c r="U218" i="2"/>
  <c r="AC259" i="2"/>
  <c r="AC216" i="2"/>
  <c r="AK258" i="2"/>
  <c r="N261" i="2"/>
  <c r="N99" i="2"/>
  <c r="N98" i="2" s="1"/>
  <c r="V258" i="2"/>
  <c r="V217" i="2"/>
  <c r="AH216" i="2"/>
  <c r="H99" i="2"/>
  <c r="H98" i="2" s="1"/>
  <c r="H219" i="2"/>
  <c r="H223" i="2"/>
  <c r="L244" i="2"/>
  <c r="L64" i="2"/>
  <c r="L60" i="2"/>
  <c r="P220" i="2"/>
  <c r="P64" i="2"/>
  <c r="T65" i="2"/>
  <c r="T60" i="2"/>
  <c r="D114" i="2"/>
  <c r="D122" i="2"/>
  <c r="AJ64" i="2"/>
  <c r="AJ65" i="2"/>
  <c r="AJ60" i="2"/>
  <c r="Y255" i="2"/>
  <c r="Y235" i="2"/>
  <c r="Y259" i="2"/>
  <c r="Y217" i="2"/>
  <c r="Y64" i="2"/>
  <c r="AG259" i="2"/>
  <c r="AG64" i="2"/>
  <c r="F244" i="2"/>
  <c r="J244" i="2"/>
  <c r="J256" i="2"/>
  <c r="R256" i="2"/>
  <c r="C109" i="2"/>
  <c r="C118" i="2"/>
  <c r="R60" i="2"/>
  <c r="Z99" i="2"/>
  <c r="Z98" i="2" s="1"/>
  <c r="Z60" i="2"/>
  <c r="AD258" i="2"/>
  <c r="G257" i="2"/>
  <c r="K220" i="2"/>
  <c r="K216" i="2"/>
  <c r="O255" i="2"/>
  <c r="O235" i="2"/>
  <c r="O217" i="2"/>
  <c r="S255" i="2"/>
  <c r="S235" i="2"/>
  <c r="W259" i="2"/>
  <c r="W260" i="2"/>
  <c r="W220" i="2"/>
  <c r="AA87" i="2"/>
  <c r="AA86" i="2" s="1"/>
  <c r="AA216" i="2"/>
  <c r="AI260" i="2"/>
  <c r="AI210" i="2"/>
  <c r="AI209" i="2" s="1"/>
  <c r="U256" i="2"/>
  <c r="U99" i="2"/>
  <c r="U98" i="2" s="1"/>
  <c r="U198" i="2"/>
  <c r="U222" i="2" s="1"/>
  <c r="N220" i="2"/>
  <c r="V60" i="2"/>
  <c r="AH255" i="2"/>
  <c r="AH235" i="2"/>
  <c r="H255" i="2"/>
  <c r="H235" i="2"/>
  <c r="H244" i="2"/>
  <c r="L255" i="2"/>
  <c r="L235" i="2"/>
  <c r="L87" i="2"/>
  <c r="L86" i="2" s="1"/>
  <c r="L220" i="2"/>
  <c r="L218" i="2"/>
  <c r="X255" i="2"/>
  <c r="X235" i="2"/>
  <c r="X198" i="2"/>
  <c r="X197" i="2" s="1"/>
  <c r="AJ198" i="2"/>
  <c r="Q244" i="2"/>
  <c r="Q198" i="2"/>
  <c r="Q222" i="2" s="1"/>
  <c r="Y244" i="2"/>
  <c r="AG223" i="2"/>
  <c r="F258" i="2"/>
  <c r="J260" i="2"/>
  <c r="J217" i="2"/>
  <c r="R260" i="2"/>
  <c r="C110" i="2"/>
  <c r="C119" i="2"/>
  <c r="C108" i="2"/>
  <c r="C117" i="2"/>
  <c r="R216" i="2"/>
  <c r="C226" i="2" s="1"/>
  <c r="Z258" i="2"/>
  <c r="Z219" i="2"/>
  <c r="Z223" i="2"/>
  <c r="Z65" i="2"/>
  <c r="AD257" i="2"/>
  <c r="AD210" i="2"/>
  <c r="AD209" i="2" s="1"/>
  <c r="AD60" i="2"/>
  <c r="K198" i="2"/>
  <c r="K197" i="2" s="1"/>
  <c r="O223" i="2"/>
  <c r="AA198" i="2"/>
  <c r="AA197" i="2" s="1"/>
  <c r="AE255" i="2"/>
  <c r="AE235" i="2"/>
  <c r="I218" i="2"/>
  <c r="M217" i="2"/>
  <c r="U220" i="2"/>
  <c r="U217" i="2"/>
  <c r="AC256" i="2"/>
  <c r="AC255" i="2"/>
  <c r="AC235" i="2"/>
  <c r="AC217" i="2"/>
  <c r="AK255" i="2"/>
  <c r="AK235" i="2"/>
  <c r="N244" i="2"/>
  <c r="N260" i="2"/>
  <c r="N60" i="2"/>
  <c r="V261" i="2"/>
  <c r="V197" i="2"/>
  <c r="AH198" i="2"/>
  <c r="D255" i="2"/>
  <c r="D235" i="2"/>
  <c r="D216" i="2"/>
  <c r="H220" i="2"/>
  <c r="L216" i="2"/>
  <c r="P259" i="2"/>
  <c r="P255" i="2"/>
  <c r="P235" i="2"/>
  <c r="P216" i="2"/>
  <c r="T255" i="2"/>
  <c r="T235" i="2"/>
  <c r="T223" i="2"/>
  <c r="T216" i="2"/>
  <c r="X259" i="2"/>
  <c r="AB256" i="2"/>
  <c r="D109" i="2"/>
  <c r="D118" i="2"/>
  <c r="D111" i="2"/>
  <c r="D120" i="2"/>
  <c r="AB220" i="2"/>
  <c r="D230" i="2" s="1"/>
  <c r="AB64" i="2"/>
  <c r="AB65" i="2"/>
  <c r="AF218" i="2"/>
  <c r="AJ255" i="2"/>
  <c r="AJ235" i="2"/>
  <c r="AJ218" i="2"/>
  <c r="E64" i="2"/>
  <c r="Q259" i="2"/>
  <c r="Q216" i="2"/>
  <c r="Y223" i="2"/>
  <c r="AG255" i="2"/>
  <c r="AG235" i="2"/>
  <c r="AG258" i="2"/>
  <c r="AG244" i="2"/>
  <c r="AG217" i="2"/>
  <c r="AG60" i="2"/>
  <c r="F257" i="2"/>
  <c r="F198" i="2"/>
  <c r="F220" i="2"/>
  <c r="R244" i="2"/>
  <c r="C107" i="2"/>
  <c r="C114" i="2"/>
  <c r="C122" i="2"/>
  <c r="Z257" i="2"/>
  <c r="AD261" i="2"/>
  <c r="AD65" i="2"/>
  <c r="W255" i="2"/>
  <c r="W235" i="2"/>
  <c r="AA255" i="2"/>
  <c r="AA235" i="2"/>
  <c r="AE223" i="2"/>
  <c r="AI255" i="2"/>
  <c r="AI235" i="2"/>
  <c r="I216" i="2"/>
  <c r="AC258" i="2"/>
  <c r="N64" i="2"/>
  <c r="N65" i="2"/>
  <c r="L65" i="2"/>
  <c r="P65" i="2"/>
  <c r="X223" i="2"/>
  <c r="AB260" i="2"/>
  <c r="AB219" i="2"/>
  <c r="D229" i="2" s="1"/>
  <c r="D107" i="2"/>
  <c r="AF255" i="2"/>
  <c r="AF235" i="2"/>
  <c r="AF244" i="2"/>
  <c r="AF198" i="2"/>
  <c r="AF222" i="2" s="1"/>
  <c r="AF216" i="2"/>
  <c r="AF64" i="2"/>
  <c r="AF65" i="2"/>
  <c r="AF60" i="2"/>
  <c r="AJ259" i="2"/>
  <c r="AJ223" i="2"/>
  <c r="AJ216" i="2"/>
  <c r="E255" i="2"/>
  <c r="E235" i="2"/>
  <c r="E259" i="2"/>
  <c r="E198" i="2"/>
  <c r="E216" i="2"/>
  <c r="Q255" i="2"/>
  <c r="Q235" i="2"/>
  <c r="Q87" i="2"/>
  <c r="Q86" i="2" s="1"/>
  <c r="Q99" i="2"/>
  <c r="Q98" i="2" s="1"/>
  <c r="Y60" i="2"/>
  <c r="AG261" i="2"/>
  <c r="AG65" i="2"/>
  <c r="F261" i="2"/>
  <c r="F217" i="2"/>
  <c r="J255" i="2"/>
  <c r="J235" i="2"/>
  <c r="J99" i="2"/>
  <c r="J98" i="2" s="1"/>
  <c r="R255" i="2"/>
  <c r="R235" i="2"/>
  <c r="R198" i="2"/>
  <c r="R197" i="2" s="1"/>
  <c r="R210" i="2"/>
  <c r="R209" i="2" s="1"/>
  <c r="Z261" i="2"/>
  <c r="Z218" i="2"/>
  <c r="Z220" i="2"/>
  <c r="AD256" i="2"/>
  <c r="C217" i="2"/>
  <c r="G260" i="2"/>
  <c r="K255" i="2"/>
  <c r="K235" i="2"/>
  <c r="S257" i="2"/>
  <c r="S218" i="2"/>
  <c r="W198" i="2"/>
  <c r="W222" i="2" s="1"/>
  <c r="W216" i="2"/>
  <c r="AE258" i="2"/>
  <c r="AE99" i="2"/>
  <c r="AE98" i="2" s="1"/>
  <c r="AI218" i="2"/>
  <c r="I198" i="2"/>
  <c r="I217" i="2"/>
  <c r="M257" i="2"/>
  <c r="M259" i="2"/>
  <c r="M210" i="2"/>
  <c r="M209" i="2" s="1"/>
  <c r="M219" i="2"/>
  <c r="AC244" i="2"/>
  <c r="AK244" i="2"/>
  <c r="AK198" i="2"/>
  <c r="AK219" i="2"/>
  <c r="AK216" i="2"/>
  <c r="N255" i="2"/>
  <c r="N235" i="2"/>
  <c r="N216" i="2"/>
  <c r="V260" i="2"/>
  <c r="V219" i="2"/>
  <c r="V223" i="2"/>
  <c r="V64" i="2"/>
  <c r="AH257" i="2"/>
  <c r="AH219" i="2"/>
  <c r="D258" i="2"/>
  <c r="D217" i="2"/>
  <c r="H64" i="2"/>
  <c r="H60" i="2"/>
  <c r="L257" i="2"/>
  <c r="L198" i="2"/>
  <c r="L197" i="2" s="1"/>
  <c r="T258" i="2"/>
  <c r="T220" i="2"/>
  <c r="T217" i="2"/>
  <c r="X257" i="2"/>
  <c r="AB60" i="2"/>
  <c r="AJ258" i="2"/>
  <c r="E261" i="2"/>
  <c r="E220" i="2"/>
  <c r="E99" i="2"/>
  <c r="E98" i="2" s="1"/>
  <c r="E219" i="2"/>
  <c r="E217" i="2"/>
  <c r="Y218" i="2"/>
  <c r="AG219" i="2"/>
  <c r="F256" i="2"/>
  <c r="J197" i="2"/>
  <c r="J60" i="2"/>
  <c r="C111" i="2"/>
  <c r="C120" i="2"/>
  <c r="Z256" i="2"/>
  <c r="Z64" i="2"/>
  <c r="AD260" i="2"/>
  <c r="AD64" i="2"/>
  <c r="C260" i="2"/>
  <c r="AD254" i="2" l="1"/>
  <c r="F222" i="2"/>
  <c r="Z222" i="2"/>
  <c r="AE254" i="2"/>
  <c r="N222" i="2"/>
  <c r="AE222" i="2"/>
  <c r="AB222" i="2"/>
  <c r="D232" i="2" s="1"/>
  <c r="J209" i="2"/>
  <c r="J221" i="2" s="1"/>
  <c r="V221" i="2"/>
  <c r="AC221" i="2"/>
  <c r="X221" i="2"/>
  <c r="I254" i="2"/>
  <c r="Z254" i="2"/>
  <c r="C222" i="2"/>
  <c r="AB254" i="2"/>
  <c r="D221" i="2"/>
  <c r="E254" i="2"/>
  <c r="P254" i="2"/>
  <c r="X222" i="2"/>
  <c r="S222" i="2"/>
  <c r="D222" i="2"/>
  <c r="AH222" i="2"/>
  <c r="Y254" i="2"/>
  <c r="AC222" i="2"/>
  <c r="C209" i="2"/>
  <c r="C221" i="2" s="1"/>
  <c r="I222" i="2"/>
  <c r="H254" i="2"/>
  <c r="AI221" i="2"/>
  <c r="M254" i="2"/>
  <c r="AD222" i="2"/>
  <c r="M222" i="2"/>
  <c r="AE221" i="2"/>
  <c r="J254" i="2"/>
  <c r="T222" i="2"/>
  <c r="V222" i="2"/>
  <c r="AK222" i="2"/>
  <c r="AG254" i="2"/>
  <c r="AA254" i="2"/>
  <c r="T254" i="2"/>
  <c r="S197" i="2"/>
  <c r="S221" i="2" s="1"/>
  <c r="N197" i="2"/>
  <c r="N221" i="2" s="1"/>
  <c r="K254" i="2"/>
  <c r="O221" i="2"/>
  <c r="W254" i="2"/>
  <c r="K222" i="2"/>
  <c r="P222" i="2"/>
  <c r="O254" i="2"/>
  <c r="U254" i="2"/>
  <c r="W197" i="2"/>
  <c r="W221" i="2" s="1"/>
  <c r="E222" i="2"/>
  <c r="N254" i="2"/>
  <c r="Y221" i="2"/>
  <c r="AI254" i="2"/>
  <c r="AH254" i="2"/>
  <c r="H221" i="2"/>
  <c r="O222" i="2"/>
  <c r="AH197" i="2"/>
  <c r="AH221" i="2" s="1"/>
  <c r="Q197" i="2"/>
  <c r="Q221" i="2" s="1"/>
  <c r="V254" i="2"/>
  <c r="E197" i="2"/>
  <c r="E221" i="2" s="1"/>
  <c r="AJ254" i="2"/>
  <c r="X254" i="2"/>
  <c r="AB197" i="2"/>
  <c r="AB221" i="2" s="1"/>
  <c r="D231" i="2" s="1"/>
  <c r="AI222" i="2"/>
  <c r="Z197" i="2"/>
  <c r="Z221" i="2" s="1"/>
  <c r="H222" i="2"/>
  <c r="AB86" i="2"/>
  <c r="D112" i="2" s="1"/>
  <c r="D113" i="2"/>
  <c r="R221" i="2"/>
  <c r="C231" i="2" s="1"/>
  <c r="R254" i="2"/>
  <c r="AF197" i="2"/>
  <c r="AF221" i="2" s="1"/>
  <c r="P221" i="2"/>
  <c r="AK197" i="2"/>
  <c r="AK221" i="2" s="1"/>
  <c r="U197" i="2"/>
  <c r="U221" i="2" s="1"/>
  <c r="T197" i="2"/>
  <c r="T221" i="2" s="1"/>
  <c r="I197" i="2"/>
  <c r="I221" i="2" s="1"/>
  <c r="D254" i="2"/>
  <c r="L254" i="2"/>
  <c r="G221" i="2"/>
  <c r="AK254" i="2"/>
  <c r="AD221" i="2"/>
  <c r="Y222" i="2"/>
  <c r="G254" i="2"/>
  <c r="AC254" i="2"/>
  <c r="AJ197" i="2"/>
  <c r="AJ221" i="2" s="1"/>
  <c r="AJ222" i="2"/>
  <c r="C113" i="2"/>
  <c r="R222" i="2"/>
  <c r="C232" i="2" s="1"/>
  <c r="R98" i="2"/>
  <c r="Q254" i="2"/>
  <c r="AF254" i="2"/>
  <c r="K221" i="2"/>
  <c r="S254" i="2"/>
  <c r="L221" i="2"/>
  <c r="L222" i="2"/>
  <c r="AA221" i="2"/>
  <c r="AG197" i="2"/>
  <c r="AG221" i="2" s="1"/>
  <c r="AA222" i="2"/>
  <c r="C254" i="2"/>
  <c r="M221" i="2"/>
  <c r="F254" i="2"/>
  <c r="F197" i="2"/>
  <c r="F221" i="2" s="1"/>
  <c r="G222" i="2"/>
  <c r="D121" i="2" l="1"/>
  <c r="C112" i="2"/>
  <c r="C121" i="2"/>
  <c r="AL198" i="2" l="1"/>
  <c r="AL87" i="2"/>
  <c r="AL259" i="2"/>
  <c r="AL447" i="2"/>
  <c r="AL460" i="2" l="1"/>
  <c r="AL474" i="2" s="1"/>
  <c r="AL216" i="2"/>
  <c r="E226" i="2" s="1"/>
  <c r="AL220" i="2"/>
  <c r="E230" i="2" s="1"/>
  <c r="AL285" i="2"/>
  <c r="E294" i="2" s="1"/>
  <c r="AL284" i="2"/>
  <c r="E293" i="2" s="1"/>
  <c r="AL99" i="2"/>
  <c r="AL98" i="2" s="1"/>
  <c r="AL218" i="2"/>
  <c r="E228" i="2" s="1"/>
  <c r="AL453" i="2"/>
  <c r="AL473" i="2"/>
  <c r="AL86" i="2"/>
  <c r="AL280" i="2"/>
  <c r="E289" i="2" s="1"/>
  <c r="AL466" i="2"/>
  <c r="AL472" i="2"/>
  <c r="AL258" i="2"/>
  <c r="E119" i="2"/>
  <c r="E110" i="2"/>
  <c r="AM65" i="2"/>
  <c r="AL65" i="2"/>
  <c r="AL509" i="2"/>
  <c r="AL257" i="2"/>
  <c r="E107" i="2"/>
  <c r="AL244" i="2"/>
  <c r="AL510" i="2"/>
  <c r="AL494" i="2"/>
  <c r="AL261" i="2"/>
  <c r="E108" i="2"/>
  <c r="E117" i="2"/>
  <c r="AL282" i="2"/>
  <c r="E291" i="2" s="1"/>
  <c r="AL283" i="2"/>
  <c r="E292" i="2" s="1"/>
  <c r="AM60" i="2"/>
  <c r="AL60" i="2"/>
  <c r="AL481" i="2"/>
  <c r="AL508" i="2" s="1"/>
  <c r="AL256" i="2"/>
  <c r="E114" i="2"/>
  <c r="E122" i="2"/>
  <c r="AL217" i="2"/>
  <c r="E227" i="2" s="1"/>
  <c r="AL475" i="2"/>
  <c r="AL500" i="2"/>
  <c r="AL506" i="2"/>
  <c r="AL260" i="2"/>
  <c r="AL197" i="2"/>
  <c r="AL487" i="2"/>
  <c r="AL507" i="2"/>
  <c r="E120" i="2"/>
  <c r="E111" i="2"/>
  <c r="AL210" i="2"/>
  <c r="AL209" i="2" s="1"/>
  <c r="AL281" i="2"/>
  <c r="E290" i="2" s="1"/>
  <c r="AL476" i="2"/>
  <c r="AL255" i="2"/>
  <c r="AL235" i="2"/>
  <c r="E118" i="2"/>
  <c r="E109" i="2"/>
  <c r="AL219" i="2"/>
  <c r="E229" i="2" s="1"/>
  <c r="AL223" i="2"/>
  <c r="E233" i="2" s="1"/>
  <c r="AL279" i="2"/>
  <c r="E288" i="2" s="1"/>
  <c r="AM64" i="2"/>
  <c r="AL64" i="2"/>
  <c r="E113" i="2" l="1"/>
  <c r="AL477" i="2"/>
  <c r="AL222" i="2"/>
  <c r="E232" i="2" s="1"/>
  <c r="AL254" i="2"/>
  <c r="AL221" i="2"/>
  <c r="E231" i="2" s="1"/>
  <c r="E121" i="2"/>
  <c r="E112" i="2"/>
  <c r="AL511" i="2"/>
</calcChain>
</file>

<file path=xl/sharedStrings.xml><?xml version="1.0" encoding="utf-8"?>
<sst xmlns="http://schemas.openxmlformats.org/spreadsheetml/2006/main" count="400" uniqueCount="106">
  <si>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</si>
  <si>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</si>
  <si>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</si>
  <si>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</si>
  <si>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</si>
  <si>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</si>
  <si>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</si>
  <si>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</si>
  <si>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</si>
  <si>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</si>
  <si>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</si>
  <si>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</si>
  <si>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</si>
  <si>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</t>
  </si>
  <si>
    <t>Année</t>
  </si>
  <si>
    <t>2030</t>
  </si>
  <si>
    <t>2040</t>
  </si>
  <si>
    <t>2050</t>
  </si>
  <si>
    <t>GDP</t>
  </si>
  <si>
    <t>Consumption</t>
  </si>
  <si>
    <t>Net exports</t>
  </si>
  <si>
    <t>Investment</t>
  </si>
  <si>
    <t>Exports</t>
  </si>
  <si>
    <t>Imports</t>
  </si>
  <si>
    <t>Production</t>
  </si>
  <si>
    <t>Households</t>
  </si>
  <si>
    <t>Firms</t>
  </si>
  <si>
    <t>Total</t>
  </si>
  <si>
    <t>Transport</t>
  </si>
  <si>
    <t>Oil&amp;Gas</t>
  </si>
  <si>
    <t>Industry</t>
  </si>
  <si>
    <t>Oil &amp; Gas</t>
  </si>
  <si>
    <t>Renewable Oil &amp; Gas</t>
  </si>
  <si>
    <t>Electricity</t>
  </si>
  <si>
    <t>biogas</t>
  </si>
  <si>
    <t>biofuel</t>
  </si>
  <si>
    <t>Renewable Oil&amp;Gas</t>
  </si>
  <si>
    <t>total oil&amp;gas</t>
  </si>
  <si>
    <t>baseline</t>
  </si>
  <si>
    <t>shock</t>
  </si>
  <si>
    <t>Average</t>
  </si>
  <si>
    <t>Capital</t>
  </si>
  <si>
    <t>Capital intensity</t>
  </si>
  <si>
    <t>Energy intensity</t>
  </si>
  <si>
    <t>Ménages</t>
  </si>
  <si>
    <t>Ménages (logement)</t>
  </si>
  <si>
    <t>Ménages (transport)</t>
  </si>
  <si>
    <t>Households (housing)</t>
  </si>
  <si>
    <t>Households (transport)</t>
  </si>
  <si>
    <t>Consommation</t>
  </si>
  <si>
    <t>CI</t>
  </si>
  <si>
    <t>Y</t>
  </si>
  <si>
    <t>MAT</t>
  </si>
  <si>
    <t>Fuel</t>
  </si>
  <si>
    <t>Gas</t>
  </si>
  <si>
    <t>Electric</t>
  </si>
  <si>
    <t>Vehicles</t>
  </si>
  <si>
    <t>A</t>
  </si>
  <si>
    <t>B</t>
  </si>
  <si>
    <t>C</t>
  </si>
  <si>
    <t>D</t>
  </si>
  <si>
    <t>E</t>
  </si>
  <si>
    <t>F</t>
  </si>
  <si>
    <t>G</t>
  </si>
  <si>
    <t>Food</t>
  </si>
  <si>
    <t>Glass</t>
  </si>
  <si>
    <t>Chemicals</t>
  </si>
  <si>
    <t>Metal</t>
  </si>
  <si>
    <t>Road transport</t>
  </si>
  <si>
    <t>Air transport</t>
  </si>
  <si>
    <t>Other transport</t>
  </si>
  <si>
    <t>Other industry</t>
  </si>
  <si>
    <t>2020</t>
  </si>
  <si>
    <t>CF toe</t>
  </si>
  <si>
    <t>Carburant</t>
  </si>
  <si>
    <t>Autre</t>
  </si>
  <si>
    <t>Charbon</t>
  </si>
  <si>
    <t>Consommation énergétique</t>
  </si>
  <si>
    <t>Valeur ajoutée sectorielle</t>
  </si>
  <si>
    <t>VA graphique</t>
  </si>
  <si>
    <t>%deviation</t>
  </si>
  <si>
    <t>share evolution</t>
  </si>
  <si>
    <t>Production sectorielle</t>
  </si>
  <si>
    <t>Production graphique</t>
  </si>
  <si>
    <t>%share</t>
  </si>
  <si>
    <t>%deviation from baseline</t>
  </si>
  <si>
    <t>Employment</t>
  </si>
  <si>
    <t>deviation in thousands</t>
  </si>
  <si>
    <t>%deviation + contributions</t>
  </si>
  <si>
    <t>Vehicles stock by energy</t>
  </si>
  <si>
    <t>Vehicles stock by class</t>
  </si>
  <si>
    <t>Buildings by class</t>
  </si>
  <si>
    <t>Firms' CO2 emissions</t>
  </si>
  <si>
    <t>Final energy</t>
  </si>
  <si>
    <t>Primary energy</t>
  </si>
  <si>
    <t>%deviation + contribution</t>
  </si>
  <si>
    <t>AUTO_CA_0</t>
  </si>
  <si>
    <t>AUTO_CB_0</t>
  </si>
  <si>
    <t>AUTO_CC_0</t>
  </si>
  <si>
    <t>AUTO_CD_0</t>
  </si>
  <si>
    <t>AUTO_CE_0</t>
  </si>
  <si>
    <t>AUTO_CF_0</t>
  </si>
  <si>
    <t>AUTO_CG_0</t>
  </si>
  <si>
    <t>Households' consumption</t>
  </si>
  <si>
    <t>Firms' consumption</t>
  </si>
  <si>
    <t>Net 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</si>
</sst>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quotePrefix="1"/>
    <xf numFmtId="0" fontId="0" fillId="0" borderId="0" xfId="0" applyAlignment="1">
      <alignment horizontal="center" vertical="center"/>
    </xf>
    <xf numFmtId="9" fontId="0" fillId="0" borderId="0" xfId="0" applyNumberFormat="1"/>
    <xf numFmtId="165" fontId="0" fillId="0" borderId="0" xfId="0" quotePrefix="1" applyNumberFormat="1"/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hartsheet" Target="chartsheets/sheet12.xml"/><Relationship Id="rId18" Type="http://schemas.openxmlformats.org/officeDocument/2006/relationships/chartsheet" Target="chartsheets/sheet17.xml"/><Relationship Id="rId26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21" Type="http://schemas.openxmlformats.org/officeDocument/2006/relationships/chartsheet" Target="chartsheets/sheet20.xml"/><Relationship Id="rId7" Type="http://schemas.openxmlformats.org/officeDocument/2006/relationships/chartsheet" Target="chartsheets/sheet6.xml"/><Relationship Id="rId12" Type="http://schemas.openxmlformats.org/officeDocument/2006/relationships/chartsheet" Target="chartsheets/sheet11.xml"/><Relationship Id="rId17" Type="http://schemas.openxmlformats.org/officeDocument/2006/relationships/chartsheet" Target="chartsheets/sheet16.xml"/><Relationship Id="rId25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chartsheet" Target="chartsheets/sheet15.xml"/><Relationship Id="rId20" Type="http://schemas.openxmlformats.org/officeDocument/2006/relationships/chartsheet" Target="chartsheets/sheet19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hartsheet" Target="chartsheets/sheet10.xml"/><Relationship Id="rId24" Type="http://schemas.openxmlformats.org/officeDocument/2006/relationships/theme" Target="theme/theme1.xml"/><Relationship Id="rId5" Type="http://schemas.openxmlformats.org/officeDocument/2006/relationships/chartsheet" Target="chartsheets/sheet4.xml"/><Relationship Id="rId15" Type="http://schemas.openxmlformats.org/officeDocument/2006/relationships/chartsheet" Target="chartsheets/sheet14.xml"/><Relationship Id="rId23" Type="http://schemas.openxmlformats.org/officeDocument/2006/relationships/externalLink" Target="externalLinks/externalLink1.xml"/><Relationship Id="rId10" Type="http://schemas.openxmlformats.org/officeDocument/2006/relationships/chartsheet" Target="chartsheets/sheet9.xml"/><Relationship Id="rId19" Type="http://schemas.openxmlformats.org/officeDocument/2006/relationships/chartsheet" Target="chartsheets/sheet18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Relationship Id="rId14" Type="http://schemas.openxmlformats.org/officeDocument/2006/relationships/chartsheet" Target="chartsheets/sheet13.xml"/><Relationship Id="rId22" Type="http://schemas.openxmlformats.org/officeDocument/2006/relationships/chartsheet" Target="chart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1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400"/>
              <a:t>Impact</a:t>
            </a:r>
            <a:r>
              <a:rPr lang="fr-FR" sz="2400" baseline="0"/>
              <a:t> on GDP - </a:t>
            </a:r>
            <a:r>
              <a:rPr lang="fr-FR" sz="2400" b="1" u="sng" baseline="0"/>
              <a:t>Physical damages of a 3°C Scenario </a:t>
            </a:r>
            <a:r>
              <a:rPr lang="fr-FR" sz="1600" baseline="0"/>
              <a:t>(% deviation from status quo)</a:t>
            </a:r>
            <a:endParaRPr lang="fr-FR" sz="16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947418400168892E-2"/>
          <c:y val="0.1493210735688186"/>
          <c:w val="0.91901351933111586"/>
          <c:h val="0.67157921974535428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Données!$B$7</c:f>
              <c:strCache>
                <c:ptCount val="1"/>
                <c:pt idx="0">
                  <c:v>Consumption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Données!$C$7:$BF$7</c:f>
              <c:numCache>
                <c:formatCode>#\ ##0.0</c:formatCode>
                <c:ptCount val="56"/>
                <c:pt idx="0">
                  <c:v>-0.30899122998868644</c:v>
                </c:pt>
                <c:pt idx="1">
                  <c:v>-0.67843063363519307</c:v>
                </c:pt>
                <c:pt idx="2">
                  <c:v>-1.023454648560066</c:v>
                </c:pt>
                <c:pt idx="3">
                  <c:v>-1.3198783253957922</c:v>
                </c:pt>
                <c:pt idx="4">
                  <c:v>-1.5633680011959781</c:v>
                </c:pt>
                <c:pt idx="5">
                  <c:v>-1.7572163151038405</c:v>
                </c:pt>
                <c:pt idx="6">
                  <c:v>-1.9088240127474814</c:v>
                </c:pt>
                <c:pt idx="7">
                  <c:v>-2.0246525546116176</c:v>
                </c:pt>
                <c:pt idx="8">
                  <c:v>-2.1118676084347889</c:v>
                </c:pt>
                <c:pt idx="9">
                  <c:v>-2.1768909332227517</c:v>
                </c:pt>
                <c:pt idx="10">
                  <c:v>-2.2237987069431799</c:v>
                </c:pt>
                <c:pt idx="11">
                  <c:v>-2.2607773108222697</c:v>
                </c:pt>
                <c:pt idx="12">
                  <c:v>-2.2890148410505686</c:v>
                </c:pt>
                <c:pt idx="13">
                  <c:v>-2.3103617410923998</c:v>
                </c:pt>
                <c:pt idx="14">
                  <c:v>-2.3261374164422479</c:v>
                </c:pt>
                <c:pt idx="15">
                  <c:v>-2.3373647449013215</c:v>
                </c:pt>
                <c:pt idx="16">
                  <c:v>-2.345882058409098</c:v>
                </c:pt>
                <c:pt idx="17">
                  <c:v>-2.3525949260186052</c:v>
                </c:pt>
                <c:pt idx="18">
                  <c:v>-2.3580933043818479</c:v>
                </c:pt>
                <c:pt idx="19">
                  <c:v>-2.362866085705384</c:v>
                </c:pt>
                <c:pt idx="20">
                  <c:v>-2.3681899694953907</c:v>
                </c:pt>
                <c:pt idx="21">
                  <c:v>-2.3723562712575119</c:v>
                </c:pt>
                <c:pt idx="22">
                  <c:v>-2.3769852139272336</c:v>
                </c:pt>
                <c:pt idx="23">
                  <c:v>-2.382460769220474</c:v>
                </c:pt>
                <c:pt idx="24">
                  <c:v>-2.3890467212166397</c:v>
                </c:pt>
                <c:pt idx="25">
                  <c:v>-2.3991071574275833</c:v>
                </c:pt>
                <c:pt idx="26">
                  <c:v>-2.4076994001966532</c:v>
                </c:pt>
                <c:pt idx="27">
                  <c:v>-2.4166048489395959</c:v>
                </c:pt>
                <c:pt idx="28">
                  <c:v>-2.4260742522588177</c:v>
                </c:pt>
                <c:pt idx="29">
                  <c:v>-2.4362965564602623</c:v>
                </c:pt>
                <c:pt idx="30">
                  <c:v>-2.4473717909751151</c:v>
                </c:pt>
                <c:pt idx="31">
                  <c:v>-2.4591498129133424</c:v>
                </c:pt>
                <c:pt idx="32">
                  <c:v>-2.4715868377398684</c:v>
                </c:pt>
                <c:pt idx="33">
                  <c:v>-2.4846575808224238</c:v>
                </c:pt>
                <c:pt idx="34">
                  <c:v>-2.498331734019605</c:v>
                </c:pt>
                <c:pt idx="35">
                  <c:v>-2.5125719476701716</c:v>
                </c:pt>
                <c:pt idx="36">
                  <c:v>-2.5263267284946438</c:v>
                </c:pt>
                <c:pt idx="37">
                  <c:v>-2.53860436870601</c:v>
                </c:pt>
                <c:pt idx="38">
                  <c:v>-2.5495905095605926</c:v>
                </c:pt>
                <c:pt idx="39">
                  <c:v>-2.5596416085313067</c:v>
                </c:pt>
                <c:pt idx="40">
                  <c:v>-2.5691452120595581</c:v>
                </c:pt>
                <c:pt idx="41">
                  <c:v>-2.5782412361554234</c:v>
                </c:pt>
                <c:pt idx="42">
                  <c:v>-2.5872031944582976</c:v>
                </c:pt>
                <c:pt idx="43">
                  <c:v>-2.5963024167453286</c:v>
                </c:pt>
                <c:pt idx="44">
                  <c:v>-2.6057662208413488</c:v>
                </c:pt>
                <c:pt idx="45">
                  <c:v>-2.6157726761826017</c:v>
                </c:pt>
                <c:pt idx="46">
                  <c:v>-2.6257342902320486</c:v>
                </c:pt>
                <c:pt idx="47">
                  <c:v>-2.6357253057427048</c:v>
                </c:pt>
                <c:pt idx="48">
                  <c:v>-2.6459217363289267</c:v>
                </c:pt>
                <c:pt idx="49">
                  <c:v>-2.6565135921695666</c:v>
                </c:pt>
                <c:pt idx="50">
                  <c:v>-2.667665109454239</c:v>
                </c:pt>
                <c:pt idx="51">
                  <c:v>2.4627260846567238E-2</c:v>
                </c:pt>
                <c:pt idx="52">
                  <c:v>2.6598171712759654E-2</c:v>
                </c:pt>
                <c:pt idx="53">
                  <c:v>2.8484324639781216E-2</c:v>
                </c:pt>
                <c:pt idx="54">
                  <c:v>3.0234981441569546E-2</c:v>
                </c:pt>
                <c:pt idx="55">
                  <c:v>3.1819722090826522E-2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5"/>
          <c:order val="5"/>
          <c:tx>
            <c:strRef>
              <c:f>Données!$B$10</c:f>
              <c:strCache>
                <c:ptCount val="1"/>
                <c:pt idx="0">
                  <c:v>Investment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Données!$C$10:$BF$10</c:f>
              <c:numCache>
                <c:formatCode>#\ ##0.0</c:formatCode>
                <c:ptCount val="56"/>
                <c:pt idx="0">
                  <c:v>-0.2558380047218608</c:v>
                </c:pt>
                <c:pt idx="1">
                  <c:v>-0.41970444276942509</c:v>
                </c:pt>
                <c:pt idx="2">
                  <c:v>-0.53420320643368047</c:v>
                </c:pt>
                <c:pt idx="3">
                  <c:v>-0.62556599333226726</c:v>
                </c:pt>
                <c:pt idx="4">
                  <c:v>-0.70551465609726671</c:v>
                </c:pt>
                <c:pt idx="5">
                  <c:v>-0.77906475061173897</c:v>
                </c:pt>
                <c:pt idx="6">
                  <c:v>-0.84886809013980247</c:v>
                </c:pt>
                <c:pt idx="7">
                  <c:v>-0.9155071035153215</c:v>
                </c:pt>
                <c:pt idx="8">
                  <c:v>-0.97949824431553034</c:v>
                </c:pt>
                <c:pt idx="9">
                  <c:v>-1.0412621969645561</c:v>
                </c:pt>
                <c:pt idx="10">
                  <c:v>-1.1006476046227964</c:v>
                </c:pt>
                <c:pt idx="11">
                  <c:v>-1.1601132509454897</c:v>
                </c:pt>
                <c:pt idx="12">
                  <c:v>-1.218724444445467</c:v>
                </c:pt>
                <c:pt idx="13">
                  <c:v>-1.2763884444191003</c:v>
                </c:pt>
                <c:pt idx="14">
                  <c:v>-1.3330199854238014</c:v>
                </c:pt>
                <c:pt idx="15">
                  <c:v>-1.3885173450861068</c:v>
                </c:pt>
                <c:pt idx="16">
                  <c:v>-1.4436109246650481</c:v>
                </c:pt>
                <c:pt idx="17">
                  <c:v>-1.4977825395587903</c:v>
                </c:pt>
                <c:pt idx="18">
                  <c:v>-1.5507063203936293</c:v>
                </c:pt>
                <c:pt idx="19">
                  <c:v>-1.6021817466983792</c:v>
                </c:pt>
                <c:pt idx="20">
                  <c:v>-1.6526032669988917</c:v>
                </c:pt>
                <c:pt idx="21">
                  <c:v>-1.7006375633878474</c:v>
                </c:pt>
                <c:pt idx="22">
                  <c:v>-1.7469306001913636</c:v>
                </c:pt>
                <c:pt idx="23">
                  <c:v>-1.791407020283484</c:v>
                </c:pt>
                <c:pt idx="24">
                  <c:v>-1.834023797274196</c:v>
                </c:pt>
                <c:pt idx="25">
                  <c:v>-1.8763579845648799</c:v>
                </c:pt>
                <c:pt idx="26">
                  <c:v>-1.9151212732914424</c:v>
                </c:pt>
                <c:pt idx="27">
                  <c:v>-1.9516358670520144</c:v>
                </c:pt>
                <c:pt idx="28">
                  <c:v>-1.9859219816686171</c:v>
                </c:pt>
                <c:pt idx="29">
                  <c:v>-2.0179969382107861</c:v>
                </c:pt>
                <c:pt idx="30">
                  <c:v>-2.0478781176131551</c:v>
                </c:pt>
                <c:pt idx="31">
                  <c:v>-2.0754315886809769</c:v>
                </c:pt>
                <c:pt idx="32">
                  <c:v>-2.1007515224777076</c:v>
                </c:pt>
                <c:pt idx="33">
                  <c:v>-2.1239058438571918</c:v>
                </c:pt>
                <c:pt idx="34">
                  <c:v>-2.1449495230788682</c:v>
                </c:pt>
                <c:pt idx="35">
                  <c:v>-2.1639358479945399</c:v>
                </c:pt>
                <c:pt idx="36">
                  <c:v>-2.1800345951435536</c:v>
                </c:pt>
                <c:pt idx="37">
                  <c:v>-2.1933710428537014</c:v>
                </c:pt>
                <c:pt idx="38">
                  <c:v>-2.2043393108176299</c:v>
                </c:pt>
                <c:pt idx="39">
                  <c:v>-2.2131596091601873</c:v>
                </c:pt>
                <c:pt idx="40">
                  <c:v>-2.219987578617876</c:v>
                </c:pt>
                <c:pt idx="41">
                  <c:v>-2.2247677713063556</c:v>
                </c:pt>
                <c:pt idx="42">
                  <c:v>-2.2277161162246784</c:v>
                </c:pt>
                <c:pt idx="43">
                  <c:v>-2.2290099158585859</c:v>
                </c:pt>
                <c:pt idx="44">
                  <c:v>-2.2288028293882203</c:v>
                </c:pt>
                <c:pt idx="45">
                  <c:v>-2.2272375241572275</c:v>
                </c:pt>
                <c:pt idx="46">
                  <c:v>-2.2238139102750165</c:v>
                </c:pt>
                <c:pt idx="47">
                  <c:v>-2.2189746126594461</c:v>
                </c:pt>
                <c:pt idx="48">
                  <c:v>-2.2129935690472462</c:v>
                </c:pt>
                <c:pt idx="49">
                  <c:v>-2.206061088594518</c:v>
                </c:pt>
                <c:pt idx="50">
                  <c:v>-2.1983288102947052</c:v>
                </c:pt>
                <c:pt idx="51">
                  <c:v>-4.521236430945175E-3</c:v>
                </c:pt>
                <c:pt idx="52">
                  <c:v>7.2949558812879342E-4</c:v>
                </c:pt>
                <c:pt idx="53">
                  <c:v>6.3874356486643144E-3</c:v>
                </c:pt>
                <c:pt idx="54">
                  <c:v>1.2419202628000638E-2</c:v>
                </c:pt>
                <c:pt idx="55">
                  <c:v>1.8789179124359609E-2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7"/>
          <c:order val="7"/>
          <c:tx>
            <c:strRef>
              <c:f>Données!$B$12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Données!$C$12:$BF$12</c:f>
              <c:numCache>
                <c:formatCode>#\ ##0.0</c:formatCode>
                <c:ptCount val="56"/>
                <c:pt idx="0">
                  <c:v>-1.1457548344029187</c:v>
                </c:pt>
                <c:pt idx="1">
                  <c:v>-0.99992165546744849</c:v>
                </c:pt>
                <c:pt idx="2">
                  <c:v>-0.89559674608585893</c:v>
                </c:pt>
                <c:pt idx="3">
                  <c:v>-0.80634940105752051</c:v>
                </c:pt>
                <c:pt idx="4">
                  <c:v>-0.73014939964011916</c:v>
                </c:pt>
                <c:pt idx="5">
                  <c:v>-0.66674701244023526</c:v>
                </c:pt>
                <c:pt idx="6">
                  <c:v>-0.61570094430705047</c:v>
                </c:pt>
                <c:pt idx="7">
                  <c:v>-0.57546279415342383</c:v>
                </c:pt>
                <c:pt idx="8">
                  <c:v>-0.54473603130539594</c:v>
                </c:pt>
                <c:pt idx="9">
                  <c:v>-0.52242602469323929</c:v>
                </c:pt>
                <c:pt idx="10">
                  <c:v>-0.50899315280895863</c:v>
                </c:pt>
                <c:pt idx="11">
                  <c:v>-0.50466610980071924</c:v>
                </c:pt>
                <c:pt idx="12">
                  <c:v>-0.50608477859931789</c:v>
                </c:pt>
                <c:pt idx="13">
                  <c:v>-0.5130473298928675</c:v>
                </c:pt>
                <c:pt idx="14">
                  <c:v>-0.52525349346812611</c:v>
                </c:pt>
                <c:pt idx="15">
                  <c:v>-0.5423372890551561</c:v>
                </c:pt>
                <c:pt idx="16">
                  <c:v>-0.56774165311927716</c:v>
                </c:pt>
                <c:pt idx="17">
                  <c:v>-0.59620366614468168</c:v>
                </c:pt>
                <c:pt idx="18">
                  <c:v>-0.62744870980441059</c:v>
                </c:pt>
                <c:pt idx="19">
                  <c:v>-0.66105425349161706</c:v>
                </c:pt>
                <c:pt idx="20">
                  <c:v>-0.69552416944159834</c:v>
                </c:pt>
                <c:pt idx="21">
                  <c:v>-0.73300661803980827</c:v>
                </c:pt>
                <c:pt idx="22">
                  <c:v>-0.77143313980900485</c:v>
                </c:pt>
                <c:pt idx="23">
                  <c:v>-0.81048841073524525</c:v>
                </c:pt>
                <c:pt idx="24">
                  <c:v>-0.84985878903985412</c:v>
                </c:pt>
                <c:pt idx="25">
                  <c:v>-0.88616612921830251</c:v>
                </c:pt>
                <c:pt idx="26">
                  <c:v>-0.92422206506591653</c:v>
                </c:pt>
                <c:pt idx="27">
                  <c:v>-0.96273497660919949</c:v>
                </c:pt>
                <c:pt idx="28">
                  <c:v>-1.0014575293599188</c:v>
                </c:pt>
                <c:pt idx="29">
                  <c:v>-1.0401815201708495</c:v>
                </c:pt>
                <c:pt idx="30">
                  <c:v>-1.0787506943330376</c:v>
                </c:pt>
                <c:pt idx="31">
                  <c:v>-1.1163619287449094</c:v>
                </c:pt>
                <c:pt idx="32">
                  <c:v>-1.1537896725710475</c:v>
                </c:pt>
                <c:pt idx="33">
                  <c:v>-1.190947084168152</c:v>
                </c:pt>
                <c:pt idx="34">
                  <c:v>-1.2277911930911936</c:v>
                </c:pt>
                <c:pt idx="35">
                  <c:v>-1.2642986988415337</c:v>
                </c:pt>
                <c:pt idx="36">
                  <c:v>-1.294021458412459</c:v>
                </c:pt>
                <c:pt idx="37">
                  <c:v>-1.3251246094123843</c:v>
                </c:pt>
                <c:pt idx="38">
                  <c:v>-1.3571450629047996</c:v>
                </c:pt>
                <c:pt idx="39">
                  <c:v>-1.3898551503200887</c:v>
                </c:pt>
                <c:pt idx="40">
                  <c:v>-1.4230746719103946</c:v>
                </c:pt>
                <c:pt idx="41">
                  <c:v>-1.4557872492409443</c:v>
                </c:pt>
                <c:pt idx="42">
                  <c:v>-1.4888904039143291</c:v>
                </c:pt>
                <c:pt idx="43">
                  <c:v>-1.5222111451137321</c:v>
                </c:pt>
                <c:pt idx="44">
                  <c:v>-1.5556195283843546</c:v>
                </c:pt>
                <c:pt idx="45">
                  <c:v>-1.5890030982147407</c:v>
                </c:pt>
                <c:pt idx="46">
                  <c:v>-1.6195928551310499</c:v>
                </c:pt>
                <c:pt idx="47">
                  <c:v>-1.6504794742052913</c:v>
                </c:pt>
                <c:pt idx="48">
                  <c:v>-1.6814325599921096</c:v>
                </c:pt>
                <c:pt idx="49">
                  <c:v>-1.7122966457724971</c:v>
                </c:pt>
                <c:pt idx="50">
                  <c:v>-1.7429433908327581</c:v>
                </c:pt>
                <c:pt idx="51">
                  <c:v>-0.19320109391079338</c:v>
                </c:pt>
                <c:pt idx="52">
                  <c:v>-0.20237502709255517</c:v>
                </c:pt>
                <c:pt idx="53">
                  <c:v>-0.21158891458899307</c:v>
                </c:pt>
                <c:pt idx="54">
                  <c:v>-0.22082829874555396</c:v>
                </c:pt>
                <c:pt idx="55">
                  <c:v>-0.23008438738529277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Données!$B$6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Données!$C$6:$BF$6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-2.1405334768959339</c:v>
                      </c:pt>
                      <c:pt idx="1">
                        <c:v>-2.5518504370194206</c:v>
                      </c:pt>
                      <c:pt idx="2">
                        <c:v>-2.9385443242632814</c:v>
                      </c:pt>
                      <c:pt idx="3">
                        <c:v>-3.263601368906377</c:v>
                      </c:pt>
                      <c:pt idx="4">
                        <c:v>-3.5331316886843767</c:v>
                      </c:pt>
                      <c:pt idx="5">
                        <c:v>-3.7563902482375289</c:v>
                      </c:pt>
                      <c:pt idx="6">
                        <c:v>-3.9441558328564108</c:v>
                      </c:pt>
                      <c:pt idx="7">
                        <c:v>-4.1024672667341999</c:v>
                      </c:pt>
                      <c:pt idx="8">
                        <c:v>-4.2381868040587971</c:v>
                      </c:pt>
                      <c:pt idx="9">
                        <c:v>-4.3575189494774014</c:v>
                      </c:pt>
                      <c:pt idx="10">
                        <c:v>-4.465620413242311</c:v>
                      </c:pt>
                      <c:pt idx="11">
                        <c:v>-4.5743178685057178</c:v>
                      </c:pt>
                      <c:pt idx="12">
                        <c:v>-4.6797807526625101</c:v>
                      </c:pt>
                      <c:pt idx="13">
                        <c:v>-4.7836899076079469</c:v>
                      </c:pt>
                      <c:pt idx="14">
                        <c:v>-4.8870046780804532</c:v>
                      </c:pt>
                      <c:pt idx="15">
                        <c:v>-4.9902426043757391</c:v>
                      </c:pt>
                      <c:pt idx="16">
                        <c:v>-5.1007850682228684</c:v>
                      </c:pt>
                      <c:pt idx="17">
                        <c:v>-5.2121136826772769</c:v>
                      </c:pt>
                      <c:pt idx="18">
                        <c:v>-5.3241416880040919</c:v>
                      </c:pt>
                      <c:pt idx="19">
                        <c:v>-5.4366023257389369</c:v>
                      </c:pt>
                      <c:pt idx="20">
                        <c:v>-5.5492595830345604</c:v>
                      </c:pt>
                      <c:pt idx="21">
                        <c:v>-5.6618111167477503</c:v>
                      </c:pt>
                      <c:pt idx="22">
                        <c:v>-5.7738341832705764</c:v>
                      </c:pt>
                      <c:pt idx="23">
                        <c:v>-5.8852676704225555</c:v>
                      </c:pt>
                      <c:pt idx="24">
                        <c:v>-5.9959419650085994</c:v>
                      </c:pt>
                      <c:pt idx="25">
                        <c:v>-6.1054967498619828</c:v>
                      </c:pt>
                      <c:pt idx="26">
                        <c:v>-6.2117687003274469</c:v>
                      </c:pt>
                      <c:pt idx="27">
                        <c:v>-6.316135459801786</c:v>
                      </c:pt>
                      <c:pt idx="28">
                        <c:v>-6.4185866277842614</c:v>
                      </c:pt>
                      <c:pt idx="29">
                        <c:v>-6.5190767911805008</c:v>
                      </c:pt>
                      <c:pt idx="30">
                        <c:v>-6.617531331867732</c:v>
                      </c:pt>
                      <c:pt idx="31">
                        <c:v>-6.7125783040744791</c:v>
                      </c:pt>
                      <c:pt idx="32">
                        <c:v>-6.8052980011306445</c:v>
                      </c:pt>
                      <c:pt idx="33">
                        <c:v>-6.8956325499272886</c:v>
                      </c:pt>
                      <c:pt idx="34">
                        <c:v>-6.9835672045527541</c:v>
                      </c:pt>
                      <c:pt idx="35">
                        <c:v>-7.0691050888836093</c:v>
                      </c:pt>
                      <c:pt idx="36">
                        <c:v>-7.1415899817045103</c:v>
                      </c:pt>
                      <c:pt idx="37">
                        <c:v>-7.2109266294413388</c:v>
                      </c:pt>
                      <c:pt idx="38">
                        <c:v>-7.2771310288196611</c:v>
                      </c:pt>
                      <c:pt idx="39">
                        <c:v>-7.3405627645847122</c:v>
                      </c:pt>
                      <c:pt idx="40">
                        <c:v>-7.4016052670005443</c:v>
                      </c:pt>
                      <c:pt idx="41">
                        <c:v>-7.459027985327749</c:v>
                      </c:pt>
                      <c:pt idx="42">
                        <c:v>-7.5145685650030769</c:v>
                      </c:pt>
                      <c:pt idx="43">
                        <c:v>-7.5685132985651604</c:v>
                      </c:pt>
                      <c:pt idx="44">
                        <c:v>-7.6211347760630659</c:v>
                      </c:pt>
                      <c:pt idx="45">
                        <c:v>-7.6726620283835807</c:v>
                      </c:pt>
                      <c:pt idx="46">
                        <c:v>-7.7182664004545316</c:v>
                      </c:pt>
                      <c:pt idx="47">
                        <c:v>-7.762579931943792</c:v>
                      </c:pt>
                      <c:pt idx="48">
                        <c:v>-7.8058201564104035</c:v>
                      </c:pt>
                      <c:pt idx="49">
                        <c:v>-7.848218309334321</c:v>
                      </c:pt>
                      <c:pt idx="50">
                        <c:v>-7.8899693274566696</c:v>
                      </c:pt>
                      <c:pt idx="51">
                        <c:v>-0.23572931163051702</c:v>
                      </c:pt>
                      <c:pt idx="52">
                        <c:v>-0.23913277799035848</c:v>
                      </c:pt>
                      <c:pt idx="53">
                        <c:v>-0.24217281316902817</c:v>
                      </c:pt>
                      <c:pt idx="54">
                        <c:v>-0.24492995704027409</c:v>
                      </c:pt>
                      <c:pt idx="55">
                        <c:v>-0.24747210843392153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Données!$B$8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Données!$C$8:$BF$8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-2.7267058168288022E-4</c:v>
                      </c:pt>
                      <c:pt idx="1">
                        <c:v>-2.4939200531389132E-2</c:v>
                      </c:pt>
                      <c:pt idx="2">
                        <c:v>-5.5571242757491424E-2</c:v>
                      </c:pt>
                      <c:pt idx="3">
                        <c:v>-8.1128393944072827E-2</c:v>
                      </c:pt>
                      <c:pt idx="4">
                        <c:v>-9.843374151367755E-2</c:v>
                      </c:pt>
                      <c:pt idx="5">
                        <c:v>-0.10799987212987423</c:v>
                      </c:pt>
                      <c:pt idx="6">
                        <c:v>-0.11180011582397825</c:v>
                      </c:pt>
                      <c:pt idx="7">
                        <c:v>-0.1117998297994711</c:v>
                      </c:pt>
                      <c:pt idx="8">
                        <c:v>-0.1096365965183189</c:v>
                      </c:pt>
                      <c:pt idx="9">
                        <c:v>-0.10644418058886283</c:v>
                      </c:pt>
                      <c:pt idx="10">
                        <c:v>-0.10286599069674442</c:v>
                      </c:pt>
                      <c:pt idx="11">
                        <c:v>-9.9505709011536797E-2</c:v>
                      </c:pt>
                      <c:pt idx="12">
                        <c:v>-9.6393444038554404E-2</c:v>
                      </c:pt>
                      <c:pt idx="13">
                        <c:v>-9.3530027460566906E-2</c:v>
                      </c:pt>
                      <c:pt idx="14">
                        <c:v>-9.0887367641863517E-2</c:v>
                      </c:pt>
                      <c:pt idx="15">
                        <c:v>-8.8438926615794153E-2</c:v>
                      </c:pt>
                      <c:pt idx="16">
                        <c:v>-8.6284654163847438E-2</c:v>
                      </c:pt>
                      <c:pt idx="17">
                        <c:v>-8.4402567531059874E-2</c:v>
                      </c:pt>
                      <c:pt idx="18">
                        <c:v>-8.2762538729520219E-2</c:v>
                      </c:pt>
                      <c:pt idx="19">
                        <c:v>-8.1346081802264561E-2</c:v>
                      </c:pt>
                      <c:pt idx="20">
                        <c:v>-8.0164559930001114E-2</c:v>
                      </c:pt>
                      <c:pt idx="21">
                        <c:v>-7.9140595742070455E-2</c:v>
                      </c:pt>
                      <c:pt idx="22">
                        <c:v>-7.8325242333266945E-2</c:v>
                      </c:pt>
                      <c:pt idx="23">
                        <c:v>-7.7713308898391162E-2</c:v>
                      </c:pt>
                      <c:pt idx="24">
                        <c:v>-7.7290139764096641E-2</c:v>
                      </c:pt>
                      <c:pt idx="25">
                        <c:v>-7.7087671521230111E-2</c:v>
                      </c:pt>
                      <c:pt idx="26">
                        <c:v>-7.688666735679095E-2</c:v>
                      </c:pt>
                      <c:pt idx="27">
                        <c:v>-7.6769522583796462E-2</c:v>
                      </c:pt>
                      <c:pt idx="28">
                        <c:v>-7.6753653506305961E-2</c:v>
                      </c:pt>
                      <c:pt idx="29">
                        <c:v>-7.6839360857187539E-2</c:v>
                      </c:pt>
                      <c:pt idx="30">
                        <c:v>-7.7016736299885785E-2</c:v>
                      </c:pt>
                      <c:pt idx="31">
                        <c:v>-7.7252798354457392E-2</c:v>
                      </c:pt>
                      <c:pt idx="32">
                        <c:v>-7.7537538886388535E-2</c:v>
                      </c:pt>
                      <c:pt idx="33">
                        <c:v>-7.7865118354023058E-2</c:v>
                      </c:pt>
                      <c:pt idx="34">
                        <c:v>-7.8230365512664907E-2</c:v>
                      </c:pt>
                      <c:pt idx="35">
                        <c:v>-7.8628683168370975E-2</c:v>
                      </c:pt>
                      <c:pt idx="36">
                        <c:v>-7.8910288748493193E-2</c:v>
                      </c:pt>
                      <c:pt idx="37">
                        <c:v>-7.9077276426024121E-2</c:v>
                      </c:pt>
                      <c:pt idx="38">
                        <c:v>-7.918743239837224E-2</c:v>
                      </c:pt>
                      <c:pt idx="39">
                        <c:v>-7.9290576730344425E-2</c:v>
                      </c:pt>
                      <c:pt idx="40">
                        <c:v>-7.9422400278582495E-2</c:v>
                      </c:pt>
                      <c:pt idx="41">
                        <c:v>-7.95839840268346E-2</c:v>
                      </c:pt>
                      <c:pt idx="42">
                        <c:v>-7.9793505204475576E-2</c:v>
                      </c:pt>
                      <c:pt idx="43">
                        <c:v>-8.0065446374465984E-2</c:v>
                      </c:pt>
                      <c:pt idx="44">
                        <c:v>-8.0408277195355898E-2</c:v>
                      </c:pt>
                      <c:pt idx="45">
                        <c:v>-8.0826329026103275E-2</c:v>
                      </c:pt>
                      <c:pt idx="46">
                        <c:v>-8.125344746675052E-2</c:v>
                      </c:pt>
                      <c:pt idx="47">
                        <c:v>-8.1706358965799614E-2</c:v>
                      </c:pt>
                      <c:pt idx="48">
                        <c:v>-8.2208532120714287E-2</c:v>
                      </c:pt>
                      <c:pt idx="49">
                        <c:v>-8.2776985337513431E-2</c:v>
                      </c:pt>
                      <c:pt idx="50">
                        <c:v>-8.3422810536920161E-2</c:v>
                      </c:pt>
                      <c:pt idx="51">
                        <c:v>6.2562576488679683E-3</c:v>
                      </c:pt>
                      <c:pt idx="52">
                        <c:v>6.4977563843595931E-3</c:v>
                      </c:pt>
                      <c:pt idx="53">
                        <c:v>6.7405093711651069E-3</c:v>
                      </c:pt>
                      <c:pt idx="54">
                        <c:v>6.9831096687923509E-3</c:v>
                      </c:pt>
                      <c:pt idx="55">
                        <c:v>7.2267607524996134E-3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Données!$B$9</c15:sqref>
                        </c15:formulaRef>
                      </c:ext>
                    </c:extLst>
                    <c:strCache>
                      <c:ptCount val="1"/>
                      <c:pt idx="0">
                        <c:v>Dépenses publiques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Données!$C$9:$BF$9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4DF-4FA2-B0C9-EB7B6F86A366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Données!$B$11</c15:sqref>
                        </c15:formulaRef>
                      </c:ext>
                    </c:extLst>
                    <c:strCache>
                      <c:ptCount val="1"/>
                      <c:pt idx="0">
                        <c:v>Variations de stocks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Données!$C$4:$BF$4</c15:sqref>
                        </c15:formulaRef>
                      </c:ext>
                    </c:extLst>
                    <c:numCache>
                      <c:formatCode>m/d/yyyy</c:formatCode>
                      <c:ptCount val="5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  <c:pt idx="36">
                        <c:v>55154</c:v>
                      </c:pt>
                      <c:pt idx="37">
                        <c:v>55519</c:v>
                      </c:pt>
                      <c:pt idx="38">
                        <c:v>55885</c:v>
                      </c:pt>
                      <c:pt idx="39">
                        <c:v>56250</c:v>
                      </c:pt>
                      <c:pt idx="40">
                        <c:v>56615</c:v>
                      </c:pt>
                      <c:pt idx="41">
                        <c:v>56980</c:v>
                      </c:pt>
                      <c:pt idx="42">
                        <c:v>57346</c:v>
                      </c:pt>
                      <c:pt idx="43">
                        <c:v>57711</c:v>
                      </c:pt>
                      <c:pt idx="44">
                        <c:v>58076</c:v>
                      </c:pt>
                      <c:pt idx="45">
                        <c:v>58441</c:v>
                      </c:pt>
                      <c:pt idx="46">
                        <c:v>58807</c:v>
                      </c:pt>
                      <c:pt idx="47">
                        <c:v>59172</c:v>
                      </c:pt>
                      <c:pt idx="48">
                        <c:v>59537</c:v>
                      </c:pt>
                      <c:pt idx="49">
                        <c:v>59902</c:v>
                      </c:pt>
                      <c:pt idx="50">
                        <c:v>60268</c:v>
                      </c:pt>
                      <c:pt idx="51">
                        <c:v>60633</c:v>
                      </c:pt>
                      <c:pt idx="52">
                        <c:v>60998</c:v>
                      </c:pt>
                      <c:pt idx="53">
                        <c:v>61363</c:v>
                      </c:pt>
                      <c:pt idx="54">
                        <c:v>61729</c:v>
                      </c:pt>
                      <c:pt idx="55">
                        <c:v>62094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Données!$C$11:$BF$11</c15:sqref>
                        </c15:formulaRef>
                      </c:ext>
                    </c:extLst>
                    <c:numCache>
                      <c:formatCode>#\ ##0.0</c:formatCode>
                      <c:ptCount val="5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Données!$B$5</c:f>
              <c:strCache>
                <c:ptCount val="1"/>
                <c:pt idx="0">
                  <c:v>GDP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Données!$C$4:$BF$4</c:f>
              <c:numCache>
                <c:formatCode>m/d/yyyy</c:formatCode>
                <c:ptCount val="5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  <c:pt idx="36">
                  <c:v>55154</c:v>
                </c:pt>
                <c:pt idx="37">
                  <c:v>55519</c:v>
                </c:pt>
                <c:pt idx="38">
                  <c:v>55885</c:v>
                </c:pt>
                <c:pt idx="39">
                  <c:v>56250</c:v>
                </c:pt>
                <c:pt idx="40">
                  <c:v>56615</c:v>
                </c:pt>
                <c:pt idx="41">
                  <c:v>56980</c:v>
                </c:pt>
                <c:pt idx="42">
                  <c:v>57346</c:v>
                </c:pt>
                <c:pt idx="43">
                  <c:v>57711</c:v>
                </c:pt>
                <c:pt idx="44">
                  <c:v>58076</c:v>
                </c:pt>
                <c:pt idx="45">
                  <c:v>58441</c:v>
                </c:pt>
                <c:pt idx="46">
                  <c:v>58807</c:v>
                </c:pt>
                <c:pt idx="47">
                  <c:v>59172</c:v>
                </c:pt>
                <c:pt idx="48">
                  <c:v>59537</c:v>
                </c:pt>
                <c:pt idx="49">
                  <c:v>59902</c:v>
                </c:pt>
                <c:pt idx="50">
                  <c:v>60268</c:v>
                </c:pt>
                <c:pt idx="51">
                  <c:v>60633</c:v>
                </c:pt>
                <c:pt idx="52">
                  <c:v>60998</c:v>
                </c:pt>
                <c:pt idx="53">
                  <c:v>61363</c:v>
                </c:pt>
                <c:pt idx="54">
                  <c:v>61729</c:v>
                </c:pt>
                <c:pt idx="55">
                  <c:v>62094</c:v>
                </c:pt>
              </c:numCache>
            </c:numRef>
          </c:cat>
          <c:val>
            <c:numRef>
              <c:f>Données!$C$5:$BF$5</c:f>
              <c:numCache>
                <c:formatCode>#\ ##0.0</c:formatCode>
                <c:ptCount val="56"/>
                <c:pt idx="0">
                  <c:v>-1.7105840554810015</c:v>
                </c:pt>
                <c:pt idx="1">
                  <c:v>-2.098056736359466</c:v>
                </c:pt>
                <c:pt idx="2">
                  <c:v>-2.4532546055058613</c:v>
                </c:pt>
                <c:pt idx="3">
                  <c:v>-2.7517937372380175</c:v>
                </c:pt>
                <c:pt idx="4">
                  <c:v>-2.9990320526349201</c:v>
                </c:pt>
                <c:pt idx="5">
                  <c:v>-3.2030280950868795</c:v>
                </c:pt>
                <c:pt idx="6">
                  <c:v>-3.3733930388557543</c:v>
                </c:pt>
                <c:pt idx="7">
                  <c:v>-3.51562243585547</c:v>
                </c:pt>
                <c:pt idx="8">
                  <c:v>-3.6361018719246463</c:v>
                </c:pt>
                <c:pt idx="9">
                  <c:v>-3.7405791429351631</c:v>
                </c:pt>
                <c:pt idx="10">
                  <c:v>-3.8334394917893921</c:v>
                </c:pt>
                <c:pt idx="11">
                  <c:v>-3.925556698553101</c:v>
                </c:pt>
                <c:pt idx="12">
                  <c:v>-4.0138240489166144</c:v>
                </c:pt>
                <c:pt idx="13">
                  <c:v>-4.0997975041976105</c:v>
                </c:pt>
                <c:pt idx="14">
                  <c:v>-4.1844108990118141</c:v>
                </c:pt>
                <c:pt idx="15">
                  <c:v>-4.2682193718009405</c:v>
                </c:pt>
                <c:pt idx="16">
                  <c:v>-4.3572346504538011</c:v>
                </c:pt>
                <c:pt idx="17">
                  <c:v>-4.446581128211669</c:v>
                </c:pt>
                <c:pt idx="18">
                  <c:v>-4.5362483138397192</c:v>
                </c:pt>
                <c:pt idx="19">
                  <c:v>-4.6261021063189967</c:v>
                </c:pt>
                <c:pt idx="20">
                  <c:v>-4.7163174260623446</c:v>
                </c:pt>
                <c:pt idx="21">
                  <c:v>-4.8060004625971375</c:v>
                </c:pt>
                <c:pt idx="22">
                  <c:v>-4.8953489734531725</c:v>
                </c:pt>
                <c:pt idx="23">
                  <c:v>-4.9843562098548233</c:v>
                </c:pt>
                <c:pt idx="24">
                  <c:v>-5.0729292917466084</c:v>
                </c:pt>
                <c:pt idx="25">
                  <c:v>-5.1616312992447515</c:v>
                </c:pt>
                <c:pt idx="26">
                  <c:v>-5.2470427631295502</c:v>
                </c:pt>
                <c:pt idx="27">
                  <c:v>-5.3309757047204975</c:v>
                </c:pt>
                <c:pt idx="28">
                  <c:v>-5.4134537423666913</c:v>
                </c:pt>
                <c:pt idx="29">
                  <c:v>-5.4944750354783629</c:v>
                </c:pt>
                <c:pt idx="30">
                  <c:v>-5.5740006203695458</c:v>
                </c:pt>
                <c:pt idx="31">
                  <c:v>-5.6509432844425334</c:v>
                </c:pt>
                <c:pt idx="32">
                  <c:v>-5.7261280214704442</c:v>
                </c:pt>
                <c:pt idx="33">
                  <c:v>-5.7995105060567376</c:v>
                </c:pt>
                <c:pt idx="34">
                  <c:v>-5.8710724612016545</c:v>
                </c:pt>
                <c:pt idx="35">
                  <c:v>-5.9408064863598842</c:v>
                </c:pt>
                <c:pt idx="36">
                  <c:v>-6.0003827900889544</c:v>
                </c:pt>
                <c:pt idx="37">
                  <c:v>-6.0571000103954891</c:v>
                </c:pt>
                <c:pt idx="38">
                  <c:v>-6.1110748911116231</c:v>
                </c:pt>
                <c:pt idx="39">
                  <c:v>-6.1626563911912129</c:v>
                </c:pt>
                <c:pt idx="40">
                  <c:v>-6.2122074676719148</c:v>
                </c:pt>
                <c:pt idx="41">
                  <c:v>-6.2587962491754912</c:v>
                </c:pt>
                <c:pt idx="42">
                  <c:v>-6.3038097195504577</c:v>
                </c:pt>
                <c:pt idx="43">
                  <c:v>-6.3475234557170079</c:v>
                </c:pt>
                <c:pt idx="44">
                  <c:v>-6.3901885641366452</c:v>
                </c:pt>
                <c:pt idx="45">
                  <c:v>-6.4320132937912504</c:v>
                </c:pt>
                <c:pt idx="46">
                  <c:v>-6.4691410532873412</c:v>
                </c:pt>
                <c:pt idx="47">
                  <c:v>-6.5051793926074524</c:v>
                </c:pt>
                <c:pt idx="48">
                  <c:v>-6.5403479043005692</c:v>
                </c:pt>
                <c:pt idx="49">
                  <c:v>-6.5748713084534671</c:v>
                </c:pt>
                <c:pt idx="50">
                  <c:v>-6.6089373105816973</c:v>
                </c:pt>
                <c:pt idx="51">
                  <c:v>-0.17309504926293906</c:v>
                </c:pt>
                <c:pt idx="52">
                  <c:v>-0.17504737969170625</c:v>
                </c:pt>
                <c:pt idx="53">
                  <c:v>-0.17671713472687811</c:v>
                </c:pt>
                <c:pt idx="54">
                  <c:v>-0.17817411467598854</c:v>
                </c:pt>
                <c:pt idx="55">
                  <c:v>-0.17947550510799548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  <c:max val="62094"/>
          <c:min val="42005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  <c:maj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58026074095319"/>
          <c:y val="0.92307178193558292"/>
          <c:w val="0.7488393708655362"/>
          <c:h val="5.8065941725962647E-2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 (%)</a:t>
            </a:r>
          </a:p>
        </c:rich>
      </c:tx>
      <c:layout>
        <c:manualLayout>
          <c:xMode val="edge"/>
          <c:yMode val="edge"/>
          <c:x val="0.4109619154318111"/>
          <c:y val="2.51497017846056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6.5537262156476636E-2"/>
          <c:y val="0.12992444857958643"/>
          <c:w val="0.91942367557480809"/>
          <c:h val="0.68678422777048564"/>
        </c:manualLayout>
      </c:layout>
      <c:lineChart>
        <c:grouping val="standard"/>
        <c:varyColors val="0"/>
        <c:ser>
          <c:idx val="0"/>
          <c:order val="0"/>
          <c:tx>
            <c:v>Constant 1 degree scenario</c:v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Données!$C$64:$AL$64</c:f>
              <c:numCache>
                <c:formatCode>#\ ##0.0</c:formatCode>
                <c:ptCount val="36"/>
                <c:pt idx="1">
                  <c:v>1.8719266235253329</c:v>
                </c:pt>
                <c:pt idx="2">
                  <c:v>1.8515358276030458</c:v>
                </c:pt>
                <c:pt idx="3">
                  <c:v>1.8599594700459576</c:v>
                </c:pt>
                <c:pt idx="4">
                  <c:v>1.8864125886808081</c:v>
                </c:pt>
                <c:pt idx="5">
                  <c:v>1.9215293597287575</c:v>
                </c:pt>
                <c:pt idx="6">
                  <c:v>1.9564068970675086</c:v>
                </c:pt>
                <c:pt idx="7">
                  <c:v>1.9891643552577554</c:v>
                </c:pt>
                <c:pt idx="8">
                  <c:v>2.0189656562267233</c:v>
                </c:pt>
                <c:pt idx="9">
                  <c:v>2.045442304380396</c:v>
                </c:pt>
                <c:pt idx="10">
                  <c:v>2.0729335522107872</c:v>
                </c:pt>
                <c:pt idx="11">
                  <c:v>2.0943680280928412</c:v>
                </c:pt>
                <c:pt idx="12">
                  <c:v>2.1109108400304555</c:v>
                </c:pt>
                <c:pt idx="13">
                  <c:v>2.1232535941098307</c:v>
                </c:pt>
                <c:pt idx="14">
                  <c:v>2.1317417694592056</c:v>
                </c:pt>
                <c:pt idx="15">
                  <c:v>2.1366040113667495</c:v>
                </c:pt>
                <c:pt idx="16">
                  <c:v>2.1380948879524686</c:v>
                </c:pt>
                <c:pt idx="17">
                  <c:v>2.1365432204981216</c:v>
                </c:pt>
                <c:pt idx="18">
                  <c:v>2.1323448586699323</c:v>
                </c:pt>
                <c:pt idx="19">
                  <c:v>2.1259323957138809</c:v>
                </c:pt>
                <c:pt idx="20">
                  <c:v>2.1149344243180712</c:v>
                </c:pt>
                <c:pt idx="21">
                  <c:v>2.1040529957081722</c:v>
                </c:pt>
                <c:pt idx="22">
                  <c:v>2.0930088447644435</c:v>
                </c:pt>
                <c:pt idx="23">
                  <c:v>2.0817488033760601</c:v>
                </c:pt>
                <c:pt idx="24">
                  <c:v>2.0704219081775666</c:v>
                </c:pt>
                <c:pt idx="25">
                  <c:v>2.0517693462535513</c:v>
                </c:pt>
                <c:pt idx="26">
                  <c:v>2.0338125648229788</c:v>
                </c:pt>
                <c:pt idx="27">
                  <c:v>2.016806320016129</c:v>
                </c:pt>
                <c:pt idx="28">
                  <c:v>2.0007831147561328</c:v>
                </c:pt>
                <c:pt idx="29">
                  <c:v>1.9858795091345804</c:v>
                </c:pt>
                <c:pt idx="30">
                  <c:v>1.9722988381696283</c:v>
                </c:pt>
                <c:pt idx="31">
                  <c:v>1.9602320262245732</c:v>
                </c:pt>
                <c:pt idx="32">
                  <c:v>1.9498047527503948</c:v>
                </c:pt>
                <c:pt idx="33">
                  <c:v>1.9410601819815909</c:v>
                </c:pt>
                <c:pt idx="34">
                  <c:v>1.9339652356008763</c:v>
                </c:pt>
                <c:pt idx="35">
                  <c:v>1.9284275686784591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v>3 degrees scenario</c:v>
          </c:tx>
          <c:spPr>
            <a:ln w="444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Données!$C$65:$AL$65</c:f>
              <c:numCache>
                <c:formatCode>#\ ##0.0</c:formatCode>
                <c:ptCount val="36"/>
                <c:pt idx="1">
                  <c:v>1.5098658767953133</c:v>
                </c:pt>
                <c:pt idx="2">
                  <c:v>1.4620038396395474</c:v>
                </c:pt>
                <c:pt idx="3">
                  <c:v>1.4769433574866264</c:v>
                </c:pt>
                <c:pt idx="4">
                  <c:v>1.5224135416797901</c:v>
                </c:pt>
                <c:pt idx="5">
                  <c:v>1.5803403532606453</c:v>
                </c:pt>
                <c:pt idx="6">
                  <c:v>1.6389575613548812</c:v>
                </c:pt>
                <c:pt idx="7">
                  <c:v>1.6965268227047359</c:v>
                </c:pt>
                <c:pt idx="8">
                  <c:v>1.7525558092606586</c:v>
                </c:pt>
                <c:pt idx="9">
                  <c:v>1.8065808917306692</c:v>
                </c:pt>
                <c:pt idx="10">
                  <c:v>1.8626793145036569</c:v>
                </c:pt>
                <c:pt idx="11">
                  <c:v>1.911384979845776</c:v>
                </c:pt>
                <c:pt idx="12">
                  <c:v>1.9540169438144739</c:v>
                </c:pt>
                <c:pt idx="13">
                  <c:v>1.9909759847394071</c:v>
                </c:pt>
                <c:pt idx="14">
                  <c:v>2.0222572880421064</c:v>
                </c:pt>
                <c:pt idx="15">
                  <c:v>2.0477934490947369</c:v>
                </c:pt>
                <c:pt idx="16">
                  <c:v>2.0667568206878428</c:v>
                </c:pt>
                <c:pt idx="17">
                  <c:v>2.0800281957569</c:v>
                </c:pt>
                <c:pt idx="18">
                  <c:v>2.0882940727080967</c:v>
                </c:pt>
                <c:pt idx="19">
                  <c:v>2.0921679020016626</c:v>
                </c:pt>
                <c:pt idx="20">
                  <c:v>2.0891865594586445</c:v>
                </c:pt>
                <c:pt idx="21">
                  <c:v>2.084777262916071</c:v>
                </c:pt>
                <c:pt idx="22">
                  <c:v>2.0785802712204093</c:v>
                </c:pt>
                <c:pt idx="23">
                  <c:v>2.0706773392733524</c:v>
                </c:pt>
                <c:pt idx="24">
                  <c:v>2.0613855529743708</c:v>
                </c:pt>
                <c:pt idx="25">
                  <c:v>2.0429766969482843</c:v>
                </c:pt>
                <c:pt idx="26">
                  <c:v>2.0251859150391516</c:v>
                </c:pt>
                <c:pt idx="27">
                  <c:v>2.0079408431656898</c:v>
                </c:pt>
                <c:pt idx="28">
                  <c:v>1.9912824535634588</c:v>
                </c:pt>
                <c:pt idx="29">
                  <c:v>1.9753930247188967</c:v>
                </c:pt>
                <c:pt idx="30">
                  <c:v>1.96054688240479</c:v>
                </c:pt>
                <c:pt idx="31">
                  <c:v>1.9471793360567702</c:v>
                </c:pt>
                <c:pt idx="32">
                  <c:v>1.9353836103013666</c:v>
                </c:pt>
                <c:pt idx="33">
                  <c:v>1.9252260035544921</c:v>
                </c:pt>
                <c:pt idx="34">
                  <c:v>1.9167173229144963</c:v>
                </c:pt>
                <c:pt idx="35">
                  <c:v>1.9098114695319302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ysClr val="windowText" lastClr="000000"/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ysClr val="windowText" lastClr="000000"/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solidFill>
            <a:sysClr val="windowText" lastClr="000000"/>
          </a:solidFill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CO2 emissions (MtCO2/y)</a:t>
            </a:r>
          </a:p>
        </c:rich>
      </c:tx>
      <c:layout>
        <c:manualLayout>
          <c:xMode val="edge"/>
          <c:yMode val="edge"/>
          <c:x val="0.2902562701424663"/>
          <c:y val="2.72455102666561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6296873672845803E-2"/>
          <c:y val="0.12425008837050726"/>
          <c:w val="0.90139843901638717"/>
          <c:h val="0.70629059391251803"/>
        </c:manualLayout>
      </c:layout>
      <c:lineChart>
        <c:grouping val="standard"/>
        <c:varyColors val="0"/>
        <c:ser>
          <c:idx val="0"/>
          <c:order val="0"/>
          <c:tx>
            <c:strRef>
              <c:f>Données!$B$67</c:f>
              <c:strCache>
                <c:ptCount val="1"/>
                <c:pt idx="0">
                  <c:v>Baseline</c:v>
                </c:pt>
              </c:strCache>
            </c:strRef>
          </c:tx>
          <c:spPr>
            <a:ln w="444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Données!$C$67:$AL$67</c:f>
              <c:numCache>
                <c:formatCode>#,##0</c:formatCode>
                <c:ptCount val="36"/>
                <c:pt idx="0">
                  <c:v>350.59143469999998</c:v>
                </c:pt>
                <c:pt idx="1">
                  <c:v>352.9591886</c:v>
                </c:pt>
                <c:pt idx="2">
                  <c:v>355.10135250000002</c:v>
                </c:pt>
                <c:pt idx="3">
                  <c:v>357.50077909999999</c:v>
                </c:pt>
                <c:pt idx="4">
                  <c:v>360.28418240000002</c:v>
                </c:pt>
                <c:pt idx="5">
                  <c:v>363.50913209999999</c:v>
                </c:pt>
                <c:pt idx="6">
                  <c:v>366.97360420000001</c:v>
                </c:pt>
                <c:pt idx="7">
                  <c:v>370.7066562</c:v>
                </c:pt>
                <c:pt idx="8">
                  <c:v>374.66677659999999</c:v>
                </c:pt>
                <c:pt idx="9">
                  <c:v>378.80649940000001</c:v>
                </c:pt>
                <c:pt idx="10">
                  <c:v>383.39145610000003</c:v>
                </c:pt>
                <c:pt idx="11">
                  <c:v>387.92491519999999</c:v>
                </c:pt>
                <c:pt idx="12">
                  <c:v>392.50193359999997</c:v>
                </c:pt>
                <c:pt idx="13">
                  <c:v>397.13402450000001</c:v>
                </c:pt>
                <c:pt idx="14">
                  <c:v>401.81830150000002</c:v>
                </c:pt>
                <c:pt idx="15">
                  <c:v>406.55097389999997</c:v>
                </c:pt>
                <c:pt idx="16">
                  <c:v>411.32977310000001</c:v>
                </c:pt>
                <c:pt idx="17">
                  <c:v>416.15408710000003</c:v>
                </c:pt>
                <c:pt idx="18">
                  <c:v>421.02463920000002</c:v>
                </c:pt>
                <c:pt idx="19">
                  <c:v>425.94312580000002</c:v>
                </c:pt>
                <c:pt idx="20">
                  <c:v>430.688783</c:v>
                </c:pt>
                <c:pt idx="21">
                  <c:v>435.60816110000002</c:v>
                </c:pt>
                <c:pt idx="22">
                  <c:v>440.61967729999998</c:v>
                </c:pt>
                <c:pt idx="23">
                  <c:v>445.70789380000002</c:v>
                </c:pt>
                <c:pt idx="24">
                  <c:v>450.87080959999997</c:v>
                </c:pt>
                <c:pt idx="25">
                  <c:v>455.46839039999998</c:v>
                </c:pt>
                <c:pt idx="26">
                  <c:v>460.18465120000002</c:v>
                </c:pt>
                <c:pt idx="27">
                  <c:v>464.93809320000003</c:v>
                </c:pt>
                <c:pt idx="28">
                  <c:v>469.72401439999999</c:v>
                </c:pt>
                <c:pt idx="29">
                  <c:v>474.55095319999998</c:v>
                </c:pt>
                <c:pt idx="30">
                  <c:v>479.42876849999999</c:v>
                </c:pt>
                <c:pt idx="31">
                  <c:v>484.36595899999998</c:v>
                </c:pt>
                <c:pt idx="32">
                  <c:v>489.36906959999999</c:v>
                </c:pt>
                <c:pt idx="33">
                  <c:v>494.44276480000002</c:v>
                </c:pt>
                <c:pt idx="34">
                  <c:v>499.59011889999999</c:v>
                </c:pt>
                <c:pt idx="35">
                  <c:v>504.81296459999999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C8-4867-AD43-ECA314AA01DF}"/>
            </c:ext>
          </c:extLst>
        </c:ser>
        <c:ser>
          <c:idx val="1"/>
          <c:order val="1"/>
          <c:tx>
            <c:strRef>
              <c:f>Données!$B$73</c:f>
              <c:strCache>
                <c:ptCount val="1"/>
                <c:pt idx="0">
                  <c:v>NZ50</c:v>
                </c:pt>
              </c:strCache>
            </c:strRef>
          </c:tx>
          <c:spPr>
            <a:ln w="444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Données!$C$73:$AL$73</c:f>
              <c:numCache>
                <c:formatCode>#,##0</c:formatCode>
                <c:ptCount val="36"/>
                <c:pt idx="0">
                  <c:v>345.52982759999998</c:v>
                </c:pt>
                <c:pt idx="1">
                  <c:v>345.8305464</c:v>
                </c:pt>
                <c:pt idx="2">
                  <c:v>346.47707459999998</c:v>
                </c:pt>
                <c:pt idx="3">
                  <c:v>347.59656699999999</c:v>
                </c:pt>
                <c:pt idx="4">
                  <c:v>349.2829069</c:v>
                </c:pt>
                <c:pt idx="5">
                  <c:v>351.50925119999999</c:v>
                </c:pt>
                <c:pt idx="6">
                  <c:v>354.08935300000002</c:v>
                </c:pt>
                <c:pt idx="7">
                  <c:v>357.04095610000002</c:v>
                </c:pt>
                <c:pt idx="8">
                  <c:v>360.30461450000001</c:v>
                </c:pt>
                <c:pt idx="9">
                  <c:v>363.81429259999999</c:v>
                </c:pt>
                <c:pt idx="10">
                  <c:v>367.803247</c:v>
                </c:pt>
                <c:pt idx="11">
                  <c:v>371.76052370000002</c:v>
                </c:pt>
                <c:pt idx="12">
                  <c:v>375.77659560000001</c:v>
                </c:pt>
                <c:pt idx="13">
                  <c:v>379.85479880000003</c:v>
                </c:pt>
                <c:pt idx="14">
                  <c:v>383.98466780000001</c:v>
                </c:pt>
                <c:pt idx="15">
                  <c:v>388.15602489999998</c:v>
                </c:pt>
                <c:pt idx="16">
                  <c:v>392.3402279</c:v>
                </c:pt>
                <c:pt idx="17">
                  <c:v>396.54829580000001</c:v>
                </c:pt>
                <c:pt idx="18">
                  <c:v>400.78149359999998</c:v>
                </c:pt>
                <c:pt idx="19">
                  <c:v>405.04091670000003</c:v>
                </c:pt>
                <c:pt idx="20">
                  <c:v>409.11881460000001</c:v>
                </c:pt>
                <c:pt idx="21">
                  <c:v>413.34148679999998</c:v>
                </c:pt>
                <c:pt idx="22">
                  <c:v>417.6332883</c:v>
                </c:pt>
                <c:pt idx="23">
                  <c:v>421.97999549999997</c:v>
                </c:pt>
                <c:pt idx="24">
                  <c:v>426.3801914</c:v>
                </c:pt>
                <c:pt idx="25">
                  <c:v>430.23757499999999</c:v>
                </c:pt>
                <c:pt idx="26">
                  <c:v>434.20042219999999</c:v>
                </c:pt>
                <c:pt idx="27">
                  <c:v>438.19010329999998</c:v>
                </c:pt>
                <c:pt idx="28">
                  <c:v>442.20230900000001</c:v>
                </c:pt>
                <c:pt idx="29">
                  <c:v>446.2457412</c:v>
                </c:pt>
                <c:pt idx="30">
                  <c:v>450.33039209999998</c:v>
                </c:pt>
                <c:pt idx="31">
                  <c:v>454.4697645</c:v>
                </c:pt>
                <c:pt idx="32">
                  <c:v>458.66727459999998</c:v>
                </c:pt>
                <c:pt idx="33">
                  <c:v>462.92711650000001</c:v>
                </c:pt>
                <c:pt idx="34">
                  <c:v>467.25234849999998</c:v>
                </c:pt>
                <c:pt idx="35">
                  <c:v>471.64485430000002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C8-4867-AD43-ECA314AA01DF}"/>
            </c:ext>
          </c:extLst>
        </c:ser>
        <c:ser>
          <c:idx val="4"/>
          <c:order val="2"/>
          <c:tx>
            <c:v>Baseline - Households</c:v>
          </c:tx>
          <c:spPr>
            <a:ln w="38100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Données!$C$68:$AL$68</c:f>
              <c:numCache>
                <c:formatCode>#,##0</c:formatCode>
                <c:ptCount val="36"/>
                <c:pt idx="0">
                  <c:v>119.490486</c:v>
                </c:pt>
                <c:pt idx="1">
                  <c:v>119.269642</c:v>
                </c:pt>
                <c:pt idx="2">
                  <c:v>118.66364110000001</c:v>
                </c:pt>
                <c:pt idx="3">
                  <c:v>118.08609060000001</c:v>
                </c:pt>
                <c:pt idx="4">
                  <c:v>117.6365855</c:v>
                </c:pt>
                <c:pt idx="5">
                  <c:v>117.38251820000001</c:v>
                </c:pt>
                <c:pt idx="6">
                  <c:v>117.2909866</c:v>
                </c:pt>
                <c:pt idx="7">
                  <c:v>117.3363148</c:v>
                </c:pt>
                <c:pt idx="8">
                  <c:v>117.4824586</c:v>
                </c:pt>
                <c:pt idx="9">
                  <c:v>117.69769429999999</c:v>
                </c:pt>
                <c:pt idx="10">
                  <c:v>118.0047012</c:v>
                </c:pt>
                <c:pt idx="11">
                  <c:v>118.3229044</c:v>
                </c:pt>
                <c:pt idx="12">
                  <c:v>118.6525496</c:v>
                </c:pt>
                <c:pt idx="13">
                  <c:v>118.9917219</c:v>
                </c:pt>
                <c:pt idx="14">
                  <c:v>119.33808260000001</c:v>
                </c:pt>
                <c:pt idx="15">
                  <c:v>119.6895107</c:v>
                </c:pt>
                <c:pt idx="16">
                  <c:v>120.0442741</c:v>
                </c:pt>
                <c:pt idx="17">
                  <c:v>120.4010183</c:v>
                </c:pt>
                <c:pt idx="18">
                  <c:v>120.7587015</c:v>
                </c:pt>
                <c:pt idx="19">
                  <c:v>121.1165273</c:v>
                </c:pt>
                <c:pt idx="20">
                  <c:v>121.4434122</c:v>
                </c:pt>
                <c:pt idx="21">
                  <c:v>121.7824786</c:v>
                </c:pt>
                <c:pt idx="22">
                  <c:v>122.12676399999999</c:v>
                </c:pt>
                <c:pt idx="23">
                  <c:v>122.4730636</c:v>
                </c:pt>
                <c:pt idx="24">
                  <c:v>122.8199406</c:v>
                </c:pt>
                <c:pt idx="25">
                  <c:v>123.0831458</c:v>
                </c:pt>
                <c:pt idx="26">
                  <c:v>123.34240269999999</c:v>
                </c:pt>
                <c:pt idx="27">
                  <c:v>123.59622779999999</c:v>
                </c:pt>
                <c:pt idx="28">
                  <c:v>123.8446959</c:v>
                </c:pt>
                <c:pt idx="29">
                  <c:v>124.0881747</c:v>
                </c:pt>
                <c:pt idx="30">
                  <c:v>124.32754129999999</c:v>
                </c:pt>
                <c:pt idx="31">
                  <c:v>124.5639122</c:v>
                </c:pt>
                <c:pt idx="32">
                  <c:v>124.7983838</c:v>
                </c:pt>
                <c:pt idx="33">
                  <c:v>125.03192869999999</c:v>
                </c:pt>
                <c:pt idx="34">
                  <c:v>125.2653727</c:v>
                </c:pt>
                <c:pt idx="35">
                  <c:v>125.4994066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75-4A82-96A0-76304CD4EC78}"/>
            </c:ext>
          </c:extLst>
        </c:ser>
        <c:ser>
          <c:idx val="2"/>
          <c:order val="3"/>
          <c:tx>
            <c:v>NZ50 - Households</c:v>
          </c:tx>
          <c:spPr>
            <a:ln w="3810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Données!$C$4:$AL$4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Données!$C$74:$AL$74</c:f>
              <c:numCache>
                <c:formatCode>#,##0</c:formatCode>
                <c:ptCount val="36"/>
                <c:pt idx="0">
                  <c:v>119.490486</c:v>
                </c:pt>
                <c:pt idx="1">
                  <c:v>119.2067955</c:v>
                </c:pt>
                <c:pt idx="2">
                  <c:v>118.5130805</c:v>
                </c:pt>
                <c:pt idx="3">
                  <c:v>117.8449249</c:v>
                </c:pt>
                <c:pt idx="4">
                  <c:v>117.3294118</c:v>
                </c:pt>
                <c:pt idx="5">
                  <c:v>116.9702231</c:v>
                </c:pt>
                <c:pt idx="6">
                  <c:v>116.77240860000001</c:v>
                </c:pt>
                <c:pt idx="7">
                  <c:v>116.72736380000001</c:v>
                </c:pt>
                <c:pt idx="8">
                  <c:v>116.80377439999999</c:v>
                </c:pt>
                <c:pt idx="9">
                  <c:v>116.96981479999999</c:v>
                </c:pt>
                <c:pt idx="10">
                  <c:v>117.2457113</c:v>
                </c:pt>
                <c:pt idx="11">
                  <c:v>117.54843889999999</c:v>
                </c:pt>
                <c:pt idx="12">
                  <c:v>117.8756702</c:v>
                </c:pt>
                <c:pt idx="13">
                  <c:v>118.2233909</c:v>
                </c:pt>
                <c:pt idx="14">
                  <c:v>118.5870141</c:v>
                </c:pt>
                <c:pt idx="15">
                  <c:v>118.96213520000001</c:v>
                </c:pt>
                <c:pt idx="16">
                  <c:v>119.34538809999999</c:v>
                </c:pt>
                <c:pt idx="17">
                  <c:v>119.7341996</c:v>
                </c:pt>
                <c:pt idx="18">
                  <c:v>120.1264151</c:v>
                </c:pt>
                <c:pt idx="19">
                  <c:v>120.5203987</c:v>
                </c:pt>
                <c:pt idx="20">
                  <c:v>120.88457440000001</c:v>
                </c:pt>
                <c:pt idx="21">
                  <c:v>121.2612027</c:v>
                </c:pt>
                <c:pt idx="22">
                  <c:v>121.6427927</c:v>
                </c:pt>
                <c:pt idx="23">
                  <c:v>122.0256266</c:v>
                </c:pt>
                <c:pt idx="24">
                  <c:v>122.40780359999999</c:v>
                </c:pt>
                <c:pt idx="25">
                  <c:v>122.7052577</c:v>
                </c:pt>
                <c:pt idx="26">
                  <c:v>122.997061</c:v>
                </c:pt>
                <c:pt idx="27">
                  <c:v>123.28153570000001</c:v>
                </c:pt>
                <c:pt idx="28">
                  <c:v>123.55817690000001</c:v>
                </c:pt>
                <c:pt idx="29">
                  <c:v>123.82711449999999</c:v>
                </c:pt>
                <c:pt idx="30">
                  <c:v>124.08912650000001</c:v>
                </c:pt>
                <c:pt idx="31">
                  <c:v>124.3452435</c:v>
                </c:pt>
                <c:pt idx="32">
                  <c:v>124.59646549999999</c:v>
                </c:pt>
                <c:pt idx="33">
                  <c:v>124.8436631</c:v>
                </c:pt>
                <c:pt idx="34">
                  <c:v>125.0875578</c:v>
                </c:pt>
                <c:pt idx="35">
                  <c:v>125.3287347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F9-419D-90DC-C3E392523E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  <c:extLst>
          <c:ext xmlns:c15="http://schemas.microsoft.com/office/drawing/2012/chart" uri="{02D57815-91ED-43cb-92C2-25804820EDAC}">
            <c15:filteredLineSeries>
              <c15:ser>
                <c:idx val="3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Données!$B$75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75000"/>
                      </a:schemeClr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Données!$C$4:$AL$4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Données!$C$75:$AL$75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226.03934165210001</c:v>
                      </c:pt>
                      <c:pt idx="1">
                        <c:v>226.62375083770002</c:v>
                      </c:pt>
                      <c:pt idx="2">
                        <c:v>227.96399411359999</c:v>
                      </c:pt>
                      <c:pt idx="3">
                        <c:v>229.75164214270001</c:v>
                      </c:pt>
                      <c:pt idx="4">
                        <c:v>231.95349507399999</c:v>
                      </c:pt>
                      <c:pt idx="5">
                        <c:v>234.53902820889999</c:v>
                      </c:pt>
                      <c:pt idx="6">
                        <c:v>237.31694451449999</c:v>
                      </c:pt>
                      <c:pt idx="7">
                        <c:v>240.3135922779</c:v>
                      </c:pt>
                      <c:pt idx="8">
                        <c:v>243.50084012210002</c:v>
                      </c:pt>
                      <c:pt idx="9">
                        <c:v>246.84447773330001</c:v>
                      </c:pt>
                      <c:pt idx="10">
                        <c:v>250.55753562249998</c:v>
                      </c:pt>
                      <c:pt idx="11">
                        <c:v>254.2120847123</c:v>
                      </c:pt>
                      <c:pt idx="12">
                        <c:v>257.90092536740002</c:v>
                      </c:pt>
                      <c:pt idx="13">
                        <c:v>261.63140793010001</c:v>
                      </c:pt>
                      <c:pt idx="14">
                        <c:v>265.3976536623</c:v>
                      </c:pt>
                      <c:pt idx="15">
                        <c:v>269.19388966900004</c:v>
                      </c:pt>
                      <c:pt idx="16">
                        <c:v>272.9948397046</c:v>
                      </c:pt>
                      <c:pt idx="17">
                        <c:v>276.81409616580004</c:v>
                      </c:pt>
                      <c:pt idx="18">
                        <c:v>280.65507856089999</c:v>
                      </c:pt>
                      <c:pt idx="19">
                        <c:v>284.52051798480005</c:v>
                      </c:pt>
                      <c:pt idx="20">
                        <c:v>288.23424017849999</c:v>
                      </c:pt>
                      <c:pt idx="21">
                        <c:v>292.08028404139998</c:v>
                      </c:pt>
                      <c:pt idx="22">
                        <c:v>295.99049559970001</c:v>
                      </c:pt>
                      <c:pt idx="23">
                        <c:v>299.95436890320002</c:v>
                      </c:pt>
                      <c:pt idx="24">
                        <c:v>303.97238779600002</c:v>
                      </c:pt>
                      <c:pt idx="25">
                        <c:v>307.53231733910002</c:v>
                      </c:pt>
                      <c:pt idx="26">
                        <c:v>311.20336125869994</c:v>
                      </c:pt>
                      <c:pt idx="27">
                        <c:v>314.90856757619997</c:v>
                      </c:pt>
                      <c:pt idx="28">
                        <c:v>318.64413207510006</c:v>
                      </c:pt>
                      <c:pt idx="29">
                        <c:v>322.41862666910004</c:v>
                      </c:pt>
                      <c:pt idx="30">
                        <c:v>326.24126559020004</c:v>
                      </c:pt>
                      <c:pt idx="31">
                        <c:v>330.1245209809</c:v>
                      </c:pt>
                      <c:pt idx="32">
                        <c:v>334.07080906829998</c:v>
                      </c:pt>
                      <c:pt idx="33">
                        <c:v>338.08345338509997</c:v>
                      </c:pt>
                      <c:pt idx="34">
                        <c:v>342.16479079890001</c:v>
                      </c:pt>
                      <c:pt idx="35">
                        <c:v>346.31611956859996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27F9-419D-90DC-C3E392523E46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Données!$B$69</c15:sqref>
                        </c15:formulaRef>
                      </c:ext>
                    </c:extLst>
                    <c:strCache>
                      <c:ptCount val="1"/>
                      <c:pt idx="0">
                        <c:v>Firms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Données!$C$69:$AL$69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231.10094871929999</c:v>
                      </c:pt>
                      <c:pt idx="1">
                        <c:v>233.68954652899998</c:v>
                      </c:pt>
                      <c:pt idx="2">
                        <c:v>236.43771130190001</c:v>
                      </c:pt>
                      <c:pt idx="3">
                        <c:v>239.4146885342</c:v>
                      </c:pt>
                      <c:pt idx="4">
                        <c:v>242.64759693319999</c:v>
                      </c:pt>
                      <c:pt idx="5">
                        <c:v>246.12661388240002</c:v>
                      </c:pt>
                      <c:pt idx="6">
                        <c:v>249.68261759519999</c:v>
                      </c:pt>
                      <c:pt idx="7">
                        <c:v>253.37034132990001</c:v>
                      </c:pt>
                      <c:pt idx="8">
                        <c:v>257.1843179631</c:v>
                      </c:pt>
                      <c:pt idx="9">
                        <c:v>261.10880509539999</c:v>
                      </c:pt>
                      <c:pt idx="10">
                        <c:v>265.3867548801</c:v>
                      </c:pt>
                      <c:pt idx="11">
                        <c:v>269.6020108765</c:v>
                      </c:pt>
                      <c:pt idx="12">
                        <c:v>273.84938410960001</c:v>
                      </c:pt>
                      <c:pt idx="13">
                        <c:v>278.14230254260002</c:v>
                      </c:pt>
                      <c:pt idx="14">
                        <c:v>282.48021898179996</c:v>
                      </c:pt>
                      <c:pt idx="15">
                        <c:v>286.86146315389999</c:v>
                      </c:pt>
                      <c:pt idx="16">
                        <c:v>291.28549897120001</c:v>
                      </c:pt>
                      <c:pt idx="17">
                        <c:v>295.75306880990001</c:v>
                      </c:pt>
                      <c:pt idx="18">
                        <c:v>300.26593765249999</c:v>
                      </c:pt>
                      <c:pt idx="19">
                        <c:v>304.82659845640001</c:v>
                      </c:pt>
                      <c:pt idx="20">
                        <c:v>309.24537089290004</c:v>
                      </c:pt>
                      <c:pt idx="21">
                        <c:v>313.82568243860004</c:v>
                      </c:pt>
                      <c:pt idx="22">
                        <c:v>318.49291335359999</c:v>
                      </c:pt>
                      <c:pt idx="23">
                        <c:v>323.23483022670001</c:v>
                      </c:pt>
                      <c:pt idx="24">
                        <c:v>328.05086907909998</c:v>
                      </c:pt>
                      <c:pt idx="25">
                        <c:v>332.38524452089996</c:v>
                      </c:pt>
                      <c:pt idx="26">
                        <c:v>336.84224842340001</c:v>
                      </c:pt>
                      <c:pt idx="27">
                        <c:v>341.34186537080001</c:v>
                      </c:pt>
                      <c:pt idx="28">
                        <c:v>345.87931851980005</c:v>
                      </c:pt>
                      <c:pt idx="29">
                        <c:v>350.4627784836</c:v>
                      </c:pt>
                      <c:pt idx="30">
                        <c:v>355.10122722360001</c:v>
                      </c:pt>
                      <c:pt idx="31">
                        <c:v>359.80204675789997</c:v>
                      </c:pt>
                      <c:pt idx="32">
                        <c:v>364.57068578799999</c:v>
                      </c:pt>
                      <c:pt idx="33">
                        <c:v>369.4108360139</c:v>
                      </c:pt>
                      <c:pt idx="34">
                        <c:v>374.32474612200002</c:v>
                      </c:pt>
                      <c:pt idx="35">
                        <c:v>379.31355795259998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775-4A82-96A0-76304CD4EC78}"/>
                  </c:ext>
                </c:extLst>
              </c15:ser>
            </c15:filteredLineSeries>
          </c:ext>
        </c:extLst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10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Consommation énergétique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Données!$B$473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Données!$C$473:$AL$473</c:f>
              <c:numCache>
                <c:formatCode>0.0%</c:formatCode>
                <c:ptCount val="36"/>
                <c:pt idx="0">
                  <c:v>-1.0801884618128236E-3</c:v>
                </c:pt>
                <c:pt idx="1">
                  <c:v>-1.396120205465367E-3</c:v>
                </c:pt>
                <c:pt idx="2">
                  <c:v>-1.5651783653342112E-3</c:v>
                </c:pt>
                <c:pt idx="3">
                  <c:v>-1.6955715170728501E-3</c:v>
                </c:pt>
                <c:pt idx="4">
                  <c:v>-1.808453363750505E-3</c:v>
                </c:pt>
                <c:pt idx="5">
                  <c:v>-1.9096516348042674E-3</c:v>
                </c:pt>
                <c:pt idx="6">
                  <c:v>-2.0022704850083625E-3</c:v>
                </c:pt>
                <c:pt idx="7">
                  <c:v>-2.0877183994935499E-3</c:v>
                </c:pt>
                <c:pt idx="8">
                  <c:v>-2.1676806598181272E-3</c:v>
                </c:pt>
                <c:pt idx="9">
                  <c:v>-2.2438601731156684E-3</c:v>
                </c:pt>
                <c:pt idx="10">
                  <c:v>-2.3184624477615382E-3</c:v>
                </c:pt>
                <c:pt idx="11">
                  <c:v>-2.3955673461487827E-3</c:v>
                </c:pt>
                <c:pt idx="12">
                  <c:v>-2.4735322643999668E-3</c:v>
                </c:pt>
                <c:pt idx="13">
                  <c:v>-2.5524837416254337E-3</c:v>
                </c:pt>
                <c:pt idx="14">
                  <c:v>-2.6326986798965563E-3</c:v>
                </c:pt>
                <c:pt idx="15">
                  <c:v>-2.7143381846547543E-3</c:v>
                </c:pt>
                <c:pt idx="16">
                  <c:v>-2.8013802547645237E-3</c:v>
                </c:pt>
                <c:pt idx="17">
                  <c:v>-2.8905447752929315E-3</c:v>
                </c:pt>
                <c:pt idx="18">
                  <c:v>-2.9810602509011313E-3</c:v>
                </c:pt>
                <c:pt idx="19">
                  <c:v>-3.0725931694691832E-3</c:v>
                </c:pt>
                <c:pt idx="20">
                  <c:v>-3.1643815932802005E-3</c:v>
                </c:pt>
                <c:pt idx="21">
                  <c:v>-3.2571441152189733E-3</c:v>
                </c:pt>
                <c:pt idx="22">
                  <c:v>-3.3501573647788481E-3</c:v>
                </c:pt>
                <c:pt idx="23">
                  <c:v>-3.4431434232431316E-3</c:v>
                </c:pt>
                <c:pt idx="24">
                  <c:v>-3.5358945401898338E-3</c:v>
                </c:pt>
                <c:pt idx="25">
                  <c:v>-3.6266988024623516E-3</c:v>
                </c:pt>
                <c:pt idx="26">
                  <c:v>-3.7163295464723114E-3</c:v>
                </c:pt>
                <c:pt idx="27">
                  <c:v>-3.8050562493632287E-3</c:v>
                </c:pt>
                <c:pt idx="28">
                  <c:v>-3.8928048428067078E-3</c:v>
                </c:pt>
                <c:pt idx="29">
                  <c:v>-3.9794595572183082E-3</c:v>
                </c:pt>
                <c:pt idx="30">
                  <c:v>-4.0649065278469442E-3</c:v>
                </c:pt>
                <c:pt idx="31">
                  <c:v>-4.1482887988183587E-3</c:v>
                </c:pt>
                <c:pt idx="32">
                  <c:v>-4.2301262385769332E-3</c:v>
                </c:pt>
                <c:pt idx="33">
                  <c:v>-4.3104683129798855E-3</c:v>
                </c:pt>
                <c:pt idx="34">
                  <c:v>-4.3892896970104209E-3</c:v>
                </c:pt>
                <c:pt idx="35">
                  <c:v>-4.4665626514016508E-3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74-494A-BB6C-F115A0D57B8C}"/>
            </c:ext>
          </c:extLst>
        </c:ser>
        <c:ser>
          <c:idx val="2"/>
          <c:order val="2"/>
          <c:tx>
            <c:strRef>
              <c:f>Données!$B$474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Données!$C$474:$AL$474</c:f>
              <c:numCache>
                <c:formatCode>0.0%</c:formatCode>
                <c:ptCount val="36"/>
                <c:pt idx="0">
                  <c:v>-4.3809268511633484E-3</c:v>
                </c:pt>
                <c:pt idx="1">
                  <c:v>-6.1844090824559727E-3</c:v>
                </c:pt>
                <c:pt idx="2">
                  <c:v>-7.5485249540519963E-3</c:v>
                </c:pt>
                <c:pt idx="3">
                  <c:v>-8.7524635452008604E-3</c:v>
                </c:pt>
                <c:pt idx="4">
                  <c:v>-9.8030402864559604E-3</c:v>
                </c:pt>
                <c:pt idx="5">
                  <c:v>-1.0742848591232635E-2</c:v>
                </c:pt>
                <c:pt idx="6">
                  <c:v>-1.155720201906967E-2</c:v>
                </c:pt>
                <c:pt idx="7">
                  <c:v>-1.224785159604309E-2</c:v>
                </c:pt>
                <c:pt idx="8">
                  <c:v>-1.2829199500745642E-2</c:v>
                </c:pt>
                <c:pt idx="9">
                  <c:v>-1.3320078637147931E-2</c:v>
                </c:pt>
                <c:pt idx="10">
                  <c:v>-1.3739705706922569E-2</c:v>
                </c:pt>
                <c:pt idx="11">
                  <c:v>-1.4122405586210566E-2</c:v>
                </c:pt>
                <c:pt idx="12">
                  <c:v>-1.4471144342378735E-2</c:v>
                </c:pt>
                <c:pt idx="13">
                  <c:v>-1.4794478495642038E-2</c:v>
                </c:pt>
                <c:pt idx="14">
                  <c:v>-1.5100231167544496E-2</c:v>
                </c:pt>
                <c:pt idx="15">
                  <c:v>-1.5395140700366983E-2</c:v>
                </c:pt>
                <c:pt idx="16">
                  <c:v>-1.5700668012680274E-2</c:v>
                </c:pt>
                <c:pt idx="17">
                  <c:v>-1.600885115565677E-2</c:v>
                </c:pt>
                <c:pt idx="18">
                  <c:v>-1.6319931557825674E-2</c:v>
                </c:pt>
                <c:pt idx="19">
                  <c:v>-1.6634940717646752E-2</c:v>
                </c:pt>
                <c:pt idx="20">
                  <c:v>-1.6954461350281214E-2</c:v>
                </c:pt>
                <c:pt idx="21">
                  <c:v>-1.7278812974236203E-2</c:v>
                </c:pt>
                <c:pt idx="22">
                  <c:v>-1.7607892755715223E-2</c:v>
                </c:pt>
                <c:pt idx="23">
                  <c:v>-1.7941996989686931E-2</c:v>
                </c:pt>
                <c:pt idx="24">
                  <c:v>-1.8281165484375118E-2</c:v>
                </c:pt>
                <c:pt idx="25">
                  <c:v>-1.862383732620447E-2</c:v>
                </c:pt>
                <c:pt idx="26">
                  <c:v>-1.8964352152841694E-2</c:v>
                </c:pt>
                <c:pt idx="27">
                  <c:v>-1.9304980071793584E-2</c:v>
                </c:pt>
                <c:pt idx="28">
                  <c:v>-1.964610383878742E-2</c:v>
                </c:pt>
                <c:pt idx="29">
                  <c:v>-1.9987664373868428E-2</c:v>
                </c:pt>
                <c:pt idx="30">
                  <c:v>-2.0329367619453986E-2</c:v>
                </c:pt>
                <c:pt idx="31">
                  <c:v>-2.0667729945873608E-2</c:v>
                </c:pt>
                <c:pt idx="32">
                  <c:v>-2.1004625235997373E-2</c:v>
                </c:pt>
                <c:pt idx="33">
                  <c:v>-2.1340228688726467E-2</c:v>
                </c:pt>
                <c:pt idx="34">
                  <c:v>-2.1674476193462182E-2</c:v>
                </c:pt>
                <c:pt idx="35">
                  <c:v>-2.2007303591211041E-2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74-494A-BB6C-F115A0D57B8C}"/>
            </c:ext>
          </c:extLst>
        </c:ser>
        <c:ser>
          <c:idx val="3"/>
          <c:order val="3"/>
          <c:tx>
            <c:strRef>
              <c:f>Données!$B$475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Données!$C$475:$AL$475</c:f>
              <c:numCache>
                <c:formatCode>0.0%</c:formatCode>
                <c:ptCount val="36"/>
                <c:pt idx="0">
                  <c:v>-3.1889664565720962E-3</c:v>
                </c:pt>
                <c:pt idx="1">
                  <c:v>-4.5143391086893466E-3</c:v>
                </c:pt>
                <c:pt idx="2">
                  <c:v>-5.4623776398208777E-3</c:v>
                </c:pt>
                <c:pt idx="3">
                  <c:v>-6.2310464793816078E-3</c:v>
                </c:pt>
                <c:pt idx="4">
                  <c:v>-6.8280591714444941E-3</c:v>
                </c:pt>
                <c:pt idx="5">
                  <c:v>-7.3545126091421487E-3</c:v>
                </c:pt>
                <c:pt idx="6">
                  <c:v>-7.8015022713992192E-3</c:v>
                </c:pt>
                <c:pt idx="7">
                  <c:v>-8.1611587701028408E-3</c:v>
                </c:pt>
                <c:pt idx="8">
                  <c:v>-8.4509279532181316E-3</c:v>
                </c:pt>
                <c:pt idx="9">
                  <c:v>-8.687953221375562E-3</c:v>
                </c:pt>
                <c:pt idx="10">
                  <c:v>-8.887863184607948E-3</c:v>
                </c:pt>
                <c:pt idx="11">
                  <c:v>-9.0692318201780302E-3</c:v>
                </c:pt>
                <c:pt idx="12">
                  <c:v>-9.2336601786199863E-3</c:v>
                </c:pt>
                <c:pt idx="13">
                  <c:v>-9.3861519684326749E-3</c:v>
                </c:pt>
                <c:pt idx="14">
                  <c:v>-9.5324655295733231E-3</c:v>
                </c:pt>
                <c:pt idx="15">
                  <c:v>-9.6775408822267015E-3</c:v>
                </c:pt>
                <c:pt idx="16">
                  <c:v>-9.8359039308793198E-3</c:v>
                </c:pt>
                <c:pt idx="17">
                  <c:v>-1.0001278546380133E-2</c:v>
                </c:pt>
                <c:pt idx="18">
                  <c:v>-1.017324491938626E-2</c:v>
                </c:pt>
                <c:pt idx="19">
                  <c:v>-1.035188753497299E-2</c:v>
                </c:pt>
                <c:pt idx="20">
                  <c:v>-1.0535072542906865E-2</c:v>
                </c:pt>
                <c:pt idx="21">
                  <c:v>-1.0725734544969312E-2</c:v>
                </c:pt>
                <c:pt idx="22">
                  <c:v>-1.0922092895377484E-2</c:v>
                </c:pt>
                <c:pt idx="23">
                  <c:v>-1.1123576134502709E-2</c:v>
                </c:pt>
                <c:pt idx="24">
                  <c:v>-1.1329684713350878E-2</c:v>
                </c:pt>
                <c:pt idx="25">
                  <c:v>-1.1533457136563235E-2</c:v>
                </c:pt>
                <c:pt idx="26">
                  <c:v>-1.1737616986198218E-2</c:v>
                </c:pt>
                <c:pt idx="27">
                  <c:v>-1.1942187566521519E-2</c:v>
                </c:pt>
                <c:pt idx="28">
                  <c:v>-1.2147264610977797E-2</c:v>
                </c:pt>
                <c:pt idx="29">
                  <c:v>-1.2352311585000398E-2</c:v>
                </c:pt>
                <c:pt idx="30">
                  <c:v>-1.2556798034609191E-2</c:v>
                </c:pt>
                <c:pt idx="31">
                  <c:v>-1.275811852804741E-2</c:v>
                </c:pt>
                <c:pt idx="32">
                  <c:v>-1.2957496315992811E-2</c:v>
                </c:pt>
                <c:pt idx="33">
                  <c:v>-1.315495965282916E-2</c:v>
                </c:pt>
                <c:pt idx="34">
                  <c:v>-1.3350382424955204E-2</c:v>
                </c:pt>
                <c:pt idx="35">
                  <c:v>-1.3543632932631101E-2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74-494A-BB6C-F115A0D57B8C}"/>
            </c:ext>
          </c:extLst>
        </c:ser>
        <c:ser>
          <c:idx val="4"/>
          <c:order val="4"/>
          <c:tx>
            <c:strRef>
              <c:f>Données!$B$476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Données!$C$476:$AL$476</c:f>
              <c:numCache>
                <c:formatCode>0.0%</c:formatCode>
                <c:ptCount val="36"/>
                <c:pt idx="0">
                  <c:v>-3.3845992356667655E-3</c:v>
                </c:pt>
                <c:pt idx="1">
                  <c:v>-4.729085644568279E-3</c:v>
                </c:pt>
                <c:pt idx="2">
                  <c:v>-5.5907230581086747E-3</c:v>
                </c:pt>
                <c:pt idx="3">
                  <c:v>-6.2011219628943879E-3</c:v>
                </c:pt>
                <c:pt idx="4">
                  <c:v>-6.6016236627907321E-3</c:v>
                </c:pt>
                <c:pt idx="5">
                  <c:v>-6.8852352361567903E-3</c:v>
                </c:pt>
                <c:pt idx="6">
                  <c:v>-7.0510673511391814E-3</c:v>
                </c:pt>
                <c:pt idx="7">
                  <c:v>-7.1299422270255869E-3</c:v>
                </c:pt>
                <c:pt idx="8">
                  <c:v>-7.1467738196734128E-3</c:v>
                </c:pt>
                <c:pt idx="9">
                  <c:v>-7.1231654734896293E-3</c:v>
                </c:pt>
                <c:pt idx="10">
                  <c:v>-7.0800165471977261E-3</c:v>
                </c:pt>
                <c:pt idx="11">
                  <c:v>-7.0424673628068013E-3</c:v>
                </c:pt>
                <c:pt idx="12">
                  <c:v>-7.0132589649892895E-3</c:v>
                </c:pt>
                <c:pt idx="13">
                  <c:v>-6.9978879155579328E-3</c:v>
                </c:pt>
                <c:pt idx="14">
                  <c:v>-7.0005633125718161E-3</c:v>
                </c:pt>
                <c:pt idx="15">
                  <c:v>-7.0239160361015469E-3</c:v>
                </c:pt>
                <c:pt idx="16">
                  <c:v>-7.0818161908219697E-3</c:v>
                </c:pt>
                <c:pt idx="17">
                  <c:v>-7.1656772725144499E-3</c:v>
                </c:pt>
                <c:pt idx="18">
                  <c:v>-7.2728923369765929E-3</c:v>
                </c:pt>
                <c:pt idx="19">
                  <c:v>-7.4014412844330595E-3</c:v>
                </c:pt>
                <c:pt idx="20">
                  <c:v>-7.5479405984817645E-3</c:v>
                </c:pt>
                <c:pt idx="21">
                  <c:v>-7.7118514842409334E-3</c:v>
                </c:pt>
                <c:pt idx="22">
                  <c:v>-7.8900629294285131E-3</c:v>
                </c:pt>
                <c:pt idx="23">
                  <c:v>-8.0803181449443356E-3</c:v>
                </c:pt>
                <c:pt idx="24">
                  <c:v>-8.2804812387572615E-3</c:v>
                </c:pt>
                <c:pt idx="25">
                  <c:v>-8.484365195252426E-3</c:v>
                </c:pt>
                <c:pt idx="26">
                  <c:v>-8.6899020770267073E-3</c:v>
                </c:pt>
                <c:pt idx="27">
                  <c:v>-8.8969743874127514E-3</c:v>
                </c:pt>
                <c:pt idx="28">
                  <c:v>-9.1044856363985474E-3</c:v>
                </c:pt>
                <c:pt idx="29">
                  <c:v>-9.3114158916862543E-3</c:v>
                </c:pt>
                <c:pt idx="30">
                  <c:v>-9.5169331580912345E-3</c:v>
                </c:pt>
                <c:pt idx="31">
                  <c:v>-9.7178428526786334E-3</c:v>
                </c:pt>
                <c:pt idx="32">
                  <c:v>-9.9150765508395043E-3</c:v>
                </c:pt>
                <c:pt idx="33">
                  <c:v>-1.0108369733972083E-2</c:v>
                </c:pt>
                <c:pt idx="34">
                  <c:v>-1.0297328059882189E-2</c:v>
                </c:pt>
                <c:pt idx="35">
                  <c:v>-1.0481641833723666E-2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74-494A-BB6C-F115A0D57B8C}"/>
            </c:ext>
          </c:extLst>
        </c:ser>
        <c:ser>
          <c:idx val="5"/>
          <c:order val="5"/>
          <c:tx>
            <c:strRef>
              <c:f>Données!$B$477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Données!$C$477:$AL$477</c:f>
              <c:numCache>
                <c:formatCode>0.0%</c:formatCode>
                <c:ptCount val="36"/>
                <c:pt idx="0">
                  <c:v>-2.4779762615653868E-3</c:v>
                </c:pt>
                <c:pt idx="1">
                  <c:v>-3.1638064342070153E-3</c:v>
                </c:pt>
                <c:pt idx="2">
                  <c:v>-3.5431491292309855E-3</c:v>
                </c:pt>
                <c:pt idx="3">
                  <c:v>-3.8281753369841767E-3</c:v>
                </c:pt>
                <c:pt idx="4">
                  <c:v>-4.0511415343752874E-3</c:v>
                </c:pt>
                <c:pt idx="5">
                  <c:v>-4.211957067005773E-3</c:v>
                </c:pt>
                <c:pt idx="6">
                  <c:v>-4.3223573483198441E-3</c:v>
                </c:pt>
                <c:pt idx="7">
                  <c:v>-4.4116755692656566E-3</c:v>
                </c:pt>
                <c:pt idx="8">
                  <c:v>-4.4881709421699103E-3</c:v>
                </c:pt>
                <c:pt idx="9">
                  <c:v>-4.5563739263558426E-3</c:v>
                </c:pt>
                <c:pt idx="10">
                  <c:v>-4.6225611072091295E-3</c:v>
                </c:pt>
                <c:pt idx="11">
                  <c:v>-4.6962424411843414E-3</c:v>
                </c:pt>
                <c:pt idx="12">
                  <c:v>-4.7743287161590778E-3</c:v>
                </c:pt>
                <c:pt idx="13">
                  <c:v>-4.8577443503147267E-3</c:v>
                </c:pt>
                <c:pt idx="14">
                  <c:v>-4.9475263104888862E-3</c:v>
                </c:pt>
                <c:pt idx="15">
                  <c:v>-5.0443074649016689E-3</c:v>
                </c:pt>
                <c:pt idx="16">
                  <c:v>-5.1575322606565045E-3</c:v>
                </c:pt>
                <c:pt idx="17">
                  <c:v>-5.2796729019486746E-3</c:v>
                </c:pt>
                <c:pt idx="18">
                  <c:v>-5.4093966233192629E-3</c:v>
                </c:pt>
                <c:pt idx="19">
                  <c:v>-5.5459658656163632E-3</c:v>
                </c:pt>
                <c:pt idx="20">
                  <c:v>-5.6870286036739904E-3</c:v>
                </c:pt>
                <c:pt idx="21">
                  <c:v>-5.8347933421413426E-3</c:v>
                </c:pt>
                <c:pt idx="22">
                  <c:v>-5.9870631078381411E-3</c:v>
                </c:pt>
                <c:pt idx="23">
                  <c:v>-6.1429458870835814E-3</c:v>
                </c:pt>
                <c:pt idx="24">
                  <c:v>-6.3017010354805263E-3</c:v>
                </c:pt>
                <c:pt idx="25">
                  <c:v>-6.4576556780770516E-3</c:v>
                </c:pt>
                <c:pt idx="26">
                  <c:v>-6.6142651692719752E-3</c:v>
                </c:pt>
                <c:pt idx="27">
                  <c:v>-6.7716131916502496E-3</c:v>
                </c:pt>
                <c:pt idx="28">
                  <c:v>-6.9294203981592247E-3</c:v>
                </c:pt>
                <c:pt idx="29">
                  <c:v>-7.0873651157378056E-3</c:v>
                </c:pt>
                <c:pt idx="30">
                  <c:v>-7.2451879455848987E-3</c:v>
                </c:pt>
                <c:pt idx="31">
                  <c:v>-7.4008798213993114E-3</c:v>
                </c:pt>
                <c:pt idx="32">
                  <c:v>-7.5556196391929837E-3</c:v>
                </c:pt>
                <c:pt idx="33">
                  <c:v>-7.70943044427612E-3</c:v>
                </c:pt>
                <c:pt idx="34">
                  <c:v>-7.8621914051752173E-3</c:v>
                </c:pt>
                <c:pt idx="35">
                  <c:v>-8.0137956085815625E-3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Données!$B$472</c:f>
              <c:strCache>
                <c:ptCount val="1"/>
                <c:pt idx="0">
                  <c:v>Consommation énergétique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Données!$C$471:$AL$471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Données!$C$472:$AL$472</c:f>
              <c:numCache>
                <c:formatCode>0.0%</c:formatCode>
                <c:ptCount val="36"/>
                <c:pt idx="0">
                  <c:v>-1.4512657505806437E-2</c:v>
                </c:pt>
                <c:pt idx="1">
                  <c:v>-1.9987760301595991E-2</c:v>
                </c:pt>
                <c:pt idx="2">
                  <c:v>-2.3709953404452588E-2</c:v>
                </c:pt>
                <c:pt idx="3">
                  <c:v>-2.6708378730351034E-2</c:v>
                </c:pt>
                <c:pt idx="4">
                  <c:v>-2.9092317955246805E-2</c:v>
                </c:pt>
                <c:pt idx="5">
                  <c:v>-3.1104204771476351E-2</c:v>
                </c:pt>
                <c:pt idx="6">
                  <c:v>-3.2734398995886704E-2</c:v>
                </c:pt>
                <c:pt idx="7">
                  <c:v>-3.4038346123648311E-2</c:v>
                </c:pt>
                <c:pt idx="8">
                  <c:v>-3.5082752523771243E-2</c:v>
                </c:pt>
                <c:pt idx="9">
                  <c:v>-3.5931431286820636E-2</c:v>
                </c:pt>
                <c:pt idx="10">
                  <c:v>-3.6648609448220237E-2</c:v>
                </c:pt>
                <c:pt idx="11">
                  <c:v>-3.7325914536959548E-2</c:v>
                </c:pt>
                <c:pt idx="12">
                  <c:v>-3.7965924613091229E-2</c:v>
                </c:pt>
                <c:pt idx="13">
                  <c:v>-3.8588746588622436E-2</c:v>
                </c:pt>
                <c:pt idx="14">
                  <c:v>-3.9213485471289333E-2</c:v>
                </c:pt>
                <c:pt idx="15">
                  <c:v>-3.9855242954131898E-2</c:v>
                </c:pt>
                <c:pt idx="16">
                  <c:v>-4.0577300679974448E-2</c:v>
                </c:pt>
                <c:pt idx="17">
                  <c:v>-4.1346024168498641E-2</c:v>
                </c:pt>
                <c:pt idx="18">
                  <c:v>-4.2156525999189731E-2</c:v>
                </c:pt>
                <c:pt idx="19">
                  <c:v>-4.3006828467097469E-2</c:v>
                </c:pt>
                <c:pt idx="20">
                  <c:v>-4.3888884673916717E-2</c:v>
                </c:pt>
                <c:pt idx="21">
                  <c:v>-4.480833665651196E-2</c:v>
                </c:pt>
                <c:pt idx="22">
                  <c:v>-4.575726904320887E-2</c:v>
                </c:pt>
                <c:pt idx="23">
                  <c:v>-4.6731980493505465E-2</c:v>
                </c:pt>
                <c:pt idx="24">
                  <c:v>-4.7728927230809015E-2</c:v>
                </c:pt>
                <c:pt idx="25">
                  <c:v>-4.8726014127007278E-2</c:v>
                </c:pt>
                <c:pt idx="26">
                  <c:v>-4.9722465929427195E-2</c:v>
                </c:pt>
                <c:pt idx="27">
                  <c:v>-5.0720811280707934E-2</c:v>
                </c:pt>
                <c:pt idx="28">
                  <c:v>-5.172007950763946E-2</c:v>
                </c:pt>
                <c:pt idx="29">
                  <c:v>-5.271821636974372E-2</c:v>
                </c:pt>
                <c:pt idx="30">
                  <c:v>-5.3713193410351967E-2</c:v>
                </c:pt>
                <c:pt idx="31">
                  <c:v>-5.4692859549339112E-2</c:v>
                </c:pt>
                <c:pt idx="32">
                  <c:v>-5.5662944096208866E-2</c:v>
                </c:pt>
                <c:pt idx="33">
                  <c:v>-5.6623456704052333E-2</c:v>
                </c:pt>
                <c:pt idx="34">
                  <c:v>-5.7573667815769225E-2</c:v>
                </c:pt>
                <c:pt idx="35">
                  <c:v>-5.8512936284366268E-2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74-494A-BB6C-F115A0D57B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5.9274551549754362E-2"/>
          <c:y val="0.83157658690065972"/>
          <c:w val="0.91015582410303764"/>
          <c:h val="0.15584988394236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Net energy production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Données!$B$527</c:f>
              <c:strCache>
                <c:ptCount val="1"/>
                <c:pt idx="0">
                  <c:v>Households' consumption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Données!$C$527:$AL$527</c:f>
              <c:numCache>
                <c:formatCode>0%</c:formatCode>
                <c:ptCount val="36"/>
                <c:pt idx="0">
                  <c:v>0</c:v>
                </c:pt>
                <c:pt idx="1">
                  <c:v>-1.8248598577733972E-4</c:v>
                </c:pt>
                <c:pt idx="2">
                  <c:v>-4.2368078250673753E-4</c:v>
                </c:pt>
                <c:pt idx="3">
                  <c:v>-6.5276434336705973E-4</c:v>
                </c:pt>
                <c:pt idx="4">
                  <c:v>-7.7684897017575051E-4</c:v>
                </c:pt>
                <c:pt idx="5">
                  <c:v>-9.8558128081524857E-4</c:v>
                </c:pt>
                <c:pt idx="6">
                  <c:v>-1.1613042524715777E-3</c:v>
                </c:pt>
                <c:pt idx="7">
                  <c:v>-1.2834597417068726E-3</c:v>
                </c:pt>
                <c:pt idx="8">
                  <c:v>-1.3477685814108013E-3</c:v>
                </c:pt>
                <c:pt idx="9">
                  <c:v>-1.3571505638836606E-3</c:v>
                </c:pt>
                <c:pt idx="10">
                  <c:v>-1.3193759745228335E-3</c:v>
                </c:pt>
                <c:pt idx="11">
                  <c:v>-1.2433508005156844E-3</c:v>
                </c:pt>
                <c:pt idx="12">
                  <c:v>-1.1354004764923401E-3</c:v>
                </c:pt>
                <c:pt idx="13">
                  <c:v>-1.0012517568812386E-3</c:v>
                </c:pt>
                <c:pt idx="14">
                  <c:v>-8.4747228236577371E-4</c:v>
                </c:pt>
                <c:pt idx="15">
                  <c:v>-6.8070603015089643E-4</c:v>
                </c:pt>
                <c:pt idx="16">
                  <c:v>-5.0561295016100121E-4</c:v>
                </c:pt>
                <c:pt idx="17">
                  <c:v>-3.2556765397630916E-4</c:v>
                </c:pt>
                <c:pt idx="18">
                  <c:v>-1.4337494149806469E-4</c:v>
                </c:pt>
                <c:pt idx="19">
                  <c:v>3.8829704545704117E-5</c:v>
                </c:pt>
                <c:pt idx="20">
                  <c:v>2.2001271171920555E-4</c:v>
                </c:pt>
                <c:pt idx="21">
                  <c:v>3.9776519753853497E-4</c:v>
                </c:pt>
                <c:pt idx="22">
                  <c:v>5.7087690806632179E-4</c:v>
                </c:pt>
                <c:pt idx="23">
                  <c:v>7.3823499959665777E-4</c:v>
                </c:pt>
                <c:pt idx="24">
                  <c:v>8.9891152504802346E-4</c:v>
                </c:pt>
                <c:pt idx="25">
                  <c:v>1.0554543145715912E-3</c:v>
                </c:pt>
                <c:pt idx="26">
                  <c:v>1.204398646388201E-3</c:v>
                </c:pt>
                <c:pt idx="27">
                  <c:v>1.3458107951732107E-3</c:v>
                </c:pt>
                <c:pt idx="28">
                  <c:v>1.478451851061061E-3</c:v>
                </c:pt>
                <c:pt idx="29">
                  <c:v>1.6020485226757063E-3</c:v>
                </c:pt>
                <c:pt idx="30">
                  <c:v>1.7165676077749606E-3</c:v>
                </c:pt>
                <c:pt idx="31">
                  <c:v>1.8221238344792048E-3</c:v>
                </c:pt>
                <c:pt idx="32">
                  <c:v>1.9188755402180569E-3</c:v>
                </c:pt>
                <c:pt idx="33">
                  <c:v>2.0070001702654967E-3</c:v>
                </c:pt>
                <c:pt idx="34">
                  <c:v>2.086680980306193E-3</c:v>
                </c:pt>
                <c:pt idx="35">
                  <c:v>2.1580462939135461E-3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D-49AA-BF88-C168E58AAE98}"/>
            </c:ext>
          </c:extLst>
        </c:ser>
        <c:ser>
          <c:idx val="2"/>
          <c:order val="2"/>
          <c:tx>
            <c:strRef>
              <c:f>Données!$B$528</c:f>
              <c:strCache>
                <c:ptCount val="1"/>
                <c:pt idx="0">
                  <c:v>Firms' consumption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Données!$C$528:$AL$528</c:f>
              <c:numCache>
                <c:formatCode>0%</c:formatCode>
                <c:ptCount val="36"/>
                <c:pt idx="0">
                  <c:v>-3.1440389269202423E-2</c:v>
                </c:pt>
                <c:pt idx="1">
                  <c:v>-4.2326185719138647E-2</c:v>
                </c:pt>
                <c:pt idx="2">
                  <c:v>-4.9024544370454053E-2</c:v>
                </c:pt>
                <c:pt idx="3">
                  <c:v>-5.4341997523890032E-2</c:v>
                </c:pt>
                <c:pt idx="4">
                  <c:v>-5.8751166259298715E-2</c:v>
                </c:pt>
                <c:pt idx="5">
                  <c:v>-6.241635928878593E-2</c:v>
                </c:pt>
                <c:pt idx="6">
                  <c:v>-6.5473901091346293E-2</c:v>
                </c:pt>
                <c:pt idx="7">
                  <c:v>-6.8044598519838601E-2</c:v>
                </c:pt>
                <c:pt idx="8">
                  <c:v>-7.0245072271904907E-2</c:v>
                </c:pt>
                <c:pt idx="9">
                  <c:v>-7.217586126484056E-2</c:v>
                </c:pt>
                <c:pt idx="10">
                  <c:v>-7.3931600835939942E-2</c:v>
                </c:pt>
                <c:pt idx="11">
                  <c:v>-7.5690171348370153E-2</c:v>
                </c:pt>
                <c:pt idx="12">
                  <c:v>-7.7418185743026724E-2</c:v>
                </c:pt>
                <c:pt idx="13">
                  <c:v>-7.9140291528968287E-2</c:v>
                </c:pt>
                <c:pt idx="14">
                  <c:v>-8.0880604622187505E-2</c:v>
                </c:pt>
                <c:pt idx="15">
                  <c:v>-8.2657130767895576E-2</c:v>
                </c:pt>
                <c:pt idx="16">
                  <c:v>-8.4596223261222361E-2</c:v>
                </c:pt>
                <c:pt idx="17">
                  <c:v>-8.6617608177671834E-2</c:v>
                </c:pt>
                <c:pt idx="18">
                  <c:v>-8.8705327466411701E-2</c:v>
                </c:pt>
                <c:pt idx="19">
                  <c:v>-9.0853141833374548E-2</c:v>
                </c:pt>
                <c:pt idx="20">
                  <c:v>-9.3048153945003473E-2</c:v>
                </c:pt>
                <c:pt idx="21">
                  <c:v>-9.5290474960567209E-2</c:v>
                </c:pt>
                <c:pt idx="22">
                  <c:v>-9.7573136364046228E-2</c:v>
                </c:pt>
                <c:pt idx="23">
                  <c:v>-9.988725847307052E-2</c:v>
                </c:pt>
                <c:pt idx="24">
                  <c:v>-0.10222592493064016</c:v>
                </c:pt>
                <c:pt idx="25">
                  <c:v>-0.104559910581199</c:v>
                </c:pt>
                <c:pt idx="26">
                  <c:v>-0.1068570384356977</c:v>
                </c:pt>
                <c:pt idx="27">
                  <c:v>-0.10914458593582343</c:v>
                </c:pt>
                <c:pt idx="28">
                  <c:v>-0.11141892539801346</c:v>
                </c:pt>
                <c:pt idx="29">
                  <c:v>-0.11367647468260521</c:v>
                </c:pt>
                <c:pt idx="30">
                  <c:v>-0.11591407221710362</c:v>
                </c:pt>
                <c:pt idx="31">
                  <c:v>-0.11810695275566428</c:v>
                </c:pt>
                <c:pt idx="32">
                  <c:v>-0.12026903760062753</c:v>
                </c:pt>
                <c:pt idx="33">
                  <c:v>-0.12240171450729916</c:v>
                </c:pt>
                <c:pt idx="34">
                  <c:v>-0.1245043635277982</c:v>
                </c:pt>
                <c:pt idx="35">
                  <c:v>-0.12657632666591684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2D-49AA-BF88-C168E58AAE98}"/>
            </c:ext>
          </c:extLst>
        </c:ser>
        <c:ser>
          <c:idx val="3"/>
          <c:order val="3"/>
          <c:tx>
            <c:strRef>
              <c:f>Données!$B$529</c:f>
              <c:strCache>
                <c:ptCount val="1"/>
                <c:pt idx="0">
                  <c:v>Net exports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Données!$C$529:$AL$529</c:f>
              <c:numCache>
                <c:formatCode>0%</c:formatCode>
                <c:ptCount val="36"/>
                <c:pt idx="0">
                  <c:v>9.7367361732222362E-3</c:v>
                </c:pt>
                <c:pt idx="1">
                  <c:v>1.5969207963944212E-2</c:v>
                </c:pt>
                <c:pt idx="2">
                  <c:v>1.9617012424941134E-2</c:v>
                </c:pt>
                <c:pt idx="3">
                  <c:v>2.2520816027165314E-2</c:v>
                </c:pt>
                <c:pt idx="4">
                  <c:v>2.4922454532789583E-2</c:v>
                </c:pt>
                <c:pt idx="5">
                  <c:v>2.6991734601280432E-2</c:v>
                </c:pt>
                <c:pt idx="6">
                  <c:v>2.8733628527917821E-2</c:v>
                </c:pt>
                <c:pt idx="7">
                  <c:v>3.0172436123775875E-2</c:v>
                </c:pt>
                <c:pt idx="8">
                  <c:v>3.1361067505629454E-2</c:v>
                </c:pt>
                <c:pt idx="9">
                  <c:v>3.2351881182876303E-2</c:v>
                </c:pt>
                <c:pt idx="10">
                  <c:v>3.3188008295754377E-2</c:v>
                </c:pt>
                <c:pt idx="11">
                  <c:v>3.3962733857516678E-2</c:v>
                </c:pt>
                <c:pt idx="12">
                  <c:v>3.4677704748950093E-2</c:v>
                </c:pt>
                <c:pt idx="13">
                  <c:v>3.5349866706467226E-2</c:v>
                </c:pt>
                <c:pt idx="14">
                  <c:v>3.5997520299852905E-2</c:v>
                </c:pt>
                <c:pt idx="15">
                  <c:v>3.6636264410270007E-2</c:v>
                </c:pt>
                <c:pt idx="16">
                  <c:v>3.7312669440107166E-2</c:v>
                </c:pt>
                <c:pt idx="17">
                  <c:v>3.8017326844273308E-2</c:v>
                </c:pt>
                <c:pt idx="18">
                  <c:v>3.8743593663384604E-2</c:v>
                </c:pt>
                <c:pt idx="19">
                  <c:v>3.9491251591342945E-2</c:v>
                </c:pt>
                <c:pt idx="20">
                  <c:v>4.0263627769216076E-2</c:v>
                </c:pt>
                <c:pt idx="21">
                  <c:v>4.1046058815733935E-2</c:v>
                </c:pt>
                <c:pt idx="22">
                  <c:v>4.1849606421052746E-2</c:v>
                </c:pt>
                <c:pt idx="23">
                  <c:v>4.2670484999431123E-2</c:v>
                </c:pt>
                <c:pt idx="24">
                  <c:v>4.3506749568370091E-2</c:v>
                </c:pt>
                <c:pt idx="25">
                  <c:v>4.4365520921779415E-2</c:v>
                </c:pt>
                <c:pt idx="26">
                  <c:v>4.5196925565706085E-2</c:v>
                </c:pt>
                <c:pt idx="27">
                  <c:v>4.6027783524102223E-2</c:v>
                </c:pt>
                <c:pt idx="28">
                  <c:v>4.6856879018949991E-2</c:v>
                </c:pt>
                <c:pt idx="29">
                  <c:v>4.7682975565843166E-2</c:v>
                </c:pt>
                <c:pt idx="30">
                  <c:v>4.8504885714917609E-2</c:v>
                </c:pt>
                <c:pt idx="31">
                  <c:v>4.9314733565110659E-2</c:v>
                </c:pt>
                <c:pt idx="32">
                  <c:v>5.0114731972351174E-2</c:v>
                </c:pt>
                <c:pt idx="33">
                  <c:v>5.0906213355547056E-2</c:v>
                </c:pt>
                <c:pt idx="34">
                  <c:v>5.1689052237235349E-2</c:v>
                </c:pt>
                <c:pt idx="35">
                  <c:v>5.2462975406962813E-2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8449744"/>
        <c:axId val="778454336"/>
      </c:barChart>
      <c:lineChart>
        <c:grouping val="standard"/>
        <c:varyColors val="0"/>
        <c:ser>
          <c:idx val="0"/>
          <c:order val="0"/>
          <c:tx>
            <c:strRef>
              <c:f>Données!$B$526</c:f>
              <c:strCache>
                <c:ptCount val="1"/>
                <c:pt idx="0">
                  <c:v>Net production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Données!$C$525:$AL$525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Données!$C$526:$AL$526</c:f>
              <c:numCache>
                <c:formatCode>0%</c:formatCode>
                <c:ptCount val="36"/>
                <c:pt idx="0">
                  <c:v>-2.1703652952719366E-2</c:v>
                </c:pt>
                <c:pt idx="1">
                  <c:v>-2.6539464309492722E-2</c:v>
                </c:pt>
                <c:pt idx="2">
                  <c:v>-2.983121237528763E-2</c:v>
                </c:pt>
                <c:pt idx="3">
                  <c:v>-3.2473945700091433E-2</c:v>
                </c:pt>
                <c:pt idx="4">
                  <c:v>-3.4605560557872783E-2</c:v>
                </c:pt>
                <c:pt idx="5">
                  <c:v>-3.6410205830798792E-2</c:v>
                </c:pt>
                <c:pt idx="6">
                  <c:v>-3.7901576679681637E-2</c:v>
                </c:pt>
                <c:pt idx="7">
                  <c:v>-3.9155622137769686E-2</c:v>
                </c:pt>
                <c:pt idx="8">
                  <c:v>-4.0231773013945538E-2</c:v>
                </c:pt>
                <c:pt idx="9">
                  <c:v>-4.1181130051374137E-2</c:v>
                </c:pt>
                <c:pt idx="10">
                  <c:v>-4.2062968253525734E-2</c:v>
                </c:pt>
                <c:pt idx="11">
                  <c:v>-4.2970788872618182E-2</c:v>
                </c:pt>
                <c:pt idx="12">
                  <c:v>-4.3875881151152929E-2</c:v>
                </c:pt>
                <c:pt idx="13">
                  <c:v>-4.47916765793821E-2</c:v>
                </c:pt>
                <c:pt idx="14">
                  <c:v>-4.5730556792235144E-2</c:v>
                </c:pt>
                <c:pt idx="15">
                  <c:v>-4.670157251145457E-2</c:v>
                </c:pt>
                <c:pt idx="16">
                  <c:v>-4.7789166159523999E-2</c:v>
                </c:pt>
                <c:pt idx="17">
                  <c:v>-4.8925849168933055E-2</c:v>
                </c:pt>
                <c:pt idx="18">
                  <c:v>-5.0105108145813482E-2</c:v>
                </c:pt>
                <c:pt idx="19">
                  <c:v>-5.1323060122877129E-2</c:v>
                </c:pt>
                <c:pt idx="20">
                  <c:v>-5.2564513405438107E-2</c:v>
                </c:pt>
                <c:pt idx="21">
                  <c:v>-5.3846651411379121E-2</c:v>
                </c:pt>
                <c:pt idx="22">
                  <c:v>-5.5152653034927446E-2</c:v>
                </c:pt>
                <c:pt idx="23">
                  <c:v>-5.6478538076612628E-2</c:v>
                </c:pt>
                <c:pt idx="24">
                  <c:v>-5.7820264118035869E-2</c:v>
                </c:pt>
                <c:pt idx="25">
                  <c:v>-5.9138935233561174E-2</c:v>
                </c:pt>
                <c:pt idx="26">
                  <c:v>-6.0455714058291421E-2</c:v>
                </c:pt>
                <c:pt idx="27">
                  <c:v>-6.1770990961739436E-2</c:v>
                </c:pt>
                <c:pt idx="28">
                  <c:v>-6.308359485220727E-2</c:v>
                </c:pt>
                <c:pt idx="29">
                  <c:v>-6.4391450647589887E-2</c:v>
                </c:pt>
                <c:pt idx="30">
                  <c:v>-6.5692619000361718E-2</c:v>
                </c:pt>
                <c:pt idx="31">
                  <c:v>-6.6970095513420591E-2</c:v>
                </c:pt>
                <c:pt idx="32">
                  <c:v>-6.8235430399600228E-2</c:v>
                </c:pt>
                <c:pt idx="33">
                  <c:v>-6.948850015908703E-2</c:v>
                </c:pt>
                <c:pt idx="34">
                  <c:v>-7.0728630259379033E-2</c:v>
                </c:pt>
                <c:pt idx="35">
                  <c:v>-7.195530556932761E-2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2D-49AA-BF88-C168E58AAE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449744"/>
        <c:axId val="778454336"/>
      </c:lineChart>
      <c:dateAx>
        <c:axId val="77844974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54336"/>
        <c:crosses val="autoZero"/>
        <c:auto val="1"/>
        <c:lblOffset val="100"/>
        <c:baseTimeUnit val="years"/>
        <c:majorUnit val="5"/>
        <c:majorTimeUnit val="years"/>
      </c:dateAx>
      <c:valAx>
        <c:axId val="77845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7844974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Primary energy (Mtep)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Données!$B$507</c:f>
              <c:strCache>
                <c:ptCount val="1"/>
                <c:pt idx="0">
                  <c:v>Charbon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Données!$C$507:$AL$507</c:f>
              <c:numCache>
                <c:formatCode>0.0%</c:formatCode>
                <c:ptCount val="36"/>
                <c:pt idx="0">
                  <c:v>-5.338316368754002E-4</c:v>
                </c:pt>
                <c:pt idx="1">
                  <c:v>-6.7772916016792533E-4</c:v>
                </c:pt>
                <c:pt idx="2">
                  <c:v>-7.4961749121561631E-4</c:v>
                </c:pt>
                <c:pt idx="3">
                  <c:v>-8.0714072213823964E-4</c:v>
                </c:pt>
                <c:pt idx="4">
                  <c:v>-8.6053847914110027E-4</c:v>
                </c:pt>
                <c:pt idx="5">
                  <c:v>-9.1204264748688069E-4</c:v>
                </c:pt>
                <c:pt idx="6">
                  <c:v>-9.6215049125448614E-4</c:v>
                </c:pt>
                <c:pt idx="7">
                  <c:v>-1.0101823584375068E-3</c:v>
                </c:pt>
                <c:pt idx="8">
                  <c:v>-1.0562025898270822E-3</c:v>
                </c:pt>
                <c:pt idx="9">
                  <c:v>-1.1005582706853116E-3</c:v>
                </c:pt>
                <c:pt idx="10">
                  <c:v>-1.1438915078092683E-3</c:v>
                </c:pt>
                <c:pt idx="11">
                  <c:v>-1.188196336515162E-3</c:v>
                </c:pt>
                <c:pt idx="12">
                  <c:v>-1.2323018553646145E-3</c:v>
                </c:pt>
                <c:pt idx="13">
                  <c:v>-1.2762027707645138E-3</c:v>
                </c:pt>
                <c:pt idx="14">
                  <c:v>-1.3200073084281986E-3</c:v>
                </c:pt>
                <c:pt idx="15">
                  <c:v>-1.3638049003028092E-3</c:v>
                </c:pt>
                <c:pt idx="16">
                  <c:v>-1.4095746360172881E-3</c:v>
                </c:pt>
                <c:pt idx="17">
                  <c:v>-1.4557041519460512E-3</c:v>
                </c:pt>
                <c:pt idx="18">
                  <c:v>-1.501861466709771E-3</c:v>
                </c:pt>
                <c:pt idx="19">
                  <c:v>-1.5479516324228926E-3</c:v>
                </c:pt>
                <c:pt idx="20">
                  <c:v>-1.5937502414631285E-3</c:v>
                </c:pt>
                <c:pt idx="21">
                  <c:v>-1.6394794936046128E-3</c:v>
                </c:pt>
                <c:pt idx="22">
                  <c:v>-1.6850122444645578E-3</c:v>
                </c:pt>
                <c:pt idx="23">
                  <c:v>-1.7302532078143924E-3</c:v>
                </c:pt>
                <c:pt idx="24">
                  <c:v>-1.7751590167200285E-3</c:v>
                </c:pt>
                <c:pt idx="25">
                  <c:v>-1.8191913291329626E-3</c:v>
                </c:pt>
                <c:pt idx="26">
                  <c:v>-1.8622463197795233E-3</c:v>
                </c:pt>
                <c:pt idx="27">
                  <c:v>-1.9048334966583554E-3</c:v>
                </c:pt>
                <c:pt idx="28">
                  <c:v>-1.9469286914658404E-3</c:v>
                </c:pt>
                <c:pt idx="29">
                  <c:v>-1.988501214087788E-3</c:v>
                </c:pt>
                <c:pt idx="30">
                  <c:v>-2.0295188227059313E-3</c:v>
                </c:pt>
                <c:pt idx="31">
                  <c:v>-2.0695831249281666E-3</c:v>
                </c:pt>
                <c:pt idx="32">
                  <c:v>-2.1089804914696379E-3</c:v>
                </c:pt>
                <c:pt idx="33">
                  <c:v>-2.1477567964948634E-3</c:v>
                </c:pt>
                <c:pt idx="34">
                  <c:v>-2.1859161708856455E-3</c:v>
                </c:pt>
                <c:pt idx="35">
                  <c:v>-2.2234584543441883E-3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B-4269-9B2A-85A0A366EDCC}"/>
            </c:ext>
          </c:extLst>
        </c:ser>
        <c:ser>
          <c:idx val="2"/>
          <c:order val="2"/>
          <c:tx>
            <c:strRef>
              <c:f>Données!$B$508</c:f>
              <c:strCache>
                <c:ptCount val="1"/>
                <c:pt idx="0">
                  <c:v>Carburant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Données!$C$508:$AL$508</c:f>
              <c:numCache>
                <c:formatCode>0.0%</c:formatCode>
                <c:ptCount val="36"/>
                <c:pt idx="0">
                  <c:v>-0.45940471940008121</c:v>
                </c:pt>
                <c:pt idx="1">
                  <c:v>-9.0401256106503979E-3</c:v>
                </c:pt>
                <c:pt idx="2">
                  <c:v>-1.0286136909219404E-2</c:v>
                </c:pt>
                <c:pt idx="3">
                  <c:v>-1.1405012651470994E-2</c:v>
                </c:pt>
                <c:pt idx="4">
                  <c:v>-1.2418649570309916E-2</c:v>
                </c:pt>
                <c:pt idx="5">
                  <c:v>-1.3350325650830672E-2</c:v>
                </c:pt>
                <c:pt idx="6">
                  <c:v>-1.4195313562240233E-2</c:v>
                </c:pt>
                <c:pt idx="7">
                  <c:v>-1.4953606013403413E-2</c:v>
                </c:pt>
                <c:pt idx="8">
                  <c:v>-1.5635040402141497E-2</c:v>
                </c:pt>
                <c:pt idx="9">
                  <c:v>-1.6252491330187246E-2</c:v>
                </c:pt>
                <c:pt idx="10">
                  <c:v>-1.682249474962761E-2</c:v>
                </c:pt>
                <c:pt idx="11">
                  <c:v>-1.7377437211021692E-2</c:v>
                </c:pt>
                <c:pt idx="12">
                  <c:v>-1.7907517858289833E-2</c:v>
                </c:pt>
                <c:pt idx="13">
                  <c:v>-1.8418130829379063E-2</c:v>
                </c:pt>
                <c:pt idx="14">
                  <c:v>-1.8914503173380677E-2</c:v>
                </c:pt>
                <c:pt idx="15">
                  <c:v>-1.9401109161222885E-2</c:v>
                </c:pt>
                <c:pt idx="16">
                  <c:v>-1.9908251732770603E-2</c:v>
                </c:pt>
                <c:pt idx="17">
                  <c:v>-2.0414680148825335E-2</c:v>
                </c:pt>
                <c:pt idx="18">
                  <c:v>-2.0920203069554239E-2</c:v>
                </c:pt>
                <c:pt idx="19">
                  <c:v>-2.1425491659661747E-2</c:v>
                </c:pt>
                <c:pt idx="20">
                  <c:v>-2.1928114725773995E-2</c:v>
                </c:pt>
                <c:pt idx="21">
                  <c:v>-2.2434477171535544E-2</c:v>
                </c:pt>
                <c:pt idx="22">
                  <c:v>-2.294083261723984E-2</c:v>
                </c:pt>
                <c:pt idx="23">
                  <c:v>-2.3447571350969258E-2</c:v>
                </c:pt>
                <c:pt idx="24">
                  <c:v>-2.3954836903105434E-2</c:v>
                </c:pt>
                <c:pt idx="25">
                  <c:v>-2.4453099547509544E-2</c:v>
                </c:pt>
                <c:pt idx="26">
                  <c:v>-2.4947924599557102E-2</c:v>
                </c:pt>
                <c:pt idx="27">
                  <c:v>-2.54404452456077E-2</c:v>
                </c:pt>
                <c:pt idx="28">
                  <c:v>-2.5930997331624284E-2</c:v>
                </c:pt>
                <c:pt idx="29">
                  <c:v>-2.6419510763095531E-2</c:v>
                </c:pt>
                <c:pt idx="30">
                  <c:v>-2.6905756768067286E-2</c:v>
                </c:pt>
                <c:pt idx="31">
                  <c:v>-2.7384320625482374E-2</c:v>
                </c:pt>
                <c:pt idx="32">
                  <c:v>-2.7859496159469369E-2</c:v>
                </c:pt>
                <c:pt idx="33">
                  <c:v>-2.8331498341100901E-2</c:v>
                </c:pt>
                <c:pt idx="34">
                  <c:v>-2.8800339540310856E-2</c:v>
                </c:pt>
                <c:pt idx="35">
                  <c:v>-2.9266039487568569E-2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B-4269-9B2A-85A0A366EDCC}"/>
            </c:ext>
          </c:extLst>
        </c:ser>
        <c:ser>
          <c:idx val="3"/>
          <c:order val="3"/>
          <c:tx>
            <c:strRef>
              <c:f>Données!$B$509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Données!$C$509:$AL$509</c:f>
              <c:numCache>
                <c:formatCode>0.0%</c:formatCode>
                <c:ptCount val="36"/>
                <c:pt idx="0">
                  <c:v>-1.4849831089649439E-3</c:v>
                </c:pt>
                <c:pt idx="1">
                  <c:v>-1.3459745248756263E-3</c:v>
                </c:pt>
                <c:pt idx="2">
                  <c:v>-1.3280876202690882E-3</c:v>
                </c:pt>
                <c:pt idx="3">
                  <c:v>-1.3272324126130963E-3</c:v>
                </c:pt>
                <c:pt idx="4">
                  <c:v>-1.3194208473052374E-3</c:v>
                </c:pt>
                <c:pt idx="5">
                  <c:v>-1.3535650873352627E-3</c:v>
                </c:pt>
                <c:pt idx="6">
                  <c:v>-1.4109617761013627E-3</c:v>
                </c:pt>
                <c:pt idx="7">
                  <c:v>-1.4736397918265955E-3</c:v>
                </c:pt>
                <c:pt idx="8">
                  <c:v>-1.5390271271389154E-3</c:v>
                </c:pt>
                <c:pt idx="9">
                  <c:v>-1.6064291283755447E-3</c:v>
                </c:pt>
                <c:pt idx="10">
                  <c:v>-1.6774600918963549E-3</c:v>
                </c:pt>
                <c:pt idx="11">
                  <c:v>-1.750358003537948E-3</c:v>
                </c:pt>
                <c:pt idx="12">
                  <c:v>-1.8214507731034524E-3</c:v>
                </c:pt>
                <c:pt idx="13">
                  <c:v>-1.8902765325536914E-3</c:v>
                </c:pt>
                <c:pt idx="14">
                  <c:v>-1.9570980087856202E-3</c:v>
                </c:pt>
                <c:pt idx="15">
                  <c:v>-2.0223892250202657E-3</c:v>
                </c:pt>
                <c:pt idx="16">
                  <c:v>-2.0914049650379496E-3</c:v>
                </c:pt>
                <c:pt idx="17">
                  <c:v>-2.1575835687379741E-3</c:v>
                </c:pt>
                <c:pt idx="18">
                  <c:v>-2.221393685578566E-3</c:v>
                </c:pt>
                <c:pt idx="19">
                  <c:v>-2.2829544497130465E-3</c:v>
                </c:pt>
                <c:pt idx="20">
                  <c:v>-2.339929731621484E-3</c:v>
                </c:pt>
                <c:pt idx="21">
                  <c:v>-2.3980668288769561E-3</c:v>
                </c:pt>
                <c:pt idx="22">
                  <c:v>-2.4540470004294885E-3</c:v>
                </c:pt>
                <c:pt idx="23">
                  <c:v>-2.5083263180789754E-3</c:v>
                </c:pt>
                <c:pt idx="24">
                  <c:v>-2.5611534151219503E-3</c:v>
                </c:pt>
                <c:pt idx="25">
                  <c:v>-2.6053116674742654E-3</c:v>
                </c:pt>
                <c:pt idx="26">
                  <c:v>-2.652722471265381E-3</c:v>
                </c:pt>
                <c:pt idx="27">
                  <c:v>-2.6998202638709771E-3</c:v>
                </c:pt>
                <c:pt idx="28">
                  <c:v>-2.7471186646084223E-3</c:v>
                </c:pt>
                <c:pt idx="29">
                  <c:v>-2.7946012391891189E-3</c:v>
                </c:pt>
                <c:pt idx="30">
                  <c:v>-2.8421846476319934E-3</c:v>
                </c:pt>
                <c:pt idx="31">
                  <c:v>-2.8888263293675616E-3</c:v>
                </c:pt>
                <c:pt idx="32">
                  <c:v>-2.9357642248191008E-3</c:v>
                </c:pt>
                <c:pt idx="33">
                  <c:v>-2.9829217571989146E-3</c:v>
                </c:pt>
                <c:pt idx="34">
                  <c:v>-3.0303110140495353E-3</c:v>
                </c:pt>
                <c:pt idx="35">
                  <c:v>-3.0779589758485096E-3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DB-4269-9B2A-85A0A366EDCC}"/>
            </c:ext>
          </c:extLst>
        </c:ser>
        <c:ser>
          <c:idx val="4"/>
          <c:order val="4"/>
          <c:tx>
            <c:strRef>
              <c:f>Données!$B$510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Données!$C$510:$AL$510</c:f>
              <c:numCache>
                <c:formatCode>0.0%</c:formatCode>
                <c:ptCount val="36"/>
                <c:pt idx="0">
                  <c:v>-0.48452911977110791</c:v>
                </c:pt>
                <c:pt idx="1">
                  <c:v>-9.8994821135079576E-3</c:v>
                </c:pt>
                <c:pt idx="2">
                  <c:v>-1.1219467108799524E-2</c:v>
                </c:pt>
                <c:pt idx="3">
                  <c:v>-1.2141142985762434E-2</c:v>
                </c:pt>
                <c:pt idx="4">
                  <c:v>-1.2746788256105965E-2</c:v>
                </c:pt>
                <c:pt idx="5">
                  <c:v>-1.3179396987248947E-2</c:v>
                </c:pt>
                <c:pt idx="6">
                  <c:v>-1.3448278612259126E-2</c:v>
                </c:pt>
                <c:pt idx="7">
                  <c:v>-1.3598556584221893E-2</c:v>
                </c:pt>
                <c:pt idx="8">
                  <c:v>-1.3668235271210274E-2</c:v>
                </c:pt>
                <c:pt idx="9">
                  <c:v>-1.3689637446920758E-2</c:v>
                </c:pt>
                <c:pt idx="10">
                  <c:v>-1.369473317296146E-2</c:v>
                </c:pt>
                <c:pt idx="11">
                  <c:v>-1.3728791816097345E-2</c:v>
                </c:pt>
                <c:pt idx="12">
                  <c:v>-1.3785150378508578E-2</c:v>
                </c:pt>
                <c:pt idx="13">
                  <c:v>-1.3870988874965821E-2</c:v>
                </c:pt>
                <c:pt idx="14">
                  <c:v>-1.3991614369091398E-2</c:v>
                </c:pt>
                <c:pt idx="15">
                  <c:v>-1.4150002628993585E-2</c:v>
                </c:pt>
                <c:pt idx="16">
                  <c:v>-1.4376078529937171E-2</c:v>
                </c:pt>
                <c:pt idx="17">
                  <c:v>-1.4645193809552377E-2</c:v>
                </c:pt>
                <c:pt idx="18">
                  <c:v>-1.4952409281012588E-2</c:v>
                </c:pt>
                <c:pt idx="19">
                  <c:v>-1.5293849394175054E-2</c:v>
                </c:pt>
                <c:pt idx="20">
                  <c:v>-1.5662608669148453E-2</c:v>
                </c:pt>
                <c:pt idx="21">
                  <c:v>-1.6059444197159611E-2</c:v>
                </c:pt>
                <c:pt idx="22">
                  <c:v>-1.6478054124988185E-2</c:v>
                </c:pt>
                <c:pt idx="23">
                  <c:v>-1.6914663701295397E-2</c:v>
                </c:pt>
                <c:pt idx="24">
                  <c:v>-1.7365709250426412E-2</c:v>
                </c:pt>
                <c:pt idx="25">
                  <c:v>-1.7818226015987891E-2</c:v>
                </c:pt>
                <c:pt idx="26">
                  <c:v>-1.8270661342419541E-2</c:v>
                </c:pt>
                <c:pt idx="27">
                  <c:v>-1.8724801078334064E-2</c:v>
                </c:pt>
                <c:pt idx="28">
                  <c:v>-1.9179003327083728E-2</c:v>
                </c:pt>
                <c:pt idx="29">
                  <c:v>-1.9631691522237062E-2</c:v>
                </c:pt>
                <c:pt idx="30">
                  <c:v>-2.0081558193920827E-2</c:v>
                </c:pt>
                <c:pt idx="31">
                  <c:v>-2.0521835425781489E-2</c:v>
                </c:pt>
                <c:pt idx="32">
                  <c:v>-2.0955935008242201E-2</c:v>
                </c:pt>
                <c:pt idx="33">
                  <c:v>-2.1383461061934499E-2</c:v>
                </c:pt>
                <c:pt idx="34">
                  <c:v>-2.1803812778085494E-2</c:v>
                </c:pt>
                <c:pt idx="35">
                  <c:v>-2.22165135807403E-2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DB-4269-9B2A-85A0A366EDCC}"/>
            </c:ext>
          </c:extLst>
        </c:ser>
        <c:ser>
          <c:idx val="5"/>
          <c:order val="5"/>
          <c:tx>
            <c:strRef>
              <c:f>Données!$B$511</c:f>
              <c:strCache>
                <c:ptCount val="1"/>
                <c:pt idx="0">
                  <c:v>Autre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Données!$C$511:$AL$511</c:f>
              <c:numCache>
                <c:formatCode>0.0%</c:formatCode>
                <c:ptCount val="36"/>
                <c:pt idx="0">
                  <c:v>-1.3345012735541872E-2</c:v>
                </c:pt>
                <c:pt idx="1">
                  <c:v>-5.6066758303189501E-3</c:v>
                </c:pt>
                <c:pt idx="2">
                  <c:v>-6.2264062116108403E-3</c:v>
                </c:pt>
                <c:pt idx="3">
                  <c:v>-6.7238882494579169E-3</c:v>
                </c:pt>
                <c:pt idx="4">
                  <c:v>-7.1397044172536554E-3</c:v>
                </c:pt>
                <c:pt idx="5">
                  <c:v>-7.4546635807410363E-3</c:v>
                </c:pt>
                <c:pt idx="6">
                  <c:v>-7.6924301919267168E-3</c:v>
                </c:pt>
                <c:pt idx="7">
                  <c:v>-7.8988917500927899E-3</c:v>
                </c:pt>
                <c:pt idx="8">
                  <c:v>-8.0881783327314445E-3</c:v>
                </c:pt>
                <c:pt idx="9">
                  <c:v>-8.2665196630086202E-3</c:v>
                </c:pt>
                <c:pt idx="10">
                  <c:v>-8.4424442779349861E-3</c:v>
                </c:pt>
                <c:pt idx="11">
                  <c:v>-8.6307819131893632E-3</c:v>
                </c:pt>
                <c:pt idx="12">
                  <c:v>-8.8231158717297451E-3</c:v>
                </c:pt>
                <c:pt idx="13">
                  <c:v>-9.0204948148976671E-3</c:v>
                </c:pt>
                <c:pt idx="14">
                  <c:v>-9.2242732266126469E-3</c:v>
                </c:pt>
                <c:pt idx="15">
                  <c:v>-9.4354202843787375E-3</c:v>
                </c:pt>
                <c:pt idx="16">
                  <c:v>-9.6713163872614964E-3</c:v>
                </c:pt>
                <c:pt idx="17">
                  <c:v>-9.917338539602201E-3</c:v>
                </c:pt>
                <c:pt idx="18">
                  <c:v>-1.0171975566843719E-2</c:v>
                </c:pt>
                <c:pt idx="19">
                  <c:v>-1.0434389087444798E-2</c:v>
                </c:pt>
                <c:pt idx="20">
                  <c:v>-1.0700761058254158E-2</c:v>
                </c:pt>
                <c:pt idx="21">
                  <c:v>-1.0975852276201587E-2</c:v>
                </c:pt>
                <c:pt idx="22">
                  <c:v>-1.1255757207351651E-2</c:v>
                </c:pt>
                <c:pt idx="23">
                  <c:v>-1.1539492051118526E-2</c:v>
                </c:pt>
                <c:pt idx="24">
                  <c:v>-1.1826178932354962E-2</c:v>
                </c:pt>
                <c:pt idx="25">
                  <c:v>-1.2105951769268614E-2</c:v>
                </c:pt>
                <c:pt idx="26">
                  <c:v>-1.2385789395036997E-2</c:v>
                </c:pt>
                <c:pt idx="27">
                  <c:v>-1.2665726131047125E-2</c:v>
                </c:pt>
                <c:pt idx="28">
                  <c:v>-1.2945457083383575E-2</c:v>
                </c:pt>
                <c:pt idx="29">
                  <c:v>-1.3224577314309515E-2</c:v>
                </c:pt>
                <c:pt idx="30">
                  <c:v>-1.3502772532450018E-2</c:v>
                </c:pt>
                <c:pt idx="31">
                  <c:v>-1.3776505868529267E-2</c:v>
                </c:pt>
                <c:pt idx="32">
                  <c:v>-1.4048296216004027E-2</c:v>
                </c:pt>
                <c:pt idx="33">
                  <c:v>-1.4318179156221925E-2</c:v>
                </c:pt>
                <c:pt idx="34">
                  <c:v>-1.4586029546853977E-2</c:v>
                </c:pt>
                <c:pt idx="35">
                  <c:v>-1.4851747832859469E-2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4799288"/>
        <c:axId val="724799616"/>
      </c:barChart>
      <c:lineChart>
        <c:grouping val="standard"/>
        <c:varyColors val="0"/>
        <c:ser>
          <c:idx val="0"/>
          <c:order val="0"/>
          <c:tx>
            <c:strRef>
              <c:f>Données!$B$506</c:f>
              <c:strCache>
                <c:ptCount val="1"/>
                <c:pt idx="0">
                  <c:v>Primary energy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Données!$C$505:$AL$505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Données!$C$506:$AL$506</c:f>
              <c:numCache>
                <c:formatCode>0.0%</c:formatCode>
                <c:ptCount val="36"/>
                <c:pt idx="0">
                  <c:v>-2.1833654059357666E-2</c:v>
                </c:pt>
                <c:pt idx="1">
                  <c:v>-2.6569987306213738E-2</c:v>
                </c:pt>
                <c:pt idx="2">
                  <c:v>-2.9809715195461162E-2</c:v>
                </c:pt>
                <c:pt idx="3">
                  <c:v>-3.2404416949176618E-2</c:v>
                </c:pt>
                <c:pt idx="4">
                  <c:v>-3.4485101283480146E-2</c:v>
                </c:pt>
                <c:pt idx="5">
                  <c:v>-3.6249993611548237E-2</c:v>
                </c:pt>
                <c:pt idx="6">
                  <c:v>-3.770913443556001E-2</c:v>
                </c:pt>
                <c:pt idx="7">
                  <c:v>-3.8934876504314153E-2</c:v>
                </c:pt>
                <c:pt idx="8">
                  <c:v>-3.9986683422179481E-2</c:v>
                </c:pt>
                <c:pt idx="9">
                  <c:v>-4.0915635318070409E-2</c:v>
                </c:pt>
                <c:pt idx="10">
                  <c:v>-4.1781023800229744E-2</c:v>
                </c:pt>
                <c:pt idx="11">
                  <c:v>-4.2675565614064159E-2</c:v>
                </c:pt>
                <c:pt idx="12">
                  <c:v>-4.356953680302289E-2</c:v>
                </c:pt>
                <c:pt idx="13">
                  <c:v>-4.4476093460318444E-2</c:v>
                </c:pt>
                <c:pt idx="14">
                  <c:v>-4.5407496638568023E-2</c:v>
                </c:pt>
                <c:pt idx="15">
                  <c:v>-4.6372726048785062E-2</c:v>
                </c:pt>
                <c:pt idx="16">
                  <c:v>-4.7456625923205875E-2</c:v>
                </c:pt>
                <c:pt idx="17">
                  <c:v>-4.8590500298328565E-2</c:v>
                </c:pt>
                <c:pt idx="18">
                  <c:v>-4.9767843266752654E-2</c:v>
                </c:pt>
                <c:pt idx="19">
                  <c:v>-5.0984636418385687E-2</c:v>
                </c:pt>
                <c:pt idx="20">
                  <c:v>-5.2225164299420257E-2</c:v>
                </c:pt>
                <c:pt idx="21">
                  <c:v>-5.3507319667230546E-2</c:v>
                </c:pt>
                <c:pt idx="22">
                  <c:v>-5.4813703507655021E-2</c:v>
                </c:pt>
                <c:pt idx="23">
                  <c:v>-5.6140306554483765E-2</c:v>
                </c:pt>
                <c:pt idx="24">
                  <c:v>-5.7483037385596902E-2</c:v>
                </c:pt>
                <c:pt idx="25">
                  <c:v>-5.8801780208921239E-2</c:v>
                </c:pt>
                <c:pt idx="26">
                  <c:v>-6.0119344226608695E-2</c:v>
                </c:pt>
                <c:pt idx="27">
                  <c:v>-6.1435626405583199E-2</c:v>
                </c:pt>
                <c:pt idx="28">
                  <c:v>-6.2749505230433433E-2</c:v>
                </c:pt>
                <c:pt idx="29">
                  <c:v>-6.4058881790954758E-2</c:v>
                </c:pt>
                <c:pt idx="30">
                  <c:v>-6.5361790949810428E-2</c:v>
                </c:pt>
                <c:pt idx="31">
                  <c:v>-6.6641070973997296E-2</c:v>
                </c:pt>
                <c:pt idx="32">
                  <c:v>-6.7908471899497669E-2</c:v>
                </c:pt>
                <c:pt idx="33">
                  <c:v>-6.9163816914448506E-2</c:v>
                </c:pt>
                <c:pt idx="34">
                  <c:v>-7.0406408772204609E-2</c:v>
                </c:pt>
                <c:pt idx="35">
                  <c:v>-7.1635718710894469E-2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EDB-4269-9B2A-85A0A366ED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4799288"/>
        <c:axId val="724799616"/>
      </c:lineChart>
      <c:dateAx>
        <c:axId val="724799288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616"/>
        <c:crosses val="autoZero"/>
        <c:auto val="1"/>
        <c:lblOffset val="100"/>
        <c:baseTimeUnit val="years"/>
        <c:majorUnit val="5"/>
        <c:majorTimeUnit val="years"/>
      </c:dateAx>
      <c:valAx>
        <c:axId val="724799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24799288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>
          <a:latin typeface="Marianne Light" panose="02000000000000000000" pitchFamily="50" charset="0"/>
        </a:defRPr>
      </a:pPr>
      <a:endParaRPr lang="fr-FR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Données!$B$380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Données!$C$380:$AL$380</c:f>
              <c:numCache>
                <c:formatCode>#,##0</c:formatCode>
                <c:ptCount val="36"/>
                <c:pt idx="0">
                  <c:v>3.476542051</c:v>
                </c:pt>
                <c:pt idx="1">
                  <c:v>5.7227179189999999</c:v>
                </c:pt>
                <c:pt idx="2">
                  <c:v>7.9150348949999998</c:v>
                </c:pt>
                <c:pt idx="3">
                  <c:v>9.8028889160000006</c:v>
                </c:pt>
                <c:pt idx="4">
                  <c:v>11.155958780000001</c:v>
                </c:pt>
                <c:pt idx="5">
                  <c:v>16.28488037</c:v>
                </c:pt>
                <c:pt idx="6">
                  <c:v>22.964094190000001</c:v>
                </c:pt>
                <c:pt idx="7">
                  <c:v>30.05221834</c:v>
                </c:pt>
                <c:pt idx="8">
                  <c:v>37.200833660000001</c:v>
                </c:pt>
                <c:pt idx="9">
                  <c:v>44.335329530000003</c:v>
                </c:pt>
                <c:pt idx="10">
                  <c:v>51.492984210000003</c:v>
                </c:pt>
                <c:pt idx="11">
                  <c:v>58.603430709999998</c:v>
                </c:pt>
                <c:pt idx="12">
                  <c:v>65.708606869999997</c:v>
                </c:pt>
                <c:pt idx="13">
                  <c:v>72.804877169999997</c:v>
                </c:pt>
                <c:pt idx="14">
                  <c:v>79.885812259999994</c:v>
                </c:pt>
                <c:pt idx="15">
                  <c:v>86.944139849999999</c:v>
                </c:pt>
                <c:pt idx="16">
                  <c:v>93.972842810000003</c:v>
                </c:pt>
                <c:pt idx="17">
                  <c:v>100.9657754</c:v>
                </c:pt>
                <c:pt idx="18">
                  <c:v>107.9180073</c:v>
                </c:pt>
                <c:pt idx="19">
                  <c:v>114.8259831</c:v>
                </c:pt>
                <c:pt idx="20">
                  <c:v>121.6595921</c:v>
                </c:pt>
                <c:pt idx="21">
                  <c:v>128.46736949999999</c:v>
                </c:pt>
                <c:pt idx="22">
                  <c:v>135.2216493</c:v>
                </c:pt>
                <c:pt idx="23">
                  <c:v>141.92367049999999</c:v>
                </c:pt>
                <c:pt idx="24">
                  <c:v>148.5762311</c:v>
                </c:pt>
                <c:pt idx="25">
                  <c:v>155.1062891</c:v>
                </c:pt>
                <c:pt idx="26">
                  <c:v>161.615756</c:v>
                </c:pt>
                <c:pt idx="27">
                  <c:v>168.05795739999999</c:v>
                </c:pt>
                <c:pt idx="28">
                  <c:v>174.4260285</c:v>
                </c:pt>
                <c:pt idx="29">
                  <c:v>180.71520179999999</c:v>
                </c:pt>
                <c:pt idx="30">
                  <c:v>186.9231709</c:v>
                </c:pt>
                <c:pt idx="31">
                  <c:v>193.04932539999999</c:v>
                </c:pt>
                <c:pt idx="32">
                  <c:v>199.09376209999999</c:v>
                </c:pt>
                <c:pt idx="33">
                  <c:v>205.0564287</c:v>
                </c:pt>
                <c:pt idx="34">
                  <c:v>210.93638999999999</c:v>
                </c:pt>
                <c:pt idx="35">
                  <c:v>216.73123380000001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6B-4BFF-9D6E-7891C58785EB}"/>
            </c:ext>
          </c:extLst>
        </c:ser>
        <c:ser>
          <c:idx val="1"/>
          <c:order val="1"/>
          <c:tx>
            <c:strRef>
              <c:f>Données!$B$381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Données!$C$381:$AL$381</c:f>
              <c:numCache>
                <c:formatCode>#,##0</c:formatCode>
                <c:ptCount val="36"/>
                <c:pt idx="0">
                  <c:v>68.80476281</c:v>
                </c:pt>
                <c:pt idx="1">
                  <c:v>77.184615289999996</c:v>
                </c:pt>
                <c:pt idx="2">
                  <c:v>86.226499009999998</c:v>
                </c:pt>
                <c:pt idx="3">
                  <c:v>95.792889770000002</c:v>
                </c:pt>
                <c:pt idx="4">
                  <c:v>106.74449850000001</c:v>
                </c:pt>
                <c:pt idx="5">
                  <c:v>114.8133308</c:v>
                </c:pt>
                <c:pt idx="6">
                  <c:v>120.3171086</c:v>
                </c:pt>
                <c:pt idx="7">
                  <c:v>124.82554810000001</c:v>
                </c:pt>
                <c:pt idx="8">
                  <c:v>128.83010440000001</c:v>
                </c:pt>
                <c:pt idx="9">
                  <c:v>132.56910780000001</c:v>
                </c:pt>
                <c:pt idx="10">
                  <c:v>137.19732300000001</c:v>
                </c:pt>
                <c:pt idx="11">
                  <c:v>140.70094019999999</c:v>
                </c:pt>
                <c:pt idx="12">
                  <c:v>144.14778269999999</c:v>
                </c:pt>
                <c:pt idx="13">
                  <c:v>147.55784109999999</c:v>
                </c:pt>
                <c:pt idx="14">
                  <c:v>150.94401210000001</c:v>
                </c:pt>
                <c:pt idx="15">
                  <c:v>154.31513039999999</c:v>
                </c:pt>
                <c:pt idx="16">
                  <c:v>157.67754410000001</c:v>
                </c:pt>
                <c:pt idx="17">
                  <c:v>161.03592990000001</c:v>
                </c:pt>
                <c:pt idx="18">
                  <c:v>164.3937172</c:v>
                </c:pt>
                <c:pt idx="19">
                  <c:v>167.75332460000001</c:v>
                </c:pt>
                <c:pt idx="20">
                  <c:v>170.42992169999999</c:v>
                </c:pt>
                <c:pt idx="21">
                  <c:v>173.7978956</c:v>
                </c:pt>
                <c:pt idx="22">
                  <c:v>177.17332780000001</c:v>
                </c:pt>
                <c:pt idx="23">
                  <c:v>180.55605299999999</c:v>
                </c:pt>
                <c:pt idx="24">
                  <c:v>183.94515100000001</c:v>
                </c:pt>
                <c:pt idx="25">
                  <c:v>185.4657254</c:v>
                </c:pt>
                <c:pt idx="26">
                  <c:v>187.98608540000001</c:v>
                </c:pt>
                <c:pt idx="27">
                  <c:v>190.5168242</c:v>
                </c:pt>
                <c:pt idx="28">
                  <c:v>193.06143370000001</c:v>
                </c:pt>
                <c:pt idx="29">
                  <c:v>195.62251459999999</c:v>
                </c:pt>
                <c:pt idx="30">
                  <c:v>198.20156560000001</c:v>
                </c:pt>
                <c:pt idx="31">
                  <c:v>200.79930089999999</c:v>
                </c:pt>
                <c:pt idx="32">
                  <c:v>203.4160756</c:v>
                </c:pt>
                <c:pt idx="33">
                  <c:v>206.052269</c:v>
                </c:pt>
                <c:pt idx="34">
                  <c:v>208.70862410000001</c:v>
                </c:pt>
                <c:pt idx="35">
                  <c:v>211.38653360000001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6B-4BFF-9D6E-7891C58785EB}"/>
            </c:ext>
          </c:extLst>
        </c:ser>
        <c:ser>
          <c:idx val="2"/>
          <c:order val="2"/>
          <c:tx>
            <c:strRef>
              <c:f>Données!$B$382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Données!$C$382:$AL$382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425.47099200000002</c:v>
                </c:pt>
                <c:pt idx="2">
                  <c:v>444.58496880000001</c:v>
                </c:pt>
                <c:pt idx="3">
                  <c:v>464.5860394</c:v>
                </c:pt>
                <c:pt idx="4">
                  <c:v>486.66936989999999</c:v>
                </c:pt>
                <c:pt idx="5">
                  <c:v>503.40873290000002</c:v>
                </c:pt>
                <c:pt idx="6">
                  <c:v>515.14712380000003</c:v>
                </c:pt>
                <c:pt idx="7">
                  <c:v>525.29702680000003</c:v>
                </c:pt>
                <c:pt idx="8">
                  <c:v>534.66997389999995</c:v>
                </c:pt>
                <c:pt idx="9">
                  <c:v>543.64620609999997</c:v>
                </c:pt>
                <c:pt idx="10">
                  <c:v>555.32225259999996</c:v>
                </c:pt>
                <c:pt idx="11">
                  <c:v>563.96919720000005</c:v>
                </c:pt>
                <c:pt idx="12">
                  <c:v>572.54171029999998</c:v>
                </c:pt>
                <c:pt idx="13">
                  <c:v>581.06943550000005</c:v>
                </c:pt>
                <c:pt idx="14">
                  <c:v>589.57126430000005</c:v>
                </c:pt>
                <c:pt idx="15">
                  <c:v>598.06002439999997</c:v>
                </c:pt>
                <c:pt idx="16">
                  <c:v>606.54488200000003</c:v>
                </c:pt>
                <c:pt idx="17">
                  <c:v>615.03256439999996</c:v>
                </c:pt>
                <c:pt idx="18">
                  <c:v>623.52797769999995</c:v>
                </c:pt>
                <c:pt idx="19">
                  <c:v>632.03453739999998</c:v>
                </c:pt>
                <c:pt idx="20">
                  <c:v>638.62632050000002</c:v>
                </c:pt>
                <c:pt idx="21">
                  <c:v>647.15867600000001</c:v>
                </c:pt>
                <c:pt idx="22">
                  <c:v>655.71004900000003</c:v>
                </c:pt>
                <c:pt idx="23">
                  <c:v>664.27985469999999</c:v>
                </c:pt>
                <c:pt idx="24">
                  <c:v>672.86631350000005</c:v>
                </c:pt>
                <c:pt idx="25">
                  <c:v>676.20416169999999</c:v>
                </c:pt>
                <c:pt idx="26">
                  <c:v>682.34097229999998</c:v>
                </c:pt>
                <c:pt idx="27">
                  <c:v>688.49381659999995</c:v>
                </c:pt>
                <c:pt idx="28">
                  <c:v>694.6678445</c:v>
                </c:pt>
                <c:pt idx="29">
                  <c:v>700.8667931</c:v>
                </c:pt>
                <c:pt idx="30">
                  <c:v>707.09270519999995</c:v>
                </c:pt>
                <c:pt idx="31">
                  <c:v>713.34640239999999</c:v>
                </c:pt>
                <c:pt idx="32">
                  <c:v>719.62816569999995</c:v>
                </c:pt>
                <c:pt idx="33">
                  <c:v>725.93835739999997</c:v>
                </c:pt>
                <c:pt idx="34">
                  <c:v>732.27798150000001</c:v>
                </c:pt>
                <c:pt idx="35">
                  <c:v>738.64915829999995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6B-4BFF-9D6E-7891C58785EB}"/>
            </c:ext>
          </c:extLst>
        </c:ser>
        <c:ser>
          <c:idx val="3"/>
          <c:order val="3"/>
          <c:tx>
            <c:strRef>
              <c:f>Données!$B$383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Données!$C$383:$AL$383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947.6977723</c:v>
                </c:pt>
                <c:pt idx="2">
                  <c:v>940.93763730000001</c:v>
                </c:pt>
                <c:pt idx="3">
                  <c:v>933.32371909999995</c:v>
                </c:pt>
                <c:pt idx="4">
                  <c:v>923.4312261</c:v>
                </c:pt>
                <c:pt idx="5">
                  <c:v>915.1606223</c:v>
                </c:pt>
                <c:pt idx="6">
                  <c:v>908.60446669999999</c:v>
                </c:pt>
                <c:pt idx="7">
                  <c:v>903.13095480000004</c:v>
                </c:pt>
                <c:pt idx="8">
                  <c:v>898.2758407</c:v>
                </c:pt>
                <c:pt idx="9">
                  <c:v>893.7657815</c:v>
                </c:pt>
                <c:pt idx="10">
                  <c:v>889.45007210000006</c:v>
                </c:pt>
                <c:pt idx="11">
                  <c:v>885.24811350000004</c:v>
                </c:pt>
                <c:pt idx="12">
                  <c:v>881.11614080000004</c:v>
                </c:pt>
                <c:pt idx="13">
                  <c:v>877.03080499999999</c:v>
                </c:pt>
                <c:pt idx="14">
                  <c:v>872.97935970000003</c:v>
                </c:pt>
                <c:pt idx="15">
                  <c:v>868.95468589999996</c:v>
                </c:pt>
                <c:pt idx="16">
                  <c:v>864.95267469999999</c:v>
                </c:pt>
                <c:pt idx="17">
                  <c:v>860.97085479999998</c:v>
                </c:pt>
                <c:pt idx="18">
                  <c:v>857.0076722</c:v>
                </c:pt>
                <c:pt idx="19">
                  <c:v>853.06211229999997</c:v>
                </c:pt>
                <c:pt idx="20">
                  <c:v>849.13343499999996</c:v>
                </c:pt>
                <c:pt idx="21">
                  <c:v>845.22075529999995</c:v>
                </c:pt>
                <c:pt idx="22">
                  <c:v>841.32390169999996</c:v>
                </c:pt>
                <c:pt idx="23">
                  <c:v>837.44263599999999</c:v>
                </c:pt>
                <c:pt idx="24">
                  <c:v>833.57688470000005</c:v>
                </c:pt>
                <c:pt idx="25">
                  <c:v>829.72650510000005</c:v>
                </c:pt>
                <c:pt idx="26">
                  <c:v>825.89028929999995</c:v>
                </c:pt>
                <c:pt idx="27">
                  <c:v>822.06795480000005</c:v>
                </c:pt>
                <c:pt idx="28">
                  <c:v>818.25879090000001</c:v>
                </c:pt>
                <c:pt idx="29">
                  <c:v>814.46213360000002</c:v>
                </c:pt>
                <c:pt idx="30">
                  <c:v>810.67743819999998</c:v>
                </c:pt>
                <c:pt idx="31">
                  <c:v>806.90428080000004</c:v>
                </c:pt>
                <c:pt idx="32">
                  <c:v>803.14232049999998</c:v>
                </c:pt>
                <c:pt idx="33">
                  <c:v>799.39124379999998</c:v>
                </c:pt>
                <c:pt idx="34">
                  <c:v>795.65069640000002</c:v>
                </c:pt>
                <c:pt idx="35">
                  <c:v>791.92020749999995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96B-4BFF-9D6E-7891C58785EB}"/>
            </c:ext>
          </c:extLst>
        </c:ser>
        <c:ser>
          <c:idx val="4"/>
          <c:order val="4"/>
          <c:tx>
            <c:strRef>
              <c:f>Données!$B$384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Données!$C$384:$AL$384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867.97061589999998</c:v>
                </c:pt>
                <c:pt idx="2">
                  <c:v>857.1768472</c:v>
                </c:pt>
                <c:pt idx="3">
                  <c:v>846.13862830000005</c:v>
                </c:pt>
                <c:pt idx="4">
                  <c:v>834.45323389999999</c:v>
                </c:pt>
                <c:pt idx="5">
                  <c:v>825.60425850000001</c:v>
                </c:pt>
                <c:pt idx="6">
                  <c:v>818.66440060000002</c:v>
                </c:pt>
                <c:pt idx="7">
                  <c:v>812.81113870000001</c:v>
                </c:pt>
                <c:pt idx="8">
                  <c:v>807.55773569999997</c:v>
                </c:pt>
                <c:pt idx="9">
                  <c:v>802.63670790000003</c:v>
                </c:pt>
                <c:pt idx="10">
                  <c:v>797.90478380000002</c:v>
                </c:pt>
                <c:pt idx="11">
                  <c:v>793.28649600000006</c:v>
                </c:pt>
                <c:pt idx="12">
                  <c:v>788.74109539999995</c:v>
                </c:pt>
                <c:pt idx="13">
                  <c:v>784.24687610000001</c:v>
                </c:pt>
                <c:pt idx="14">
                  <c:v>779.79192390000003</c:v>
                </c:pt>
                <c:pt idx="15">
                  <c:v>775.3694911</c:v>
                </c:pt>
                <c:pt idx="16">
                  <c:v>770.97558909999998</c:v>
                </c:pt>
                <c:pt idx="17">
                  <c:v>766.60774100000003</c:v>
                </c:pt>
                <c:pt idx="18">
                  <c:v>762.26433959999997</c:v>
                </c:pt>
                <c:pt idx="19">
                  <c:v>757.94431650000001</c:v>
                </c:pt>
                <c:pt idx="20">
                  <c:v>753.64685669999994</c:v>
                </c:pt>
                <c:pt idx="21">
                  <c:v>749.37097089999997</c:v>
                </c:pt>
                <c:pt idx="22">
                  <c:v>745.11649190000003</c:v>
                </c:pt>
                <c:pt idx="23">
                  <c:v>740.8832969</c:v>
                </c:pt>
                <c:pt idx="24">
                  <c:v>736.67150709999999</c:v>
                </c:pt>
                <c:pt idx="25">
                  <c:v>732.4810665</c:v>
                </c:pt>
                <c:pt idx="26">
                  <c:v>728.31058259999998</c:v>
                </c:pt>
                <c:pt idx="27">
                  <c:v>724.15957209999999</c:v>
                </c:pt>
                <c:pt idx="28">
                  <c:v>720.02720639999995</c:v>
                </c:pt>
                <c:pt idx="29">
                  <c:v>715.91281370000002</c:v>
                </c:pt>
                <c:pt idx="30">
                  <c:v>711.81595089999996</c:v>
                </c:pt>
                <c:pt idx="31">
                  <c:v>707.73638240000002</c:v>
                </c:pt>
                <c:pt idx="32">
                  <c:v>703.67400510000004</c:v>
                </c:pt>
                <c:pt idx="33">
                  <c:v>699.62875780000002</c:v>
                </c:pt>
                <c:pt idx="34">
                  <c:v>695.60052450000001</c:v>
                </c:pt>
                <c:pt idx="35">
                  <c:v>691.58904129999996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96B-4BFF-9D6E-7891C58785EB}"/>
            </c:ext>
          </c:extLst>
        </c:ser>
        <c:ser>
          <c:idx val="5"/>
          <c:order val="5"/>
          <c:tx>
            <c:strRef>
              <c:f>Données!$B$385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Données!$C$385:$AL$385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137.95542610000001</c:v>
                </c:pt>
                <c:pt idx="2">
                  <c:v>136.0868151</c:v>
                </c:pt>
                <c:pt idx="3">
                  <c:v>134.2500221</c:v>
                </c:pt>
                <c:pt idx="4">
                  <c:v>132.44730100000001</c:v>
                </c:pt>
                <c:pt idx="5">
                  <c:v>130.6786276</c:v>
                </c:pt>
                <c:pt idx="6">
                  <c:v>128.94239920000001</c:v>
                </c:pt>
                <c:pt idx="7">
                  <c:v>127.23581470000001</c:v>
                </c:pt>
                <c:pt idx="8">
                  <c:v>125.55580550000001</c:v>
                </c:pt>
                <c:pt idx="9">
                  <c:v>123.8997037</c:v>
                </c:pt>
                <c:pt idx="10">
                  <c:v>122.26555</c:v>
                </c:pt>
                <c:pt idx="11">
                  <c:v>120.6520087</c:v>
                </c:pt>
                <c:pt idx="12">
                  <c:v>119.0581193</c:v>
                </c:pt>
                <c:pt idx="13">
                  <c:v>117.4832194</c:v>
                </c:pt>
                <c:pt idx="14">
                  <c:v>115.9268713</c:v>
                </c:pt>
                <c:pt idx="15">
                  <c:v>114.38879660000001</c:v>
                </c:pt>
                <c:pt idx="16">
                  <c:v>112.8688291</c:v>
                </c:pt>
                <c:pt idx="17">
                  <c:v>111.36688289999999</c:v>
                </c:pt>
                <c:pt idx="18">
                  <c:v>109.88293109999999</c:v>
                </c:pt>
                <c:pt idx="19">
                  <c:v>108.4169891</c:v>
                </c:pt>
                <c:pt idx="20">
                  <c:v>106.96906989999999</c:v>
                </c:pt>
                <c:pt idx="21">
                  <c:v>105.5391838</c:v>
                </c:pt>
                <c:pt idx="22">
                  <c:v>104.1273893</c:v>
                </c:pt>
                <c:pt idx="23">
                  <c:v>102.7337536</c:v>
                </c:pt>
                <c:pt idx="24">
                  <c:v>101.35832480000001</c:v>
                </c:pt>
                <c:pt idx="25">
                  <c:v>100.00104330000001</c:v>
                </c:pt>
                <c:pt idx="26">
                  <c:v>98.66173981</c:v>
                </c:pt>
                <c:pt idx="27">
                  <c:v>97.34026849</c:v>
                </c:pt>
                <c:pt idx="28">
                  <c:v>96.036500630000006</c:v>
                </c:pt>
                <c:pt idx="29">
                  <c:v>94.750307100000001</c:v>
                </c:pt>
                <c:pt idx="30">
                  <c:v>93.481543139999999</c:v>
                </c:pt>
                <c:pt idx="31">
                  <c:v>92.230042839999996</c:v>
                </c:pt>
                <c:pt idx="32">
                  <c:v>90.995615380000004</c:v>
                </c:pt>
                <c:pt idx="33">
                  <c:v>89.778041900000005</c:v>
                </c:pt>
                <c:pt idx="34">
                  <c:v>88.577074749999994</c:v>
                </c:pt>
                <c:pt idx="35">
                  <c:v>87.392439679999995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96B-4BFF-9D6E-7891C58785EB}"/>
            </c:ext>
          </c:extLst>
        </c:ser>
        <c:ser>
          <c:idx val="6"/>
          <c:order val="6"/>
          <c:tx>
            <c:strRef>
              <c:f>Données!$B$386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Données!$C$379:$AL$379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Données!$C$386:$AL$386</c:f>
              <c:numCache>
                <c:formatCode>#,##0</c:formatCode>
                <c:ptCount val="36"/>
                <c:pt idx="0">
                  <c:v>3.874567114</c:v>
                </c:pt>
                <c:pt idx="1">
                  <c:v>3.7242339809999998</c:v>
                </c:pt>
                <c:pt idx="2">
                  <c:v>3.5803045739999999</c:v>
                </c:pt>
                <c:pt idx="3">
                  <c:v>3.442797213</c:v>
                </c:pt>
                <c:pt idx="4">
                  <c:v>3.3116253850000001</c:v>
                </c:pt>
                <c:pt idx="5">
                  <c:v>3.186547204</c:v>
                </c:pt>
                <c:pt idx="6">
                  <c:v>3.0671962050000001</c:v>
                </c:pt>
                <c:pt idx="7">
                  <c:v>2.9531470999999998</c:v>
                </c:pt>
                <c:pt idx="8">
                  <c:v>2.843983218</c:v>
                </c:pt>
                <c:pt idx="9">
                  <c:v>2.7393390059999998</c:v>
                </c:pt>
                <c:pt idx="10">
                  <c:v>2.6389157519999999</c:v>
                </c:pt>
                <c:pt idx="11">
                  <c:v>2.5424707350000002</c:v>
                </c:pt>
                <c:pt idx="12">
                  <c:v>2.4497966799999999</c:v>
                </c:pt>
                <c:pt idx="13">
                  <c:v>2.3607140210000002</c:v>
                </c:pt>
                <c:pt idx="14">
                  <c:v>2.2750643959999999</c:v>
                </c:pt>
                <c:pt idx="15">
                  <c:v>2.1927053089999999</c:v>
                </c:pt>
                <c:pt idx="16">
                  <c:v>2.113506288</c:v>
                </c:pt>
                <c:pt idx="17">
                  <c:v>2.0373462839999998</c:v>
                </c:pt>
                <c:pt idx="18">
                  <c:v>1.9641118689999999</c:v>
                </c:pt>
                <c:pt idx="19">
                  <c:v>1.893695881</c:v>
                </c:pt>
                <c:pt idx="20">
                  <c:v>1.8259947059999999</c:v>
                </c:pt>
                <c:pt idx="21">
                  <c:v>1.7609081680000001</c:v>
                </c:pt>
                <c:pt idx="22">
                  <c:v>1.698342016</c:v>
                </c:pt>
                <c:pt idx="23">
                  <c:v>1.638205935</c:v>
                </c:pt>
                <c:pt idx="24">
                  <c:v>1.5804121010000001</c:v>
                </c:pt>
                <c:pt idx="25">
                  <c:v>1.5248709760000001</c:v>
                </c:pt>
                <c:pt idx="26">
                  <c:v>1.471491307</c:v>
                </c:pt>
                <c:pt idx="27">
                  <c:v>1.420186401</c:v>
                </c:pt>
                <c:pt idx="28">
                  <c:v>1.3708739379999999</c:v>
                </c:pt>
                <c:pt idx="29">
                  <c:v>1.323475202</c:v>
                </c:pt>
                <c:pt idx="30">
                  <c:v>1.277914422</c:v>
                </c:pt>
                <c:pt idx="31">
                  <c:v>1.234118461</c:v>
                </c:pt>
                <c:pt idx="32">
                  <c:v>1.192016446</c:v>
                </c:pt>
                <c:pt idx="33">
                  <c:v>1.151539528</c:v>
                </c:pt>
                <c:pt idx="34">
                  <c:v>1.112620774</c:v>
                </c:pt>
                <c:pt idx="35">
                  <c:v>1.0751951799999999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96B-4BFF-9D6E-7891C5878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Buildings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Données!$B$371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Données!$C$371:$AL$371</c:f>
              <c:numCache>
                <c:formatCode>#,##0</c:formatCode>
                <c:ptCount val="36"/>
                <c:pt idx="0">
                  <c:v>3.476542051</c:v>
                </c:pt>
                <c:pt idx="1">
                  <c:v>6.3451275340000004</c:v>
                </c:pt>
                <c:pt idx="2">
                  <c:v>9.5842776010000001</c:v>
                </c:pt>
                <c:pt idx="3">
                  <c:v>12.779686549999999</c:v>
                </c:pt>
                <c:pt idx="4">
                  <c:v>15.68033726</c:v>
                </c:pt>
                <c:pt idx="5">
                  <c:v>18.113468430000001</c:v>
                </c:pt>
                <c:pt idx="6">
                  <c:v>19.743126</c:v>
                </c:pt>
                <c:pt idx="7">
                  <c:v>23.68215665</c:v>
                </c:pt>
                <c:pt idx="8">
                  <c:v>28.251945030000002</c:v>
                </c:pt>
                <c:pt idx="9">
                  <c:v>32.995377130000001</c:v>
                </c:pt>
                <c:pt idx="10">
                  <c:v>37.826405960000002</c:v>
                </c:pt>
                <c:pt idx="11">
                  <c:v>42.629478659999997</c:v>
                </c:pt>
                <c:pt idx="12">
                  <c:v>47.433909030000002</c:v>
                </c:pt>
                <c:pt idx="13">
                  <c:v>52.236600719999998</c:v>
                </c:pt>
                <c:pt idx="14">
                  <c:v>57.0366839</c:v>
                </c:pt>
                <c:pt idx="15">
                  <c:v>61.833955070000002</c:v>
                </c:pt>
                <c:pt idx="16">
                  <c:v>66.628389940000005</c:v>
                </c:pt>
                <c:pt idx="17">
                  <c:v>71.419995029999995</c:v>
                </c:pt>
                <c:pt idx="18">
                  <c:v>76.208755999999994</c:v>
                </c:pt>
                <c:pt idx="19">
                  <c:v>80.994622739999997</c:v>
                </c:pt>
                <c:pt idx="20">
                  <c:v>85.751096669999995</c:v>
                </c:pt>
                <c:pt idx="21">
                  <c:v>90.530861999999999</c:v>
                </c:pt>
                <c:pt idx="22">
                  <c:v>95.307441999999995</c:v>
                </c:pt>
                <c:pt idx="23">
                  <c:v>100.08067819999999</c:v>
                </c:pt>
                <c:pt idx="24">
                  <c:v>104.85039519999999</c:v>
                </c:pt>
                <c:pt idx="25">
                  <c:v>109.54430670000001</c:v>
                </c:pt>
                <c:pt idx="26">
                  <c:v>114.2724879</c:v>
                </c:pt>
                <c:pt idx="27">
                  <c:v>118.99660660000001</c:v>
                </c:pt>
                <c:pt idx="28">
                  <c:v>123.7165301</c:v>
                </c:pt>
                <c:pt idx="29">
                  <c:v>128.4321099</c:v>
                </c:pt>
                <c:pt idx="30">
                  <c:v>133.14318739999999</c:v>
                </c:pt>
                <c:pt idx="31">
                  <c:v>137.84960340000001</c:v>
                </c:pt>
                <c:pt idx="32">
                  <c:v>142.55120489999999</c:v>
                </c:pt>
                <c:pt idx="33">
                  <c:v>147.24785019999999</c:v>
                </c:pt>
                <c:pt idx="34">
                  <c:v>151.9394092</c:v>
                </c:pt>
                <c:pt idx="35">
                  <c:v>156.62576250000001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4F-4D83-A0F0-AAB37D9DB6AC}"/>
            </c:ext>
          </c:extLst>
        </c:ser>
        <c:ser>
          <c:idx val="1"/>
          <c:order val="1"/>
          <c:tx>
            <c:strRef>
              <c:f>Données!$B$372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Données!$C$372:$AL$372</c:f>
              <c:numCache>
                <c:formatCode>#,##0</c:formatCode>
                <c:ptCount val="36"/>
                <c:pt idx="0">
                  <c:v>68.80476281</c:v>
                </c:pt>
                <c:pt idx="1">
                  <c:v>76.41206244</c:v>
                </c:pt>
                <c:pt idx="2">
                  <c:v>83.885999749999996</c:v>
                </c:pt>
                <c:pt idx="3">
                  <c:v>91.027650829999999</c:v>
                </c:pt>
                <c:pt idx="4">
                  <c:v>98.253095419999994</c:v>
                </c:pt>
                <c:pt idx="5">
                  <c:v>106.01400529999999</c:v>
                </c:pt>
                <c:pt idx="6">
                  <c:v>112.8109145</c:v>
                </c:pt>
                <c:pt idx="7">
                  <c:v>117.1257421</c:v>
                </c:pt>
                <c:pt idx="8">
                  <c:v>120.4876227</c:v>
                </c:pt>
                <c:pt idx="9">
                  <c:v>123.45754700000001</c:v>
                </c:pt>
                <c:pt idx="10">
                  <c:v>127.2933152</c:v>
                </c:pt>
                <c:pt idx="11">
                  <c:v>130.0158993</c:v>
                </c:pt>
                <c:pt idx="12">
                  <c:v>132.70271640000001</c:v>
                </c:pt>
                <c:pt idx="13">
                  <c:v>135.3740531</c:v>
                </c:pt>
                <c:pt idx="14">
                  <c:v>138.0398175</c:v>
                </c:pt>
                <c:pt idx="15">
                  <c:v>140.70493070000001</c:v>
                </c:pt>
                <c:pt idx="16">
                  <c:v>143.37186729999999</c:v>
                </c:pt>
                <c:pt idx="17">
                  <c:v>146.04188590000001</c:v>
                </c:pt>
                <c:pt idx="18">
                  <c:v>148.71563269999999</c:v>
                </c:pt>
                <c:pt idx="19">
                  <c:v>151.39344220000001</c:v>
                </c:pt>
                <c:pt idx="20">
                  <c:v>153.3884137</c:v>
                </c:pt>
                <c:pt idx="21">
                  <c:v>156.0726631</c:v>
                </c:pt>
                <c:pt idx="22">
                  <c:v>158.76129829999999</c:v>
                </c:pt>
                <c:pt idx="23">
                  <c:v>161.4543472</c:v>
                </c:pt>
                <c:pt idx="24">
                  <c:v>164.15182820000001</c:v>
                </c:pt>
                <c:pt idx="25">
                  <c:v>164.978218</c:v>
                </c:pt>
                <c:pt idx="26">
                  <c:v>166.7979699</c:v>
                </c:pt>
                <c:pt idx="27">
                  <c:v>168.6176011</c:v>
                </c:pt>
                <c:pt idx="28">
                  <c:v>170.43713070000001</c:v>
                </c:pt>
                <c:pt idx="29">
                  <c:v>172.25657820000001</c:v>
                </c:pt>
                <c:pt idx="30">
                  <c:v>174.0759639</c:v>
                </c:pt>
                <c:pt idx="31">
                  <c:v>175.89530909999999</c:v>
                </c:pt>
                <c:pt idx="32">
                  <c:v>177.7146372</c:v>
                </c:pt>
                <c:pt idx="33">
                  <c:v>179.53397530000001</c:v>
                </c:pt>
                <c:pt idx="34">
                  <c:v>181.35335649999999</c:v>
                </c:pt>
                <c:pt idx="35">
                  <c:v>183.17282019999999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4F-4D83-A0F0-AAB37D9DB6AC}"/>
            </c:ext>
          </c:extLst>
        </c:ser>
        <c:ser>
          <c:idx val="2"/>
          <c:order val="2"/>
          <c:tx>
            <c:strRef>
              <c:f>Données!$B$373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Données!$C$373:$AL$373</c:f>
              <c:numCache>
                <c:formatCode>#,##0</c:formatCode>
                <c:ptCount val="36"/>
                <c:pt idx="0">
                  <c:v>408.28039699999999</c:v>
                </c:pt>
                <c:pt idx="1">
                  <c:v>424.35277919999999</c:v>
                </c:pt>
                <c:pt idx="2">
                  <c:v>441.09975539999999</c:v>
                </c:pt>
                <c:pt idx="3">
                  <c:v>457.4155748</c:v>
                </c:pt>
                <c:pt idx="4">
                  <c:v>474.03083429999998</c:v>
                </c:pt>
                <c:pt idx="5">
                  <c:v>491.7817991</c:v>
                </c:pt>
                <c:pt idx="6">
                  <c:v>504.93077929999998</c:v>
                </c:pt>
                <c:pt idx="7">
                  <c:v>514.65934419999996</c:v>
                </c:pt>
                <c:pt idx="8">
                  <c:v>523.07314729999996</c:v>
                </c:pt>
                <c:pt idx="9">
                  <c:v>530.9513958</c:v>
                </c:pt>
                <c:pt idx="10">
                  <c:v>541.51330329999996</c:v>
                </c:pt>
                <c:pt idx="11">
                  <c:v>549.06884430000002</c:v>
                </c:pt>
                <c:pt idx="12">
                  <c:v>556.58140390000005</c:v>
                </c:pt>
                <c:pt idx="13">
                  <c:v>564.07873129999996</c:v>
                </c:pt>
                <c:pt idx="14">
                  <c:v>571.57439509999995</c:v>
                </c:pt>
                <c:pt idx="15">
                  <c:v>579.0751712</c:v>
                </c:pt>
                <c:pt idx="16">
                  <c:v>586.58450400000004</c:v>
                </c:pt>
                <c:pt idx="17">
                  <c:v>594.10417399999994</c:v>
                </c:pt>
                <c:pt idx="18">
                  <c:v>601.63511459999995</c:v>
                </c:pt>
                <c:pt idx="19">
                  <c:v>609.17782060000002</c:v>
                </c:pt>
                <c:pt idx="20">
                  <c:v>614.80345869999996</c:v>
                </c:pt>
                <c:pt idx="21">
                  <c:v>622.36413270000003</c:v>
                </c:pt>
                <c:pt idx="22">
                  <c:v>629.93706959999997</c:v>
                </c:pt>
                <c:pt idx="23">
                  <c:v>637.52231740000002</c:v>
                </c:pt>
                <c:pt idx="24">
                  <c:v>645.11991369999998</c:v>
                </c:pt>
                <c:pt idx="25">
                  <c:v>647.46395810000001</c:v>
                </c:pt>
                <c:pt idx="26">
                  <c:v>652.59623859999999</c:v>
                </c:pt>
                <c:pt idx="27">
                  <c:v>657.72771620000003</c:v>
                </c:pt>
                <c:pt idx="28">
                  <c:v>662.85843020000004</c:v>
                </c:pt>
                <c:pt idx="29">
                  <c:v>667.988426</c:v>
                </c:pt>
                <c:pt idx="30">
                  <c:v>673.11775850000004</c:v>
                </c:pt>
                <c:pt idx="31">
                  <c:v>678.24649250000004</c:v>
                </c:pt>
                <c:pt idx="32">
                  <c:v>683.37470570000005</c:v>
                </c:pt>
                <c:pt idx="33">
                  <c:v>688.50249040000006</c:v>
                </c:pt>
                <c:pt idx="34">
                  <c:v>693.62995520000004</c:v>
                </c:pt>
                <c:pt idx="35">
                  <c:v>698.7572242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4F-4D83-A0F0-AAB37D9DB6AC}"/>
            </c:ext>
          </c:extLst>
        </c:ser>
        <c:ser>
          <c:idx val="3"/>
          <c:order val="3"/>
          <c:tx>
            <c:strRef>
              <c:f>Données!$B$374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Données!$C$374:$AL$374</c:f>
              <c:numCache>
                <c:formatCode>#,##0</c:formatCode>
                <c:ptCount val="36"/>
                <c:pt idx="0">
                  <c:v>954.38155940000001</c:v>
                </c:pt>
                <c:pt idx="1">
                  <c:v>948.73785129999999</c:v>
                </c:pt>
                <c:pt idx="2">
                  <c:v>944.12706630000002</c:v>
                </c:pt>
                <c:pt idx="3">
                  <c:v>939.95266619999995</c:v>
                </c:pt>
                <c:pt idx="4">
                  <c:v>935.65342269999996</c:v>
                </c:pt>
                <c:pt idx="5">
                  <c:v>930.59731369999997</c:v>
                </c:pt>
                <c:pt idx="6">
                  <c:v>927.6545304</c:v>
                </c:pt>
                <c:pt idx="7">
                  <c:v>926.73878239999999</c:v>
                </c:pt>
                <c:pt idx="8">
                  <c:v>926.47858689999998</c:v>
                </c:pt>
                <c:pt idx="9">
                  <c:v>926.40606360000004</c:v>
                </c:pt>
                <c:pt idx="10">
                  <c:v>926.37021040000002</c:v>
                </c:pt>
                <c:pt idx="11">
                  <c:v>926.32373089999999</c:v>
                </c:pt>
                <c:pt idx="12">
                  <c:v>926.25251709999998</c:v>
                </c:pt>
                <c:pt idx="13">
                  <c:v>926.15392210000005</c:v>
                </c:pt>
                <c:pt idx="14">
                  <c:v>926.02867370000001</c:v>
                </c:pt>
                <c:pt idx="15">
                  <c:v>925.87828839999997</c:v>
                </c:pt>
                <c:pt idx="16">
                  <c:v>925.70423219999998</c:v>
                </c:pt>
                <c:pt idx="17">
                  <c:v>925.5077192</c:v>
                </c:pt>
                <c:pt idx="18">
                  <c:v>925.28964759999997</c:v>
                </c:pt>
                <c:pt idx="19">
                  <c:v>925.05058959999997</c:v>
                </c:pt>
                <c:pt idx="20">
                  <c:v>924.79090329999997</c:v>
                </c:pt>
                <c:pt idx="21">
                  <c:v>924.51053230000002</c:v>
                </c:pt>
                <c:pt idx="22">
                  <c:v>924.2096636</c:v>
                </c:pt>
                <c:pt idx="23">
                  <c:v>923.88801149999995</c:v>
                </c:pt>
                <c:pt idx="24">
                  <c:v>923.54517499999997</c:v>
                </c:pt>
                <c:pt idx="25">
                  <c:v>923.18088620000003</c:v>
                </c:pt>
                <c:pt idx="26">
                  <c:v>922.79444779999994</c:v>
                </c:pt>
                <c:pt idx="27">
                  <c:v>922.38618540000004</c:v>
                </c:pt>
                <c:pt idx="28">
                  <c:v>921.95592020000004</c:v>
                </c:pt>
                <c:pt idx="29">
                  <c:v>921.50339039999994</c:v>
                </c:pt>
                <c:pt idx="30">
                  <c:v>921.02831149999997</c:v>
                </c:pt>
                <c:pt idx="31">
                  <c:v>920.5304304</c:v>
                </c:pt>
                <c:pt idx="32">
                  <c:v>920.00956429999997</c:v>
                </c:pt>
                <c:pt idx="33">
                  <c:v>919.4656268</c:v>
                </c:pt>
                <c:pt idx="34">
                  <c:v>918.89864060000002</c:v>
                </c:pt>
                <c:pt idx="35">
                  <c:v>918.30873550000001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4F-4D83-A0F0-AAB37D9DB6AC}"/>
            </c:ext>
          </c:extLst>
        </c:ser>
        <c:ser>
          <c:idx val="4"/>
          <c:order val="4"/>
          <c:tx>
            <c:strRef>
              <c:f>Données!$B$375</c:f>
              <c:strCache>
                <c:ptCount val="1"/>
                <c:pt idx="0">
                  <c:v>E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Données!$C$375:$AL$375</c:f>
              <c:numCache>
                <c:formatCode>#,##0</c:formatCode>
                <c:ptCount val="36"/>
                <c:pt idx="0">
                  <c:v>878.79999729999997</c:v>
                </c:pt>
                <c:pt idx="1">
                  <c:v>868.20469969999999</c:v>
                </c:pt>
                <c:pt idx="2">
                  <c:v>858.15598309999996</c:v>
                </c:pt>
                <c:pt idx="3">
                  <c:v>848.48270349999996</c:v>
                </c:pt>
                <c:pt idx="4">
                  <c:v>838.84516359999998</c:v>
                </c:pt>
                <c:pt idx="5">
                  <c:v>828.75951320000001</c:v>
                </c:pt>
                <c:pt idx="6">
                  <c:v>820.52994690000003</c:v>
                </c:pt>
                <c:pt idx="7">
                  <c:v>813.85439199999996</c:v>
                </c:pt>
                <c:pt idx="8">
                  <c:v>808.15353990000006</c:v>
                </c:pt>
                <c:pt idx="9">
                  <c:v>803.01716499999998</c:v>
                </c:pt>
                <c:pt idx="10">
                  <c:v>798.20154769999999</c:v>
                </c:pt>
                <c:pt idx="11">
                  <c:v>793.57071580000002</c:v>
                </c:pt>
                <c:pt idx="12">
                  <c:v>789.0495985</c:v>
                </c:pt>
                <c:pt idx="13">
                  <c:v>784.59762679999994</c:v>
                </c:pt>
                <c:pt idx="14">
                  <c:v>780.19273320000002</c:v>
                </c:pt>
                <c:pt idx="15">
                  <c:v>775.82282139999995</c:v>
                </c:pt>
                <c:pt idx="16">
                  <c:v>771.48117630000002</c:v>
                </c:pt>
                <c:pt idx="17">
                  <c:v>767.16396259999999</c:v>
                </c:pt>
                <c:pt idx="18">
                  <c:v>762.86894729999995</c:v>
                </c:pt>
                <c:pt idx="19">
                  <c:v>758.59484980000002</c:v>
                </c:pt>
                <c:pt idx="20">
                  <c:v>754.34091650000005</c:v>
                </c:pt>
                <c:pt idx="21">
                  <c:v>750.10642689999997</c:v>
                </c:pt>
                <c:pt idx="22">
                  <c:v>745.89153950000002</c:v>
                </c:pt>
                <c:pt idx="23">
                  <c:v>741.69641390000004</c:v>
                </c:pt>
                <c:pt idx="24">
                  <c:v>737.52137570000002</c:v>
                </c:pt>
                <c:pt idx="25">
                  <c:v>733.36667799999998</c:v>
                </c:pt>
                <c:pt idx="26">
                  <c:v>729.23158799999999</c:v>
                </c:pt>
                <c:pt idx="27">
                  <c:v>725.11655280000002</c:v>
                </c:pt>
                <c:pt idx="28">
                  <c:v>721.02178040000001</c:v>
                </c:pt>
                <c:pt idx="29">
                  <c:v>716.94760459999998</c:v>
                </c:pt>
                <c:pt idx="30">
                  <c:v>712.89442980000001</c:v>
                </c:pt>
                <c:pt idx="31">
                  <c:v>708.86266790000002</c:v>
                </c:pt>
                <c:pt idx="32">
                  <c:v>704.85269730000005</c:v>
                </c:pt>
                <c:pt idx="33">
                  <c:v>700.86483150000004</c:v>
                </c:pt>
                <c:pt idx="34">
                  <c:v>696.89930059999995</c:v>
                </c:pt>
                <c:pt idx="35">
                  <c:v>692.9562459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4F-4D83-A0F0-AAB37D9DB6AC}"/>
            </c:ext>
          </c:extLst>
        </c:ser>
        <c:ser>
          <c:idx val="5"/>
          <c:order val="5"/>
          <c:tx>
            <c:strRef>
              <c:f>Données!$B$376</c:f>
              <c:strCache>
                <c:ptCount val="1"/>
                <c:pt idx="0">
                  <c:v>F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Données!$C$376:$AL$376</c:f>
              <c:numCache>
                <c:formatCode>#,##0</c:formatCode>
                <c:ptCount val="36"/>
                <c:pt idx="0">
                  <c:v>139.85209269999999</c:v>
                </c:pt>
                <c:pt idx="1">
                  <c:v>137.95012790000001</c:v>
                </c:pt>
                <c:pt idx="2">
                  <c:v>136.07585399999999</c:v>
                </c:pt>
                <c:pt idx="3">
                  <c:v>134.2374533</c:v>
                </c:pt>
                <c:pt idx="4">
                  <c:v>132.44026270000001</c:v>
                </c:pt>
                <c:pt idx="5">
                  <c:v>130.68535900000001</c:v>
                </c:pt>
                <c:pt idx="6">
                  <c:v>128.97032540000001</c:v>
                </c:pt>
                <c:pt idx="7">
                  <c:v>127.29099100000001</c:v>
                </c:pt>
                <c:pt idx="8">
                  <c:v>125.64262119999999</c:v>
                </c:pt>
                <c:pt idx="9">
                  <c:v>124.0208282</c:v>
                </c:pt>
                <c:pt idx="10">
                  <c:v>122.42210679999999</c:v>
                </c:pt>
                <c:pt idx="11">
                  <c:v>120.8439111</c:v>
                </c:pt>
                <c:pt idx="12">
                  <c:v>119.2843142</c:v>
                </c:pt>
                <c:pt idx="13">
                  <c:v>117.74190780000001</c:v>
                </c:pt>
                <c:pt idx="14">
                  <c:v>116.21570560000001</c:v>
                </c:pt>
                <c:pt idx="15">
                  <c:v>114.7050462</c:v>
                </c:pt>
                <c:pt idx="16">
                  <c:v>113.20951599999999</c:v>
                </c:pt>
                <c:pt idx="17">
                  <c:v>111.72890630000001</c:v>
                </c:pt>
                <c:pt idx="18">
                  <c:v>110.2631892</c:v>
                </c:pt>
                <c:pt idx="19">
                  <c:v>108.81248600000001</c:v>
                </c:pt>
                <c:pt idx="20">
                  <c:v>107.3769977</c:v>
                </c:pt>
                <c:pt idx="21">
                  <c:v>105.95698280000001</c:v>
                </c:pt>
                <c:pt idx="22">
                  <c:v>104.5527948</c:v>
                </c:pt>
                <c:pt idx="23">
                  <c:v>103.1648172</c:v>
                </c:pt>
                <c:pt idx="24">
                  <c:v>101.7934181</c:v>
                </c:pt>
                <c:pt idx="25">
                  <c:v>100.4388458</c:v>
                </c:pt>
                <c:pt idx="26">
                  <c:v>99.101222590000006</c:v>
                </c:pt>
                <c:pt idx="27">
                  <c:v>97.780694659999995</c:v>
                </c:pt>
                <c:pt idx="28">
                  <c:v>96.477404399999998</c:v>
                </c:pt>
                <c:pt idx="29">
                  <c:v>95.191459550000005</c:v>
                </c:pt>
                <c:pt idx="30">
                  <c:v>93.922919039999996</c:v>
                </c:pt>
                <c:pt idx="31">
                  <c:v>92.671791740000003</c:v>
                </c:pt>
                <c:pt idx="32">
                  <c:v>91.438028259999996</c:v>
                </c:pt>
                <c:pt idx="33">
                  <c:v>90.22151728</c:v>
                </c:pt>
                <c:pt idx="34">
                  <c:v>89.022087880000001</c:v>
                </c:pt>
                <c:pt idx="35">
                  <c:v>87.839517479999998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34F-4D83-A0F0-AAB37D9DB6AC}"/>
            </c:ext>
          </c:extLst>
        </c:ser>
        <c:ser>
          <c:idx val="6"/>
          <c:order val="6"/>
          <c:tx>
            <c:strRef>
              <c:f>Données!$B$377</c:f>
              <c:strCache>
                <c:ptCount val="1"/>
                <c:pt idx="0">
                  <c:v>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Données!$C$370:$AL$370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Données!$C$377:$AL$377</c:f>
              <c:numCache>
                <c:formatCode>#,##0</c:formatCode>
                <c:ptCount val="36"/>
                <c:pt idx="0">
                  <c:v>3.874567114</c:v>
                </c:pt>
                <c:pt idx="1">
                  <c:v>3.7237254019999999</c:v>
                </c:pt>
                <c:pt idx="2">
                  <c:v>3.579170661</c:v>
                </c:pt>
                <c:pt idx="3">
                  <c:v>3.4412495000000001</c:v>
                </c:pt>
                <c:pt idx="4">
                  <c:v>3.310097608</c:v>
                </c:pt>
                <c:pt idx="5">
                  <c:v>3.1855412909999998</c:v>
                </c:pt>
                <c:pt idx="6">
                  <c:v>3.067167253</c:v>
                </c:pt>
                <c:pt idx="7">
                  <c:v>2.9544403620000002</c:v>
                </c:pt>
                <c:pt idx="8">
                  <c:v>2.8468144839999998</c:v>
                </c:pt>
                <c:pt idx="9">
                  <c:v>2.7437993189999998</c:v>
                </c:pt>
                <c:pt idx="10">
                  <c:v>2.6449924679999999</c:v>
                </c:pt>
                <c:pt idx="11">
                  <c:v>2.5500771919999998</c:v>
                </c:pt>
                <c:pt idx="12">
                  <c:v>2.4587933940000002</c:v>
                </c:pt>
                <c:pt idx="13">
                  <c:v>2.3709267779999998</c:v>
                </c:pt>
                <c:pt idx="14">
                  <c:v>2.2862993540000001</c:v>
                </c:pt>
                <c:pt idx="15">
                  <c:v>2.2047609709999998</c:v>
                </c:pt>
                <c:pt idx="16">
                  <c:v>2.1261826159999999</c:v>
                </c:pt>
                <c:pt idx="17">
                  <c:v>2.0504519000000001</c:v>
                </c:pt>
                <c:pt idx="18">
                  <c:v>1.9774699069999999</c:v>
                </c:pt>
                <c:pt idx="19">
                  <c:v>1.9071481960000001</c:v>
                </c:pt>
                <c:pt idx="20">
                  <c:v>1.8394042530000001</c:v>
                </c:pt>
                <c:pt idx="21">
                  <c:v>1.774159971</c:v>
                </c:pt>
                <c:pt idx="22">
                  <c:v>1.7113434679999999</c:v>
                </c:pt>
                <c:pt idx="23">
                  <c:v>1.650885766</c:v>
                </c:pt>
                <c:pt idx="24">
                  <c:v>1.592718614</c:v>
                </c:pt>
                <c:pt idx="25">
                  <c:v>1.5367696230000001</c:v>
                </c:pt>
                <c:pt idx="26">
                  <c:v>1.4829623409999999</c:v>
                </c:pt>
                <c:pt idx="27">
                  <c:v>1.431223661</c:v>
                </c:pt>
                <c:pt idx="28">
                  <c:v>1.381482887</c:v>
                </c:pt>
                <c:pt idx="29">
                  <c:v>1.3336706380000001</c:v>
                </c:pt>
                <c:pt idx="30">
                  <c:v>1.2877184230000001</c:v>
                </c:pt>
                <c:pt idx="31">
                  <c:v>1.2435585090000001</c:v>
                </c:pt>
                <c:pt idx="32">
                  <c:v>1.2011236439999999</c:v>
                </c:pt>
                <c:pt idx="33">
                  <c:v>1.1603469769999999</c:v>
                </c:pt>
                <c:pt idx="34">
                  <c:v>1.121162236</c:v>
                </c:pt>
                <c:pt idx="35">
                  <c:v>1.083504075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34F-4D83-A0F0-AAB37D9DB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(baseline)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Données!$B$362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Données!$C$362:$AL$362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7160.6497701201997</c:v>
                </c:pt>
                <c:pt idx="2">
                  <c:v>7267.0218339753001</c:v>
                </c:pt>
                <c:pt idx="3">
                  <c:v>7408.2739996067003</c:v>
                </c:pt>
                <c:pt idx="4">
                  <c:v>7573.2387057862998</c:v>
                </c:pt>
                <c:pt idx="5">
                  <c:v>7754.6723052550005</c:v>
                </c:pt>
                <c:pt idx="6">
                  <c:v>7946.7417142871</c:v>
                </c:pt>
                <c:pt idx="7">
                  <c:v>8146.3988534503997</c:v>
                </c:pt>
                <c:pt idx="8">
                  <c:v>8351.6196294832989</c:v>
                </c:pt>
                <c:pt idx="9">
                  <c:v>8561.0175057530996</c:v>
                </c:pt>
                <c:pt idx="10">
                  <c:v>8775.7139397395003</c:v>
                </c:pt>
                <c:pt idx="11">
                  <c:v>8992.7592895335983</c:v>
                </c:pt>
                <c:pt idx="12">
                  <c:v>9211.5018597409999</c:v>
                </c:pt>
                <c:pt idx="13">
                  <c:v>9431.3736164796992</c:v>
                </c:pt>
                <c:pt idx="14">
                  <c:v>9651.9098978662987</c:v>
                </c:pt>
                <c:pt idx="15">
                  <c:v>9872.7421358042993</c:v>
                </c:pt>
                <c:pt idx="16">
                  <c:v>10093.582846903</c:v>
                </c:pt>
                <c:pt idx="17">
                  <c:v>10314.210248139201</c:v>
                </c:pt>
                <c:pt idx="18">
                  <c:v>10534.455446041102</c:v>
                </c:pt>
                <c:pt idx="19">
                  <c:v>10754.193078006401</c:v>
                </c:pt>
                <c:pt idx="20">
                  <c:v>10971.670640068</c:v>
                </c:pt>
                <c:pt idx="21">
                  <c:v>11188.586057133998</c:v>
                </c:pt>
                <c:pt idx="22">
                  <c:v>11404.950032596</c:v>
                </c:pt>
                <c:pt idx="23">
                  <c:v>11620.816143082999</c:v>
                </c:pt>
                <c:pt idx="24">
                  <c:v>11836.243901001</c:v>
                </c:pt>
                <c:pt idx="25">
                  <c:v>12046.420553289001</c:v>
                </c:pt>
                <c:pt idx="26">
                  <c:v>12254.240108496999</c:v>
                </c:pt>
                <c:pt idx="27">
                  <c:v>12459.975402196</c:v>
                </c:pt>
                <c:pt idx="28">
                  <c:v>12664.003532695</c:v>
                </c:pt>
                <c:pt idx="29">
                  <c:v>12866.725795528</c:v>
                </c:pt>
                <c:pt idx="30">
                  <c:v>13068.52787908</c:v>
                </c:pt>
                <c:pt idx="31">
                  <c:v>13269.762189802001</c:v>
                </c:pt>
                <c:pt idx="32">
                  <c:v>13470.743567314001</c:v>
                </c:pt>
                <c:pt idx="33">
                  <c:v>13671.752167608998</c:v>
                </c:pt>
                <c:pt idx="34">
                  <c:v>13873.039529017</c:v>
                </c:pt>
                <c:pt idx="35">
                  <c:v>14074.835079222001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3B-46A1-8D5E-7BC161373771}"/>
            </c:ext>
          </c:extLst>
        </c:ser>
        <c:ser>
          <c:idx val="1"/>
          <c:order val="1"/>
          <c:tx>
            <c:strRef>
              <c:f>Données!$B$363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Données!$C$363:$AL$363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8202.9699857839987</c:v>
                </c:pt>
                <c:pt idx="2">
                  <c:v>8199.9926192586991</c:v>
                </c:pt>
                <c:pt idx="3">
                  <c:v>8237.1856839249995</c:v>
                </c:pt>
                <c:pt idx="4">
                  <c:v>8303.0509387805996</c:v>
                </c:pt>
                <c:pt idx="5">
                  <c:v>8389.966607390601</c:v>
                </c:pt>
                <c:pt idx="6">
                  <c:v>8491.7567385393995</c:v>
                </c:pt>
                <c:pt idx="7">
                  <c:v>8604.9718771148</c:v>
                </c:pt>
                <c:pt idx="8">
                  <c:v>8727.1942820592994</c:v>
                </c:pt>
                <c:pt idx="9">
                  <c:v>8856.6591112539008</c:v>
                </c:pt>
                <c:pt idx="10">
                  <c:v>8993.9961860825006</c:v>
                </c:pt>
                <c:pt idx="11">
                  <c:v>9136.0468403181003</c:v>
                </c:pt>
                <c:pt idx="12">
                  <c:v>9281.8489557398007</c:v>
                </c:pt>
                <c:pt idx="13">
                  <c:v>9430.5500644000003</c:v>
                </c:pt>
                <c:pt idx="14">
                  <c:v>9581.4221243070006</c:v>
                </c:pt>
                <c:pt idx="15">
                  <c:v>9733.8514979902993</c:v>
                </c:pt>
                <c:pt idx="16">
                  <c:v>9887.3222490528988</c:v>
                </c:pt>
                <c:pt idx="17">
                  <c:v>10041.399497227201</c:v>
                </c:pt>
                <c:pt idx="18">
                  <c:v>10195.7154536322</c:v>
                </c:pt>
                <c:pt idx="19">
                  <c:v>10349.9587839048</c:v>
                </c:pt>
                <c:pt idx="20">
                  <c:v>10502.3576019915</c:v>
                </c:pt>
                <c:pt idx="21">
                  <c:v>10654.2929332687</c:v>
                </c:pt>
                <c:pt idx="22">
                  <c:v>10805.617537299198</c:v>
                </c:pt>
                <c:pt idx="23">
                  <c:v>10956.231568276</c:v>
                </c:pt>
                <c:pt idx="24">
                  <c:v>11106.048512739</c:v>
                </c:pt>
                <c:pt idx="25">
                  <c:v>11250.652227018001</c:v>
                </c:pt>
                <c:pt idx="26">
                  <c:v>11392.533741895</c:v>
                </c:pt>
                <c:pt idx="27">
                  <c:v>11531.841421735999</c:v>
                </c:pt>
                <c:pt idx="28">
                  <c:v>11668.817065719999</c:v>
                </c:pt>
                <c:pt idx="29">
                  <c:v>11803.723659386</c:v>
                </c:pt>
                <c:pt idx="30">
                  <c:v>11936.809797827</c:v>
                </c:pt>
                <c:pt idx="31">
                  <c:v>12068.294197409001</c:v>
                </c:pt>
                <c:pt idx="32">
                  <c:v>12198.361863041</c:v>
                </c:pt>
                <c:pt idx="33">
                  <c:v>12327.166714072999</c:v>
                </c:pt>
                <c:pt idx="34">
                  <c:v>12454.836956829</c:v>
                </c:pt>
                <c:pt idx="35">
                  <c:v>12581.480734571998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13B-46A1-8D5E-7BC161373771}"/>
            </c:ext>
          </c:extLst>
        </c:ser>
        <c:ser>
          <c:idx val="2"/>
          <c:order val="2"/>
          <c:tx>
            <c:strRef>
              <c:f>Données!$B$364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Données!$C$364:$AL$364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6662.2406310623001</c:v>
                </c:pt>
                <c:pt idx="2">
                  <c:v>6582.4081957570997</c:v>
                </c:pt>
                <c:pt idx="3">
                  <c:v>6535.4142408421003</c:v>
                </c:pt>
                <c:pt idx="4">
                  <c:v>6512.7391874323012</c:v>
                </c:pt>
                <c:pt idx="5">
                  <c:v>6508.6252858430007</c:v>
                </c:pt>
                <c:pt idx="6">
                  <c:v>6518.3813024966994</c:v>
                </c:pt>
                <c:pt idx="7">
                  <c:v>6539.2420395138006</c:v>
                </c:pt>
                <c:pt idx="8">
                  <c:v>6569.1921276937001</c:v>
                </c:pt>
                <c:pt idx="9">
                  <c:v>6606.698282293899</c:v>
                </c:pt>
                <c:pt idx="10">
                  <c:v>6651.8786700087003</c:v>
                </c:pt>
                <c:pt idx="11">
                  <c:v>6702.3120217918995</c:v>
                </c:pt>
                <c:pt idx="12">
                  <c:v>6757.0932841846998</c:v>
                </c:pt>
                <c:pt idx="13">
                  <c:v>6815.4150689988992</c:v>
                </c:pt>
                <c:pt idx="14">
                  <c:v>6876.5749886975991</c:v>
                </c:pt>
                <c:pt idx="15">
                  <c:v>6939.9665748670996</c:v>
                </c:pt>
                <c:pt idx="16">
                  <c:v>7005.0660783644007</c:v>
                </c:pt>
                <c:pt idx="17">
                  <c:v>7071.4195952953996</c:v>
                </c:pt>
                <c:pt idx="18">
                  <c:v>7138.6321837855003</c:v>
                </c:pt>
                <c:pt idx="19">
                  <c:v>7206.3593543482002</c:v>
                </c:pt>
                <c:pt idx="20">
                  <c:v>7273.3130855633008</c:v>
                </c:pt>
                <c:pt idx="21">
                  <c:v>7340.2857857916997</c:v>
                </c:pt>
                <c:pt idx="22">
                  <c:v>7407.0731585971007</c:v>
                </c:pt>
                <c:pt idx="23">
                  <c:v>7473.5093871647005</c:v>
                </c:pt>
                <c:pt idx="24">
                  <c:v>7539.4443940978999</c:v>
                </c:pt>
                <c:pt idx="25">
                  <c:v>7601.9537533398998</c:v>
                </c:pt>
                <c:pt idx="26">
                  <c:v>7662.5813360578995</c:v>
                </c:pt>
                <c:pt idx="27">
                  <c:v>7721.3617932623001</c:v>
                </c:pt>
                <c:pt idx="28">
                  <c:v>7778.3917462901991</c:v>
                </c:pt>
                <c:pt idx="29">
                  <c:v>7833.7827198602999</c:v>
                </c:pt>
                <c:pt idx="30">
                  <c:v>7887.6383003073997</c:v>
                </c:pt>
                <c:pt idx="31">
                  <c:v>7940.0442295400999</c:v>
                </c:pt>
                <c:pt idx="32">
                  <c:v>7991.0660625943001</c:v>
                </c:pt>
                <c:pt idx="33">
                  <c:v>8040.7508782794002</c:v>
                </c:pt>
                <c:pt idx="34">
                  <c:v>8089.1306872682999</c:v>
                </c:pt>
                <c:pt idx="35">
                  <c:v>8136.2260751088997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13B-46A1-8D5E-7BC161373771}"/>
            </c:ext>
          </c:extLst>
        </c:ser>
        <c:ser>
          <c:idx val="3"/>
          <c:order val="3"/>
          <c:tx>
            <c:strRef>
              <c:f>Données!$B$365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Données!$C$365:$AL$365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4063.7549312136998</c:v>
                </c:pt>
                <c:pt idx="2">
                  <c:v>3987.4894732077</c:v>
                </c:pt>
                <c:pt idx="3">
                  <c:v>3929.3510927446</c:v>
                </c:pt>
                <c:pt idx="4">
                  <c:v>3884.2335663102999</c:v>
                </c:pt>
                <c:pt idx="5">
                  <c:v>3848.6928162383001</c:v>
                </c:pt>
                <c:pt idx="6">
                  <c:v>3819.9768986637996</c:v>
                </c:pt>
                <c:pt idx="7">
                  <c:v>3796.4372670168004</c:v>
                </c:pt>
                <c:pt idx="8">
                  <c:v>3776.8724856389995</c:v>
                </c:pt>
                <c:pt idx="9">
                  <c:v>3760.3696740575001</c:v>
                </c:pt>
                <c:pt idx="10">
                  <c:v>3746.8693203376997</c:v>
                </c:pt>
                <c:pt idx="11">
                  <c:v>3735.0603275653002</c:v>
                </c:pt>
                <c:pt idx="12">
                  <c:v>3724.4200941849003</c:v>
                </c:pt>
                <c:pt idx="13">
                  <c:v>3714.4942371384</c:v>
                </c:pt>
                <c:pt idx="14">
                  <c:v>3704.8966034184</c:v>
                </c:pt>
                <c:pt idx="15">
                  <c:v>3695.3018210351001</c:v>
                </c:pt>
                <c:pt idx="16">
                  <c:v>3685.4365536739001</c:v>
                </c:pt>
                <c:pt idx="17">
                  <c:v>3675.0714531167</c:v>
                </c:pt>
                <c:pt idx="18">
                  <c:v>3664.0143795993999</c:v>
                </c:pt>
                <c:pt idx="19">
                  <c:v>3652.1049544511002</c:v>
                </c:pt>
                <c:pt idx="20">
                  <c:v>3638.7871652795002</c:v>
                </c:pt>
                <c:pt idx="21">
                  <c:v>3624.4161775775001</c:v>
                </c:pt>
                <c:pt idx="22">
                  <c:v>3608.9135864688001</c:v>
                </c:pt>
                <c:pt idx="23">
                  <c:v>3592.2203253452003</c:v>
                </c:pt>
                <c:pt idx="24">
                  <c:v>3574.2871039483998</c:v>
                </c:pt>
                <c:pt idx="25">
                  <c:v>3553.9751255112001</c:v>
                </c:pt>
                <c:pt idx="26">
                  <c:v>3531.9539924317</c:v>
                </c:pt>
                <c:pt idx="27">
                  <c:v>3508.2824543446</c:v>
                </c:pt>
                <c:pt idx="28">
                  <c:v>3483.0399032095997</c:v>
                </c:pt>
                <c:pt idx="29">
                  <c:v>3456.3075700902</c:v>
                </c:pt>
                <c:pt idx="30">
                  <c:v>3428.1603070251999</c:v>
                </c:pt>
                <c:pt idx="31">
                  <c:v>3398.6636320066</c:v>
                </c:pt>
                <c:pt idx="32">
                  <c:v>3367.8736198307001</c:v>
                </c:pt>
                <c:pt idx="33">
                  <c:v>3335.8382374470998</c:v>
                </c:pt>
                <c:pt idx="34">
                  <c:v>3302.5992079940997</c:v>
                </c:pt>
                <c:pt idx="35">
                  <c:v>3268.1938664642003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13B-46A1-8D5E-7BC161373771}"/>
            </c:ext>
          </c:extLst>
        </c:ser>
        <c:ser>
          <c:idx val="4"/>
          <c:order val="4"/>
          <c:tx>
            <c:strRef>
              <c:f>Données!$B$366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Données!$C$366:$AL$366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2448.3068137218997</c:v>
                </c:pt>
                <c:pt idx="2">
                  <c:v>2403.6767763287999</c:v>
                </c:pt>
                <c:pt idx="3">
                  <c:v>2368.6467388767001</c:v>
                </c:pt>
                <c:pt idx="4">
                  <c:v>2340.0152291925001</c:v>
                </c:pt>
                <c:pt idx="5">
                  <c:v>2315.6699021942004</c:v>
                </c:pt>
                <c:pt idx="6">
                  <c:v>2293.9727388854999</c:v>
                </c:pt>
                <c:pt idx="7">
                  <c:v>2273.9774580167</c:v>
                </c:pt>
                <c:pt idx="8">
                  <c:v>2255.0232690336002</c:v>
                </c:pt>
                <c:pt idx="9">
                  <c:v>2236.6319727063001</c:v>
                </c:pt>
                <c:pt idx="10">
                  <c:v>2218.8139136135001</c:v>
                </c:pt>
                <c:pt idx="11">
                  <c:v>2200.8828083752996</c:v>
                </c:pt>
                <c:pt idx="12">
                  <c:v>2182.6055815394998</c:v>
                </c:pt>
                <c:pt idx="13">
                  <c:v>2163.7928085325998</c:v>
                </c:pt>
                <c:pt idx="14">
                  <c:v>2144.2968635486</c:v>
                </c:pt>
                <c:pt idx="15">
                  <c:v>2124.0063144654</c:v>
                </c:pt>
                <c:pt idx="16">
                  <c:v>2102.8400178417</c:v>
                </c:pt>
                <c:pt idx="17">
                  <c:v>2080.7418762244997</c:v>
                </c:pt>
                <c:pt idx="18">
                  <c:v>2057.6764714575002</c:v>
                </c:pt>
                <c:pt idx="19">
                  <c:v>2033.6255230577001</c:v>
                </c:pt>
                <c:pt idx="20">
                  <c:v>2008.3786887113999</c:v>
                </c:pt>
                <c:pt idx="21">
                  <c:v>1982.1758284808</c:v>
                </c:pt>
                <c:pt idx="22">
                  <c:v>1955.0394262089001</c:v>
                </c:pt>
                <c:pt idx="23">
                  <c:v>1926.9998664242</c:v>
                </c:pt>
                <c:pt idx="24">
                  <c:v>1898.0909415355002</c:v>
                </c:pt>
                <c:pt idx="25">
                  <c:v>1867.8528444243002</c:v>
                </c:pt>
                <c:pt idx="26">
                  <c:v>1836.6603911528998</c:v>
                </c:pt>
                <c:pt idx="27">
                  <c:v>1804.6023790920999</c:v>
                </c:pt>
                <c:pt idx="28">
                  <c:v>1771.7726003074999</c:v>
                </c:pt>
                <c:pt idx="29">
                  <c:v>1738.2614750150001</c:v>
                </c:pt>
                <c:pt idx="30">
                  <c:v>1704.1528732053</c:v>
                </c:pt>
                <c:pt idx="31">
                  <c:v>1669.5233379435999</c:v>
                </c:pt>
                <c:pt idx="32">
                  <c:v>1634.4425046789001</c:v>
                </c:pt>
                <c:pt idx="33">
                  <c:v>1598.9740876684</c:v>
                </c:pt>
                <c:pt idx="34">
                  <c:v>1563.177002057</c:v>
                </c:pt>
                <c:pt idx="35">
                  <c:v>1527.1064374709999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13B-46A1-8D5E-7BC161373771}"/>
            </c:ext>
          </c:extLst>
        </c:ser>
        <c:ser>
          <c:idx val="5"/>
          <c:order val="5"/>
          <c:tx>
            <c:strRef>
              <c:f>Données!$B$367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Données!$C$367:$AL$367</c:f>
              <c:numCache>
                <c:formatCode>#,##0</c:formatCode>
                <c:ptCount val="36"/>
                <c:pt idx="0">
                  <c:v>1245.466605953</c:v>
                </c:pt>
                <c:pt idx="1">
                  <c:v>1213.2724268428999</c:v>
                </c:pt>
                <c:pt idx="2">
                  <c:v>1186.5363146664001</c:v>
                </c:pt>
                <c:pt idx="3">
                  <c:v>1162.6456731498001</c:v>
                </c:pt>
                <c:pt idx="4">
                  <c:v>1139.9931489804001</c:v>
                </c:pt>
                <c:pt idx="5">
                  <c:v>1117.6232972770999</c:v>
                </c:pt>
                <c:pt idx="6">
                  <c:v>1094.8958475912</c:v>
                </c:pt>
                <c:pt idx="7">
                  <c:v>1071.5278904214999</c:v>
                </c:pt>
                <c:pt idx="8">
                  <c:v>1047.3896679239001</c:v>
                </c:pt>
                <c:pt idx="9">
                  <c:v>1022.4439905147</c:v>
                </c:pt>
                <c:pt idx="10">
                  <c:v>996.8349238088</c:v>
                </c:pt>
                <c:pt idx="11">
                  <c:v>970.46755060129999</c:v>
                </c:pt>
                <c:pt idx="12">
                  <c:v>943.41276724229999</c:v>
                </c:pt>
                <c:pt idx="13">
                  <c:v>915.75633641750005</c:v>
                </c:pt>
                <c:pt idx="14">
                  <c:v>887.59500137240002</c:v>
                </c:pt>
                <c:pt idx="15">
                  <c:v>859.03219563509992</c:v>
                </c:pt>
                <c:pt idx="16">
                  <c:v>830.17442760000006</c:v>
                </c:pt>
                <c:pt idx="17">
                  <c:v>801.1284275631001</c:v>
                </c:pt>
                <c:pt idx="18">
                  <c:v>771.99895218380004</c:v>
                </c:pt>
                <c:pt idx="19">
                  <c:v>742.88713088460008</c:v>
                </c:pt>
                <c:pt idx="20">
                  <c:v>713.8456550858001</c:v>
                </c:pt>
                <c:pt idx="21">
                  <c:v>685.01795706190001</c:v>
                </c:pt>
                <c:pt idx="22">
                  <c:v>656.48872355579999</c:v>
                </c:pt>
                <c:pt idx="23">
                  <c:v>628.3352966356</c:v>
                </c:pt>
                <c:pt idx="24">
                  <c:v>600.62726380600009</c:v>
                </c:pt>
                <c:pt idx="25">
                  <c:v>573.34682462540002</c:v>
                </c:pt>
                <c:pt idx="26">
                  <c:v>546.61286037559989</c:v>
                </c:pt>
                <c:pt idx="27">
                  <c:v>520.48513713800003</c:v>
                </c:pt>
                <c:pt idx="28">
                  <c:v>495.0151893542</c:v>
                </c:pt>
                <c:pt idx="29">
                  <c:v>470.24577083529999</c:v>
                </c:pt>
                <c:pt idx="30">
                  <c:v>446.21128849580003</c:v>
                </c:pt>
                <c:pt idx="31">
                  <c:v>422.93855412869999</c:v>
                </c:pt>
                <c:pt idx="32">
                  <c:v>400.44761490270002</c:v>
                </c:pt>
                <c:pt idx="33">
                  <c:v>378.75256011940002</c:v>
                </c:pt>
                <c:pt idx="34">
                  <c:v>357.86225873429999</c:v>
                </c:pt>
                <c:pt idx="35">
                  <c:v>337.78100741360004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13B-46A1-8D5E-7BC161373771}"/>
            </c:ext>
          </c:extLst>
        </c:ser>
        <c:ser>
          <c:idx val="6"/>
          <c:order val="6"/>
          <c:tx>
            <c:strRef>
              <c:f>Données!$B$368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Données!$C$361:$AL$361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Données!$C$368:$AL$368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2188.0868082447</c:v>
                </c:pt>
                <c:pt idx="2">
                  <c:v>2140.3306655012002</c:v>
                </c:pt>
                <c:pt idx="3">
                  <c:v>2094.4834848209002</c:v>
                </c:pt>
                <c:pt idx="4">
                  <c:v>2047.7041672985001</c:v>
                </c:pt>
                <c:pt idx="5">
                  <c:v>1998.5710212613001</c:v>
                </c:pt>
                <c:pt idx="6">
                  <c:v>1946.3664710795999</c:v>
                </c:pt>
                <c:pt idx="7">
                  <c:v>1891.0505577392</c:v>
                </c:pt>
                <c:pt idx="8">
                  <c:v>1832.8599629736</c:v>
                </c:pt>
                <c:pt idx="9">
                  <c:v>1772.1758810415001</c:v>
                </c:pt>
                <c:pt idx="10">
                  <c:v>1709.6186958621001</c:v>
                </c:pt>
                <c:pt idx="11">
                  <c:v>1645.4443551529002</c:v>
                </c:pt>
                <c:pt idx="12">
                  <c:v>1580.1172811163001</c:v>
                </c:pt>
                <c:pt idx="13">
                  <c:v>1514.0874278106999</c:v>
                </c:pt>
                <c:pt idx="14">
                  <c:v>1447.7819658456001</c:v>
                </c:pt>
                <c:pt idx="15">
                  <c:v>1381.5983469869</c:v>
                </c:pt>
                <c:pt idx="16">
                  <c:v>1315.8997674142001</c:v>
                </c:pt>
                <c:pt idx="17">
                  <c:v>1251.0126558118</c:v>
                </c:pt>
                <c:pt idx="18">
                  <c:v>1187.225698536</c:v>
                </c:pt>
                <c:pt idx="19">
                  <c:v>1124.790003007</c:v>
                </c:pt>
                <c:pt idx="20">
                  <c:v>1063.8806411125001</c:v>
                </c:pt>
                <c:pt idx="21">
                  <c:v>1004.7279219315001</c:v>
                </c:pt>
                <c:pt idx="22">
                  <c:v>947.47821011699989</c:v>
                </c:pt>
                <c:pt idx="23">
                  <c:v>892.24645242569989</c:v>
                </c:pt>
                <c:pt idx="24">
                  <c:v>839.11884325380004</c:v>
                </c:pt>
                <c:pt idx="25">
                  <c:v>788.09888671300007</c:v>
                </c:pt>
                <c:pt idx="26">
                  <c:v>739.27533446689995</c:v>
                </c:pt>
                <c:pt idx="27">
                  <c:v>692.67508426439997</c:v>
                </c:pt>
                <c:pt idx="28">
                  <c:v>648.30447225520004</c:v>
                </c:pt>
                <c:pt idx="29">
                  <c:v>606.15150930469997</c:v>
                </c:pt>
                <c:pt idx="30">
                  <c:v>566.18861494589999</c:v>
                </c:pt>
                <c:pt idx="31">
                  <c:v>528.37527041220005</c:v>
                </c:pt>
                <c:pt idx="32">
                  <c:v>492.6604256425</c:v>
                </c:pt>
                <c:pt idx="33">
                  <c:v>458.98462171059992</c:v>
                </c:pt>
                <c:pt idx="34">
                  <c:v>427.28183334390002</c:v>
                </c:pt>
                <c:pt idx="35">
                  <c:v>397.481052277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13B-46A1-8D5E-7BC161373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class (shock)</a:t>
            </a:r>
          </a:p>
          <a:p>
            <a:pPr>
              <a:defRPr/>
            </a:pPr>
            <a:r>
              <a:rPr lang="fr-FR" sz="1800" i="1"/>
              <a:t>thousands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Données!$B$331</c:f>
              <c:strCache>
                <c:ptCount val="1"/>
                <c:pt idx="0">
                  <c:v>AUTO_CA_0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Données!$C$331:$AL$331</c:f>
              <c:numCache>
                <c:formatCode>#,##0</c:formatCode>
                <c:ptCount val="36"/>
                <c:pt idx="0">
                  <c:v>7105.9689965623002</c:v>
                </c:pt>
                <c:pt idx="1">
                  <c:v>7150.6531351446993</c:v>
                </c:pt>
                <c:pt idx="2">
                  <c:v>7239.0389582022008</c:v>
                </c:pt>
                <c:pt idx="3">
                  <c:v>7357.4692706532005</c:v>
                </c:pt>
                <c:pt idx="4">
                  <c:v>7497.1828732583999</c:v>
                </c:pt>
                <c:pt idx="5">
                  <c:v>7652.6855856790007</c:v>
                </c:pt>
                <c:pt idx="6">
                  <c:v>7819.3142290787009</c:v>
                </c:pt>
                <c:pt idx="7">
                  <c:v>7994.7231441065996</c:v>
                </c:pt>
                <c:pt idx="8">
                  <c:v>8177.2510643573005</c:v>
                </c:pt>
                <c:pt idx="9">
                  <c:v>8365.6542639985</c:v>
                </c:pt>
                <c:pt idx="10">
                  <c:v>8561.0254647630009</c:v>
                </c:pt>
                <c:pt idx="11">
                  <c:v>8760.3400953162982</c:v>
                </c:pt>
                <c:pt idx="12">
                  <c:v>8962.860389088999</c:v>
                </c:pt>
                <c:pt idx="13">
                  <c:v>9167.9311783404992</c:v>
                </c:pt>
                <c:pt idx="14">
                  <c:v>9374.9977757098004</c:v>
                </c:pt>
                <c:pt idx="15">
                  <c:v>9583.5971848347999</c:v>
                </c:pt>
                <c:pt idx="16">
                  <c:v>9793.2778523908019</c:v>
                </c:pt>
                <c:pt idx="17">
                  <c:v>10003.6831813155</c:v>
                </c:pt>
                <c:pt idx="18">
                  <c:v>10214.5175068351</c:v>
                </c:pt>
                <c:pt idx="19">
                  <c:v>10425.5311129769</c:v>
                </c:pt>
                <c:pt idx="20">
                  <c:v>10634.8807075108</c:v>
                </c:pt>
                <c:pt idx="21">
                  <c:v>10844.1286879538</c:v>
                </c:pt>
                <c:pt idx="22">
                  <c:v>11053.162562920999</c:v>
                </c:pt>
                <c:pt idx="23">
                  <c:v>11261.922566115001</c:v>
                </c:pt>
                <c:pt idx="24">
                  <c:v>11470.366230312</c:v>
                </c:pt>
                <c:pt idx="25">
                  <c:v>11673.682153184001</c:v>
                </c:pt>
                <c:pt idx="26">
                  <c:v>11874.712030765</c:v>
                </c:pt>
                <c:pt idx="27">
                  <c:v>12073.664075237</c:v>
                </c:pt>
                <c:pt idx="28">
                  <c:v>12270.850480270001</c:v>
                </c:pt>
                <c:pt idx="29">
                  <c:v>12466.615517886999</c:v>
                </c:pt>
                <c:pt idx="30">
                  <c:v>12661.297583754998</c:v>
                </c:pt>
                <c:pt idx="31">
                  <c:v>12855.225989904</c:v>
                </c:pt>
                <c:pt idx="32">
                  <c:v>13048.691661375</c:v>
                </c:pt>
                <c:pt idx="33">
                  <c:v>13241.954437572</c:v>
                </c:pt>
                <c:pt idx="34">
                  <c:v>13435.249750867999</c:v>
                </c:pt>
                <c:pt idx="35">
                  <c:v>13628.794744874998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69-4604-817E-AE29F1EB4142}"/>
            </c:ext>
          </c:extLst>
        </c:ser>
        <c:ser>
          <c:idx val="1"/>
          <c:order val="1"/>
          <c:tx>
            <c:strRef>
              <c:f>Données!$B$332</c:f>
              <c:strCache>
                <c:ptCount val="1"/>
                <c:pt idx="0">
                  <c:v>AUTO_CB_0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Données!$C$332:$AL$332</c:f>
              <c:numCache>
                <c:formatCode>#,##0</c:formatCode>
                <c:ptCount val="36"/>
                <c:pt idx="0">
                  <c:v>8263.1971436354015</c:v>
                </c:pt>
                <c:pt idx="1">
                  <c:v>8193.5041116758002</c:v>
                </c:pt>
                <c:pt idx="2">
                  <c:v>8173.6184723476999</c:v>
                </c:pt>
                <c:pt idx="3">
                  <c:v>8189.5227269778006</c:v>
                </c:pt>
                <c:pt idx="4">
                  <c:v>8232.0200091131992</c:v>
                </c:pt>
                <c:pt idx="5">
                  <c:v>8295.1399667016994</c:v>
                </c:pt>
                <c:pt idx="6">
                  <c:v>8373.7956335983999</c:v>
                </c:pt>
                <c:pt idx="7">
                  <c:v>8465.1816692086013</c:v>
                </c:pt>
                <c:pt idx="8">
                  <c:v>8567.2029489015003</c:v>
                </c:pt>
                <c:pt idx="9">
                  <c:v>8678.2100577016008</c:v>
                </c:pt>
                <c:pt idx="10">
                  <c:v>8798.7918194781014</c:v>
                </c:pt>
                <c:pt idx="11">
                  <c:v>8925.6978959715998</c:v>
                </c:pt>
                <c:pt idx="12">
                  <c:v>9057.8698324348006</c:v>
                </c:pt>
                <c:pt idx="13">
                  <c:v>9194.359104990599</c:v>
                </c:pt>
                <c:pt idx="14">
                  <c:v>9334.3402215959013</c:v>
                </c:pt>
                <c:pt idx="15">
                  <c:v>9477.0994334985007</c:v>
                </c:pt>
                <c:pt idx="16">
                  <c:v>9621.9584980383006</c:v>
                </c:pt>
                <c:pt idx="17">
                  <c:v>9768.3500462504999</c:v>
                </c:pt>
                <c:pt idx="18">
                  <c:v>9915.7834317949</c:v>
                </c:pt>
                <c:pt idx="19">
                  <c:v>10063.828609911099</c:v>
                </c:pt>
                <c:pt idx="20">
                  <c:v>10210.62285826</c:v>
                </c:pt>
                <c:pt idx="21">
                  <c:v>10357.426175815799</c:v>
                </c:pt>
                <c:pt idx="22">
                  <c:v>10503.9786829656</c:v>
                </c:pt>
                <c:pt idx="23">
                  <c:v>10650.078506568601</c:v>
                </c:pt>
                <c:pt idx="24">
                  <c:v>10795.548834289</c:v>
                </c:pt>
                <c:pt idx="25">
                  <c:v>10935.963288547</c:v>
                </c:pt>
                <c:pt idx="26">
                  <c:v>11073.776304921001</c:v>
                </c:pt>
                <c:pt idx="27">
                  <c:v>11209.081602365999</c:v>
                </c:pt>
                <c:pt idx="28">
                  <c:v>11342.066901808001</c:v>
                </c:pt>
                <c:pt idx="29">
                  <c:v>11472.948742578001</c:v>
                </c:pt>
                <c:pt idx="30">
                  <c:v>11601.938491249002</c:v>
                </c:pt>
                <c:pt idx="31">
                  <c:v>11729.239064781001</c:v>
                </c:pt>
                <c:pt idx="32">
                  <c:v>11855.019056473999</c:v>
                </c:pt>
                <c:pt idx="33">
                  <c:v>11979.419220582</c:v>
                </c:pt>
                <c:pt idx="34">
                  <c:v>12102.558355081999</c:v>
                </c:pt>
                <c:pt idx="35">
                  <c:v>12224.538584292999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69-4604-817E-AE29F1EB4142}"/>
            </c:ext>
          </c:extLst>
        </c:ser>
        <c:ser>
          <c:idx val="2"/>
          <c:order val="2"/>
          <c:tx>
            <c:strRef>
              <c:f>Données!$B$333</c:f>
              <c:strCache>
                <c:ptCount val="1"/>
                <c:pt idx="0">
                  <c:v>AUTO_CC_0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Données!$C$333:$AL$333</c:f>
              <c:numCache>
                <c:formatCode>#,##0</c:formatCode>
                <c:ptCount val="36"/>
                <c:pt idx="0">
                  <c:v>6787.4105911386005</c:v>
                </c:pt>
                <c:pt idx="1">
                  <c:v>6655.7782503966</c:v>
                </c:pt>
                <c:pt idx="2">
                  <c:v>6564.4870019950004</c:v>
                </c:pt>
                <c:pt idx="3">
                  <c:v>6503.1790912893002</c:v>
                </c:pt>
                <c:pt idx="4">
                  <c:v>6464.9204639810005</c:v>
                </c:pt>
                <c:pt idx="5">
                  <c:v>6445.0758834416001</c:v>
                </c:pt>
                <c:pt idx="6">
                  <c:v>6439.6833622496997</c:v>
                </c:pt>
                <c:pt idx="7">
                  <c:v>6446.4018623651</c:v>
                </c:pt>
                <c:pt idx="8">
                  <c:v>6463.4208697876993</c:v>
                </c:pt>
                <c:pt idx="9">
                  <c:v>6489.2714427301999</c:v>
                </c:pt>
                <c:pt idx="10">
                  <c:v>6524.0334311256001</c:v>
                </c:pt>
                <c:pt idx="11">
                  <c:v>6565.2081874783999</c:v>
                </c:pt>
                <c:pt idx="12">
                  <c:v>6611.8141514416002</c:v>
                </c:pt>
                <c:pt idx="13">
                  <c:v>6662.9686027934995</c:v>
                </c:pt>
                <c:pt idx="14">
                  <c:v>6717.8938718935997</c:v>
                </c:pt>
                <c:pt idx="15">
                  <c:v>6775.9074857974001</c:v>
                </c:pt>
                <c:pt idx="16">
                  <c:v>6836.3697625117993</c:v>
                </c:pt>
                <c:pt idx="17">
                  <c:v>6898.7326488088001</c:v>
                </c:pt>
                <c:pt idx="18">
                  <c:v>6962.5149888196001</c:v>
                </c:pt>
                <c:pt idx="19">
                  <c:v>7027.2901094062008</c:v>
                </c:pt>
                <c:pt idx="20">
                  <c:v>7091.7044300050002</c:v>
                </c:pt>
                <c:pt idx="21">
                  <c:v>7156.4718571568001</c:v>
                </c:pt>
                <c:pt idx="22">
                  <c:v>7221.3132330815997</c:v>
                </c:pt>
                <c:pt idx="23">
                  <c:v>7285.9958750523001</c:v>
                </c:pt>
                <c:pt idx="24">
                  <c:v>7350.3114318754997</c:v>
                </c:pt>
                <c:pt idx="25">
                  <c:v>7411.3209380401004</c:v>
                </c:pt>
                <c:pt idx="26">
                  <c:v>7470.5506203947998</c:v>
                </c:pt>
                <c:pt idx="27">
                  <c:v>7528.0012707059004</c:v>
                </c:pt>
                <c:pt idx="28">
                  <c:v>7583.7364513761995</c:v>
                </c:pt>
                <c:pt idx="29">
                  <c:v>7637.8398941986998</c:v>
                </c:pt>
                <c:pt idx="30">
                  <c:v>7690.3935255909</c:v>
                </c:pt>
                <c:pt idx="31">
                  <c:v>7741.4751310267002</c:v>
                </c:pt>
                <c:pt idx="32">
                  <c:v>7791.1418586922</c:v>
                </c:pt>
                <c:pt idx="33">
                  <c:v>7839.4344250340991</c:v>
                </c:pt>
                <c:pt idx="34">
                  <c:v>7886.3808659746992</c:v>
                </c:pt>
                <c:pt idx="35">
                  <c:v>7931.9998732945005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69-4604-817E-AE29F1EB4142}"/>
            </c:ext>
          </c:extLst>
        </c:ser>
        <c:ser>
          <c:idx val="3"/>
          <c:order val="3"/>
          <c:tx>
            <c:strRef>
              <c:f>Données!$B$334</c:f>
              <c:strCache>
                <c:ptCount val="1"/>
                <c:pt idx="0">
                  <c:v>AUTO_CD_0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Données!$C$334:$AL$334</c:f>
              <c:numCache>
                <c:formatCode>#,##0</c:formatCode>
                <c:ptCount val="36"/>
                <c:pt idx="0">
                  <c:v>4165.6835237371006</c:v>
                </c:pt>
                <c:pt idx="1">
                  <c:v>4060.3962154433998</c:v>
                </c:pt>
                <c:pt idx="2">
                  <c:v>3978.3831456242001</c:v>
                </c:pt>
                <c:pt idx="3">
                  <c:v>3913.3406949375999</c:v>
                </c:pt>
                <c:pt idx="4">
                  <c:v>3861.0129695695</c:v>
                </c:pt>
                <c:pt idx="5">
                  <c:v>3818.5176643235</c:v>
                </c:pt>
                <c:pt idx="6">
                  <c:v>3783.4384252832997</c:v>
                </c:pt>
                <c:pt idx="7">
                  <c:v>3754.3017121145999</c:v>
                </c:pt>
                <c:pt idx="8">
                  <c:v>3729.9689679324001</c:v>
                </c:pt>
                <c:pt idx="9">
                  <c:v>3709.5207129139999</c:v>
                </c:pt>
                <c:pt idx="10">
                  <c:v>3692.8480764705</c:v>
                </c:pt>
                <c:pt idx="11">
                  <c:v>3678.5614958722999</c:v>
                </c:pt>
                <c:pt idx="12">
                  <c:v>3666.0706609231997</c:v>
                </c:pt>
                <c:pt idx="13">
                  <c:v>3654.8572847504001</c:v>
                </c:pt>
                <c:pt idx="14">
                  <c:v>3644.4744462950002</c:v>
                </c:pt>
                <c:pt idx="15">
                  <c:v>3634.5388013819997</c:v>
                </c:pt>
                <c:pt idx="16">
                  <c:v>3624.7044430111</c:v>
                </c:pt>
                <c:pt idx="17">
                  <c:v>3614.6842141284001</c:v>
                </c:pt>
                <c:pt idx="18">
                  <c:v>3604.2354500568999</c:v>
                </c:pt>
                <c:pt idx="19">
                  <c:v>3593.1520736056</c:v>
                </c:pt>
                <c:pt idx="20">
                  <c:v>3580.8365043172998</c:v>
                </c:pt>
                <c:pt idx="21">
                  <c:v>3567.6109524999001</c:v>
                </c:pt>
                <c:pt idx="22">
                  <c:v>3553.3617656144002</c:v>
                </c:pt>
                <c:pt idx="23">
                  <c:v>3538.0001397937999</c:v>
                </c:pt>
                <c:pt idx="24">
                  <c:v>3521.4524370035001</c:v>
                </c:pt>
                <c:pt idx="25">
                  <c:v>3502.5577488399003</c:v>
                </c:pt>
                <c:pt idx="26">
                  <c:v>3481.9897978469003</c:v>
                </c:pt>
                <c:pt idx="27">
                  <c:v>3459.7957481898998</c:v>
                </c:pt>
                <c:pt idx="28">
                  <c:v>3436.0444412346001</c:v>
                </c:pt>
                <c:pt idx="29">
                  <c:v>3410.8091531490004</c:v>
                </c:pt>
                <c:pt idx="30">
                  <c:v>3384.1595281608998</c:v>
                </c:pt>
                <c:pt idx="31">
                  <c:v>3356.1610087387999</c:v>
                </c:pt>
                <c:pt idx="32">
                  <c:v>3326.869290657</c:v>
                </c:pt>
                <c:pt idx="33">
                  <c:v>3296.3326435764002</c:v>
                </c:pt>
                <c:pt idx="34">
                  <c:v>3264.5938925797004</c:v>
                </c:pt>
                <c:pt idx="35">
                  <c:v>3231.6921279655999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69-4604-817E-AE29F1EB4142}"/>
            </c:ext>
          </c:extLst>
        </c:ser>
        <c:ser>
          <c:idx val="4"/>
          <c:order val="4"/>
          <c:tx>
            <c:strRef>
              <c:f>Données!$B$335</c:f>
              <c:strCache>
                <c:ptCount val="1"/>
                <c:pt idx="0">
                  <c:v>AUTO_CE_0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Données!$C$335:$AL$335</c:f>
              <c:numCache>
                <c:formatCode>#,##0</c:formatCode>
                <c:ptCount val="36"/>
                <c:pt idx="0">
                  <c:v>2507.3524895615005</c:v>
                </c:pt>
                <c:pt idx="1">
                  <c:v>2446.3641661482998</c:v>
                </c:pt>
                <c:pt idx="2">
                  <c:v>2398.5276220065002</c:v>
                </c:pt>
                <c:pt idx="3">
                  <c:v>2359.8032528117997</c:v>
                </c:pt>
                <c:pt idx="4">
                  <c:v>2327.4894716102003</c:v>
                </c:pt>
                <c:pt idx="5">
                  <c:v>2299.7796887195</c:v>
                </c:pt>
                <c:pt idx="6">
                  <c:v>2275.1993587960001</c:v>
                </c:pt>
                <c:pt idx="7">
                  <c:v>2252.8726973368002</c:v>
                </c:pt>
                <c:pt idx="8">
                  <c:v>2232.1466034130003</c:v>
                </c:pt>
                <c:pt idx="9">
                  <c:v>2212.5133034643004</c:v>
                </c:pt>
                <c:pt idx="10">
                  <c:v>2193.9351368159</c:v>
                </c:pt>
                <c:pt idx="11">
                  <c:v>2175.6575821617002</c:v>
                </c:pt>
                <c:pt idx="12">
                  <c:v>2157.3916984868997</c:v>
                </c:pt>
                <c:pt idx="13">
                  <c:v>2138.8968320138001</c:v>
                </c:pt>
                <c:pt idx="14">
                  <c:v>2119.9782269067005</c:v>
                </c:pt>
                <c:pt idx="15">
                  <c:v>2100.4811280844001</c:v>
                </c:pt>
                <c:pt idx="16">
                  <c:v>2080.2760102386001</c:v>
                </c:pt>
                <c:pt idx="17">
                  <c:v>2059.2689091146999</c:v>
                </c:pt>
                <c:pt idx="18">
                  <c:v>2037.3924677257</c:v>
                </c:pt>
                <c:pt idx="19">
                  <c:v>2014.6006825961999</c:v>
                </c:pt>
                <c:pt idx="20">
                  <c:v>1990.6565729090999</c:v>
                </c:pt>
                <c:pt idx="21">
                  <c:v>1965.7841460254001</c:v>
                </c:pt>
                <c:pt idx="22">
                  <c:v>1939.9872572121999</c:v>
                </c:pt>
                <c:pt idx="23">
                  <c:v>1913.2813103579999</c:v>
                </c:pt>
                <c:pt idx="24">
                  <c:v>1885.6884843795001</c:v>
                </c:pt>
                <c:pt idx="25">
                  <c:v>1856.7325134028001</c:v>
                </c:pt>
                <c:pt idx="26">
                  <c:v>1826.7950000055998</c:v>
                </c:pt>
                <c:pt idx="27">
                  <c:v>1795.9604774659999</c:v>
                </c:pt>
                <c:pt idx="28">
                  <c:v>1764.3191001204</c:v>
                </c:pt>
                <c:pt idx="29">
                  <c:v>1731.9588990824</c:v>
                </c:pt>
                <c:pt idx="30">
                  <c:v>1698.9625834869998</c:v>
                </c:pt>
                <c:pt idx="31">
                  <c:v>1665.4076239144999</c:v>
                </c:pt>
                <c:pt idx="32">
                  <c:v>1631.3642921728001</c:v>
                </c:pt>
                <c:pt idx="33">
                  <c:v>1596.8970897895999</c:v>
                </c:pt>
                <c:pt idx="34">
                  <c:v>1562.0659365961001</c:v>
                </c:pt>
                <c:pt idx="35">
                  <c:v>1526.9271687749999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E69-4604-817E-AE29F1EB4142}"/>
            </c:ext>
          </c:extLst>
        </c:ser>
        <c:ser>
          <c:idx val="5"/>
          <c:order val="5"/>
          <c:tx>
            <c:strRef>
              <c:f>Données!$B$336</c:f>
              <c:strCache>
                <c:ptCount val="1"/>
                <c:pt idx="0">
                  <c:v>AUTO_CF_0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Données!$C$336:$AL$336</c:f>
              <c:numCache>
                <c:formatCode>#,##0</c:formatCode>
                <c:ptCount val="36"/>
                <c:pt idx="0">
                  <c:v>1245.466605953</c:v>
                </c:pt>
                <c:pt idx="1">
                  <c:v>1212.5385209372998</c:v>
                </c:pt>
                <c:pt idx="2">
                  <c:v>1184.7833516909</c:v>
                </c:pt>
                <c:pt idx="3">
                  <c:v>1159.9696059436999</c:v>
                </c:pt>
                <c:pt idx="4">
                  <c:v>1136.6702425069</c:v>
                </c:pt>
                <c:pt idx="5">
                  <c:v>1113.9936916363999</c:v>
                </c:pt>
                <c:pt idx="6">
                  <c:v>1091.2957267529</c:v>
                </c:pt>
                <c:pt idx="7">
                  <c:v>1068.2591068871</c:v>
                </c:pt>
                <c:pt idx="8">
                  <c:v>1044.7038487711</c:v>
                </c:pt>
                <c:pt idx="9">
                  <c:v>1020.5371684710999</c:v>
                </c:pt>
                <c:pt idx="10">
                  <c:v>995.85276531030001</c:v>
                </c:pt>
                <c:pt idx="11">
                  <c:v>970.49740735379999</c:v>
                </c:pt>
                <c:pt idx="12">
                  <c:v>944.4996207104</c:v>
                </c:pt>
                <c:pt idx="13">
                  <c:v>917.91042572130004</c:v>
                </c:pt>
                <c:pt idx="14">
                  <c:v>890.79844123809994</c:v>
                </c:pt>
                <c:pt idx="15">
                  <c:v>863.24481776110008</c:v>
                </c:pt>
                <c:pt idx="16">
                  <c:v>835.33687508759999</c:v>
                </c:pt>
                <c:pt idx="17">
                  <c:v>807.16908986999999</c:v>
                </c:pt>
                <c:pt idx="18">
                  <c:v>778.83850829280004</c:v>
                </c:pt>
                <c:pt idx="19">
                  <c:v>750.44182830959994</c:v>
                </c:pt>
                <c:pt idx="20">
                  <c:v>722.02738797129996</c:v>
                </c:pt>
                <c:pt idx="21">
                  <c:v>693.7421898714</c:v>
                </c:pt>
                <c:pt idx="22">
                  <c:v>665.67243028109999</c:v>
                </c:pt>
                <c:pt idx="23">
                  <c:v>637.89834462219994</c:v>
                </c:pt>
                <c:pt idx="24">
                  <c:v>610.49345119810005</c:v>
                </c:pt>
                <c:pt idx="25">
                  <c:v>583.43939966059997</c:v>
                </c:pt>
                <c:pt idx="26">
                  <c:v>556.86545990479999</c:v>
                </c:pt>
                <c:pt idx="27">
                  <c:v>530.83701456109998</c:v>
                </c:pt>
                <c:pt idx="28">
                  <c:v>505.41100602039995</c:v>
                </c:pt>
                <c:pt idx="29">
                  <c:v>480.63544215799999</c:v>
                </c:pt>
                <c:pt idx="30">
                  <c:v>456.54980366580003</c:v>
                </c:pt>
                <c:pt idx="31">
                  <c:v>433.18585943160002</c:v>
                </c:pt>
                <c:pt idx="32">
                  <c:v>410.56818798299997</c:v>
                </c:pt>
                <c:pt idx="33">
                  <c:v>388.71508554680003</c:v>
                </c:pt>
                <c:pt idx="34">
                  <c:v>367.63933860010002</c:v>
                </c:pt>
                <c:pt idx="35">
                  <c:v>347.34888466019999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E69-4604-817E-AE29F1EB4142}"/>
            </c:ext>
          </c:extLst>
        </c:ser>
        <c:ser>
          <c:idx val="6"/>
          <c:order val="6"/>
          <c:tx>
            <c:strRef>
              <c:f>Données!$B$337</c:f>
              <c:strCache>
                <c:ptCount val="1"/>
                <c:pt idx="0">
                  <c:v>AUTO_CG_0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Données!$C$330:$AL$330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Données!$C$337:$AL$337</c:f>
              <c:numCache>
                <c:formatCode>#,##0</c:formatCode>
                <c:ptCount val="36"/>
                <c:pt idx="0">
                  <c:v>2242.8616504070001</c:v>
                </c:pt>
                <c:pt idx="1">
                  <c:v>2187.0347988975</c:v>
                </c:pt>
                <c:pt idx="2">
                  <c:v>2138.1699632545001</c:v>
                </c:pt>
                <c:pt idx="3">
                  <c:v>2091.8305567385</c:v>
                </c:pt>
                <c:pt idx="4">
                  <c:v>2045.3731435896998</c:v>
                </c:pt>
                <c:pt idx="5">
                  <c:v>1997.3356481828</c:v>
                </c:pt>
                <c:pt idx="6">
                  <c:v>1946.851402413</c:v>
                </c:pt>
                <c:pt idx="7">
                  <c:v>1893.7102022394001</c:v>
                </c:pt>
                <c:pt idx="8">
                  <c:v>1837.9814363429</c:v>
                </c:pt>
                <c:pt idx="9">
                  <c:v>1779.8962053176001</c:v>
                </c:pt>
                <c:pt idx="10">
                  <c:v>1719.9588465795</c:v>
                </c:pt>
                <c:pt idx="11">
                  <c:v>1658.3060606097999</c:v>
                </c:pt>
                <c:pt idx="12">
                  <c:v>1595.3275074493999</c:v>
                </c:pt>
                <c:pt idx="13">
                  <c:v>1531.4214596719</c:v>
                </c:pt>
                <c:pt idx="14">
                  <c:v>1466.9821516397001</c:v>
                </c:pt>
                <c:pt idx="15">
                  <c:v>1402.3893211723</c:v>
                </c:pt>
                <c:pt idx="16">
                  <c:v>1337.9985942906999</c:v>
                </c:pt>
                <c:pt idx="17">
                  <c:v>1274.1415047411997</c:v>
                </c:pt>
                <c:pt idx="18">
                  <c:v>1211.1195903968</c:v>
                </c:pt>
                <c:pt idx="19">
                  <c:v>1149.2016179528998</c:v>
                </c:pt>
                <c:pt idx="20">
                  <c:v>1088.5793998955003</c:v>
                </c:pt>
                <c:pt idx="21">
                  <c:v>1029.5107748943999</c:v>
                </c:pt>
                <c:pt idx="22">
                  <c:v>972.16461739270005</c:v>
                </c:pt>
                <c:pt idx="23">
                  <c:v>916.67834384160005</c:v>
                </c:pt>
                <c:pt idx="24">
                  <c:v>863.15999693460003</c:v>
                </c:pt>
                <c:pt idx="25">
                  <c:v>811.62758157400003</c:v>
                </c:pt>
                <c:pt idx="26">
                  <c:v>762.19567835220005</c:v>
                </c:pt>
                <c:pt idx="27">
                  <c:v>714.9096347297999</c:v>
                </c:pt>
                <c:pt idx="28">
                  <c:v>669.7922363007001</c:v>
                </c:pt>
                <c:pt idx="29">
                  <c:v>626.8461097495001</c:v>
                </c:pt>
                <c:pt idx="30">
                  <c:v>586.05658429570008</c:v>
                </c:pt>
                <c:pt idx="31">
                  <c:v>547.39451073750001</c:v>
                </c:pt>
                <c:pt idx="32">
                  <c:v>510.81863259429997</c:v>
                </c:pt>
                <c:pt idx="33">
                  <c:v>476.2779205521</c:v>
                </c:pt>
                <c:pt idx="34">
                  <c:v>443.7135659356</c:v>
                </c:pt>
                <c:pt idx="35">
                  <c:v>413.06068731609997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69-4604-817E-AE29F1EB41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8480504"/>
        <c:axId val="748481488"/>
      </c:areaChart>
      <c:dateAx>
        <c:axId val="748480504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1488"/>
        <c:crosses val="autoZero"/>
        <c:auto val="1"/>
        <c:lblOffset val="100"/>
        <c:baseTimeUnit val="years"/>
        <c:majorUnit val="5"/>
        <c:majorTimeUnit val="years"/>
      </c:dateAx>
      <c:valAx>
        <c:axId val="74848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8480504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(shock)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9110930698597887"/>
          <c:y val="1.88602937354618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Données!$B$298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Données!$C$298:$AL$298</c:f>
              <c:numCache>
                <c:formatCode>#,##0</c:formatCode>
                <c:ptCount val="36"/>
                <c:pt idx="0">
                  <c:v>32271.24</c:v>
                </c:pt>
                <c:pt idx="1">
                  <c:v>31842.04335</c:v>
                </c:pt>
                <c:pt idx="2">
                  <c:v>31594.523740000001</c:v>
                </c:pt>
                <c:pt idx="3">
                  <c:v>31474.004509999999</c:v>
                </c:pt>
                <c:pt idx="4">
                  <c:v>31444.780739999998</c:v>
                </c:pt>
                <c:pt idx="5">
                  <c:v>31483.827700000002</c:v>
                </c:pt>
                <c:pt idx="6">
                  <c:v>31572.12905</c:v>
                </c:pt>
                <c:pt idx="7">
                  <c:v>31699.3462</c:v>
                </c:pt>
                <c:pt idx="8">
                  <c:v>31858.02274</c:v>
                </c:pt>
                <c:pt idx="9">
                  <c:v>32042.510490000001</c:v>
                </c:pt>
                <c:pt idx="10">
                  <c:v>32254.953259999998</c:v>
                </c:pt>
                <c:pt idx="11">
                  <c:v>32484.478859999999</c:v>
                </c:pt>
                <c:pt idx="12">
                  <c:v>32727.84114</c:v>
                </c:pt>
                <c:pt idx="13">
                  <c:v>32982.234490000003</c:v>
                </c:pt>
                <c:pt idx="14">
                  <c:v>33245.309480000004</c:v>
                </c:pt>
                <c:pt idx="15">
                  <c:v>33515.113579999997</c:v>
                </c:pt>
                <c:pt idx="16">
                  <c:v>33789.827570000001</c:v>
                </c:pt>
                <c:pt idx="17">
                  <c:v>34068.002869999997</c:v>
                </c:pt>
                <c:pt idx="18">
                  <c:v>34348.435649999999</c:v>
                </c:pt>
                <c:pt idx="19">
                  <c:v>34630.104679999997</c:v>
                </c:pt>
                <c:pt idx="20">
                  <c:v>34907.378709999997</c:v>
                </c:pt>
                <c:pt idx="21">
                  <c:v>35184.654490000001</c:v>
                </c:pt>
                <c:pt idx="22">
                  <c:v>35461.385750000001</c:v>
                </c:pt>
                <c:pt idx="23">
                  <c:v>35737.177909999999</c:v>
                </c:pt>
                <c:pt idx="24">
                  <c:v>36011.685389999999</c:v>
                </c:pt>
                <c:pt idx="25">
                  <c:v>36271.209569999999</c:v>
                </c:pt>
                <c:pt idx="26">
                  <c:v>36523.724499999997</c:v>
                </c:pt>
                <c:pt idx="27">
                  <c:v>36769.711000000003</c:v>
                </c:pt>
                <c:pt idx="28">
                  <c:v>37009.898520000002</c:v>
                </c:pt>
                <c:pt idx="29">
                  <c:v>37245.064509999997</c:v>
                </c:pt>
                <c:pt idx="30">
                  <c:v>37475.933360000003</c:v>
                </c:pt>
                <c:pt idx="31">
                  <c:v>37703.170639999997</c:v>
                </c:pt>
                <c:pt idx="32">
                  <c:v>37927.307500000003</c:v>
                </c:pt>
                <c:pt idx="33">
                  <c:v>38148.765140000003</c:v>
                </c:pt>
                <c:pt idx="34">
                  <c:v>38367.876490000002</c:v>
                </c:pt>
                <c:pt idx="35">
                  <c:v>38584.905339999998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2B-4332-9B45-E28FEF7596CF}"/>
            </c:ext>
          </c:extLst>
        </c:ser>
        <c:ser>
          <c:idx val="2"/>
          <c:order val="2"/>
          <c:tx>
            <c:strRef>
              <c:f>Données!$B$299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Données!$C$299:$AL$299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1.989926342</c:v>
                </c:pt>
                <c:pt idx="2">
                  <c:v>2.0529391449999999</c:v>
                </c:pt>
                <c:pt idx="3">
                  <c:v>2.121064837</c:v>
                </c:pt>
                <c:pt idx="4">
                  <c:v>2.1918145629999999</c:v>
                </c:pt>
                <c:pt idx="5">
                  <c:v>2.2636868639999999</c:v>
                </c:pt>
                <c:pt idx="6">
                  <c:v>2.3354603379999999</c:v>
                </c:pt>
                <c:pt idx="7">
                  <c:v>2.4065946230000002</c:v>
                </c:pt>
                <c:pt idx="8">
                  <c:v>2.4767576729999998</c:v>
                </c:pt>
                <c:pt idx="9">
                  <c:v>2.5457413560000002</c:v>
                </c:pt>
                <c:pt idx="10">
                  <c:v>2.6139682369999999</c:v>
                </c:pt>
                <c:pt idx="11">
                  <c:v>2.6807549960000001</c:v>
                </c:pt>
                <c:pt idx="12">
                  <c:v>2.7460306120000002</c:v>
                </c:pt>
                <c:pt idx="13">
                  <c:v>2.8097442930000001</c:v>
                </c:pt>
                <c:pt idx="14">
                  <c:v>2.8718683999999999</c:v>
                </c:pt>
                <c:pt idx="15">
                  <c:v>2.9323950060000001</c:v>
                </c:pt>
                <c:pt idx="16">
                  <c:v>2.991315116</c:v>
                </c:pt>
                <c:pt idx="17">
                  <c:v>3.0486395370000001</c:v>
                </c:pt>
                <c:pt idx="18">
                  <c:v>3.104389496</c:v>
                </c:pt>
                <c:pt idx="19">
                  <c:v>3.1585923600000001</c:v>
                </c:pt>
                <c:pt idx="20">
                  <c:v>3.2108798169999999</c:v>
                </c:pt>
                <c:pt idx="21">
                  <c:v>3.261712224</c:v>
                </c:pt>
                <c:pt idx="22">
                  <c:v>3.311134639</c:v>
                </c:pt>
                <c:pt idx="23">
                  <c:v>3.3591984780000002</c:v>
                </c:pt>
                <c:pt idx="24">
                  <c:v>3.4059534789999999</c:v>
                </c:pt>
                <c:pt idx="25">
                  <c:v>3.450322211</c:v>
                </c:pt>
                <c:pt idx="26">
                  <c:v>3.4930257669999998</c:v>
                </c:pt>
                <c:pt idx="27">
                  <c:v>3.534162786</c:v>
                </c:pt>
                <c:pt idx="28">
                  <c:v>3.5738497809999998</c:v>
                </c:pt>
                <c:pt idx="29">
                  <c:v>3.6122047770000001</c:v>
                </c:pt>
                <c:pt idx="30">
                  <c:v>3.6493390520000002</c:v>
                </c:pt>
                <c:pt idx="31">
                  <c:v>3.6853567219999999</c:v>
                </c:pt>
                <c:pt idx="32">
                  <c:v>3.7203484549999999</c:v>
                </c:pt>
                <c:pt idx="33">
                  <c:v>3.7543934870000002</c:v>
                </c:pt>
                <c:pt idx="34">
                  <c:v>3.7875614409999998</c:v>
                </c:pt>
                <c:pt idx="35">
                  <c:v>3.8199139550000001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2B-4332-9B45-E28FEF7596CF}"/>
            </c:ext>
          </c:extLst>
        </c:ser>
        <c:ser>
          <c:idx val="3"/>
          <c:order val="3"/>
          <c:tx>
            <c:strRef>
              <c:f>Données!$B$300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cat>
            <c:numRef>
              <c:f>Données!$C$296:$AL$296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Données!$C$300:$AL$300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62.235921310000002</c:v>
                </c:pt>
                <c:pt idx="2">
                  <c:v>80.431830959999999</c:v>
                </c:pt>
                <c:pt idx="3">
                  <c:v>98.989627519999999</c:v>
                </c:pt>
                <c:pt idx="4">
                  <c:v>117.6966221</c:v>
                </c:pt>
                <c:pt idx="5">
                  <c:v>136.43674179999999</c:v>
                </c:pt>
                <c:pt idx="6">
                  <c:v>155.11362579999999</c:v>
                </c:pt>
                <c:pt idx="7">
                  <c:v>173.69759959999999</c:v>
                </c:pt>
                <c:pt idx="8">
                  <c:v>192.17624380000001</c:v>
                </c:pt>
                <c:pt idx="9">
                  <c:v>210.5469272</c:v>
                </c:pt>
                <c:pt idx="10">
                  <c:v>228.87831370000001</c:v>
                </c:pt>
                <c:pt idx="11">
                  <c:v>247.1091059</c:v>
                </c:pt>
                <c:pt idx="12">
                  <c:v>265.24668910000003</c:v>
                </c:pt>
                <c:pt idx="13">
                  <c:v>283.30065409999997</c:v>
                </c:pt>
                <c:pt idx="14">
                  <c:v>301.28378939999999</c:v>
                </c:pt>
                <c:pt idx="15">
                  <c:v>319.21219819999999</c:v>
                </c:pt>
                <c:pt idx="16">
                  <c:v>337.10314779999999</c:v>
                </c:pt>
                <c:pt idx="17">
                  <c:v>354.97808379999998</c:v>
                </c:pt>
                <c:pt idx="18">
                  <c:v>372.86190310000001</c:v>
                </c:pt>
                <c:pt idx="19">
                  <c:v>390.78275339999999</c:v>
                </c:pt>
                <c:pt idx="20">
                  <c:v>408.71827189999999</c:v>
                </c:pt>
                <c:pt idx="21">
                  <c:v>426.75858260000001</c:v>
                </c:pt>
                <c:pt idx="22">
                  <c:v>444.94366109999999</c:v>
                </c:pt>
                <c:pt idx="23">
                  <c:v>463.3179647</c:v>
                </c:pt>
                <c:pt idx="24">
                  <c:v>481.92952659999997</c:v>
                </c:pt>
                <c:pt idx="25">
                  <c:v>500.6637283</c:v>
                </c:pt>
                <c:pt idx="26">
                  <c:v>519.66736119999996</c:v>
                </c:pt>
                <c:pt idx="27">
                  <c:v>539.00466059999997</c:v>
                </c:pt>
                <c:pt idx="28">
                  <c:v>558.74824120000005</c:v>
                </c:pt>
                <c:pt idx="29">
                  <c:v>578.97704880000003</c:v>
                </c:pt>
                <c:pt idx="30">
                  <c:v>599.77539579999996</c:v>
                </c:pt>
                <c:pt idx="31">
                  <c:v>621.23319179999999</c:v>
                </c:pt>
                <c:pt idx="32">
                  <c:v>643.44514049999998</c:v>
                </c:pt>
                <c:pt idx="33">
                  <c:v>666.51129330000003</c:v>
                </c:pt>
                <c:pt idx="34">
                  <c:v>690.53765150000004</c:v>
                </c:pt>
                <c:pt idx="35">
                  <c:v>715.63682449999999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2B-4332-9B45-E28FEF759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Données!$B$297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Données!$C$296:$AL$296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Données!$C$297:$AL$297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31906.269199999999</c:v>
                      </c:pt>
                      <c:pt idx="2">
                        <c:v>31677.008519999999</c:v>
                      </c:pt>
                      <c:pt idx="3">
                        <c:v>31575.1152</c:v>
                      </c:pt>
                      <c:pt idx="4">
                        <c:v>31564.669170000001</c:v>
                      </c:pt>
                      <c:pt idx="5">
                        <c:v>31622.528129999999</c:v>
                      </c:pt>
                      <c:pt idx="6">
                        <c:v>31729.578140000001</c:v>
                      </c:pt>
                      <c:pt idx="7">
                        <c:v>31875.450390000002</c:v>
                      </c:pt>
                      <c:pt idx="8">
                        <c:v>32052.675739999999</c:v>
                      </c:pt>
                      <c:pt idx="9">
                        <c:v>32255.603149999999</c:v>
                      </c:pt>
                      <c:pt idx="10">
                        <c:v>32486.445540000001</c:v>
                      </c:pt>
                      <c:pt idx="11">
                        <c:v>32734.26872</c:v>
                      </c:pt>
                      <c:pt idx="12">
                        <c:v>32995.833859999999</c:v>
                      </c:pt>
                      <c:pt idx="13">
                        <c:v>33268.344879999997</c:v>
                      </c:pt>
                      <c:pt idx="14">
                        <c:v>33549.465129999997</c:v>
                      </c:pt>
                      <c:pt idx="15">
                        <c:v>33837.258159999998</c:v>
                      </c:pt>
                      <c:pt idx="16">
                        <c:v>34129.922019999998</c:v>
                      </c:pt>
                      <c:pt idx="17">
                        <c:v>34426.029580000002</c:v>
                      </c:pt>
                      <c:pt idx="18">
                        <c:v>34724.40193</c:v>
                      </c:pt>
                      <c:pt idx="19">
                        <c:v>35024.046009999998</c:v>
                      </c:pt>
                      <c:pt idx="20">
                        <c:v>35319.307840000001</c:v>
                      </c:pt>
                      <c:pt idx="21">
                        <c:v>35614.674769999998</c:v>
                      </c:pt>
                      <c:pt idx="22">
                        <c:v>35909.640520000001</c:v>
                      </c:pt>
                      <c:pt idx="23">
                        <c:v>36203.855049999998</c:v>
                      </c:pt>
                      <c:pt idx="24">
                        <c:v>36497.020839999997</c:v>
                      </c:pt>
                      <c:pt idx="25">
                        <c:v>36775.32359</c:v>
                      </c:pt>
                      <c:pt idx="26">
                        <c:v>37046.884859999998</c:v>
                      </c:pt>
                      <c:pt idx="27">
                        <c:v>37312.249790000002</c:v>
                      </c:pt>
                      <c:pt idx="28">
                        <c:v>37572.220580000001</c:v>
                      </c:pt>
                      <c:pt idx="29">
                        <c:v>37827.653729999998</c:v>
                      </c:pt>
                      <c:pt idx="30">
                        <c:v>38079.358059999999</c:v>
                      </c:pt>
                      <c:pt idx="31">
                        <c:v>38328.08915</c:v>
                      </c:pt>
                      <c:pt idx="32">
                        <c:v>38574.472950000003</c:v>
                      </c:pt>
                      <c:pt idx="33">
                        <c:v>38819.030789999997</c:v>
                      </c:pt>
                      <c:pt idx="34">
                        <c:v>39062.201670000002</c:v>
                      </c:pt>
                      <c:pt idx="35">
                        <c:v>39304.36204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A2B-4332-9B45-E28FEF7596CF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Vehicles by energy</a:t>
            </a:r>
            <a:r>
              <a:rPr lang="fr-FR" sz="2800" baseline="0"/>
              <a:t> (baseline)</a:t>
            </a:r>
          </a:p>
          <a:p>
            <a:pPr>
              <a:defRPr sz="2800"/>
            </a:pPr>
            <a:r>
              <a:rPr lang="fr-FR" sz="1800" i="1" baseline="0"/>
              <a:t>thousands</a:t>
            </a:r>
            <a:endParaRPr lang="fr-FR" sz="1800" i="1"/>
          </a:p>
        </c:rich>
      </c:tx>
      <c:layout>
        <c:manualLayout>
          <c:xMode val="edge"/>
          <c:yMode val="edge"/>
          <c:x val="0.28700858772412563"/>
          <c:y val="2.09558819282909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areaChart>
        <c:grouping val="stacked"/>
        <c:varyColors val="0"/>
        <c:ser>
          <c:idx val="1"/>
          <c:order val="1"/>
          <c:tx>
            <c:strRef>
              <c:f>Données!$B$304</c:f>
              <c:strCache>
                <c:ptCount val="1"/>
                <c:pt idx="0">
                  <c:v>Fuel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Données!$C$304:$AL$304</c:f>
              <c:numCache>
                <c:formatCode>#,##0</c:formatCode>
                <c:ptCount val="36"/>
                <c:pt idx="0">
                  <c:v>32271.24</c:v>
                </c:pt>
                <c:pt idx="1">
                  <c:v>31874.761320000001</c:v>
                </c:pt>
                <c:pt idx="2">
                  <c:v>31684.176340000002</c:v>
                </c:pt>
                <c:pt idx="3">
                  <c:v>31633.507590000001</c:v>
                </c:pt>
                <c:pt idx="4">
                  <c:v>31679.119419999999</c:v>
                </c:pt>
                <c:pt idx="5">
                  <c:v>31792.640299999999</c:v>
                </c:pt>
                <c:pt idx="6">
                  <c:v>31951.767879999999</c:v>
                </c:pt>
                <c:pt idx="7">
                  <c:v>32144.386190000001</c:v>
                </c:pt>
                <c:pt idx="8">
                  <c:v>32362.319500000001</c:v>
                </c:pt>
                <c:pt idx="9">
                  <c:v>32599.856250000001</c:v>
                </c:pt>
                <c:pt idx="10">
                  <c:v>32859.527300000002</c:v>
                </c:pt>
                <c:pt idx="11">
                  <c:v>33131.036670000001</c:v>
                </c:pt>
                <c:pt idx="12">
                  <c:v>33411.648289999997</c:v>
                </c:pt>
                <c:pt idx="13">
                  <c:v>33699.027430000002</c:v>
                </c:pt>
                <c:pt idx="14">
                  <c:v>33991.267699999997</c:v>
                </c:pt>
                <c:pt idx="15">
                  <c:v>34286.840470000003</c:v>
                </c:pt>
                <c:pt idx="16">
                  <c:v>34584.527479999997</c:v>
                </c:pt>
                <c:pt idx="17">
                  <c:v>34883.357620000002</c:v>
                </c:pt>
                <c:pt idx="18">
                  <c:v>35182.555229999998</c:v>
                </c:pt>
                <c:pt idx="19">
                  <c:v>35481.501300000004</c:v>
                </c:pt>
                <c:pt idx="20">
                  <c:v>35774.879959999998</c:v>
                </c:pt>
                <c:pt idx="21">
                  <c:v>36067.46789</c:v>
                </c:pt>
                <c:pt idx="22">
                  <c:v>36359.082419999999</c:v>
                </c:pt>
                <c:pt idx="23">
                  <c:v>36649.656450000002</c:v>
                </c:pt>
                <c:pt idx="24">
                  <c:v>36939.133880000001</c:v>
                </c:pt>
                <c:pt idx="25">
                  <c:v>37213.866650000004</c:v>
                </c:pt>
                <c:pt idx="26">
                  <c:v>37481.938439999998</c:v>
                </c:pt>
                <c:pt idx="27">
                  <c:v>37744.01225</c:v>
                </c:pt>
                <c:pt idx="28">
                  <c:v>38001.003340000003</c:v>
                </c:pt>
                <c:pt idx="29">
                  <c:v>38253.85656</c:v>
                </c:pt>
                <c:pt idx="30">
                  <c:v>38503.441050000001</c:v>
                </c:pt>
                <c:pt idx="31">
                  <c:v>38750.5072</c:v>
                </c:pt>
                <c:pt idx="32">
                  <c:v>38995.679929999998</c:v>
                </c:pt>
                <c:pt idx="33">
                  <c:v>39239.471109999999</c:v>
                </c:pt>
                <c:pt idx="34">
                  <c:v>39482.299700000003</c:v>
                </c:pt>
                <c:pt idx="35">
                  <c:v>39724.512499999997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D4-4D49-89F4-ABF65BD94CDB}"/>
            </c:ext>
          </c:extLst>
        </c:ser>
        <c:ser>
          <c:idx val="2"/>
          <c:order val="2"/>
          <c:tx>
            <c:strRef>
              <c:f>Données!$B$305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3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Données!$C$305:$AL$305</c:f>
              <c:numCache>
                <c:formatCode>#,##0</c:formatCode>
                <c:ptCount val="36"/>
                <c:pt idx="0">
                  <c:v>1.9359999999999999</c:v>
                </c:pt>
                <c:pt idx="1">
                  <c:v>1.992675011</c:v>
                </c:pt>
                <c:pt idx="2">
                  <c:v>2.060513061</c:v>
                </c:pt>
                <c:pt idx="3">
                  <c:v>2.1346197249999999</c:v>
                </c:pt>
                <c:pt idx="4">
                  <c:v>2.2118520859999999</c:v>
                </c:pt>
                <c:pt idx="5">
                  <c:v>2.2902607330000002</c:v>
                </c:pt>
                <c:pt idx="6">
                  <c:v>2.3683424839999998</c:v>
                </c:pt>
                <c:pt idx="7">
                  <c:v>2.4453980629999998</c:v>
                </c:pt>
                <c:pt idx="8">
                  <c:v>2.5210237090000001</c:v>
                </c:pt>
                <c:pt idx="9">
                  <c:v>2.5949944669999998</c:v>
                </c:pt>
                <c:pt idx="10">
                  <c:v>2.6677545500000002</c:v>
                </c:pt>
                <c:pt idx="11">
                  <c:v>2.738659358</c:v>
                </c:pt>
                <c:pt idx="12">
                  <c:v>2.8076723860000001</c:v>
                </c:pt>
                <c:pt idx="13">
                  <c:v>2.8747752329999998</c:v>
                </c:pt>
                <c:pt idx="14">
                  <c:v>2.9399713740000002</c:v>
                </c:pt>
                <c:pt idx="15">
                  <c:v>3.0032833370000001</c:v>
                </c:pt>
                <c:pt idx="16">
                  <c:v>3.064748324</c:v>
                </c:pt>
                <c:pt idx="17">
                  <c:v>3.1244140090000001</c:v>
                </c:pt>
                <c:pt idx="18">
                  <c:v>3.182335159</c:v>
                </c:pt>
                <c:pt idx="19">
                  <c:v>3.2385712039999999</c:v>
                </c:pt>
                <c:pt idx="20">
                  <c:v>3.2927792280000001</c:v>
                </c:pt>
                <c:pt idx="21">
                  <c:v>3.3454508779999999</c:v>
                </c:pt>
                <c:pt idx="22">
                  <c:v>3.3966616620000001</c:v>
                </c:pt>
                <c:pt idx="23">
                  <c:v>3.4464908809999999</c:v>
                </c:pt>
                <c:pt idx="24">
                  <c:v>3.495013368</c:v>
                </c:pt>
                <c:pt idx="25">
                  <c:v>3.5411570380000001</c:v>
                </c:pt>
                <c:pt idx="26">
                  <c:v>3.585653287</c:v>
                </c:pt>
                <c:pt idx="27">
                  <c:v>3.6286172290000001</c:v>
                </c:pt>
                <c:pt idx="28">
                  <c:v>3.670182311</c:v>
                </c:pt>
                <c:pt idx="29">
                  <c:v>3.7104821129999999</c:v>
                </c:pt>
                <c:pt idx="30">
                  <c:v>3.7496416739999998</c:v>
                </c:pt>
                <c:pt idx="31">
                  <c:v>3.7877739350000001</c:v>
                </c:pt>
                <c:pt idx="32">
                  <c:v>3.824979135</c:v>
                </c:pt>
                <c:pt idx="33">
                  <c:v>3.8613458399999998</c:v>
                </c:pt>
                <c:pt idx="34">
                  <c:v>3.8969526210000001</c:v>
                </c:pt>
                <c:pt idx="35">
                  <c:v>3.9318698150000002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D4-4D49-89F4-ABF65BD94CDB}"/>
            </c:ext>
          </c:extLst>
        </c:ser>
        <c:ser>
          <c:idx val="3"/>
          <c:order val="3"/>
          <c:tx>
            <c:strRef>
              <c:f>Données!$B$306</c:f>
              <c:strCache>
                <c:ptCount val="1"/>
                <c:pt idx="0">
                  <c:v>Electric</c:v>
                </c:pt>
              </c:strCache>
            </c:strRef>
          </c:tx>
          <c:spPr>
            <a:solidFill>
              <a:srgbClr val="00B050"/>
            </a:solidFill>
            <a:ln w="25400">
              <a:noFill/>
            </a:ln>
            <a:effectLst/>
          </c:spPr>
          <c:cat>
            <c:numRef>
              <c:f>Données!$C$302:$AL$302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Données!$C$306:$AL$306</c:f>
              <c:numCache>
                <c:formatCode>#,##0</c:formatCode>
                <c:ptCount val="36"/>
                <c:pt idx="0">
                  <c:v>44.765000000000001</c:v>
                </c:pt>
                <c:pt idx="1">
                  <c:v>62.527370980000001</c:v>
                </c:pt>
                <c:pt idx="2">
                  <c:v>81.219025630000004</c:v>
                </c:pt>
                <c:pt idx="3">
                  <c:v>100.3587052</c:v>
                </c:pt>
                <c:pt idx="4">
                  <c:v>119.64367470000001</c:v>
                </c:pt>
                <c:pt idx="5">
                  <c:v>138.89067969999999</c:v>
                </c:pt>
                <c:pt idx="6">
                  <c:v>157.95549109999999</c:v>
                </c:pt>
                <c:pt idx="7">
                  <c:v>176.77435120000001</c:v>
                </c:pt>
                <c:pt idx="8">
                  <c:v>195.31090409999999</c:v>
                </c:pt>
                <c:pt idx="9">
                  <c:v>213.54517619999999</c:v>
                </c:pt>
                <c:pt idx="10">
                  <c:v>231.5305907</c:v>
                </c:pt>
                <c:pt idx="11">
                  <c:v>249.1978628</c:v>
                </c:pt>
                <c:pt idx="12">
                  <c:v>266.5438633</c:v>
                </c:pt>
                <c:pt idx="13">
                  <c:v>283.56735700000002</c:v>
                </c:pt>
                <c:pt idx="14">
                  <c:v>300.26977579999999</c:v>
                </c:pt>
                <c:pt idx="15">
                  <c:v>316.6551351</c:v>
                </c:pt>
                <c:pt idx="16">
                  <c:v>332.729714</c:v>
                </c:pt>
                <c:pt idx="17">
                  <c:v>348.50171940000001</c:v>
                </c:pt>
                <c:pt idx="18">
                  <c:v>363.98101880000002</c:v>
                </c:pt>
                <c:pt idx="19">
                  <c:v>379.17895659999999</c:v>
                </c:pt>
                <c:pt idx="20">
                  <c:v>394.06073880000002</c:v>
                </c:pt>
                <c:pt idx="21">
                  <c:v>408.68932030000002</c:v>
                </c:pt>
                <c:pt idx="22">
                  <c:v>423.08158709999998</c:v>
                </c:pt>
                <c:pt idx="23">
                  <c:v>437.25609639999999</c:v>
                </c:pt>
                <c:pt idx="24">
                  <c:v>451.23207680000002</c:v>
                </c:pt>
                <c:pt idx="25">
                  <c:v>464.89240619999998</c:v>
                </c:pt>
                <c:pt idx="26">
                  <c:v>478.33366919999997</c:v>
                </c:pt>
                <c:pt idx="27">
                  <c:v>491.58280869999999</c:v>
                </c:pt>
                <c:pt idx="28">
                  <c:v>504.67099719999999</c:v>
                </c:pt>
                <c:pt idx="29">
                  <c:v>517.63145340000005</c:v>
                </c:pt>
                <c:pt idx="30">
                  <c:v>530.49837190000005</c:v>
                </c:pt>
                <c:pt idx="31">
                  <c:v>543.30644689999997</c:v>
                </c:pt>
                <c:pt idx="32">
                  <c:v>556.09074899999996</c:v>
                </c:pt>
                <c:pt idx="33">
                  <c:v>568.88681129999998</c:v>
                </c:pt>
                <c:pt idx="34">
                  <c:v>581.73082420000003</c:v>
                </c:pt>
                <c:pt idx="35">
                  <c:v>594.65987849999999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D4-4D49-89F4-ABF65BD94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9189616"/>
        <c:axId val="749190272"/>
        <c:extLst>
          <c:ext xmlns:c15="http://schemas.microsoft.com/office/drawing/2012/chart" uri="{02D57815-91ED-43cb-92C2-25804820EDAC}">
            <c15:filteredArea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Données!$B$303</c15:sqref>
                        </c15:formulaRef>
                      </c:ext>
                    </c:extLst>
                    <c:strCache>
                      <c:ptCount val="1"/>
                      <c:pt idx="0">
                        <c:v>Vehicles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 w="25400">
                    <a:noFill/>
                  </a:ln>
                  <a:effectLst/>
                </c:spPr>
                <c:cat>
                  <c:numRef>
                    <c:extLst>
                      <c:ext uri="{02D57815-91ED-43cb-92C2-25804820EDAC}">
                        <c15:formulaRef>
                          <c15:sqref>Données!$C$302:$AL$302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Données!$C$303:$AL$303</c15:sqref>
                        </c15:formulaRef>
                      </c:ext>
                    </c:extLst>
                    <c:numCache>
                      <c:formatCode>#,##0</c:formatCode>
                      <c:ptCount val="36"/>
                      <c:pt idx="0">
                        <c:v>32317.940999999999</c:v>
                      </c:pt>
                      <c:pt idx="1">
                        <c:v>31939.281370000001</c:v>
                      </c:pt>
                      <c:pt idx="2">
                        <c:v>31767.455880000001</c:v>
                      </c:pt>
                      <c:pt idx="3">
                        <c:v>31736.000919999999</c:v>
                      </c:pt>
                      <c:pt idx="4">
                        <c:v>31800.97495</c:v>
                      </c:pt>
                      <c:pt idx="5">
                        <c:v>31933.821240000001</c:v>
                      </c:pt>
                      <c:pt idx="6">
                        <c:v>32112.091710000001</c:v>
                      </c:pt>
                      <c:pt idx="7">
                        <c:v>32323.605950000001</c:v>
                      </c:pt>
                      <c:pt idx="8">
                        <c:v>32560.151430000002</c:v>
                      </c:pt>
                      <c:pt idx="9">
                        <c:v>32815.996420000003</c:v>
                      </c:pt>
                      <c:pt idx="10">
                        <c:v>33093.72565</c:v>
                      </c:pt>
                      <c:pt idx="11">
                        <c:v>33382.973189999997</c:v>
                      </c:pt>
                      <c:pt idx="12">
                        <c:v>33680.999819999997</c:v>
                      </c:pt>
                      <c:pt idx="13">
                        <c:v>33985.469550000002</c:v>
                      </c:pt>
                      <c:pt idx="14">
                        <c:v>34294.477429999999</c:v>
                      </c:pt>
                      <c:pt idx="15">
                        <c:v>34606.498870000003</c:v>
                      </c:pt>
                      <c:pt idx="16">
                        <c:v>34920.321929999998</c:v>
                      </c:pt>
                      <c:pt idx="17">
                        <c:v>35234.98373</c:v>
                      </c:pt>
                      <c:pt idx="18">
                        <c:v>35549.718569999997</c:v>
                      </c:pt>
                      <c:pt idx="19">
                        <c:v>35863.918810000003</c:v>
                      </c:pt>
                      <c:pt idx="20">
                        <c:v>36172.23345</c:v>
                      </c:pt>
                      <c:pt idx="21">
                        <c:v>36479.502630000003</c:v>
                      </c:pt>
                      <c:pt idx="22">
                        <c:v>36785.560649999999</c:v>
                      </c:pt>
                      <c:pt idx="23">
                        <c:v>37090.35901</c:v>
                      </c:pt>
                      <c:pt idx="24">
                        <c:v>37393.860939999999</c:v>
                      </c:pt>
                      <c:pt idx="25">
                        <c:v>37682.300179999998</c:v>
                      </c:pt>
                      <c:pt idx="26">
                        <c:v>37963.857730000003</c:v>
                      </c:pt>
                      <c:pt idx="27">
                        <c:v>38239.223639999997</c:v>
                      </c:pt>
                      <c:pt idx="28">
                        <c:v>38509.34448</c:v>
                      </c:pt>
                      <c:pt idx="29">
                        <c:v>38775.19846</c:v>
                      </c:pt>
                      <c:pt idx="30">
                        <c:v>39037.689019999998</c:v>
                      </c:pt>
                      <c:pt idx="31">
                        <c:v>39297.60138</c:v>
                      </c:pt>
                      <c:pt idx="32">
                        <c:v>39555.59562</c:v>
                      </c:pt>
                      <c:pt idx="33">
                        <c:v>39812.219230000002</c:v>
                      </c:pt>
                      <c:pt idx="34">
                        <c:v>40067.927439999999</c:v>
                      </c:pt>
                      <c:pt idx="35">
                        <c:v>40323.104209999998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5BD4-4D49-89F4-ABF65BD94CDB}"/>
                  </c:ext>
                </c:extLst>
              </c15:ser>
            </c15:filteredAreaSeries>
          </c:ext>
        </c:extLst>
      </c:areaChart>
      <c:dateAx>
        <c:axId val="749189616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90272"/>
        <c:crosses val="autoZero"/>
        <c:auto val="1"/>
        <c:lblOffset val="100"/>
        <c:baseTimeUnit val="years"/>
        <c:majorUnit val="5"/>
        <c:majorTimeUnit val="years"/>
      </c:dateAx>
      <c:valAx>
        <c:axId val="74919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49189616"/>
        <c:crosses val="autoZero"/>
        <c:crossBetween val="midCat"/>
        <c:majorUnit val="1000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Employment</a:t>
            </a:r>
          </a:p>
          <a:p>
            <a:pPr>
              <a:defRPr/>
            </a:pPr>
            <a:r>
              <a:rPr lang="fr-FR" sz="1800" baseline="0"/>
              <a:t>(deviation in thousands)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6442019357368427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8.0311456623915506E-2"/>
          <c:y val="0.15388432122165863"/>
          <c:w val="0.90465257274928901"/>
          <c:h val="0.57456985577238018"/>
        </c:manualLayout>
      </c:layout>
      <c:barChart>
        <c:barDir val="col"/>
        <c:grouping val="stacked"/>
        <c:varyColors val="0"/>
        <c:ser>
          <c:idx val="1"/>
          <c:order val="1"/>
          <c:tx>
            <c:strRef>
              <c:f>Données!$B$227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Données!$C$227:$E$227</c:f>
              <c:numCache>
                <c:formatCode>#,##0</c:formatCode>
                <c:ptCount val="3"/>
                <c:pt idx="0">
                  <c:v>-41.11131290000003</c:v>
                </c:pt>
                <c:pt idx="1">
                  <c:v>-49.055606800000078</c:v>
                </c:pt>
                <c:pt idx="2">
                  <c:v>-57.620760700000005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6-4F95-8245-39FB8CC2FEA0}"/>
            </c:ext>
          </c:extLst>
        </c:ser>
        <c:ser>
          <c:idx val="2"/>
          <c:order val="2"/>
          <c:tx>
            <c:strRef>
              <c:f>Données!$B$228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Données!$C$228:$E$228</c:f>
              <c:numCache>
                <c:formatCode>#,##0</c:formatCode>
                <c:ptCount val="3"/>
                <c:pt idx="0">
                  <c:v>-275.58768599999985</c:v>
                </c:pt>
                <c:pt idx="1">
                  <c:v>-371.02047099999982</c:v>
                </c:pt>
                <c:pt idx="2">
                  <c:v>-444.85409199999958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16-4F95-8245-39FB8CC2FEA0}"/>
            </c:ext>
          </c:extLst>
        </c:ser>
        <c:ser>
          <c:idx val="3"/>
          <c:order val="3"/>
          <c:tx>
            <c:strRef>
              <c:f>Données!$B$229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Données!$C$229:$E$229</c:f>
              <c:numCache>
                <c:formatCode>#,##0</c:formatCode>
                <c:ptCount val="3"/>
                <c:pt idx="0">
                  <c:v>-38.499969699999951</c:v>
                </c:pt>
                <c:pt idx="1">
                  <c:v>-47.91061030000003</c:v>
                </c:pt>
                <c:pt idx="2">
                  <c:v>-57.516157200000066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16-4F95-8245-39FB8CC2FEA0}"/>
            </c:ext>
          </c:extLst>
        </c:ser>
        <c:ser>
          <c:idx val="4"/>
          <c:order val="4"/>
          <c:tx>
            <c:strRef>
              <c:f>Données!$B$230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Données!$C$230:$E$230</c:f>
              <c:numCache>
                <c:formatCode>#,##0</c:formatCode>
                <c:ptCount val="3"/>
                <c:pt idx="0">
                  <c:v>-810.86767999999938</c:v>
                </c:pt>
                <c:pt idx="1">
                  <c:v>-978.91418999999951</c:v>
                </c:pt>
                <c:pt idx="2">
                  <c:v>-1145.6300599999995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16-4F95-8245-39FB8CC2FEA0}"/>
            </c:ext>
          </c:extLst>
        </c:ser>
        <c:ser>
          <c:idx val="5"/>
          <c:order val="5"/>
          <c:tx>
            <c:strRef>
              <c:f>Données!$B$231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Données!$C$231:$E$231</c:f>
              <c:numCache>
                <c:formatCode>#\ ##0.0</c:formatCode>
                <c:ptCount val="3"/>
                <c:pt idx="0">
                  <c:v>-0.65217655580000056</c:v>
                </c:pt>
                <c:pt idx="1">
                  <c:v>-0.81382116079999989</c:v>
                </c:pt>
                <c:pt idx="2">
                  <c:v>-0.96096595919999928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616-4F95-8245-39FB8CC2FEA0}"/>
            </c:ext>
          </c:extLst>
        </c:ser>
        <c:ser>
          <c:idx val="6"/>
          <c:order val="6"/>
          <c:tx>
            <c:strRef>
              <c:f>Données!$B$232</c:f>
              <c:strCache>
                <c:ptCount val="1"/>
                <c:pt idx="0">
                  <c:v>Renewable Oil &amp; 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Données!$C$232:$E$232</c:f>
              <c:numCache>
                <c:formatCode>#\ ##0.0</c:formatCode>
                <c:ptCount val="3"/>
                <c:pt idx="0">
                  <c:v>-0.44605162419999989</c:v>
                </c:pt>
                <c:pt idx="1">
                  <c:v>-0.55307285920000027</c:v>
                </c:pt>
                <c:pt idx="2">
                  <c:v>-0.64833459079999933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616-4F95-8245-39FB8CC2FEA0}"/>
            </c:ext>
          </c:extLst>
        </c:ser>
        <c:ser>
          <c:idx val="7"/>
          <c:order val="7"/>
          <c:tx>
            <c:strRef>
              <c:f>Données!$B$233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Données!$C$233:$E$233</c:f>
              <c:numCache>
                <c:formatCode>#\ ##0.0</c:formatCode>
                <c:ptCount val="3"/>
                <c:pt idx="0">
                  <c:v>-2.2717437699999863</c:v>
                </c:pt>
                <c:pt idx="1">
                  <c:v>-2.708993520000007</c:v>
                </c:pt>
                <c:pt idx="2">
                  <c:v>-3.3065737299999967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93301600"/>
        <c:axId val="793302256"/>
      </c:barChart>
      <c:lineChart>
        <c:grouping val="standard"/>
        <c:varyColors val="0"/>
        <c:ser>
          <c:idx val="0"/>
          <c:order val="0"/>
          <c:tx>
            <c:strRef>
              <c:f>Données!$B$226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Données!$C$225:$E$225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Données!$C$226:$E$226</c:f>
              <c:numCache>
                <c:formatCode>#,##0</c:formatCode>
                <c:ptCount val="3"/>
                <c:pt idx="0">
                  <c:v>-1169.4366200000004</c:v>
                </c:pt>
                <c:pt idx="1">
                  <c:v>-1450.9767700000011</c:v>
                </c:pt>
                <c:pt idx="2">
                  <c:v>-1710.5369400000018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6-4F95-8245-39FB8CC2FE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3301600"/>
        <c:axId val="793302256"/>
      </c:line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Investment </a:t>
            </a:r>
            <a:r>
              <a:rPr lang="fr-FR" sz="1800"/>
              <a:t>(%deviation</a:t>
            </a:r>
            <a:r>
              <a:rPr lang="fr-FR" sz="1800" baseline="0"/>
              <a:t> from baseline</a:t>
            </a:r>
            <a:r>
              <a:rPr lang="fr-FR" sz="2800" baseline="0"/>
              <a:t>)</a:t>
            </a:r>
            <a:endParaRPr lang="fr-FR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Données!$B$289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Données!$C$289:$E$289</c:f>
              <c:numCache>
                <c:formatCode>0.0%</c:formatCode>
                <c:ptCount val="3"/>
                <c:pt idx="0">
                  <c:v>-5.6036327673806305E-4</c:v>
                </c:pt>
                <c:pt idx="1">
                  <c:v>-6.5407225446711091E-4</c:v>
                </c:pt>
                <c:pt idx="2">
                  <c:v>-7.1565983372310238E-4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E-477E-A9C8-4FC424910435}"/>
            </c:ext>
          </c:extLst>
        </c:ser>
        <c:ser>
          <c:idx val="2"/>
          <c:order val="2"/>
          <c:tx>
            <c:strRef>
              <c:f>Données!$B$290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Données!$C$290:$E$290</c:f>
              <c:numCache>
                <c:formatCode>0.0%</c:formatCode>
                <c:ptCount val="3"/>
                <c:pt idx="0">
                  <c:v>-3.7456795552122023E-2</c:v>
                </c:pt>
                <c:pt idx="1">
                  <c:v>-5.2051075026473978E-2</c:v>
                </c:pt>
                <c:pt idx="2">
                  <c:v>-5.9892171708202449E-2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FE-477E-A9C8-4FC424910435}"/>
            </c:ext>
          </c:extLst>
        </c:ser>
        <c:ser>
          <c:idx val="3"/>
          <c:order val="3"/>
          <c:tx>
            <c:strRef>
              <c:f>Données!$B$291</c:f>
              <c:strCache>
                <c:ptCount val="1"/>
                <c:pt idx="0">
                  <c:v>Transport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Données!$C$291:$E$291</c:f>
              <c:numCache>
                <c:formatCode>0.0%</c:formatCode>
                <c:ptCount val="3"/>
                <c:pt idx="0">
                  <c:v>-1.1826485329714225E-3</c:v>
                </c:pt>
                <c:pt idx="1">
                  <c:v>-1.4779784642481703E-3</c:v>
                </c:pt>
                <c:pt idx="2">
                  <c:v>-1.6953515530797796E-3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CFE-477E-A9C8-4FC424910435}"/>
            </c:ext>
          </c:extLst>
        </c:ser>
        <c:ser>
          <c:idx val="4"/>
          <c:order val="4"/>
          <c:tx>
            <c:strRef>
              <c:f>Données!$B$292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Données!$C$292:$E$292</c:f>
              <c:numCache>
                <c:formatCode>0.0%</c:formatCode>
                <c:ptCount val="3"/>
                <c:pt idx="0">
                  <c:v>-2.3749218656438406E-2</c:v>
                </c:pt>
                <c:pt idx="1">
                  <c:v>-2.9062969579594228E-2</c:v>
                </c:pt>
                <c:pt idx="2">
                  <c:v>-3.199709775192152E-2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FE-477E-A9C8-4FC424910435}"/>
            </c:ext>
          </c:extLst>
        </c:ser>
        <c:ser>
          <c:idx val="5"/>
          <c:order val="5"/>
          <c:tx>
            <c:strRef>
              <c:f>Données!$B$293</c:f>
              <c:strCache>
                <c:ptCount val="1"/>
                <c:pt idx="0">
                  <c:v>Oil &amp; 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Données!$C$293:$E$293</c:f>
              <c:numCache>
                <c:formatCode>0.0%</c:formatCode>
                <c:ptCount val="3"/>
                <c:pt idx="0">
                  <c:v>-3.4757374133174079E-4</c:v>
                </c:pt>
                <c:pt idx="1">
                  <c:v>-4.1382784236427536E-4</c:v>
                </c:pt>
                <c:pt idx="2">
                  <c:v>-4.5616849685483919E-4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CFE-477E-A9C8-4FC424910435}"/>
            </c:ext>
          </c:extLst>
        </c:ser>
        <c:ser>
          <c:idx val="6"/>
          <c:order val="6"/>
          <c:tx>
            <c:strRef>
              <c:f>Données!$B$294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Données!$C$294:$E$294</c:f>
              <c:numCache>
                <c:formatCode>0.0%</c:formatCode>
                <c:ptCount val="3"/>
                <c:pt idx="0">
                  <c:v>-2.479208985796561E-4</c:v>
                </c:pt>
                <c:pt idx="1">
                  <c:v>-2.6492842775901321E-4</c:v>
                </c:pt>
                <c:pt idx="2">
                  <c:v>-2.9537591573448136E-4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4"/>
        <c:overlap val="100"/>
        <c:axId val="750236624"/>
        <c:axId val="750231704"/>
      </c:barChart>
      <c:lineChart>
        <c:grouping val="standard"/>
        <c:varyColors val="0"/>
        <c:ser>
          <c:idx val="0"/>
          <c:order val="0"/>
          <c:tx>
            <c:strRef>
              <c:f>Données!$B$288</c:f>
              <c:strCache>
                <c:ptCount val="1"/>
                <c:pt idx="0">
                  <c:v>Firms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Données!$C$287:$E$287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Données!$C$288:$E$288</c:f>
              <c:numCache>
                <c:formatCode>0.0%</c:formatCode>
                <c:ptCount val="3"/>
                <c:pt idx="0">
                  <c:v>-6.3544520676408811E-2</c:v>
                </c:pt>
                <c:pt idx="1">
                  <c:v>-8.3924851716116189E-2</c:v>
                </c:pt>
                <c:pt idx="2">
                  <c:v>-9.5051825137853374E-2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FE-477E-A9C8-4FC424910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0236624"/>
        <c:axId val="750231704"/>
      </c:lineChart>
      <c:catAx>
        <c:axId val="75023662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1704"/>
        <c:crosses val="autoZero"/>
        <c:auto val="1"/>
        <c:lblAlgn val="ctr"/>
        <c:lblOffset val="100"/>
        <c:tickLblSkip val="10"/>
        <c:noMultiLvlLbl val="0"/>
      </c:catAx>
      <c:valAx>
        <c:axId val="750231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50236624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Firms' CO2</a:t>
            </a:r>
            <a:r>
              <a:rPr lang="fr-FR" sz="2800" baseline="0"/>
              <a:t> emissions</a:t>
            </a:r>
          </a:p>
          <a:p>
            <a:pPr>
              <a:defRPr/>
            </a:pPr>
            <a:r>
              <a:rPr lang="fr-FR" i="1" baseline="0"/>
              <a:t>MtCO2/y</a:t>
            </a:r>
            <a:endParaRPr lang="fr-FR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Données!$B$432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Données!$C$432:$F$432</c:f>
              <c:numCache>
                <c:formatCode>#,##0</c:formatCode>
                <c:ptCount val="4"/>
                <c:pt idx="0">
                  <c:v>14.826631289400002</c:v>
                </c:pt>
                <c:pt idx="1">
                  <c:v>17.066469154199996</c:v>
                </c:pt>
                <c:pt idx="2">
                  <c:v>19.6246593935</c:v>
                </c:pt>
                <c:pt idx="3">
                  <c:v>22.137755228400003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4-46BD-89B3-C66A209FCBCA}"/>
            </c:ext>
          </c:extLst>
        </c:ser>
        <c:ser>
          <c:idx val="1"/>
          <c:order val="1"/>
          <c:tx>
            <c:strRef>
              <c:f>Données!$B$433</c:f>
              <c:strCache>
                <c:ptCount val="1"/>
                <c:pt idx="0">
                  <c:v>Food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Données!$C$433:$F$433</c:f>
              <c:numCache>
                <c:formatCode>#,##0</c:formatCode>
                <c:ptCount val="4"/>
                <c:pt idx="0">
                  <c:v>8.7941018320000008</c:v>
                </c:pt>
                <c:pt idx="1">
                  <c:v>10.23839834</c:v>
                </c:pt>
                <c:pt idx="2">
                  <c:v>11.879559970000001</c:v>
                </c:pt>
                <c:pt idx="3">
                  <c:v>13.430585929999999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4-46BD-89B3-C66A209FCBCA}"/>
            </c:ext>
          </c:extLst>
        </c:ser>
        <c:ser>
          <c:idx val="2"/>
          <c:order val="2"/>
          <c:tx>
            <c:strRef>
              <c:f>Données!$B$434</c:f>
              <c:strCache>
                <c:ptCount val="1"/>
                <c:pt idx="0">
                  <c:v>Glass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Données!$C$434:$F$434</c:f>
              <c:numCache>
                <c:formatCode>#,##0</c:formatCode>
                <c:ptCount val="4"/>
                <c:pt idx="0">
                  <c:v>19.362787457</c:v>
                </c:pt>
                <c:pt idx="1">
                  <c:v>22.369101135999998</c:v>
                </c:pt>
                <c:pt idx="2">
                  <c:v>25.841602889999997</c:v>
                </c:pt>
                <c:pt idx="3">
                  <c:v>29.609304979999997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4-46BD-89B3-C66A209FCBCA}"/>
            </c:ext>
          </c:extLst>
        </c:ser>
        <c:ser>
          <c:idx val="3"/>
          <c:order val="3"/>
          <c:tx>
            <c:strRef>
              <c:f>Données!$B$435</c:f>
              <c:strCache>
                <c:ptCount val="1"/>
                <c:pt idx="0">
                  <c:v>Chemicals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Données!$C$435:$F$435</c:f>
              <c:numCache>
                <c:formatCode>#,##0</c:formatCode>
                <c:ptCount val="4"/>
                <c:pt idx="0">
                  <c:v>13.811003469999999</c:v>
                </c:pt>
                <c:pt idx="1">
                  <c:v>15.89333684</c:v>
                </c:pt>
                <c:pt idx="2">
                  <c:v>18.028629930000001</c:v>
                </c:pt>
                <c:pt idx="3">
                  <c:v>20.329465119999998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84-46BD-89B3-C66A209FCBCA}"/>
            </c:ext>
          </c:extLst>
        </c:ser>
        <c:ser>
          <c:idx val="4"/>
          <c:order val="4"/>
          <c:tx>
            <c:strRef>
              <c:f>Données!$B$436</c:f>
              <c:strCache>
                <c:ptCount val="1"/>
                <c:pt idx="0">
                  <c:v>Metal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Données!$C$436:$F$436</c:f>
              <c:numCache>
                <c:formatCode>#,##0</c:formatCode>
                <c:ptCount val="4"/>
                <c:pt idx="0">
                  <c:v>20.008659359999999</c:v>
                </c:pt>
                <c:pt idx="1">
                  <c:v>22.839940680000002</c:v>
                </c:pt>
                <c:pt idx="2">
                  <c:v>25.97176198</c:v>
                </c:pt>
                <c:pt idx="3">
                  <c:v>29.402782699999999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84-46BD-89B3-C66A209FCBCA}"/>
            </c:ext>
          </c:extLst>
        </c:ser>
        <c:ser>
          <c:idx val="5"/>
          <c:order val="5"/>
          <c:tx>
            <c:strRef>
              <c:f>Données!$B$437</c:f>
              <c:strCache>
                <c:ptCount val="1"/>
                <c:pt idx="0">
                  <c:v>Other industry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Données!$C$437:$F$437</c:f>
              <c:numCache>
                <c:formatCode>#,##0</c:formatCode>
                <c:ptCount val="4"/>
                <c:pt idx="0">
                  <c:v>16.139345024000001</c:v>
                </c:pt>
                <c:pt idx="1">
                  <c:v>19.097713681000002</c:v>
                </c:pt>
                <c:pt idx="2">
                  <c:v>22.427123109</c:v>
                </c:pt>
                <c:pt idx="3">
                  <c:v>25.433350724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84-46BD-89B3-C66A209FCBCA}"/>
            </c:ext>
          </c:extLst>
        </c:ser>
        <c:ser>
          <c:idx val="6"/>
          <c:order val="6"/>
          <c:tx>
            <c:strRef>
              <c:f>Données!$B$438</c:f>
              <c:strCache>
                <c:ptCount val="1"/>
                <c:pt idx="0">
                  <c:v>Road transport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Données!$C$438:$F$438</c:f>
              <c:numCache>
                <c:formatCode>#,##0</c:formatCode>
                <c:ptCount val="4"/>
                <c:pt idx="0">
                  <c:v>17.788413819999999</c:v>
                </c:pt>
                <c:pt idx="1">
                  <c:v>20.232329329999999</c:v>
                </c:pt>
                <c:pt idx="2">
                  <c:v>22.86526439</c:v>
                </c:pt>
                <c:pt idx="3">
                  <c:v>25.560100469999998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C84-46BD-89B3-C66A209FCBCA}"/>
            </c:ext>
          </c:extLst>
        </c:ser>
        <c:ser>
          <c:idx val="7"/>
          <c:order val="7"/>
          <c:tx>
            <c:strRef>
              <c:f>Données!$B$439</c:f>
              <c:strCache>
                <c:ptCount val="1"/>
                <c:pt idx="0">
                  <c:v>Air transport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Données!$C$439:$F$439</c:f>
              <c:numCache>
                <c:formatCode>#,##0</c:formatCode>
                <c:ptCount val="4"/>
                <c:pt idx="0">
                  <c:v>19.915126959999998</c:v>
                </c:pt>
                <c:pt idx="1">
                  <c:v>23.595810650000001</c:v>
                </c:pt>
                <c:pt idx="2">
                  <c:v>27.574943470000001</c:v>
                </c:pt>
                <c:pt idx="3">
                  <c:v>31.754570430000001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C84-46BD-89B3-C66A209FCBCA}"/>
            </c:ext>
          </c:extLst>
        </c:ser>
        <c:ser>
          <c:idx val="8"/>
          <c:order val="8"/>
          <c:tx>
            <c:strRef>
              <c:f>Données!$B$440</c:f>
              <c:strCache>
                <c:ptCount val="1"/>
                <c:pt idx="0">
                  <c:v>Other transport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Données!$C$440:$F$440</c:f>
              <c:numCache>
                <c:formatCode>#,##0</c:formatCode>
                <c:ptCount val="4"/>
                <c:pt idx="0">
                  <c:v>5.6544153460000004</c:v>
                </c:pt>
                <c:pt idx="1">
                  <c:v>6.4592068550000006</c:v>
                </c:pt>
                <c:pt idx="2">
                  <c:v>7.2505307220000006</c:v>
                </c:pt>
                <c:pt idx="3">
                  <c:v>8.113829324000001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C84-46BD-89B3-C66A209FCBCA}"/>
            </c:ext>
          </c:extLst>
        </c:ser>
        <c:ser>
          <c:idx val="9"/>
          <c:order val="9"/>
          <c:tx>
            <c:strRef>
              <c:f>Données!$B$441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Données!$C$441:$F$441</c:f>
              <c:numCache>
                <c:formatCode>#,##0</c:formatCode>
                <c:ptCount val="4"/>
                <c:pt idx="0">
                  <c:v>51.265447315999999</c:v>
                </c:pt>
                <c:pt idx="1">
                  <c:v>59.689412521999998</c:v>
                </c:pt>
                <c:pt idx="2">
                  <c:v>69.338901980000003</c:v>
                </c:pt>
                <c:pt idx="3">
                  <c:v>78.799974867000003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C84-46BD-89B3-C66A209FCBCA}"/>
            </c:ext>
          </c:extLst>
        </c:ser>
        <c:ser>
          <c:idx val="10"/>
          <c:order val="10"/>
          <c:tx>
            <c:strRef>
              <c:f>Données!$B$442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Données!$C$442:$F$442</c:f>
              <c:numCache>
                <c:formatCode>#,##0</c:formatCode>
                <c:ptCount val="4"/>
                <c:pt idx="0">
                  <c:v>21.512546301</c:v>
                </c:pt>
                <c:pt idx="1">
                  <c:v>23.876357680999998</c:v>
                </c:pt>
                <c:pt idx="2">
                  <c:v>26.547149009999998</c:v>
                </c:pt>
                <c:pt idx="3">
                  <c:v>29.237114238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C84-46BD-89B3-C66A209FCBCA}"/>
            </c:ext>
          </c:extLst>
        </c:ser>
        <c:ser>
          <c:idx val="11"/>
          <c:order val="11"/>
          <c:tx>
            <c:strRef>
              <c:f>Données!$B$443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Données!$C$431:$F$431</c:f>
              <c:strCache>
                <c:ptCount val="4"/>
                <c:pt idx="0">
                  <c:v>2020</c:v>
                </c:pt>
                <c:pt idx="1">
                  <c:v>2030</c:v>
                </c:pt>
                <c:pt idx="2">
                  <c:v>2040</c:v>
                </c:pt>
                <c:pt idx="3">
                  <c:v>2050</c:v>
                </c:pt>
              </c:strCache>
            </c:strRef>
          </c:cat>
          <c:val>
            <c:numRef>
              <c:f>Données!$C$443:$F$443</c:f>
              <c:numCache>
                <c:formatCode>#,##0</c:formatCode>
                <c:ptCount val="4"/>
                <c:pt idx="0">
                  <c:v>25.460550013000002</c:v>
                </c:pt>
                <c:pt idx="1">
                  <c:v>27.835812788999998</c:v>
                </c:pt>
                <c:pt idx="2">
                  <c:v>30.182190473000002</c:v>
                </c:pt>
                <c:pt idx="3">
                  <c:v>32.507285570000001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C84-46BD-89B3-C66A209FC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56882840"/>
        <c:axId val="956883496"/>
      </c:barChart>
      <c:catAx>
        <c:axId val="956882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3496"/>
        <c:crosses val="autoZero"/>
        <c:auto val="1"/>
        <c:lblAlgn val="ctr"/>
        <c:lblOffset val="100"/>
        <c:noMultiLvlLbl val="0"/>
      </c:catAx>
      <c:valAx>
        <c:axId val="956883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95688284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Capital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Données!$B$185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Données!$C$185:$AL$185</c:f>
              <c:numCache>
                <c:formatCode>0%</c:formatCode>
                <c:ptCount val="36"/>
                <c:pt idx="0">
                  <c:v>2.0907683043077441E-2</c:v>
                </c:pt>
                <c:pt idx="1">
                  <c:v>2.5415066330837455E-2</c:v>
                </c:pt>
                <c:pt idx="2">
                  <c:v>2.7904627745278132E-2</c:v>
                </c:pt>
                <c:pt idx="3">
                  <c:v>2.9187448510968217E-2</c:v>
                </c:pt>
                <c:pt idx="4">
                  <c:v>2.9531585428696605E-2</c:v>
                </c:pt>
                <c:pt idx="5">
                  <c:v>2.9154190962247251E-2</c:v>
                </c:pt>
                <c:pt idx="6">
                  <c:v>2.8218160951154481E-2</c:v>
                </c:pt>
                <c:pt idx="7">
                  <c:v>2.6856839888748762E-2</c:v>
                </c:pt>
                <c:pt idx="8">
                  <c:v>2.5198341980187999E-2</c:v>
                </c:pt>
                <c:pt idx="9">
                  <c:v>2.3356370163344797E-2</c:v>
                </c:pt>
                <c:pt idx="10">
                  <c:v>2.1425314701882803E-2</c:v>
                </c:pt>
                <c:pt idx="11">
                  <c:v>1.9551358791596529E-2</c:v>
                </c:pt>
                <c:pt idx="12">
                  <c:v>1.7721277718764306E-2</c:v>
                </c:pt>
                <c:pt idx="13">
                  <c:v>1.5960796040041636E-2</c:v>
                </c:pt>
                <c:pt idx="14">
                  <c:v>1.428744885492006E-2</c:v>
                </c:pt>
                <c:pt idx="15">
                  <c:v>1.2711513312597456E-2</c:v>
                </c:pt>
                <c:pt idx="16">
                  <c:v>1.1312306850404186E-2</c:v>
                </c:pt>
                <c:pt idx="17">
                  <c:v>1.0024579528816524E-2</c:v>
                </c:pt>
                <c:pt idx="18">
                  <c:v>8.8420186903706011E-3</c:v>
                </c:pt>
                <c:pt idx="19">
                  <c:v>7.7601897121786223E-3</c:v>
                </c:pt>
                <c:pt idx="20">
                  <c:v>6.7725860047180841E-3</c:v>
                </c:pt>
                <c:pt idx="21">
                  <c:v>5.8814590309375081E-3</c:v>
                </c:pt>
                <c:pt idx="22">
                  <c:v>5.0755530060497822E-3</c:v>
                </c:pt>
                <c:pt idx="23">
                  <c:v>4.3511631534394191E-3</c:v>
                </c:pt>
                <c:pt idx="24">
                  <c:v>3.7039688606153032E-3</c:v>
                </c:pt>
                <c:pt idx="25">
                  <c:v>3.1190526976059285E-3</c:v>
                </c:pt>
                <c:pt idx="26">
                  <c:v>2.5903259440318571E-3</c:v>
                </c:pt>
                <c:pt idx="27">
                  <c:v>2.121697819886581E-3</c:v>
                </c:pt>
                <c:pt idx="28">
                  <c:v>1.7101811035926673E-3</c:v>
                </c:pt>
                <c:pt idx="29">
                  <c:v>1.3519671112325327E-3</c:v>
                </c:pt>
                <c:pt idx="30">
                  <c:v>1.0428628651524274E-3</c:v>
                </c:pt>
                <c:pt idx="31">
                  <c:v>7.6503724296039799E-4</c:v>
                </c:pt>
                <c:pt idx="32">
                  <c:v>5.2633814223068676E-4</c:v>
                </c:pt>
                <c:pt idx="33">
                  <c:v>3.2400025504308871E-4</c:v>
                </c:pt>
                <c:pt idx="34">
                  <c:v>1.5494697818008163E-4</c:v>
                </c:pt>
                <c:pt idx="35">
                  <c:v>1.6238620849540197E-5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BC-46A1-8051-5FF16B24E7D2}"/>
            </c:ext>
          </c:extLst>
        </c:ser>
        <c:ser>
          <c:idx val="2"/>
          <c:order val="2"/>
          <c:tx>
            <c:strRef>
              <c:f>Données!$B$186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Données!$C$186:$AL$186</c:f>
              <c:numCache>
                <c:formatCode>0%</c:formatCode>
                <c:ptCount val="36"/>
                <c:pt idx="0">
                  <c:v>2.6786690281095149E-2</c:v>
                </c:pt>
                <c:pt idx="1">
                  <c:v>3.0524974902575774E-2</c:v>
                </c:pt>
                <c:pt idx="2">
                  <c:v>3.2279673855508229E-2</c:v>
                </c:pt>
                <c:pt idx="3">
                  <c:v>3.2984021537802333E-2</c:v>
                </c:pt>
                <c:pt idx="4">
                  <c:v>3.3021472224993742E-2</c:v>
                </c:pt>
                <c:pt idx="5">
                  <c:v>3.2587514383523475E-2</c:v>
                </c:pt>
                <c:pt idx="6">
                  <c:v>3.1831667467065783E-2</c:v>
                </c:pt>
                <c:pt idx="7">
                  <c:v>3.0814708064311747E-2</c:v>
                </c:pt>
                <c:pt idx="8">
                  <c:v>2.9597861646198931E-2</c:v>
                </c:pt>
                <c:pt idx="9">
                  <c:v>2.8234285330285047E-2</c:v>
                </c:pt>
                <c:pt idx="10">
                  <c:v>2.6769876714378471E-2</c:v>
                </c:pt>
                <c:pt idx="11">
                  <c:v>2.5336085722789559E-2</c:v>
                </c:pt>
                <c:pt idx="12">
                  <c:v>2.3869055891948099E-2</c:v>
                </c:pt>
                <c:pt idx="13">
                  <c:v>2.237910910308849E-2</c:v>
                </c:pt>
                <c:pt idx="14">
                  <c:v>2.0875527258632731E-2</c:v>
                </c:pt>
                <c:pt idx="15">
                  <c:v>1.9365305304850366E-2</c:v>
                </c:pt>
                <c:pt idx="16">
                  <c:v>1.7948477843163335E-2</c:v>
                </c:pt>
                <c:pt idx="17">
                  <c:v>1.653654960078943E-2</c:v>
                </c:pt>
                <c:pt idx="18">
                  <c:v>1.5126472458019569E-2</c:v>
                </c:pt>
                <c:pt idx="19">
                  <c:v>1.3719405599400325E-2</c:v>
                </c:pt>
                <c:pt idx="20">
                  <c:v>1.231829213328739E-2</c:v>
                </c:pt>
                <c:pt idx="21">
                  <c:v>1.0928340826716232E-2</c:v>
                </c:pt>
                <c:pt idx="22">
                  <c:v>9.5503953376963047E-3</c:v>
                </c:pt>
                <c:pt idx="23">
                  <c:v>8.1902988248838682E-3</c:v>
                </c:pt>
                <c:pt idx="24">
                  <c:v>6.8532360032644846E-3</c:v>
                </c:pt>
                <c:pt idx="25">
                  <c:v>5.5420757828119616E-3</c:v>
                </c:pt>
                <c:pt idx="26">
                  <c:v>4.2385404641387403E-3</c:v>
                </c:pt>
                <c:pt idx="27">
                  <c:v>2.9710747128282033E-3</c:v>
                </c:pt>
                <c:pt idx="28">
                  <c:v>1.7469030225030213E-3</c:v>
                </c:pt>
                <c:pt idx="29">
                  <c:v>5.7130057694387837E-4</c:v>
                </c:pt>
                <c:pt idx="30">
                  <c:v>-5.5148743230593045E-4</c:v>
                </c:pt>
                <c:pt idx="31">
                  <c:v>-1.6348617064130266E-3</c:v>
                </c:pt>
                <c:pt idx="32">
                  <c:v>-2.6592804759377753E-3</c:v>
                </c:pt>
                <c:pt idx="33">
                  <c:v>-3.6206557750392276E-3</c:v>
                </c:pt>
                <c:pt idx="34">
                  <c:v>-4.5158899113940665E-3</c:v>
                </c:pt>
                <c:pt idx="35">
                  <c:v>-5.3424052886889006E-3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BC-46A1-8051-5FF16B24E7D2}"/>
            </c:ext>
          </c:extLst>
        </c:ser>
        <c:ser>
          <c:idx val="3"/>
          <c:order val="3"/>
          <c:tx>
            <c:strRef>
              <c:f>Données!$B$187</c:f>
              <c:strCache>
                <c:ptCount val="1"/>
                <c:pt idx="0">
                  <c:v>Transports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Données!$C$187:$AL$187</c:f>
              <c:numCache>
                <c:formatCode>0%</c:formatCode>
                <c:ptCount val="36"/>
                <c:pt idx="0">
                  <c:v>2.4971667141298282E-2</c:v>
                </c:pt>
                <c:pt idx="1">
                  <c:v>2.6725862992085903E-2</c:v>
                </c:pt>
                <c:pt idx="2">
                  <c:v>2.7012077000841739E-2</c:v>
                </c:pt>
                <c:pt idx="3">
                  <c:v>2.6534275981624722E-2</c:v>
                </c:pt>
                <c:pt idx="4">
                  <c:v>2.5511647207651311E-2</c:v>
                </c:pt>
                <c:pt idx="5">
                  <c:v>2.4068803260280935E-2</c:v>
                </c:pt>
                <c:pt idx="6">
                  <c:v>2.2340330039768208E-2</c:v>
                </c:pt>
                <c:pt idx="7">
                  <c:v>2.040273698703321E-2</c:v>
                </c:pt>
                <c:pt idx="8">
                  <c:v>1.8341072664102454E-2</c:v>
                </c:pt>
                <c:pt idx="9">
                  <c:v>1.6228595689425473E-2</c:v>
                </c:pt>
                <c:pt idx="10">
                  <c:v>1.4126162682981391E-2</c:v>
                </c:pt>
                <c:pt idx="11">
                  <c:v>1.2162758287410202E-2</c:v>
                </c:pt>
                <c:pt idx="12">
                  <c:v>1.0275116077261615E-2</c:v>
                </c:pt>
                <c:pt idx="13">
                  <c:v>8.4726539365311826E-3</c:v>
                </c:pt>
                <c:pt idx="14">
                  <c:v>6.7608656677702328E-3</c:v>
                </c:pt>
                <c:pt idx="15">
                  <c:v>5.1409377005913193E-3</c:v>
                </c:pt>
                <c:pt idx="16">
                  <c:v>3.701579473109895E-3</c:v>
                </c:pt>
                <c:pt idx="17">
                  <c:v>2.3452906742249535E-3</c:v>
                </c:pt>
                <c:pt idx="18">
                  <c:v>1.0623277914767471E-3</c:v>
                </c:pt>
                <c:pt idx="19">
                  <c:v>-1.537901684635079E-4</c:v>
                </c:pt>
                <c:pt idx="20">
                  <c:v>-1.3120808150219876E-3</c:v>
                </c:pt>
                <c:pt idx="21">
                  <c:v>-2.4087737439389967E-3</c:v>
                </c:pt>
                <c:pt idx="22">
                  <c:v>-3.454822289691184E-3</c:v>
                </c:pt>
                <c:pt idx="23">
                  <c:v>-4.4532811288561236E-3</c:v>
                </c:pt>
                <c:pt idx="24">
                  <c:v>-5.4074634132144084E-3</c:v>
                </c:pt>
                <c:pt idx="25">
                  <c:v>-6.333919183036163E-3</c:v>
                </c:pt>
                <c:pt idx="26">
                  <c:v>-7.2396171752732164E-3</c:v>
                </c:pt>
                <c:pt idx="27">
                  <c:v>-8.1074423849141208E-3</c:v>
                </c:pt>
                <c:pt idx="28">
                  <c:v>-8.9377995934390997E-3</c:v>
                </c:pt>
                <c:pt idx="29">
                  <c:v>-9.7323627370802246E-3</c:v>
                </c:pt>
                <c:pt idx="30">
                  <c:v>-1.0493105264711922E-2</c:v>
                </c:pt>
                <c:pt idx="31">
                  <c:v>-1.1238576829150859E-2</c:v>
                </c:pt>
                <c:pt idx="32">
                  <c:v>-1.1953641734988141E-2</c:v>
                </c:pt>
                <c:pt idx="33">
                  <c:v>-1.2638905554289481E-2</c:v>
                </c:pt>
                <c:pt idx="34">
                  <c:v>-1.3295384217738793E-2</c:v>
                </c:pt>
                <c:pt idx="35">
                  <c:v>-1.3924062540472515E-2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BC-46A1-8051-5FF16B24E7D2}"/>
            </c:ext>
          </c:extLst>
        </c:ser>
        <c:ser>
          <c:idx val="4"/>
          <c:order val="4"/>
          <c:tx>
            <c:strRef>
              <c:f>Données!$B$188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Données!$C$188:$AL$188</c:f>
              <c:numCache>
                <c:formatCode>0%</c:formatCode>
                <c:ptCount val="36"/>
                <c:pt idx="0">
                  <c:v>1.394188262012741E-2</c:v>
                </c:pt>
                <c:pt idx="1">
                  <c:v>1.7887235316255801E-2</c:v>
                </c:pt>
                <c:pt idx="2">
                  <c:v>1.9976826923331359E-2</c:v>
                </c:pt>
                <c:pt idx="3">
                  <c:v>2.10444253470079E-2</c:v>
                </c:pt>
                <c:pt idx="4">
                  <c:v>2.1386619204676549E-2</c:v>
                </c:pt>
                <c:pt idx="5">
                  <c:v>2.1157310879424962E-2</c:v>
                </c:pt>
                <c:pt idx="6">
                  <c:v>2.050137765033111E-2</c:v>
                </c:pt>
                <c:pt idx="7">
                  <c:v>1.9509136616436829E-2</c:v>
                </c:pt>
                <c:pt idx="8">
                  <c:v>1.8272452351028257E-2</c:v>
                </c:pt>
                <c:pt idx="9">
                  <c:v>1.6872367755961681E-2</c:v>
                </c:pt>
                <c:pt idx="10">
                  <c:v>1.536805974667721E-2</c:v>
                </c:pt>
                <c:pt idx="11">
                  <c:v>1.3877965412993687E-2</c:v>
                </c:pt>
                <c:pt idx="12">
                  <c:v>1.2389418756075354E-2</c:v>
                </c:pt>
                <c:pt idx="13">
                  <c:v>1.0920550285103969E-2</c:v>
                </c:pt>
                <c:pt idx="14">
                  <c:v>9.4853763694049409E-3</c:v>
                </c:pt>
                <c:pt idx="15">
                  <c:v>8.0937000060048447E-3</c:v>
                </c:pt>
                <c:pt idx="16">
                  <c:v>6.7996885748711211E-3</c:v>
                </c:pt>
                <c:pt idx="17">
                  <c:v>5.5685068492676848E-3</c:v>
                </c:pt>
                <c:pt idx="18">
                  <c:v>4.3972103910796534E-3</c:v>
                </c:pt>
                <c:pt idx="19">
                  <c:v>3.285432735956384E-3</c:v>
                </c:pt>
                <c:pt idx="20">
                  <c:v>2.2381057545226568E-3</c:v>
                </c:pt>
                <c:pt idx="21">
                  <c:v>1.2441944870673627E-3</c:v>
                </c:pt>
                <c:pt idx="22">
                  <c:v>3.0899582790100411E-4</c:v>
                </c:pt>
                <c:pt idx="23">
                  <c:v>-5.675537922158469E-4</c:v>
                </c:pt>
                <c:pt idx="24">
                  <c:v>-1.3863705634189483E-3</c:v>
                </c:pt>
                <c:pt idx="25">
                  <c:v>-2.1374547053436554E-3</c:v>
                </c:pt>
                <c:pt idx="26">
                  <c:v>-2.8600361246866601E-3</c:v>
                </c:pt>
                <c:pt idx="27">
                  <c:v>-3.5354497106750982E-3</c:v>
                </c:pt>
                <c:pt idx="28">
                  <c:v>-4.1632071961705819E-3</c:v>
                </c:pt>
                <c:pt idx="29">
                  <c:v>-4.744330162107957E-3</c:v>
                </c:pt>
                <c:pt idx="30">
                  <c:v>-5.2807016592587575E-3</c:v>
                </c:pt>
                <c:pt idx="31">
                  <c:v>-5.7831970687743928E-3</c:v>
                </c:pt>
                <c:pt idx="32">
                  <c:v>-6.2474221638217919E-3</c:v>
                </c:pt>
                <c:pt idx="33">
                  <c:v>-6.6748452941722825E-3</c:v>
                </c:pt>
                <c:pt idx="34">
                  <c:v>-7.067473438630012E-3</c:v>
                </c:pt>
                <c:pt idx="35">
                  <c:v>-7.4273948611948137E-3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BC-46A1-8051-5FF16B24E7D2}"/>
            </c:ext>
          </c:extLst>
        </c:ser>
        <c:ser>
          <c:idx val="5"/>
          <c:order val="5"/>
          <c:tx>
            <c:strRef>
              <c:f>Données!$B$189</c:f>
              <c:strCache>
                <c:ptCount val="1"/>
                <c:pt idx="0">
                  <c:v>Oil&amp;Gas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Données!$C$189:$AL$189</c:f>
              <c:numCache>
                <c:formatCode>0%</c:formatCode>
                <c:ptCount val="36"/>
                <c:pt idx="0">
                  <c:v>2.4983040447205784E-2</c:v>
                </c:pt>
                <c:pt idx="1">
                  <c:v>2.8098633511326021E-2</c:v>
                </c:pt>
                <c:pt idx="2">
                  <c:v>2.9277187563607754E-2</c:v>
                </c:pt>
                <c:pt idx="3">
                  <c:v>2.9764642720652601E-2</c:v>
                </c:pt>
                <c:pt idx="4">
                  <c:v>2.9733617184911187E-2</c:v>
                </c:pt>
                <c:pt idx="5">
                  <c:v>2.9312772796701969E-2</c:v>
                </c:pt>
                <c:pt idx="6">
                  <c:v>2.8536357958533598E-2</c:v>
                </c:pt>
                <c:pt idx="7">
                  <c:v>2.7441720567898731E-2</c:v>
                </c:pt>
                <c:pt idx="8">
                  <c:v>2.6094235763861606E-2</c:v>
                </c:pt>
                <c:pt idx="9">
                  <c:v>2.4561515478635831E-2</c:v>
                </c:pt>
                <c:pt idx="10">
                  <c:v>2.2919683034910543E-2</c:v>
                </c:pt>
                <c:pt idx="11">
                  <c:v>2.1288508902951309E-2</c:v>
                </c:pt>
                <c:pt idx="12">
                  <c:v>1.9633521190046466E-2</c:v>
                </c:pt>
                <c:pt idx="13">
                  <c:v>1.798054484453826E-2</c:v>
                </c:pt>
                <c:pt idx="14">
                  <c:v>1.6353291423912619E-2</c:v>
                </c:pt>
                <c:pt idx="15">
                  <c:v>1.4770647247697166E-2</c:v>
                </c:pt>
                <c:pt idx="16">
                  <c:v>1.3339899897119034E-2</c:v>
                </c:pt>
                <c:pt idx="17">
                  <c:v>1.197726079221928E-2</c:v>
                </c:pt>
                <c:pt idx="18">
                  <c:v>1.0680481036955847E-2</c:v>
                </c:pt>
                <c:pt idx="19">
                  <c:v>9.4509220682832407E-3</c:v>
                </c:pt>
                <c:pt idx="20">
                  <c:v>8.2769629055505778E-3</c:v>
                </c:pt>
                <c:pt idx="21">
                  <c:v>7.184554373216967E-3</c:v>
                </c:pt>
                <c:pt idx="22">
                  <c:v>6.1579666932047861E-3</c:v>
                </c:pt>
                <c:pt idx="23">
                  <c:v>5.1955678160366947E-3</c:v>
                </c:pt>
                <c:pt idx="24">
                  <c:v>4.2955200835599339E-3</c:v>
                </c:pt>
                <c:pt idx="25">
                  <c:v>3.4166528476933244E-3</c:v>
                </c:pt>
                <c:pt idx="26">
                  <c:v>2.5889922861552783E-3</c:v>
                </c:pt>
                <c:pt idx="27">
                  <c:v>1.8191574941051059E-3</c:v>
                </c:pt>
                <c:pt idx="28">
                  <c:v>1.1058986259699921E-3</c:v>
                </c:pt>
                <c:pt idx="29">
                  <c:v>4.4642279218409797E-4</c:v>
                </c:pt>
                <c:pt idx="30">
                  <c:v>-1.6236245867862209E-4</c:v>
                </c:pt>
                <c:pt idx="31">
                  <c:v>-7.4122888765937311E-4</c:v>
                </c:pt>
                <c:pt idx="32">
                  <c:v>-1.2755797136669855E-3</c:v>
                </c:pt>
                <c:pt idx="33">
                  <c:v>-1.7664354079958144E-3</c:v>
                </c:pt>
                <c:pt idx="34">
                  <c:v>-2.2157162696816446E-3</c:v>
                </c:pt>
                <c:pt idx="35">
                  <c:v>-2.6253445699636613E-3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BC-46A1-8051-5FF16B24E7D2}"/>
            </c:ext>
          </c:extLst>
        </c:ser>
        <c:ser>
          <c:idx val="6"/>
          <c:order val="6"/>
          <c:tx>
            <c:strRef>
              <c:f>Données!$B$190</c:f>
              <c:strCache>
                <c:ptCount val="1"/>
                <c:pt idx="0">
                  <c:v>Electricity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Données!$C$183:$AL$183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Données!$C$190:$AL$190</c:f>
              <c:numCache>
                <c:formatCode>0%</c:formatCode>
                <c:ptCount val="36"/>
                <c:pt idx="0">
                  <c:v>1.4204477446180697E-2</c:v>
                </c:pt>
                <c:pt idx="1">
                  <c:v>1.774372518193279E-2</c:v>
                </c:pt>
                <c:pt idx="2">
                  <c:v>1.9041612382448614E-2</c:v>
                </c:pt>
                <c:pt idx="3">
                  <c:v>1.9220593046926471E-2</c:v>
                </c:pt>
                <c:pt idx="4">
                  <c:v>1.8566855701088292E-2</c:v>
                </c:pt>
                <c:pt idx="5">
                  <c:v>1.7420962163854803E-2</c:v>
                </c:pt>
                <c:pt idx="6">
                  <c:v>1.5861827266375306E-2</c:v>
                </c:pt>
                <c:pt idx="7">
                  <c:v>1.4095638808452104E-2</c:v>
                </c:pt>
                <c:pt idx="8">
                  <c:v>1.224375237194586E-2</c:v>
                </c:pt>
                <c:pt idx="9">
                  <c:v>1.0393035356781821E-2</c:v>
                </c:pt>
                <c:pt idx="10">
                  <c:v>8.6212692286204984E-3</c:v>
                </c:pt>
                <c:pt idx="11">
                  <c:v>7.0187197805506862E-3</c:v>
                </c:pt>
                <c:pt idx="12">
                  <c:v>5.5750730091959078E-3</c:v>
                </c:pt>
                <c:pt idx="13">
                  <c:v>4.2979555825428672E-3</c:v>
                </c:pt>
                <c:pt idx="14">
                  <c:v>3.1904788350414215E-3</c:v>
                </c:pt>
                <c:pt idx="15">
                  <c:v>2.2500853404581189E-3</c:v>
                </c:pt>
                <c:pt idx="16">
                  <c:v>1.524479524861011E-3</c:v>
                </c:pt>
                <c:pt idx="17">
                  <c:v>9.5652936672929734E-4</c:v>
                </c:pt>
                <c:pt idx="18">
                  <c:v>5.2430899150945898E-4</c:v>
                </c:pt>
                <c:pt idx="19">
                  <c:v>2.0995138397483792E-4</c:v>
                </c:pt>
                <c:pt idx="20">
                  <c:v>-9.9882629559511216E-6</c:v>
                </c:pt>
                <c:pt idx="21">
                  <c:v>-1.4017149804479434E-4</c:v>
                </c:pt>
                <c:pt idx="22">
                  <c:v>-2.0194024526387633E-4</c:v>
                </c:pt>
                <c:pt idx="23">
                  <c:v>-2.0933986242066549E-4</c:v>
                </c:pt>
                <c:pt idx="24">
                  <c:v>-1.7501664332597588E-4</c:v>
                </c:pt>
                <c:pt idx="25">
                  <c:v>-1.318633325421148E-4</c:v>
                </c:pt>
                <c:pt idx="26">
                  <c:v>-7.9981561179054417E-5</c:v>
                </c:pt>
                <c:pt idx="27">
                  <c:v>-2.146415327775042E-5</c:v>
                </c:pt>
                <c:pt idx="28">
                  <c:v>3.8947782872611469E-5</c:v>
                </c:pt>
                <c:pt idx="29">
                  <c:v>9.690802476258753E-5</c:v>
                </c:pt>
                <c:pt idx="30">
                  <c:v>1.491731456504386E-4</c:v>
                </c:pt>
                <c:pt idx="31">
                  <c:v>1.8192822623808169E-4</c:v>
                </c:pt>
                <c:pt idx="32">
                  <c:v>2.0170026980981248E-4</c:v>
                </c:pt>
                <c:pt idx="33">
                  <c:v>2.0821792286129792E-4</c:v>
                </c:pt>
                <c:pt idx="34">
                  <c:v>2.0072537722648498E-4</c:v>
                </c:pt>
                <c:pt idx="35">
                  <c:v>1.7894354637748577E-4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BC-46A1-8051-5FF16B24E7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Données!$B$184</c15:sqref>
                        </c15:formulaRef>
                      </c:ext>
                    </c:extLst>
                    <c:strCache>
                      <c:ptCount val="1"/>
                      <c:pt idx="0">
                        <c:v>Average</c:v>
                      </c:pt>
                    </c:strCache>
                  </c:strRef>
                </c:tx>
                <c:spPr>
                  <a:ln w="38100" cap="rnd">
                    <a:solidFill>
                      <a:schemeClr val="tx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Données!$C$183:$AL$183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Données!$C$184:$AL$184</c15:sqref>
                        </c15:formulaRef>
                      </c:ext>
                    </c:extLst>
                    <c:numCache>
                      <c:formatCode>0%</c:formatCode>
                      <c:ptCount val="36"/>
                      <c:pt idx="0">
                        <c:v>1.7758117180090904E-2</c:v>
                      </c:pt>
                      <c:pt idx="1">
                        <c:v>2.1522723196523819E-2</c:v>
                      </c:pt>
                      <c:pt idx="2">
                        <c:v>2.3387972059331075E-2</c:v>
                      </c:pt>
                      <c:pt idx="3">
                        <c:v>2.4218389324364153E-2</c:v>
                      </c:pt>
                      <c:pt idx="4">
                        <c:v>2.4327223604734272E-2</c:v>
                      </c:pt>
                      <c:pt idx="5">
                        <c:v>2.3880184150240291E-2</c:v>
                      </c:pt>
                      <c:pt idx="6">
                        <c:v>2.3018342380671575E-2</c:v>
                      </c:pt>
                      <c:pt idx="7">
                        <c:v>2.1823855759322885E-2</c:v>
                      </c:pt>
                      <c:pt idx="8">
                        <c:v>2.0379609460707604E-2</c:v>
                      </c:pt>
                      <c:pt idx="9">
                        <c:v>1.8758824305786792E-2</c:v>
                      </c:pt>
                      <c:pt idx="10">
                        <c:v>1.7017963892832721E-2</c:v>
                      </c:pt>
                      <c:pt idx="11">
                        <c:v>1.5279329736468172E-2</c:v>
                      </c:pt>
                      <c:pt idx="12">
                        <c:v>1.3516502477523673E-2</c:v>
                      </c:pt>
                      <c:pt idx="13">
                        <c:v>1.1746576998858727E-2</c:v>
                      </c:pt>
                      <c:pt idx="14">
                        <c:v>9.9835774452570192E-3</c:v>
                      </c:pt>
                      <c:pt idx="15">
                        <c:v>8.2379462346438004E-3</c:v>
                      </c:pt>
                      <c:pt idx="16">
                        <c:v>6.5788737150456189E-3</c:v>
                      </c:pt>
                      <c:pt idx="17">
                        <c:v>4.9568079266115728E-3</c:v>
                      </c:pt>
                      <c:pt idx="18">
                        <c:v>3.370361216069595E-3</c:v>
                      </c:pt>
                      <c:pt idx="19">
                        <c:v>1.8212644793507149E-3</c:v>
                      </c:pt>
                      <c:pt idx="20">
                        <c:v>3.1517512014866966E-4</c:v>
                      </c:pt>
                      <c:pt idx="21">
                        <c:v>-1.1515334913460018E-3</c:v>
                      </c:pt>
                      <c:pt idx="22">
                        <c:v>-2.573913128073424E-3</c:v>
                      </c:pt>
                      <c:pt idx="23">
                        <c:v>-3.948661126327524E-3</c:v>
                      </c:pt>
                      <c:pt idx="24">
                        <c:v>-5.273287507361335E-3</c:v>
                      </c:pt>
                      <c:pt idx="25">
                        <c:v>-6.5393255693922958E-3</c:v>
                      </c:pt>
                      <c:pt idx="26">
                        <c:v>-7.7758674994730104E-3</c:v>
                      </c:pt>
                      <c:pt idx="27">
                        <c:v>-8.9609040264284623E-3</c:v>
                      </c:pt>
                      <c:pt idx="28">
                        <c:v>-1.0090616391814078E-2</c:v>
                      </c:pt>
                      <c:pt idx="29">
                        <c:v>-1.1162893308349076E-2</c:v>
                      </c:pt>
                      <c:pt idx="30">
                        <c:v>-1.217657365007152E-2</c:v>
                      </c:pt>
                      <c:pt idx="31">
                        <c:v>-1.3142076698014815E-2</c:v>
                      </c:pt>
                      <c:pt idx="32">
                        <c:v>-1.4049395335664516E-2</c:v>
                      </c:pt>
                      <c:pt idx="33">
                        <c:v>-1.4897352007749332E-2</c:v>
                      </c:pt>
                      <c:pt idx="34">
                        <c:v>-1.5685541835979588E-2</c:v>
                      </c:pt>
                      <c:pt idx="35">
                        <c:v>-1.6413868033874679E-2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7BC-46A1-8051-5FF16B24E7D2}"/>
                  </c:ext>
                </c:extLst>
              </c15:ser>
            </c15:filteredLineSeries>
          </c:ext>
        </c:extLst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  <c:min val="-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Energy intensity</a:t>
            </a:r>
          </a:p>
          <a:p>
            <a:pPr>
              <a:defRPr/>
            </a:pPr>
            <a:r>
              <a:rPr lang="fr-FR" sz="1800"/>
              <a:t>(%</a:t>
            </a:r>
            <a:r>
              <a:rPr lang="fr-FR" sz="1800" baseline="0"/>
              <a:t> deviation from baseline)</a:t>
            </a:r>
            <a:endParaRPr lang="fr-FR" sz="1800"/>
          </a:p>
        </c:rich>
      </c:tx>
      <c:layout>
        <c:manualLayout>
          <c:xMode val="edge"/>
          <c:yMode val="edge"/>
          <c:x val="0.35804858323293964"/>
          <c:y val="1.256157562381740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Données!$B$254</c:f>
              <c:strCache>
                <c:ptCount val="1"/>
                <c:pt idx="0">
                  <c:v>Firms</c:v>
                </c:pt>
              </c:strCache>
            </c:strRef>
          </c:tx>
          <c:spPr>
            <a:ln w="412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Données!$C$254:$AL$254</c:f>
              <c:numCache>
                <c:formatCode>0%</c:formatCode>
                <c:ptCount val="36"/>
                <c:pt idx="0">
                  <c:v>-5.629691866997133E-3</c:v>
                </c:pt>
                <c:pt idx="1">
                  <c:v>-9.1335630893603081E-3</c:v>
                </c:pt>
                <c:pt idx="2">
                  <c:v>-1.1020407312168912E-2</c:v>
                </c:pt>
                <c:pt idx="3">
                  <c:v>-1.2437377029682173E-2</c:v>
                </c:pt>
                <c:pt idx="4">
                  <c:v>-1.3483185093211114E-2</c:v>
                </c:pt>
                <c:pt idx="5">
                  <c:v>-1.4189599783576923E-2</c:v>
                </c:pt>
                <c:pt idx="6">
                  <c:v>-1.4621673445015748E-2</c:v>
                </c:pt>
                <c:pt idx="7">
                  <c:v>-1.4846587228022456E-2</c:v>
                </c:pt>
                <c:pt idx="8">
                  <c:v>-1.4921628623135286E-2</c:v>
                </c:pt>
                <c:pt idx="9">
                  <c:v>-1.489323730388159E-2</c:v>
                </c:pt>
                <c:pt idx="10">
                  <c:v>-1.4801306539051096E-2</c:v>
                </c:pt>
                <c:pt idx="11">
                  <c:v>-1.4689062868997182E-2</c:v>
                </c:pt>
                <c:pt idx="12">
                  <c:v>-1.4576435714035996E-2</c:v>
                </c:pt>
                <c:pt idx="13">
                  <c:v>-1.4476825763254153E-2</c:v>
                </c:pt>
                <c:pt idx="14">
                  <c:v>-1.4404073287332064E-2</c:v>
                </c:pt>
                <c:pt idx="15">
                  <c:v>-1.4368564014034635E-2</c:v>
                </c:pt>
                <c:pt idx="16">
                  <c:v>-1.4398279370456679E-2</c:v>
                </c:pt>
                <c:pt idx="17">
                  <c:v>-1.4486333397602302E-2</c:v>
                </c:pt>
                <c:pt idx="18">
                  <c:v>-1.4626821887862462E-2</c:v>
                </c:pt>
                <c:pt idx="19">
                  <c:v>-1.4816820447715484E-2</c:v>
                </c:pt>
                <c:pt idx="20">
                  <c:v>-1.5049735023638156E-2</c:v>
                </c:pt>
                <c:pt idx="21">
                  <c:v>-1.5327011905442944E-2</c:v>
                </c:pt>
                <c:pt idx="22">
                  <c:v>-1.5638653120349399E-2</c:v>
                </c:pt>
                <c:pt idx="23">
                  <c:v>-1.5978819579988812E-2</c:v>
                </c:pt>
                <c:pt idx="24">
                  <c:v>-1.634228324292919E-2</c:v>
                </c:pt>
                <c:pt idx="25">
                  <c:v>-1.6715964315209497E-2</c:v>
                </c:pt>
                <c:pt idx="26">
                  <c:v>-1.7103472125899355E-2</c:v>
                </c:pt>
                <c:pt idx="27">
                  <c:v>-1.7496671509180661E-2</c:v>
                </c:pt>
                <c:pt idx="28">
                  <c:v>-1.789203258551253E-2</c:v>
                </c:pt>
                <c:pt idx="29">
                  <c:v>-1.8285828203547738E-2</c:v>
                </c:pt>
                <c:pt idx="30">
                  <c:v>-1.8675253403100722E-2</c:v>
                </c:pt>
                <c:pt idx="31">
                  <c:v>-1.9054357894176754E-2</c:v>
                </c:pt>
                <c:pt idx="32">
                  <c:v>-1.9423686494239645E-2</c:v>
                </c:pt>
                <c:pt idx="33">
                  <c:v>-1.9783466041274567E-2</c:v>
                </c:pt>
                <c:pt idx="34">
                  <c:v>-2.0133290873262655E-2</c:v>
                </c:pt>
                <c:pt idx="35">
                  <c:v>-2.0472872539818554E-2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044A-4877-A4A9-C7609B9F9543}"/>
            </c:ext>
          </c:extLst>
        </c:ser>
        <c:ser>
          <c:idx val="1"/>
          <c:order val="1"/>
          <c:tx>
            <c:strRef>
              <c:f>Données!$B$255</c:f>
              <c:strCache>
                <c:ptCount val="1"/>
                <c:pt idx="0">
                  <c:v>Agriculture</c:v>
                </c:pt>
              </c:strCache>
            </c:strRef>
          </c:tx>
          <c:spPr>
            <a:ln w="28575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Données!$C$255:$AL$255</c:f>
              <c:numCache>
                <c:formatCode>0%</c:formatCode>
                <c:ptCount val="36"/>
                <c:pt idx="0">
                  <c:v>3.9263909028353083E-4</c:v>
                </c:pt>
                <c:pt idx="1">
                  <c:v>-2.759609624779169E-3</c:v>
                </c:pt>
                <c:pt idx="2">
                  <c:v>-4.7085102153705538E-3</c:v>
                </c:pt>
                <c:pt idx="3">
                  <c:v>-6.2743762413831616E-3</c:v>
                </c:pt>
                <c:pt idx="4">
                  <c:v>-7.5364341122621248E-3</c:v>
                </c:pt>
                <c:pt idx="5">
                  <c:v>-8.4847497693065765E-3</c:v>
                </c:pt>
                <c:pt idx="6">
                  <c:v>-9.1801425650062107E-3</c:v>
                </c:pt>
                <c:pt idx="7">
                  <c:v>-9.675865787577842E-3</c:v>
                </c:pt>
                <c:pt idx="8">
                  <c:v>-1.0017580924027492E-2</c:v>
                </c:pt>
                <c:pt idx="9">
                  <c:v>-1.0240989595726058E-2</c:v>
                </c:pt>
                <c:pt idx="10">
                  <c:v>-1.0371129071428564E-2</c:v>
                </c:pt>
                <c:pt idx="11">
                  <c:v>-1.0430722047072738E-2</c:v>
                </c:pt>
                <c:pt idx="12">
                  <c:v>-1.0451117110869101E-2</c:v>
                </c:pt>
                <c:pt idx="13">
                  <c:v>-1.0443095187601448E-2</c:v>
                </c:pt>
                <c:pt idx="14">
                  <c:v>-1.0417732866335405E-2</c:v>
                </c:pt>
                <c:pt idx="15">
                  <c:v>-1.0384100772907079E-2</c:v>
                </c:pt>
                <c:pt idx="16">
                  <c:v>-1.0347166428392396E-2</c:v>
                </c:pt>
                <c:pt idx="17">
                  <c:v>-1.032514418353081E-2</c:v>
                </c:pt>
                <c:pt idx="18">
                  <c:v>-1.0316180706001599E-2</c:v>
                </c:pt>
                <c:pt idx="19">
                  <c:v>-1.0321015935346067E-2</c:v>
                </c:pt>
                <c:pt idx="20">
                  <c:v>-1.0341472297873633E-2</c:v>
                </c:pt>
                <c:pt idx="21">
                  <c:v>-1.0374660079710551E-2</c:v>
                </c:pt>
                <c:pt idx="22">
                  <c:v>-1.0420550967589981E-2</c:v>
                </c:pt>
                <c:pt idx="23">
                  <c:v>-1.0477206762789182E-2</c:v>
                </c:pt>
                <c:pt idx="24">
                  <c:v>-1.0543406695100788E-2</c:v>
                </c:pt>
                <c:pt idx="25">
                  <c:v>-1.0622491943133472E-2</c:v>
                </c:pt>
                <c:pt idx="26">
                  <c:v>-1.0708221310167798E-2</c:v>
                </c:pt>
                <c:pt idx="27">
                  <c:v>-1.0796678982968322E-2</c:v>
                </c:pt>
                <c:pt idx="28">
                  <c:v>-1.0885920349508749E-2</c:v>
                </c:pt>
                <c:pt idx="29">
                  <c:v>-1.0974283672459895E-2</c:v>
                </c:pt>
                <c:pt idx="30">
                  <c:v>-1.1060610912661861E-2</c:v>
                </c:pt>
                <c:pt idx="31">
                  <c:v>-1.1144569241036906E-2</c:v>
                </c:pt>
                <c:pt idx="32">
                  <c:v>-1.122310972202456E-2</c:v>
                </c:pt>
                <c:pt idx="33">
                  <c:v>-1.1296693596424823E-2</c:v>
                </c:pt>
                <c:pt idx="34">
                  <c:v>-1.1365210120526048E-2</c:v>
                </c:pt>
                <c:pt idx="35">
                  <c:v>-1.1428530122561287E-2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4A-4877-A4A9-C7609B9F9543}"/>
            </c:ext>
          </c:extLst>
        </c:ser>
        <c:ser>
          <c:idx val="2"/>
          <c:order val="2"/>
          <c:tx>
            <c:strRef>
              <c:f>Données!$B$256</c:f>
              <c:strCache>
                <c:ptCount val="1"/>
                <c:pt idx="0">
                  <c:v>Industry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Données!$C$256:$AL$256</c:f>
              <c:numCache>
                <c:formatCode>0%</c:formatCode>
                <c:ptCount val="36"/>
                <c:pt idx="0">
                  <c:v>-4.0355903168252105E-3</c:v>
                </c:pt>
                <c:pt idx="1">
                  <c:v>-8.7230708759472586E-3</c:v>
                </c:pt>
                <c:pt idx="2">
                  <c:v>-1.0960142210934887E-2</c:v>
                </c:pt>
                <c:pt idx="3">
                  <c:v>-1.2561699364826651E-2</c:v>
                </c:pt>
                <c:pt idx="4">
                  <c:v>-1.3679425392815414E-2</c:v>
                </c:pt>
                <c:pt idx="5">
                  <c:v>-1.4345330446711713E-2</c:v>
                </c:pt>
                <c:pt idx="6">
                  <c:v>-1.4631035906774836E-2</c:v>
                </c:pt>
                <c:pt idx="7">
                  <c:v>-1.4618018622057249E-2</c:v>
                </c:pt>
                <c:pt idx="8">
                  <c:v>-1.4380042176627583E-2</c:v>
                </c:pt>
                <c:pt idx="9">
                  <c:v>-1.39797127039335E-2</c:v>
                </c:pt>
                <c:pt idx="10">
                  <c:v>-1.3466657658354975E-2</c:v>
                </c:pt>
                <c:pt idx="11">
                  <c:v>-1.2901507034306925E-2</c:v>
                </c:pt>
                <c:pt idx="12">
                  <c:v>-1.2318836467689276E-2</c:v>
                </c:pt>
                <c:pt idx="13">
                  <c:v>-1.1738843557502765E-2</c:v>
                </c:pt>
                <c:pt idx="14">
                  <c:v>-1.1183226665928081E-2</c:v>
                </c:pt>
                <c:pt idx="15">
                  <c:v>-1.0669146842778421E-2</c:v>
                </c:pt>
                <c:pt idx="16">
                  <c:v>-1.0223612333984833E-2</c:v>
                </c:pt>
                <c:pt idx="17">
                  <c:v>-9.8552965403765347E-3</c:v>
                </c:pt>
                <c:pt idx="18">
                  <c:v>-9.5588785375063656E-3</c:v>
                </c:pt>
                <c:pt idx="19">
                  <c:v>-9.3335702171828405E-3</c:v>
                </c:pt>
                <c:pt idx="20">
                  <c:v>-9.1773551855769409E-3</c:v>
                </c:pt>
                <c:pt idx="21">
                  <c:v>-9.0846764243427414E-3</c:v>
                </c:pt>
                <c:pt idx="22">
                  <c:v>-9.0508084709224335E-3</c:v>
                </c:pt>
                <c:pt idx="23">
                  <c:v>-9.0693628626264955E-3</c:v>
                </c:pt>
                <c:pt idx="24">
                  <c:v>-9.134534835507413E-3</c:v>
                </c:pt>
                <c:pt idx="25">
                  <c:v>-9.2413564200714005E-3</c:v>
                </c:pt>
                <c:pt idx="26">
                  <c:v>-9.3766109348949467E-3</c:v>
                </c:pt>
                <c:pt idx="27">
                  <c:v>-9.5359146739191214E-3</c:v>
                </c:pt>
                <c:pt idx="28">
                  <c:v>-9.7154959723572132E-3</c:v>
                </c:pt>
                <c:pt idx="29">
                  <c:v>-9.9107865118022165E-3</c:v>
                </c:pt>
                <c:pt idx="30">
                  <c:v>-1.011822940679119E-2</c:v>
                </c:pt>
                <c:pt idx="31">
                  <c:v>-1.0332402042913857E-2</c:v>
                </c:pt>
                <c:pt idx="32">
                  <c:v>-1.0551259316576078E-2</c:v>
                </c:pt>
                <c:pt idx="33">
                  <c:v>-1.0774988867800595E-2</c:v>
                </c:pt>
                <c:pt idx="34">
                  <c:v>-1.1002695450988309E-2</c:v>
                </c:pt>
                <c:pt idx="35">
                  <c:v>-1.1233570888103506E-2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4A-4877-A4A9-C7609B9F9543}"/>
            </c:ext>
          </c:extLst>
        </c:ser>
        <c:ser>
          <c:idx val="3"/>
          <c:order val="3"/>
          <c:tx>
            <c:strRef>
              <c:f>Données!$B$257</c:f>
              <c:strCache>
                <c:ptCount val="1"/>
                <c:pt idx="0">
                  <c:v>Transport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Données!$C$257:$AL$257</c:f>
              <c:numCache>
                <c:formatCode>0%</c:formatCode>
                <c:ptCount val="36"/>
                <c:pt idx="0">
                  <c:v>6.0691032657982369E-3</c:v>
                </c:pt>
                <c:pt idx="1">
                  <c:v>3.835716362968089E-3</c:v>
                </c:pt>
                <c:pt idx="2">
                  <c:v>3.2059289978714212E-3</c:v>
                </c:pt>
                <c:pt idx="3">
                  <c:v>2.8844893769965907E-3</c:v>
                </c:pt>
                <c:pt idx="4">
                  <c:v>2.6777492336000908E-3</c:v>
                </c:pt>
                <c:pt idx="5">
                  <c:v>2.5542487175085338E-3</c:v>
                </c:pt>
                <c:pt idx="6">
                  <c:v>2.5071879501423755E-3</c:v>
                </c:pt>
                <c:pt idx="7">
                  <c:v>2.5164636087255943E-3</c:v>
                </c:pt>
                <c:pt idx="8">
                  <c:v>2.5722487397934479E-3</c:v>
                </c:pt>
                <c:pt idx="9">
                  <c:v>2.665448636143708E-3</c:v>
                </c:pt>
                <c:pt idx="10">
                  <c:v>2.7897321250252016E-3</c:v>
                </c:pt>
                <c:pt idx="11">
                  <c:v>2.9584573943790549E-3</c:v>
                </c:pt>
                <c:pt idx="12">
                  <c:v>3.1345675936900186E-3</c:v>
                </c:pt>
                <c:pt idx="13">
                  <c:v>3.319674883258239E-3</c:v>
                </c:pt>
                <c:pt idx="14">
                  <c:v>3.5114024386859732E-3</c:v>
                </c:pt>
                <c:pt idx="15">
                  <c:v>3.7071680100297932E-3</c:v>
                </c:pt>
                <c:pt idx="16">
                  <c:v>3.9268468468092177E-3</c:v>
                </c:pt>
                <c:pt idx="17">
                  <c:v>4.1363302741319607E-3</c:v>
                </c:pt>
                <c:pt idx="18">
                  <c:v>4.3409693978406771E-3</c:v>
                </c:pt>
                <c:pt idx="19">
                  <c:v>4.541046254439296E-3</c:v>
                </c:pt>
                <c:pt idx="20">
                  <c:v>4.7349026771983382E-3</c:v>
                </c:pt>
                <c:pt idx="21">
                  <c:v>4.9252961392920458E-3</c:v>
                </c:pt>
                <c:pt idx="22">
                  <c:v>5.1098974039240908E-3</c:v>
                </c:pt>
                <c:pt idx="23">
                  <c:v>5.2893287365525232E-3</c:v>
                </c:pt>
                <c:pt idx="24">
                  <c:v>5.4636269418897321E-3</c:v>
                </c:pt>
                <c:pt idx="25">
                  <c:v>5.6287579171119262E-3</c:v>
                </c:pt>
                <c:pt idx="26">
                  <c:v>5.7859323847209154E-3</c:v>
                </c:pt>
                <c:pt idx="27">
                  <c:v>5.9419156336384393E-3</c:v>
                </c:pt>
                <c:pt idx="28">
                  <c:v>6.0957494415696534E-3</c:v>
                </c:pt>
                <c:pt idx="29">
                  <c:v>6.2473768093374016E-3</c:v>
                </c:pt>
                <c:pt idx="30">
                  <c:v>6.3968850553173251E-3</c:v>
                </c:pt>
                <c:pt idx="31">
                  <c:v>6.540294751378628E-3</c:v>
                </c:pt>
                <c:pt idx="32">
                  <c:v>6.6836400996519441E-3</c:v>
                </c:pt>
                <c:pt idx="33">
                  <c:v>6.8258087200243622E-3</c:v>
                </c:pt>
                <c:pt idx="34">
                  <c:v>6.9666914167898497E-3</c:v>
                </c:pt>
                <c:pt idx="35">
                  <c:v>7.1063493215834939E-3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4A-4877-A4A9-C7609B9F9543}"/>
            </c:ext>
          </c:extLst>
        </c:ser>
        <c:ser>
          <c:idx val="4"/>
          <c:order val="4"/>
          <c:tx>
            <c:strRef>
              <c:f>Données!$B$258</c:f>
              <c:strCache>
                <c:ptCount val="1"/>
                <c:pt idx="0">
                  <c:v>Services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Données!$C$258:$AL$258</c:f>
              <c:numCache>
                <c:formatCode>0%</c:formatCode>
                <c:ptCount val="36"/>
                <c:pt idx="0">
                  <c:v>-1.0169392717485071E-4</c:v>
                </c:pt>
                <c:pt idx="1">
                  <c:v>-3.5217543404016949E-3</c:v>
                </c:pt>
                <c:pt idx="2">
                  <c:v>-6.4496993195060082E-3</c:v>
                </c:pt>
                <c:pt idx="3">
                  <c:v>-8.8496740776586869E-3</c:v>
                </c:pt>
                <c:pt idx="4">
                  <c:v>-1.0634558696931529E-2</c:v>
                </c:pt>
                <c:pt idx="5">
                  <c:v>-1.1838101261004819E-2</c:v>
                </c:pt>
                <c:pt idx="6">
                  <c:v>-1.2562402051850996E-2</c:v>
                </c:pt>
                <c:pt idx="7">
                  <c:v>-1.2925108137316954E-2</c:v>
                </c:pt>
                <c:pt idx="8">
                  <c:v>-1.3021678424733674E-2</c:v>
                </c:pt>
                <c:pt idx="9">
                  <c:v>-1.2925859519898886E-2</c:v>
                </c:pt>
                <c:pt idx="10">
                  <c:v>-1.2692115519904124E-2</c:v>
                </c:pt>
                <c:pt idx="11">
                  <c:v>-1.2366552812786202E-2</c:v>
                </c:pt>
                <c:pt idx="12">
                  <c:v>-1.2001252058301826E-2</c:v>
                </c:pt>
                <c:pt idx="13">
                  <c:v>-1.1623804379728875E-2</c:v>
                </c:pt>
                <c:pt idx="14">
                  <c:v>-1.1256272243791221E-2</c:v>
                </c:pt>
                <c:pt idx="15">
                  <c:v>-1.0915184564663893E-2</c:v>
                </c:pt>
                <c:pt idx="16">
                  <c:v>-1.0612720860873393E-2</c:v>
                </c:pt>
                <c:pt idx="17">
                  <c:v>-1.0367759827755396E-2</c:v>
                </c:pt>
                <c:pt idx="18">
                  <c:v>-1.0181616724552645E-2</c:v>
                </c:pt>
                <c:pt idx="19">
                  <c:v>-1.0053127749123147E-2</c:v>
                </c:pt>
                <c:pt idx="20">
                  <c:v>-9.9801529068090922E-3</c:v>
                </c:pt>
                <c:pt idx="21">
                  <c:v>-9.9574028217980226E-3</c:v>
                </c:pt>
                <c:pt idx="22">
                  <c:v>-9.9768250773614175E-3</c:v>
                </c:pt>
                <c:pt idx="23">
                  <c:v>-1.0032763823944801E-2</c:v>
                </c:pt>
                <c:pt idx="24">
                  <c:v>-1.0119706499252312E-2</c:v>
                </c:pt>
                <c:pt idx="25">
                  <c:v>-1.0235868531962455E-2</c:v>
                </c:pt>
                <c:pt idx="26">
                  <c:v>-1.0375805682754091E-2</c:v>
                </c:pt>
                <c:pt idx="27">
                  <c:v>-1.0525084995949174E-2</c:v>
                </c:pt>
                <c:pt idx="28">
                  <c:v>-1.0678333844863497E-2</c:v>
                </c:pt>
                <c:pt idx="29">
                  <c:v>-1.0831183813444056E-2</c:v>
                </c:pt>
                <c:pt idx="30">
                  <c:v>-1.098059411092478E-2</c:v>
                </c:pt>
                <c:pt idx="31">
                  <c:v>-1.1124362594276627E-2</c:v>
                </c:pt>
                <c:pt idx="32">
                  <c:v>-1.1258867332567757E-2</c:v>
                </c:pt>
                <c:pt idx="33">
                  <c:v>-1.1383367284606316E-2</c:v>
                </c:pt>
                <c:pt idx="34">
                  <c:v>-1.1497316786478806E-2</c:v>
                </c:pt>
                <c:pt idx="35">
                  <c:v>-1.1600400731927807E-2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4A-4877-A4A9-C7609B9F9543}"/>
            </c:ext>
          </c:extLst>
        </c:ser>
        <c:ser>
          <c:idx val="5"/>
          <c:order val="5"/>
          <c:tx>
            <c:strRef>
              <c:f>Données!$B$259</c:f>
              <c:strCache>
                <c:ptCount val="1"/>
                <c:pt idx="0">
                  <c:v>Households</c:v>
                </c:pt>
              </c:strCache>
            </c:strRef>
          </c:tx>
          <c:spPr>
            <a:ln w="41275" cap="rnd">
              <a:solidFill>
                <a:schemeClr val="accent5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Données!$C$259:$AL$259</c:f>
              <c:numCache>
                <c:formatCode>0%</c:formatCode>
                <c:ptCount val="36"/>
                <c:pt idx="0">
                  <c:v>5.6845320887455308E-3</c:v>
                </c:pt>
                <c:pt idx="1">
                  <c:v>1.2159434183638185E-2</c:v>
                </c:pt>
                <c:pt idx="2">
                  <c:v>1.8123142677860749E-2</c:v>
                </c:pt>
                <c:pt idx="3">
                  <c:v>2.3251140420937233E-2</c:v>
                </c:pt>
                <c:pt idx="4">
                  <c:v>2.7650392861712225E-2</c:v>
                </c:pt>
                <c:pt idx="5">
                  <c:v>3.0918543206276183E-2</c:v>
                </c:pt>
                <c:pt idx="6">
                  <c:v>3.3444654571878729E-2</c:v>
                </c:pt>
                <c:pt idx="7">
                  <c:v>3.5405367234484508E-2</c:v>
                </c:pt>
                <c:pt idx="8">
                  <c:v>3.6945962528835974E-2</c:v>
                </c:pt>
                <c:pt idx="9">
                  <c:v>3.8184135367755445E-2</c:v>
                </c:pt>
                <c:pt idx="10">
                  <c:v>3.9194545040278195E-2</c:v>
                </c:pt>
                <c:pt idx="11">
                  <c:v>4.0081033898226703E-2</c:v>
                </c:pt>
                <c:pt idx="12">
                  <c:v>4.0882251941176451E-2</c:v>
                </c:pt>
                <c:pt idx="13">
                  <c:v>4.1622124309104169E-2</c:v>
                </c:pt>
                <c:pt idx="14">
                  <c:v>4.2311865344351718E-2</c:v>
                </c:pt>
                <c:pt idx="15">
                  <c:v>4.2955941950723497E-2</c:v>
                </c:pt>
                <c:pt idx="16">
                  <c:v>4.3579707558419223E-2</c:v>
                </c:pt>
                <c:pt idx="17">
                  <c:v>4.4192905355697087E-2</c:v>
                </c:pt>
                <c:pt idx="18">
                  <c:v>4.4800202435743675E-2</c:v>
                </c:pt>
                <c:pt idx="19">
                  <c:v>4.5405825927086196E-2</c:v>
                </c:pt>
                <c:pt idx="20">
                  <c:v>4.6022696612733505E-2</c:v>
                </c:pt>
                <c:pt idx="21">
                  <c:v>4.6638195103092084E-2</c:v>
                </c:pt>
                <c:pt idx="22">
                  <c:v>4.7260537336279329E-2</c:v>
                </c:pt>
                <c:pt idx="23">
                  <c:v>4.7894647206297769E-2</c:v>
                </c:pt>
                <c:pt idx="24">
                  <c:v>4.8543195723182997E-2</c:v>
                </c:pt>
                <c:pt idx="25">
                  <c:v>4.9232060476392725E-2</c:v>
                </c:pt>
                <c:pt idx="26">
                  <c:v>4.9918717784109168E-2</c:v>
                </c:pt>
                <c:pt idx="27">
                  <c:v>5.0604830138204937E-2</c:v>
                </c:pt>
                <c:pt idx="28">
                  <c:v>5.1289810160447757E-2</c:v>
                </c:pt>
                <c:pt idx="29">
                  <c:v>5.1974584121192269E-2</c:v>
                </c:pt>
                <c:pt idx="30">
                  <c:v>5.2659326525971384E-2</c:v>
                </c:pt>
                <c:pt idx="31">
                  <c:v>5.3339888498515453E-2</c:v>
                </c:pt>
                <c:pt idx="32">
                  <c:v>5.4014671607919951E-2</c:v>
                </c:pt>
                <c:pt idx="33">
                  <c:v>5.4682688361587628E-2</c:v>
                </c:pt>
                <c:pt idx="34">
                  <c:v>5.5342970492015864E-2</c:v>
                </c:pt>
                <c:pt idx="35">
                  <c:v>5.5994284029348584E-2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4A-4877-A4A9-C7609B9F9543}"/>
            </c:ext>
          </c:extLst>
        </c:ser>
        <c:ser>
          <c:idx val="6"/>
          <c:order val="6"/>
          <c:tx>
            <c:strRef>
              <c:f>Données!$B$260</c:f>
              <c:strCache>
                <c:ptCount val="1"/>
                <c:pt idx="0">
                  <c:v>Households (housing)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Données!$C$260:$AL$260</c:f>
              <c:numCache>
                <c:formatCode>0%</c:formatCode>
                <c:ptCount val="36"/>
                <c:pt idx="0">
                  <c:v>5.6845320887455308E-3</c:v>
                </c:pt>
                <c:pt idx="1">
                  <c:v>1.2470366459652826E-2</c:v>
                </c:pt>
                <c:pt idx="2">
                  <c:v>1.9062495242479605E-2</c:v>
                </c:pt>
                <c:pt idx="3">
                  <c:v>2.504127166797887E-2</c:v>
                </c:pt>
                <c:pt idx="4">
                  <c:v>3.0498101579077286E-2</c:v>
                </c:pt>
                <c:pt idx="5">
                  <c:v>3.4718803344748306E-2</c:v>
                </c:pt>
                <c:pt idx="6">
                  <c:v>3.8173599576603934E-2</c:v>
                </c:pt>
                <c:pt idx="7">
                  <c:v>4.1033428566287222E-2</c:v>
                </c:pt>
                <c:pt idx="8">
                  <c:v>4.3438464133130905E-2</c:v>
                </c:pt>
                <c:pt idx="9">
                  <c:v>4.5504672760263265E-2</c:v>
                </c:pt>
                <c:pt idx="10">
                  <c:v>4.7300353175615539E-2</c:v>
                </c:pt>
                <c:pt idx="11">
                  <c:v>4.8939870384194117E-2</c:v>
                </c:pt>
                <c:pt idx="12">
                  <c:v>5.0463049608811872E-2</c:v>
                </c:pt>
                <c:pt idx="13">
                  <c:v>5.1895645579885352E-2</c:v>
                </c:pt>
                <c:pt idx="14">
                  <c:v>5.3248660031727679E-2</c:v>
                </c:pt>
                <c:pt idx="15">
                  <c:v>5.4525316465083407E-2</c:v>
                </c:pt>
                <c:pt idx="16">
                  <c:v>5.5755212722861103E-2</c:v>
                </c:pt>
                <c:pt idx="17">
                  <c:v>5.6951579434995958E-2</c:v>
                </c:pt>
                <c:pt idx="18">
                  <c:v>5.8122210681004205E-2</c:v>
                </c:pt>
                <c:pt idx="19">
                  <c:v>5.9274765728461132E-2</c:v>
                </c:pt>
                <c:pt idx="20">
                  <c:v>6.043150751259363E-2</c:v>
                </c:pt>
                <c:pt idx="21">
                  <c:v>6.1573052539645401E-2</c:v>
                </c:pt>
                <c:pt idx="22">
                  <c:v>6.2712913194249431E-2</c:v>
                </c:pt>
                <c:pt idx="23">
                  <c:v>6.3859916746907608E-2</c:v>
                </c:pt>
                <c:pt idx="24">
                  <c:v>6.5019750636801543E-2</c:v>
                </c:pt>
                <c:pt idx="25">
                  <c:v>6.6240278681834797E-2</c:v>
                </c:pt>
                <c:pt idx="26">
                  <c:v>6.7455822476831573E-2</c:v>
                </c:pt>
                <c:pt idx="27">
                  <c:v>6.8670410360575085E-2</c:v>
                </c:pt>
                <c:pt idx="28">
                  <c:v>6.9883777330134178E-2</c:v>
                </c:pt>
                <c:pt idx="29">
                  <c:v>7.1098470406430581E-2</c:v>
                </c:pt>
                <c:pt idx="30">
                  <c:v>7.2316119565643655E-2</c:v>
                </c:pt>
                <c:pt idx="31">
                  <c:v>7.3533045607795611E-2</c:v>
                </c:pt>
                <c:pt idx="32">
                  <c:v>7.4748290937189488E-2</c:v>
                </c:pt>
                <c:pt idx="33">
                  <c:v>7.5961423348316348E-2</c:v>
                </c:pt>
                <c:pt idx="34">
                  <c:v>7.7171892082181781E-2</c:v>
                </c:pt>
                <c:pt idx="35">
                  <c:v>7.8378641941086125E-2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4A-4877-A4A9-C7609B9F9543}"/>
            </c:ext>
          </c:extLst>
        </c:ser>
        <c:ser>
          <c:idx val="7"/>
          <c:order val="7"/>
          <c:tx>
            <c:strRef>
              <c:f>Données!$B$261</c:f>
              <c:strCache>
                <c:ptCount val="1"/>
                <c:pt idx="0">
                  <c:v>Households (transport)</c:v>
                </c:pt>
              </c:strCache>
            </c:strRef>
          </c:tx>
          <c:spPr>
            <a:ln w="28575" cap="rnd">
              <a:solidFill>
                <a:srgbClr val="7030A0"/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Données!$C$253:$AL$253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Données!$C$261:$AL$261</c:f>
              <c:numCache>
                <c:formatCode>0%</c:formatCode>
                <c:ptCount val="36"/>
                <c:pt idx="0">
                  <c:v>5.6845320887455308E-3</c:v>
                </c:pt>
                <c:pt idx="1">
                  <c:v>1.1541375227924977E-2</c:v>
                </c:pt>
                <c:pt idx="2">
                  <c:v>1.6249136441330636E-2</c:v>
                </c:pt>
                <c:pt idx="3">
                  <c:v>1.9690633955603332E-2</c:v>
                </c:pt>
                <c:pt idx="4">
                  <c:v>2.2022781060105023E-2</c:v>
                </c:pt>
                <c:pt idx="5">
                  <c:v>2.3466359726191044E-2</c:v>
                </c:pt>
                <c:pt idx="6">
                  <c:v>2.424802976079321E-2</c:v>
                </c:pt>
                <c:pt idx="7">
                  <c:v>2.4551738030053283E-2</c:v>
                </c:pt>
                <c:pt idx="8">
                  <c:v>2.4530275294491366E-2</c:v>
                </c:pt>
                <c:pt idx="9">
                  <c:v>2.4303351962386754E-2</c:v>
                </c:pt>
                <c:pt idx="10">
                  <c:v>2.3950405991436163E-2</c:v>
                </c:pt>
                <c:pt idx="11">
                  <c:v>2.3564438463274273E-2</c:v>
                </c:pt>
                <c:pt idx="12">
                  <c:v>2.3178211237825153E-2</c:v>
                </c:pt>
                <c:pt idx="13">
                  <c:v>2.2809102618936983E-2</c:v>
                </c:pt>
                <c:pt idx="14">
                  <c:v>2.2465902630962375E-2</c:v>
                </c:pt>
                <c:pt idx="15">
                  <c:v>2.2152687865844012E-2</c:v>
                </c:pt>
                <c:pt idx="16">
                  <c:v>2.1884708526139329E-2</c:v>
                </c:pt>
                <c:pt idx="17">
                  <c:v>2.1663338237510654E-2</c:v>
                </c:pt>
                <c:pt idx="18">
                  <c:v>2.1485833718296377E-2</c:v>
                </c:pt>
                <c:pt idx="19">
                  <c:v>2.1348781177173315E-2</c:v>
                </c:pt>
                <c:pt idx="20">
                  <c:v>2.1254211653289445E-2</c:v>
                </c:pt>
                <c:pt idx="21">
                  <c:v>2.1188335720167428E-2</c:v>
                </c:pt>
                <c:pt idx="22">
                  <c:v>2.1152148965469797E-2</c:v>
                </c:pt>
                <c:pt idx="23">
                  <c:v>2.1144679898408958E-2</c:v>
                </c:pt>
                <c:pt idx="24">
                  <c:v>2.1163700299148269E-2</c:v>
                </c:pt>
                <c:pt idx="25">
                  <c:v>2.1219408938870199E-2</c:v>
                </c:pt>
                <c:pt idx="26">
                  <c:v>2.128090699353824E-2</c:v>
                </c:pt>
                <c:pt idx="27">
                  <c:v>2.1347237938662555E-2</c:v>
                </c:pt>
                <c:pt idx="28">
                  <c:v>2.1418311026458081E-2</c:v>
                </c:pt>
                <c:pt idx="29">
                  <c:v>2.1493421665233159E-2</c:v>
                </c:pt>
                <c:pt idx="30">
                  <c:v>2.1571164998329895E-2</c:v>
                </c:pt>
                <c:pt idx="31">
                  <c:v>2.1647184812893405E-2</c:v>
                </c:pt>
                <c:pt idx="32">
                  <c:v>2.1719262635832459E-2</c:v>
                </c:pt>
                <c:pt idx="33">
                  <c:v>2.1785843577041053E-2</c:v>
                </c:pt>
                <c:pt idx="34">
                  <c:v>2.1845550119857338E-2</c:v>
                </c:pt>
                <c:pt idx="35">
                  <c:v>2.1897066016714151E-2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4A-4877-A4A9-C7609B9F9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8477712"/>
        <c:axId val="1008474760"/>
        <c:extLst/>
      </c:lineChart>
      <c:dateAx>
        <c:axId val="1008477712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4760"/>
        <c:crosses val="autoZero"/>
        <c:auto val="1"/>
        <c:lblOffset val="100"/>
        <c:baseTimeUnit val="years"/>
        <c:majorUnit val="5"/>
        <c:majorTimeUnit val="years"/>
      </c:dateAx>
      <c:valAx>
        <c:axId val="1008474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1008477712"/>
        <c:crosses val="autoZero"/>
        <c:crossBetween val="between"/>
        <c:majorUnit val="4.0000000000000008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value</a:t>
            </a:r>
            <a:r>
              <a:rPr lang="fr-FR" sz="2800" baseline="0"/>
              <a:t> added</a:t>
            </a:r>
          </a:p>
          <a:p>
            <a:pPr>
              <a:defRPr/>
            </a:pPr>
            <a:r>
              <a:rPr lang="fr-FR" sz="1800" i="0" baseline="0"/>
              <a:t>(% deviation from baseline</a:t>
            </a:r>
            <a:r>
              <a:rPr lang="fr-FR" baseline="0"/>
              <a:t>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8498092735021525E-2"/>
          <c:y val="0.17564708710766092"/>
          <c:w val="0.88919974947941849"/>
          <c:h val="0.65530544352959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Données!$B$108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Données!$C$108:$E$108</c:f>
              <c:numCache>
                <c:formatCode>0.0%</c:formatCode>
                <c:ptCount val="3"/>
                <c:pt idx="0">
                  <c:v>-4.8554730165819453E-2</c:v>
                </c:pt>
                <c:pt idx="1">
                  <c:v>-5.7776115733851337E-2</c:v>
                </c:pt>
                <c:pt idx="2">
                  <c:v>-6.74391924906904E-2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Données!$B$109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Données!$C$109:$E$109</c:f>
              <c:numCache>
                <c:formatCode>0.0%</c:formatCode>
                <c:ptCount val="3"/>
                <c:pt idx="0">
                  <c:v>-6.0444938570221984E-2</c:v>
                </c:pt>
                <c:pt idx="1">
                  <c:v>-7.9039242521010203E-2</c:v>
                </c:pt>
                <c:pt idx="2">
                  <c:v>-9.2464238690666015E-2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Données!$B$110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Données!$C$110:$E$110</c:f>
              <c:numCache>
                <c:formatCode>0.0%</c:formatCode>
                <c:ptCount val="3"/>
                <c:pt idx="0">
                  <c:v>-4.6975225346009349E-2</c:v>
                </c:pt>
                <c:pt idx="1">
                  <c:v>-5.8195425832276708E-2</c:v>
                </c:pt>
                <c:pt idx="2">
                  <c:v>-6.9250732484402486E-2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Données!$B$111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Données!$C$111:$E$111</c:f>
              <c:numCache>
                <c:formatCode>0.0%</c:formatCode>
                <c:ptCount val="3"/>
                <c:pt idx="0">
                  <c:v>-3.7822387991553449E-2</c:v>
                </c:pt>
                <c:pt idx="1">
                  <c:v>-4.4927530291369762E-2</c:v>
                </c:pt>
                <c:pt idx="2">
                  <c:v>-5.1470521833498636E-2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5"/>
          <c:order val="5"/>
          <c:tx>
            <c:strRef>
              <c:f>Données!$B$114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Données!$C$114:$E$114</c:f>
              <c:numCache>
                <c:formatCode>0.0%</c:formatCode>
                <c:ptCount val="3"/>
                <c:pt idx="0">
                  <c:v>-2.771694159438897E-2</c:v>
                </c:pt>
                <c:pt idx="1">
                  <c:v>-3.4235106533582214E-2</c:v>
                </c:pt>
                <c:pt idx="2">
                  <c:v>-4.3014483695855872E-2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ser>
          <c:idx val="6"/>
          <c:order val="6"/>
          <c:tx>
            <c:v>Average</c:v>
          </c:tx>
          <c:spPr>
            <a:solidFill>
              <a:schemeClr val="bg1"/>
            </a:solidFill>
            <a:ln w="25400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Données!$C$106:$E$106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Données!$C$107:$E$107</c:f>
              <c:numCache>
                <c:formatCode>0.0%</c:formatCode>
                <c:ptCount val="3"/>
                <c:pt idx="0">
                  <c:v>-4.185768110701444E-2</c:v>
                </c:pt>
                <c:pt idx="1">
                  <c:v>-5.1079309676616502E-2</c:v>
                </c:pt>
                <c:pt idx="2">
                  <c:v>-5.9058880966645175E-2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F7-4A45-A893-6FC38B935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Données!$B$112</c15:sqref>
                        </c15:formulaRef>
                      </c:ext>
                    </c:extLst>
                    <c:strCache>
                      <c:ptCount val="1"/>
                      <c:pt idx="0">
                        <c:v>Oil&amp;Gas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Données!$C$106:$E$106</c15:sqref>
                        </c15:formulaRef>
                      </c:ext>
                    </c:extLst>
                    <c:strCache>
                      <c:ptCount val="3"/>
                      <c:pt idx="0">
                        <c:v>2030</c:v>
                      </c:pt>
                      <c:pt idx="1">
                        <c:v>2040</c:v>
                      </c:pt>
                      <c:pt idx="2">
                        <c:v>2050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Données!$C$112:$E$112</c15:sqref>
                        </c15:formulaRef>
                      </c:ext>
                    </c:extLst>
                    <c:numCache>
                      <c:formatCode>0.0%</c:formatCode>
                      <c:ptCount val="3"/>
                      <c:pt idx="0">
                        <c:v>3.2929851711348324E-2</c:v>
                      </c:pt>
                      <c:pt idx="1">
                        <c:v>4.258173311408299E-2</c:v>
                      </c:pt>
                      <c:pt idx="2">
                        <c:v>5.067746109875005E-2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C3EF-431D-9A51-747E617C00CC}"/>
                  </c:ext>
                </c:extLst>
              </c15:ser>
            </c15:filteredBarSeries>
          </c:ext>
        </c:extLst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Données!$B$117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Données!$C$117:$E$117</c:f>
              <c:numCache>
                <c:formatCode>0.0%</c:formatCode>
                <c:ptCount val="3"/>
                <c:pt idx="0">
                  <c:v>-4.855473016581946E-2</c:v>
                </c:pt>
                <c:pt idx="1">
                  <c:v>-5.777611573385133E-2</c:v>
                </c:pt>
                <c:pt idx="2">
                  <c:v>-6.7439192490690414E-2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Données!$B$118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Données!$C$118:$E$118</c:f>
              <c:numCache>
                <c:formatCode>0.0%</c:formatCode>
                <c:ptCount val="3"/>
                <c:pt idx="0">
                  <c:v>-6.0444938570221929E-2</c:v>
                </c:pt>
                <c:pt idx="1">
                  <c:v>-7.9039242521010245E-2</c:v>
                </c:pt>
                <c:pt idx="2">
                  <c:v>-9.2464238690666001E-2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Données!$B$119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Données!$C$119:$E$119</c:f>
              <c:numCache>
                <c:formatCode>0.0%</c:formatCode>
                <c:ptCount val="3"/>
                <c:pt idx="0">
                  <c:v>-4.6975225346009397E-2</c:v>
                </c:pt>
                <c:pt idx="1">
                  <c:v>-5.8195425832276659E-2</c:v>
                </c:pt>
                <c:pt idx="2">
                  <c:v>-6.92507324844025E-2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Données!$B$120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Données!$C$120:$E$120</c:f>
              <c:numCache>
                <c:formatCode>0.0%</c:formatCode>
                <c:ptCount val="3"/>
                <c:pt idx="0">
                  <c:v>-3.7822387991553463E-2</c:v>
                </c:pt>
                <c:pt idx="1">
                  <c:v>-4.4927530291369755E-2</c:v>
                </c:pt>
                <c:pt idx="2">
                  <c:v>-5.147052183349865E-2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Données!$B$121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Données!$C$121:$E$121</c:f>
              <c:numCache>
                <c:formatCode>0.0%</c:formatCode>
                <c:ptCount val="3"/>
                <c:pt idx="0">
                  <c:v>3.2929851711348324E-2</c:v>
                </c:pt>
                <c:pt idx="1">
                  <c:v>4.2581733114082976E-2</c:v>
                </c:pt>
                <c:pt idx="2">
                  <c:v>5.0677461098750154E-2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Données!$B$122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Données!$C$116:$E$116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Données!$C$122:$E$122</c:f>
              <c:numCache>
                <c:formatCode>0.0%</c:formatCode>
                <c:ptCount val="3"/>
                <c:pt idx="0">
                  <c:v>-2.7716941594388977E-2</c:v>
                </c:pt>
                <c:pt idx="1">
                  <c:v>-3.4235106533582194E-2</c:v>
                </c:pt>
                <c:pt idx="2">
                  <c:v>-4.3014483695855921E-2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 sz="2800"/>
              <a:t>Sectoral production</a:t>
            </a:r>
          </a:p>
          <a:p>
            <a:pPr>
              <a:defRPr/>
            </a:pPr>
            <a:r>
              <a:rPr lang="fr-FR" sz="1800" baseline="0"/>
              <a:t>(% deviation from baseline)</a:t>
            </a:r>
          </a:p>
          <a:p>
            <a:pPr>
              <a:defRPr/>
            </a:pPr>
            <a:endParaRPr lang="fr-FR"/>
          </a:p>
        </c:rich>
      </c:tx>
      <c:layout>
        <c:manualLayout>
          <c:xMode val="edge"/>
          <c:yMode val="edge"/>
          <c:x val="0.32042331569230875"/>
          <c:y val="1.25748508923028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9.1663560631932678E-2"/>
          <c:y val="0.16258101222189938"/>
          <c:w val="0.88919974947941849"/>
          <c:h val="0.5784454513859894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Données!$B$147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Données!$C$147:$E$147</c:f>
              <c:numCache>
                <c:formatCode>0.0%</c:formatCode>
                <c:ptCount val="3"/>
                <c:pt idx="0">
                  <c:v>-5.2003392492795106E-2</c:v>
                </c:pt>
                <c:pt idx="1">
                  <c:v>-4.7028411871171266E-2</c:v>
                </c:pt>
                <c:pt idx="2">
                  <c:v>-7.0984886815737738E-2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2D-4067-BD64-AD80378C548C}"/>
            </c:ext>
          </c:extLst>
        </c:ser>
        <c:ser>
          <c:idx val="1"/>
          <c:order val="1"/>
          <c:tx>
            <c:strRef>
              <c:f>Données!$B$148</c:f>
              <c:strCache>
                <c:ptCount val="1"/>
                <c:pt idx="0">
                  <c:v>Industry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Données!$C$148:$E$148</c:f>
              <c:numCache>
                <c:formatCode>0.0%</c:formatCode>
                <c:ptCount val="3"/>
                <c:pt idx="0">
                  <c:v>-6.154217836634112E-2</c:v>
                </c:pt>
                <c:pt idx="1">
                  <c:v>-5.2817360220855723E-2</c:v>
                </c:pt>
                <c:pt idx="2">
                  <c:v>-9.3679052952431022E-2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2D-4067-BD64-AD80378C548C}"/>
            </c:ext>
          </c:extLst>
        </c:ser>
        <c:ser>
          <c:idx val="2"/>
          <c:order val="2"/>
          <c:tx>
            <c:strRef>
              <c:f>Données!$B$149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Données!$C$149:$E$149</c:f>
              <c:numCache>
                <c:formatCode>0.0%</c:formatCode>
                <c:ptCount val="3"/>
                <c:pt idx="0">
                  <c:v>-5.0718007984782376E-2</c:v>
                </c:pt>
                <c:pt idx="1">
                  <c:v>-6.3424161187950912E-2</c:v>
                </c:pt>
                <c:pt idx="2">
                  <c:v>-7.5679988006818383E-2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2D-4067-BD64-AD80378C548C}"/>
            </c:ext>
          </c:extLst>
        </c:ser>
        <c:ser>
          <c:idx val="3"/>
          <c:order val="3"/>
          <c:tx>
            <c:strRef>
              <c:f>Données!$B$150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Données!$C$150:$E$150</c:f>
              <c:numCache>
                <c:formatCode>0.0%</c:formatCode>
                <c:ptCount val="3"/>
                <c:pt idx="0">
                  <c:v>-3.9794240031694378E-2</c:v>
                </c:pt>
                <c:pt idx="1">
                  <c:v>-5.1862800786066698E-2</c:v>
                </c:pt>
                <c:pt idx="2">
                  <c:v>-5.4149021383144681E-2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2D-4067-BD64-AD80378C548C}"/>
            </c:ext>
          </c:extLst>
        </c:ser>
        <c:ser>
          <c:idx val="4"/>
          <c:order val="4"/>
          <c:tx>
            <c:strRef>
              <c:f>Données!$B$151</c:f>
              <c:strCache>
                <c:ptCount val="1"/>
                <c:pt idx="0">
                  <c:v>Oil&amp;Gas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Données!$C$151:$E$151</c:f>
              <c:numCache>
                <c:formatCode>0.0%</c:formatCode>
                <c:ptCount val="3"/>
                <c:pt idx="0">
                  <c:v>-6.296847535434473E-2</c:v>
                </c:pt>
                <c:pt idx="1">
                  <c:v>-4.0506668029948463E-2</c:v>
                </c:pt>
                <c:pt idx="2">
                  <c:v>-9.3837908563502978E-2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2D-4067-BD64-AD80378C548C}"/>
            </c:ext>
          </c:extLst>
        </c:ser>
        <c:ser>
          <c:idx val="5"/>
          <c:order val="5"/>
          <c:tx>
            <c:strRef>
              <c:f>Données!$B$152</c:f>
              <c:strCache>
                <c:ptCount val="1"/>
                <c:pt idx="0">
                  <c:v>Renewable Oil&amp;Gas</c:v>
                </c:pt>
              </c:strCache>
            </c:strRef>
          </c:tx>
          <c:spPr>
            <a:pattFill prst="narHorz">
              <a:fgClr>
                <a:srgbClr val="7030A0"/>
              </a:fgClr>
              <a:bgClr>
                <a:schemeClr val="bg1"/>
              </a:bgClr>
            </a:patt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Données!$C$152:$E$152</c:f>
              <c:numCache>
                <c:formatCode>0.0%</c:formatCode>
                <c:ptCount val="3"/>
                <c:pt idx="0">
                  <c:v>-6.1391828150982944E-2</c:v>
                </c:pt>
                <c:pt idx="1">
                  <c:v>-6.4563953223173681E-2</c:v>
                </c:pt>
                <c:pt idx="2">
                  <c:v>-9.0655452015677443E-2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2D-4067-BD64-AD80378C548C}"/>
            </c:ext>
          </c:extLst>
        </c:ser>
        <c:ser>
          <c:idx val="7"/>
          <c:order val="6"/>
          <c:tx>
            <c:strRef>
              <c:f>Données!$B$153</c:f>
              <c:strCache>
                <c:ptCount val="1"/>
                <c:pt idx="0">
                  <c:v>Electricity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Données!$C$153:$E$153</c:f>
              <c:numCache>
                <c:formatCode>0.0%</c:formatCode>
                <c:ptCount val="3"/>
                <c:pt idx="0">
                  <c:v>-2.7620299926504815E-2</c:v>
                </c:pt>
                <c:pt idx="1">
                  <c:v>-6.2937871127846712E-2</c:v>
                </c:pt>
                <c:pt idx="2">
                  <c:v>-4.2894480399562854E-2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52-45B6-A986-EF05989A50E2}"/>
            </c:ext>
          </c:extLst>
        </c:ser>
        <c:ser>
          <c:idx val="6"/>
          <c:order val="7"/>
          <c:tx>
            <c:strRef>
              <c:f>Données!$B$146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bg1"/>
            </a:solidFill>
            <a:ln w="15875">
              <a:solidFill>
                <a:schemeClr val="tx1"/>
              </a:solidFill>
            </a:ln>
            <a:effectLst/>
          </c:spPr>
          <c:invertIfNegative val="0"/>
          <c:cat>
            <c:strRef>
              <c:f>Données!$C$145:$E$145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Données!$C$146:$E$146</c:f>
              <c:numCache>
                <c:formatCode>0.0%</c:formatCode>
                <c:ptCount val="3"/>
                <c:pt idx="0">
                  <c:v>-4.5996999453419132E-2</c:v>
                </c:pt>
                <c:pt idx="1">
                  <c:v>0</c:v>
                </c:pt>
                <c:pt idx="2">
                  <c:v>-6.561350342403012E-2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52-45B6-A986-EF05989A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  <c:max val="4.0000000000000008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  <c:userShapes r:id="rId3"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Données!$B$156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Données!$C$156:$E$156</c:f>
              <c:numCache>
                <c:formatCode>0.0%</c:formatCode>
                <c:ptCount val="3"/>
                <c:pt idx="0">
                  <c:v>-5.2003392492795064E-2</c:v>
                </c:pt>
                <c:pt idx="1">
                  <c:v>-6.1242223098923909E-2</c:v>
                </c:pt>
                <c:pt idx="2">
                  <c:v>-7.098488681573778E-2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1-4B6A-9132-8653F2D77B61}"/>
            </c:ext>
          </c:extLst>
        </c:ser>
        <c:ser>
          <c:idx val="1"/>
          <c:order val="1"/>
          <c:tx>
            <c:strRef>
              <c:f>Données!$B$157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Données!$C$157:$E$157</c:f>
              <c:numCache>
                <c:formatCode>0.0%</c:formatCode>
                <c:ptCount val="3"/>
                <c:pt idx="0">
                  <c:v>-6.1542178366341127E-2</c:v>
                </c:pt>
                <c:pt idx="1">
                  <c:v>-7.9848032864483609E-2</c:v>
                </c:pt>
                <c:pt idx="2">
                  <c:v>-9.3679052952431063E-2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F1-4B6A-9132-8653F2D77B61}"/>
            </c:ext>
          </c:extLst>
        </c:ser>
        <c:ser>
          <c:idx val="2"/>
          <c:order val="2"/>
          <c:tx>
            <c:strRef>
              <c:f>Données!$B$158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Données!$C$158:$E$158</c:f>
              <c:numCache>
                <c:formatCode>0.0%</c:formatCode>
                <c:ptCount val="3"/>
                <c:pt idx="0">
                  <c:v>-5.0718007984782321E-2</c:v>
                </c:pt>
                <c:pt idx="1">
                  <c:v>-6.3375113371336611E-2</c:v>
                </c:pt>
                <c:pt idx="2">
                  <c:v>-7.5679988006818411E-2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F1-4B6A-9132-8653F2D77B61}"/>
            </c:ext>
          </c:extLst>
        </c:ser>
        <c:ser>
          <c:idx val="3"/>
          <c:order val="3"/>
          <c:tx>
            <c:strRef>
              <c:f>Données!$B$159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Données!$C$159:$E$159</c:f>
              <c:numCache>
                <c:formatCode>0.0%</c:formatCode>
                <c:ptCount val="3"/>
                <c:pt idx="0">
                  <c:v>-3.9794240031694406E-2</c:v>
                </c:pt>
                <c:pt idx="1">
                  <c:v>-4.7242847097475393E-2</c:v>
                </c:pt>
                <c:pt idx="2">
                  <c:v>-5.4149021383144702E-2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1-4B6A-9132-8653F2D77B61}"/>
            </c:ext>
          </c:extLst>
        </c:ser>
        <c:ser>
          <c:idx val="4"/>
          <c:order val="4"/>
          <c:tx>
            <c:strRef>
              <c:f>Données!$B$160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Données!$C$160:$E$160</c:f>
              <c:numCache>
                <c:formatCode>0.0%</c:formatCode>
                <c:ptCount val="3"/>
                <c:pt idx="0">
                  <c:v>-6.2968475354344688E-2</c:v>
                </c:pt>
                <c:pt idx="1">
                  <c:v>-7.891244094499883E-2</c:v>
                </c:pt>
                <c:pt idx="2">
                  <c:v>-9.3837908563502936E-2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F1-4B6A-9132-8653F2D77B61}"/>
            </c:ext>
          </c:extLst>
        </c:ser>
        <c:ser>
          <c:idx val="5"/>
          <c:order val="5"/>
          <c:tx>
            <c:strRef>
              <c:f>Données!$B$161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Données!$C$155:$E$155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Données!$C$161:$E$161</c:f>
              <c:numCache>
                <c:formatCode>0.0%</c:formatCode>
                <c:ptCount val="3"/>
                <c:pt idx="0">
                  <c:v>-2.7620299926504832E-2</c:v>
                </c:pt>
                <c:pt idx="1">
                  <c:v>-3.4113756201324619E-2</c:v>
                </c:pt>
                <c:pt idx="2">
                  <c:v>-4.2894480399562895E-2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1-4B6A-9132-8653F2D77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 codeName="Graphique2">
    <tabColor rgb="FFFF0000"/>
  </sheetPr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Graphique3">
    <tabColor rgb="FFFF0000"/>
  </sheetPr>
  <sheetViews>
    <sheetView zoomScale="4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Graphique4">
    <tabColor rgb="FFFF0000"/>
  </sheetPr>
  <sheetViews>
    <sheetView zoomScale="5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Graphique5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 codeName="Graphique6"/>
  <sheetViews>
    <sheetView zoomScale="70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 codeName="Graphique7">
    <tabColor rgb="FFFF000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 codeName="Graphique8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 codeName="Graphique9">
    <tabColor theme="7"/>
  </sheetPr>
  <sheetViews>
    <sheetView zoomScale="55" workbookViewId="0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 codeName="Graphique10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 codeName="Graphique11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 codeName="Graphique12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 codeName="Graphique13">
    <tabColor theme="7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 codeName="Graphique14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 codeName="Graphique15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 codeName="Graphique16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 codeName="Graphique17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 codeName="Graphique18">
    <tabColor rgb="FF7030A0"/>
  </sheetPr>
  <sheetViews>
    <sheetView zoomScale="55" workbookViewId="0"/>
  </sheetViews>
  <pageMargins left="0.7" right="0.7" top="0.75" bottom="0.75" header="0.3" footer="0.3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 codeName="Graphique19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 codeName="Graphique20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chartsheets/sheet2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 codeName="Graphique21">
    <tabColor rgb="FF7030A0"/>
  </sheetPr>
  <sheetViews>
    <sheetView zoomScale="70" workbookViewId="0"/>
  </sheetViews>
  <pageMargins left="0.7" right="0.7" top="0.75" bottom="0.75" header="0.3" footer="0.3"/>
  <drawing r:id="rId1"/>
</chartsheet>
</file>

<file path=xl/chartsheets/sheet2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500-000000000000}">
  <sheetPr codeName="Graphique22">
    <tabColor rgb="FF7030A0"/>
  </sheetPr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9305636" cy="6084455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0.85707</cdr:x>
      <cdr:y>0.69417</cdr:y>
    </cdr:from>
    <cdr:to>
      <cdr:x>0.94221</cdr:x>
      <cdr:y>0.74196</cdr:y>
    </cdr:to>
    <cdr:sp macro="" textlink="">
      <cdr:nvSpPr>
        <cdr:cNvPr id="2" name="ZoneTexte 1"/>
        <cdr:cNvSpPr txBox="1"/>
      </cdr:nvSpPr>
      <cdr:spPr>
        <a:xfrm xmlns:a="http://schemas.openxmlformats.org/drawingml/2006/main">
          <a:off x="7963123" y="4206915"/>
          <a:ext cx="790965" cy="2896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fr-FR" sz="2000" b="1">
            <a:latin typeface="Marianne Light" panose="02000000000000000000" pitchFamily="50" charset="0"/>
          </a:endParaRPr>
        </a:p>
      </cdr:txBody>
    </cdr:sp>
  </cdr:relSizeAnchor>
  <cdr:relSizeAnchor xmlns:cdr="http://schemas.openxmlformats.org/drawingml/2006/chartDrawing">
    <cdr:from>
      <cdr:x>0.86541</cdr:x>
      <cdr:y>0.19309</cdr:y>
    </cdr:from>
    <cdr:to>
      <cdr:x>0.98047</cdr:x>
      <cdr:y>0.26796</cdr:y>
    </cdr:to>
    <cdr:sp macro="" textlink="">
      <cdr:nvSpPr>
        <cdr:cNvPr id="4" name="ZoneTexte 3"/>
        <cdr:cNvSpPr txBox="1"/>
      </cdr:nvSpPr>
      <cdr:spPr>
        <a:xfrm xmlns:a="http://schemas.openxmlformats.org/drawingml/2006/main">
          <a:off x="8038886" y="1170088"/>
          <a:ext cx="1068828" cy="4536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 i="0">
              <a:latin typeface="Marianne Light" panose="02000000000000000000" pitchFamily="50" charset="0"/>
            </a:rPr>
            <a:t>+500%</a:t>
          </a:r>
        </a:p>
      </cdr:txBody>
    </cdr:sp>
  </cdr:relSizeAnchor>
  <cdr:relSizeAnchor xmlns:cdr="http://schemas.openxmlformats.org/drawingml/2006/chartDrawing">
    <cdr:from>
      <cdr:x>0.78711</cdr:x>
      <cdr:y>0.67216</cdr:y>
    </cdr:from>
    <cdr:to>
      <cdr:x>0.88477</cdr:x>
      <cdr:y>0.73503</cdr:y>
    </cdr:to>
    <cdr:sp macro="" textlink="">
      <cdr:nvSpPr>
        <cdr:cNvPr id="5" name="ZoneTexte 4"/>
        <cdr:cNvSpPr txBox="1"/>
      </cdr:nvSpPr>
      <cdr:spPr>
        <a:xfrm xmlns:a="http://schemas.openxmlformats.org/drawingml/2006/main">
          <a:off x="7311571" y="4073072"/>
          <a:ext cx="907143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fr-FR" sz="1800" b="0">
              <a:latin typeface="Marianne Light" panose="02000000000000000000" pitchFamily="50" charset="0"/>
            </a:rPr>
            <a:t>-42%</a:t>
          </a:r>
        </a:p>
      </cdr:txBody>
    </cdr:sp>
  </cdr:relSizeAnchor>
</c:userShapes>
</file>

<file path=xl/drawings/drawing22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2-03-22_15-51-35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ort"/>
      <sheetName val="Import"/>
      <sheetName val="Carbontax"/>
      <sheetName val="Production"/>
      <sheetName val="Capital"/>
      <sheetName val="PIB"/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</sheetNames>
    <sheetDataSet>
      <sheetData sheetId="0"/>
      <sheetData sheetId="1"/>
      <sheetData sheetId="2"/>
      <sheetData sheetId="3">
        <row r="2">
          <cell r="B2">
            <v>3787937.19</v>
          </cell>
          <cell r="C2">
            <v>3815407.1609999998</v>
          </cell>
          <cell r="D2">
            <v>3853111.4849999999</v>
          </cell>
          <cell r="E2">
            <v>3897115.716</v>
          </cell>
          <cell r="F2">
            <v>3946206.0350000001</v>
          </cell>
          <cell r="G2">
            <v>3999587.9789999998</v>
          </cell>
          <cell r="H2">
            <v>4054006.213</v>
          </cell>
          <cell r="I2">
            <v>4110648.5159999998</v>
          </cell>
          <cell r="J2">
            <v>4169299.446</v>
          </cell>
          <cell r="K2">
            <v>4229695.0369999995</v>
          </cell>
          <cell r="L2">
            <v>4296015.0820000004</v>
          </cell>
          <cell r="M2">
            <v>4360379.5439999998</v>
          </cell>
          <cell r="N2">
            <v>4425352.5779999997</v>
          </cell>
          <cell r="O2">
            <v>4490994.7949999999</v>
          </cell>
          <cell r="P2">
            <v>4557295.9189999998</v>
          </cell>
          <cell r="Q2">
            <v>4624256.8930000002</v>
          </cell>
          <cell r="R2">
            <v>4691596.5640000002</v>
          </cell>
          <cell r="S2">
            <v>4759595.4309999999</v>
          </cell>
          <cell r="T2">
            <v>4828328.1789999995</v>
          </cell>
          <cell r="U2">
            <v>4897858.8430000003</v>
          </cell>
          <cell r="V2">
            <v>4964984.3650000002</v>
          </cell>
          <cell r="W2">
            <v>5035183.307</v>
          </cell>
          <cell r="X2">
            <v>5106674.7280000001</v>
          </cell>
          <cell r="Y2">
            <v>5179390.88</v>
          </cell>
          <cell r="Z2">
            <v>5253330.0039999997</v>
          </cell>
          <cell r="AA2">
            <v>5319120.3449999997</v>
          </cell>
          <cell r="AB2">
            <v>5388011.0010000002</v>
          </cell>
          <cell r="AC2">
            <v>5457539.0310000004</v>
          </cell>
          <cell r="AD2">
            <v>5527801.7949999999</v>
          </cell>
          <cell r="AE2">
            <v>5598950.1909999996</v>
          </cell>
          <cell r="AF2">
            <v>5671114.6009999998</v>
          </cell>
          <cell r="AG2">
            <v>5744458.1119999997</v>
          </cell>
          <cell r="AH2">
            <v>5818988.7740000002</v>
          </cell>
          <cell r="AI2">
            <v>5894734.4979999997</v>
          </cell>
          <cell r="AJ2">
            <v>5971706.3590000002</v>
          </cell>
          <cell r="AK2">
            <v>6049903.5559999999</v>
          </cell>
          <cell r="AL2">
            <v>6127664.0829999996</v>
          </cell>
          <cell r="AM2">
            <v>6205964.3650000002</v>
          </cell>
          <cell r="AN2">
            <v>6284959.9550000001</v>
          </cell>
          <cell r="AO2">
            <v>6364757.6639999999</v>
          </cell>
          <cell r="AP2">
            <v>6445443.9220000003</v>
          </cell>
          <cell r="AQ2">
            <v>6527185.051</v>
          </cell>
          <cell r="AR2">
            <v>6609961.3600000003</v>
          </cell>
          <cell r="AS2">
            <v>6693804.5559999999</v>
          </cell>
          <cell r="AT2">
            <v>6778738.0080000004</v>
          </cell>
          <cell r="AU2">
            <v>6864776.7560000001</v>
          </cell>
          <cell r="AV2">
            <v>6952458.6550000003</v>
          </cell>
          <cell r="AW2">
            <v>7041406.5029999996</v>
          </cell>
          <cell r="AX2">
            <v>7131577.3439999996</v>
          </cell>
          <cell r="AY2">
            <v>7222949.7640000004</v>
          </cell>
          <cell r="AZ2">
            <v>7315511.0650000004</v>
          </cell>
          <cell r="BA2">
            <v>8694272.4759999998</v>
          </cell>
          <cell r="BB2">
            <v>8840634.7420000006</v>
          </cell>
          <cell r="BC2">
            <v>8989308.7599999998</v>
          </cell>
          <cell r="BD2">
            <v>9140327.6300000008</v>
          </cell>
          <cell r="BE2">
            <v>9293727.1170000006</v>
          </cell>
        </row>
        <row r="3">
          <cell r="B3">
            <v>3859362.8829999999</v>
          </cell>
          <cell r="C3">
            <v>3908270.102</v>
          </cell>
          <cell r="D3">
            <v>3962069.2280000001</v>
          </cell>
          <cell r="E3">
            <v>4019511.3670000001</v>
          </cell>
          <cell r="F3">
            <v>4080255.4750000001</v>
          </cell>
          <cell r="G3">
            <v>4143927.4419999998</v>
          </cell>
          <cell r="H3">
            <v>4207559.4890000001</v>
          </cell>
          <cell r="I3">
            <v>4272581.2709999997</v>
          </cell>
          <cell r="J3">
            <v>4339001.517</v>
          </cell>
          <cell r="K3">
            <v>4406764.1679999996</v>
          </cell>
          <cell r="L3">
            <v>4480406.0329999998</v>
          </cell>
          <cell r="M3">
            <v>4552217.8289999999</v>
          </cell>
          <cell r="N3">
            <v>4624727.4239999996</v>
          </cell>
          <cell r="O3">
            <v>4698046.068</v>
          </cell>
          <cell r="P3">
            <v>4772200.3480000002</v>
          </cell>
          <cell r="Q3">
            <v>4847214.2019999996</v>
          </cell>
          <cell r="R3">
            <v>4923123.2309999997</v>
          </cell>
          <cell r="S3">
            <v>4999973.1310000001</v>
          </cell>
          <cell r="T3">
            <v>5077814.9989999998</v>
          </cell>
          <cell r="U3">
            <v>5156701.102</v>
          </cell>
          <cell r="V3">
            <v>5233255.7680000002</v>
          </cell>
          <cell r="W3">
            <v>5313205.6320000002</v>
          </cell>
          <cell r="X3">
            <v>5394678.6030000001</v>
          </cell>
          <cell r="Y3">
            <v>5477598.7450000001</v>
          </cell>
          <cell r="Z3">
            <v>5561956.7209999999</v>
          </cell>
          <cell r="AA3">
            <v>5637837.6509999996</v>
          </cell>
          <cell r="AB3">
            <v>5716951.4349999996</v>
          </cell>
          <cell r="AC3">
            <v>5796788.8870000001</v>
          </cell>
          <cell r="AD3">
            <v>5877455.5650000004</v>
          </cell>
          <cell r="AE3">
            <v>5959108.4539999999</v>
          </cell>
          <cell r="AF3">
            <v>6041880.5729999999</v>
          </cell>
          <cell r="AG3">
            <v>6125866.5240000002</v>
          </cell>
          <cell r="AH3">
            <v>6211124.6909999996</v>
          </cell>
          <cell r="AI3">
            <v>6297684.6050000004</v>
          </cell>
          <cell r="AJ3">
            <v>6385555.3959999997</v>
          </cell>
          <cell r="AK3">
            <v>6474733.5049999999</v>
          </cell>
          <cell r="AL3">
            <v>6562799.7130000005</v>
          </cell>
          <cell r="AM3">
            <v>6651295.6140000001</v>
          </cell>
          <cell r="AN3">
            <v>6740437.574</v>
          </cell>
          <cell r="AO3">
            <v>6830366.6540000001</v>
          </cell>
          <cell r="AP3">
            <v>6921197.2130000005</v>
          </cell>
          <cell r="AQ3">
            <v>7013024.5619999999</v>
          </cell>
          <cell r="AR3">
            <v>7105925.4680000003</v>
          </cell>
          <cell r="AS3">
            <v>7199958.9230000004</v>
          </cell>
          <cell r="AT3">
            <v>7295168.3439999996</v>
          </cell>
          <cell r="AU3">
            <v>7391584.9139999999</v>
          </cell>
          <cell r="AV3">
            <v>7489450.551</v>
          </cell>
          <cell r="AW3">
            <v>7588641.1490000002</v>
          </cell>
          <cell r="AX3">
            <v>7689151.8480000002</v>
          </cell>
          <cell r="AY3">
            <v>7790980.6100000003</v>
          </cell>
          <cell r="AZ3">
            <v>7894128.3990000002</v>
          </cell>
          <cell r="BA3">
            <v>8712181.8599999994</v>
          </cell>
          <cell r="BB3">
            <v>8859098.2300000004</v>
          </cell>
          <cell r="BC3">
            <v>9008308.0109999999</v>
          </cell>
          <cell r="BD3">
            <v>9159849.0710000005</v>
          </cell>
          <cell r="BE3">
            <v>9313761.7990000006</v>
          </cell>
        </row>
        <row r="4">
          <cell r="B4">
            <v>79989.964609999995</v>
          </cell>
          <cell r="C4">
            <v>80127.504539999994</v>
          </cell>
          <cell r="D4">
            <v>80528.899380000003</v>
          </cell>
          <cell r="E4">
            <v>81144.308210000003</v>
          </cell>
          <cell r="F4">
            <v>81948.076119999998</v>
          </cell>
          <cell r="G4">
            <v>82912.417560000002</v>
          </cell>
          <cell r="H4">
            <v>83957.844029999993</v>
          </cell>
          <cell r="I4">
            <v>85088.236279999997</v>
          </cell>
          <cell r="J4">
            <v>86288.639710000003</v>
          </cell>
          <cell r="K4">
            <v>87545.444839999996</v>
          </cell>
          <cell r="L4">
            <v>88932.790370000002</v>
          </cell>
          <cell r="M4">
            <v>90300.898799999995</v>
          </cell>
          <cell r="N4">
            <v>91685.263359999997</v>
          </cell>
          <cell r="O4">
            <v>93083.812309999994</v>
          </cell>
          <cell r="P4">
            <v>94494.087469999999</v>
          </cell>
          <cell r="Q4">
            <v>95914.678400000004</v>
          </cell>
          <cell r="R4">
            <v>97337.314599999998</v>
          </cell>
          <cell r="S4">
            <v>98768.518089999998</v>
          </cell>
          <cell r="T4">
            <v>100209.5603</v>
          </cell>
          <cell r="U4">
            <v>101661.6737</v>
          </cell>
          <cell r="V4">
            <v>103063.2242</v>
          </cell>
          <cell r="W4">
            <v>104512.8407</v>
          </cell>
          <cell r="X4">
            <v>105985.245</v>
          </cell>
          <cell r="Y4">
            <v>107479.5759</v>
          </cell>
          <cell r="Z4">
            <v>108996.0534</v>
          </cell>
          <cell r="AA4">
            <v>110354.52250000001</v>
          </cell>
          <cell r="AB4">
            <v>111751.281</v>
          </cell>
          <cell r="AC4">
            <v>113154.11960000001</v>
          </cell>
          <cell r="AD4">
            <v>114567.59149999999</v>
          </cell>
          <cell r="AE4">
            <v>115996.9328</v>
          </cell>
          <cell r="AF4">
            <v>117446.4546</v>
          </cell>
          <cell r="AG4">
            <v>118921.0333</v>
          </cell>
          <cell r="AH4">
            <v>120421.34359999999</v>
          </cell>
          <cell r="AI4">
            <v>121948.46219999999</v>
          </cell>
          <cell r="AJ4">
            <v>123502.9161</v>
          </cell>
          <cell r="AK4">
            <v>125084.8504</v>
          </cell>
          <cell r="AL4">
            <v>126666.5251</v>
          </cell>
          <cell r="AM4">
            <v>128258.43919999999</v>
          </cell>
          <cell r="AN4">
            <v>129864.5622</v>
          </cell>
          <cell r="AO4">
            <v>131487.98379999999</v>
          </cell>
          <cell r="AP4">
            <v>133131.30439999999</v>
          </cell>
          <cell r="AQ4">
            <v>134799.1348</v>
          </cell>
          <cell r="AR4">
            <v>136491.19519999999</v>
          </cell>
          <cell r="AS4">
            <v>138208.47949999999</v>
          </cell>
          <cell r="AT4">
            <v>139951.65900000001</v>
          </cell>
          <cell r="AU4">
            <v>141721.10800000001</v>
          </cell>
          <cell r="AV4">
            <v>143529.29130000001</v>
          </cell>
          <cell r="AW4">
            <v>145367.696</v>
          </cell>
          <cell r="AX4">
            <v>147235.2199</v>
          </cell>
          <cell r="AY4">
            <v>149131.13279999999</v>
          </cell>
          <cell r="AZ4">
            <v>151054.84710000001</v>
          </cell>
          <cell r="BA4">
            <v>179121.29980000001</v>
          </cell>
          <cell r="BB4">
            <v>182052.38750000001</v>
          </cell>
          <cell r="BC4">
            <v>185032.44380000001</v>
          </cell>
          <cell r="BD4">
            <v>188062.4975</v>
          </cell>
          <cell r="BE4">
            <v>191143.62390000001</v>
          </cell>
        </row>
        <row r="5">
          <cell r="B5">
            <v>81862.317689999996</v>
          </cell>
          <cell r="C5">
            <v>82566.293350000007</v>
          </cell>
          <cell r="D5">
            <v>83408.24712</v>
          </cell>
          <cell r="E5">
            <v>84394.135479999997</v>
          </cell>
          <cell r="F5">
            <v>85513.737259999994</v>
          </cell>
          <cell r="G5">
            <v>86747.141109999997</v>
          </cell>
          <cell r="H5">
            <v>88023.011859999999</v>
          </cell>
          <cell r="I5">
            <v>89352.745750000002</v>
          </cell>
          <cell r="J5">
            <v>90728.791670000006</v>
          </cell>
          <cell r="K5">
            <v>92144.440780000004</v>
          </cell>
          <cell r="L5">
            <v>93684.438450000001</v>
          </cell>
          <cell r="M5">
            <v>95204.28155</v>
          </cell>
          <cell r="N5">
            <v>96739.494130000006</v>
          </cell>
          <cell r="O5">
            <v>98290.115690000006</v>
          </cell>
          <cell r="P5">
            <v>99855.244160000002</v>
          </cell>
          <cell r="Q5">
            <v>101434.5433</v>
          </cell>
          <cell r="R5">
            <v>103028.3468</v>
          </cell>
          <cell r="S5">
            <v>104637.4743</v>
          </cell>
          <cell r="T5">
            <v>106263.03170000001</v>
          </cell>
          <cell r="U5">
            <v>107906.2585</v>
          </cell>
          <cell r="V5">
            <v>109501.3658</v>
          </cell>
          <cell r="W5">
            <v>111153.5938</v>
          </cell>
          <cell r="X5">
            <v>112835.3912</v>
          </cell>
          <cell r="Y5">
            <v>114545.8631</v>
          </cell>
          <cell r="Z5">
            <v>116285.1917</v>
          </cell>
          <cell r="AA5">
            <v>117859.6505</v>
          </cell>
          <cell r="AB5">
            <v>119477.60709999999</v>
          </cell>
          <cell r="AC5">
            <v>121105.554</v>
          </cell>
          <cell r="AD5">
            <v>122748.32090000001</v>
          </cell>
          <cell r="AE5">
            <v>124411.41009999999</v>
          </cell>
          <cell r="AF5">
            <v>126099.30869999999</v>
          </cell>
          <cell r="AG5">
            <v>127815.2175</v>
          </cell>
          <cell r="AH5">
            <v>129561.1896</v>
          </cell>
          <cell r="AI5">
            <v>131338.38279999999</v>
          </cell>
          <cell r="AJ5">
            <v>133147.32139999999</v>
          </cell>
          <cell r="AK5">
            <v>134988.1244</v>
          </cell>
          <cell r="AL5">
            <v>136813.6243</v>
          </cell>
          <cell r="AM5">
            <v>138648.9895</v>
          </cell>
          <cell r="AN5">
            <v>140499.5232</v>
          </cell>
          <cell r="AO5">
            <v>142369.18220000001</v>
          </cell>
          <cell r="AP5">
            <v>144261.37599999999</v>
          </cell>
          <cell r="AQ5">
            <v>146178.98439999999</v>
          </cell>
          <cell r="AR5">
            <v>148124.30119999999</v>
          </cell>
          <cell r="AS5">
            <v>150099.0387</v>
          </cell>
          <cell r="AT5">
            <v>152104.39550000001</v>
          </cell>
          <cell r="AU5">
            <v>154141.1678</v>
          </cell>
          <cell r="AV5">
            <v>156214.19440000001</v>
          </cell>
          <cell r="AW5">
            <v>158321.6134</v>
          </cell>
          <cell r="AX5">
            <v>160463.2115</v>
          </cell>
          <cell r="AY5">
            <v>162638.50140000001</v>
          </cell>
          <cell r="AZ5">
            <v>164847.02059999999</v>
          </cell>
          <cell r="BA5">
            <v>179820.1868</v>
          </cell>
          <cell r="BB5">
            <v>182786.1537</v>
          </cell>
          <cell r="BC5">
            <v>185801.83230000001</v>
          </cell>
          <cell r="BD5">
            <v>188868.416</v>
          </cell>
          <cell r="BE5">
            <v>191987.14980000001</v>
          </cell>
        </row>
        <row r="6">
          <cell r="B6">
            <v>6481.0731390000001</v>
          </cell>
          <cell r="C6">
            <v>6453.6076439999997</v>
          </cell>
          <cell r="D6">
            <v>6419.6607020000001</v>
          </cell>
          <cell r="E6">
            <v>6388.8811219999998</v>
          </cell>
          <cell r="F6">
            <v>6364.5173020000002</v>
          </cell>
          <cell r="G6">
            <v>6346.2228109999996</v>
          </cell>
          <cell r="H6">
            <v>6334.171026</v>
          </cell>
          <cell r="I6">
            <v>6328.93606</v>
          </cell>
          <cell r="J6">
            <v>6329.5632400000004</v>
          </cell>
          <cell r="K6">
            <v>6334.6905079999997</v>
          </cell>
          <cell r="L6">
            <v>6347.6265990000002</v>
          </cell>
          <cell r="M6">
            <v>6359.642605</v>
          </cell>
          <cell r="N6">
            <v>6372.3465399999995</v>
          </cell>
          <cell r="O6">
            <v>6385.8071749999999</v>
          </cell>
          <cell r="P6">
            <v>6399.9498119999998</v>
          </cell>
          <cell r="Q6">
            <v>6414.6797070000002</v>
          </cell>
          <cell r="R6">
            <v>6429.6815839999999</v>
          </cell>
          <cell r="S6">
            <v>6445.1067419999999</v>
          </cell>
          <cell r="T6">
            <v>6460.9077980000002</v>
          </cell>
          <cell r="U6">
            <v>6477.070796</v>
          </cell>
          <cell r="V6">
            <v>6490.4527429999998</v>
          </cell>
          <cell r="W6">
            <v>6506.2912679999999</v>
          </cell>
          <cell r="X6">
            <v>6523.1569929999996</v>
          </cell>
          <cell r="Y6">
            <v>6540.7390489999998</v>
          </cell>
          <cell r="Z6">
            <v>6558.9226500000004</v>
          </cell>
          <cell r="AA6">
            <v>6568.8988470000004</v>
          </cell>
          <cell r="AB6">
            <v>6581.1585930000001</v>
          </cell>
          <cell r="AC6">
            <v>6594.2278130000004</v>
          </cell>
          <cell r="AD6">
            <v>6607.9576710000001</v>
          </cell>
          <cell r="AE6">
            <v>6622.3053760000003</v>
          </cell>
          <cell r="AF6">
            <v>6637.2654920000004</v>
          </cell>
          <cell r="AG6">
            <v>6652.8962739999997</v>
          </cell>
          <cell r="AH6">
            <v>6669.1561170000004</v>
          </cell>
          <cell r="AI6">
            <v>6686.0421809999998</v>
          </cell>
          <cell r="AJ6">
            <v>6703.5491229999998</v>
          </cell>
          <cell r="AK6">
            <v>6721.6682220000002</v>
          </cell>
          <cell r="AL6">
            <v>6738.8871859999999</v>
          </cell>
          <cell r="AM6">
            <v>6756.0650530000003</v>
          </cell>
          <cell r="AN6">
            <v>6773.5196649999998</v>
          </cell>
          <cell r="AO6">
            <v>6791.386904</v>
          </cell>
          <cell r="AP6">
            <v>6809.7227469999998</v>
          </cell>
          <cell r="AQ6">
            <v>6828.6232570000002</v>
          </cell>
          <cell r="AR6">
            <v>6848.0307869999997</v>
          </cell>
          <cell r="AS6">
            <v>6867.944692</v>
          </cell>
          <cell r="AT6">
            <v>6888.3552749999999</v>
          </cell>
          <cell r="AU6">
            <v>6909.2572559999999</v>
          </cell>
          <cell r="AV6">
            <v>6931.0657090000004</v>
          </cell>
          <cell r="AW6">
            <v>6953.4487289999997</v>
          </cell>
          <cell r="AX6">
            <v>6976.3567220000004</v>
          </cell>
          <cell r="AY6">
            <v>6999.7685190000002</v>
          </cell>
          <cell r="AZ6">
            <v>7023.6737970000004</v>
          </cell>
          <cell r="BA6">
            <v>7275.9010410000001</v>
          </cell>
          <cell r="BB6">
            <v>7319.939942</v>
          </cell>
          <cell r="BC6">
            <v>7365.0971440000003</v>
          </cell>
          <cell r="BD6">
            <v>7411.357497</v>
          </cell>
          <cell r="BE6">
            <v>7458.7240760000004</v>
          </cell>
        </row>
        <row r="7">
          <cell r="B7">
            <v>6537.0436419999996</v>
          </cell>
          <cell r="C7">
            <v>6520.5894939999998</v>
          </cell>
          <cell r="D7">
            <v>6493.4031539999996</v>
          </cell>
          <cell r="E7">
            <v>6466.5478659999999</v>
          </cell>
          <cell r="F7">
            <v>6443.1967699999996</v>
          </cell>
          <cell r="G7">
            <v>6427.5787920000002</v>
          </cell>
          <cell r="H7">
            <v>6417.7670680000001</v>
          </cell>
          <cell r="I7">
            <v>6414.4662520000002</v>
          </cell>
          <cell r="J7">
            <v>6416.5245089999999</v>
          </cell>
          <cell r="K7">
            <v>6422.5833300000004</v>
          </cell>
          <cell r="L7">
            <v>6436.2886159999998</v>
          </cell>
          <cell r="M7">
            <v>6449.0610109999998</v>
          </cell>
          <cell r="N7">
            <v>6462.5599000000002</v>
          </cell>
          <cell r="O7">
            <v>6476.938341</v>
          </cell>
          <cell r="P7">
            <v>6492.1744360000002</v>
          </cell>
          <cell r="Q7">
            <v>6508.2038540000003</v>
          </cell>
          <cell r="R7">
            <v>6524.966179</v>
          </cell>
          <cell r="S7">
            <v>6542.4182060000003</v>
          </cell>
          <cell r="T7">
            <v>6560.5348139999996</v>
          </cell>
          <cell r="U7">
            <v>6579.3056299999998</v>
          </cell>
          <cell r="V7">
            <v>6595.4416279999996</v>
          </cell>
          <cell r="W7">
            <v>6614.4166580000001</v>
          </cell>
          <cell r="X7">
            <v>6634.681114</v>
          </cell>
          <cell r="Y7">
            <v>6655.9051220000001</v>
          </cell>
          <cell r="Z7">
            <v>6677.9570899999999</v>
          </cell>
          <cell r="AA7">
            <v>6691.56412</v>
          </cell>
          <cell r="AB7">
            <v>6707.707609</v>
          </cell>
          <cell r="AC7">
            <v>6724.8186050000004</v>
          </cell>
          <cell r="AD7">
            <v>6742.744025</v>
          </cell>
          <cell r="AE7">
            <v>6761.4380309999997</v>
          </cell>
          <cell r="AF7">
            <v>6780.8925369999997</v>
          </cell>
          <cell r="AG7">
            <v>6801.1093719999999</v>
          </cell>
          <cell r="AH7">
            <v>6822.0896650000004</v>
          </cell>
          <cell r="AI7">
            <v>6843.830653</v>
          </cell>
          <cell r="AJ7">
            <v>6866.3257759999997</v>
          </cell>
          <cell r="AK7">
            <v>6889.5660180000004</v>
          </cell>
          <cell r="AL7">
            <v>6911.4457140000004</v>
          </cell>
          <cell r="AM7">
            <v>6933.3504860000003</v>
          </cell>
          <cell r="AN7">
            <v>6955.6451969999998</v>
          </cell>
          <cell r="AO7">
            <v>6978.4910540000001</v>
          </cell>
          <cell r="AP7">
            <v>7001.9663010000004</v>
          </cell>
          <cell r="AQ7">
            <v>7026.1139480000002</v>
          </cell>
          <cell r="AR7">
            <v>7050.9598180000003</v>
          </cell>
          <cell r="AS7">
            <v>7076.514768</v>
          </cell>
          <cell r="AT7">
            <v>7102.7652930000004</v>
          </cell>
          <cell r="AU7">
            <v>7129.632987</v>
          </cell>
          <cell r="AV7">
            <v>7156.9148130000003</v>
          </cell>
          <cell r="AW7">
            <v>7184.3948380000002</v>
          </cell>
          <cell r="AX7">
            <v>7212.1429189999999</v>
          </cell>
          <cell r="AY7">
            <v>7240.3720499999999</v>
          </cell>
          <cell r="AZ7">
            <v>7269.2773880000004</v>
          </cell>
          <cell r="BA7">
            <v>7529.5319959999997</v>
          </cell>
          <cell r="BB7">
            <v>7579.4214339999999</v>
          </cell>
          <cell r="BC7">
            <v>7630.342662</v>
          </cell>
          <cell r="BD7">
            <v>7682.333181</v>
          </cell>
          <cell r="BE7">
            <v>7735.4170240000003</v>
          </cell>
        </row>
        <row r="8">
          <cell r="B8">
            <v>154873.46280000001</v>
          </cell>
          <cell r="C8">
            <v>155475.0753</v>
          </cell>
          <cell r="D8">
            <v>156470.6182</v>
          </cell>
          <cell r="E8">
            <v>157830.26560000001</v>
          </cell>
          <cell r="F8">
            <v>159525.23139999999</v>
          </cell>
          <cell r="G8">
            <v>161513.59669999999</v>
          </cell>
          <cell r="H8">
            <v>163651.27100000001</v>
          </cell>
          <cell r="I8">
            <v>165946.3695</v>
          </cell>
          <cell r="J8">
            <v>168373.16570000001</v>
          </cell>
          <cell r="K8">
            <v>170907.89350000001</v>
          </cell>
          <cell r="L8">
            <v>173693.20139999999</v>
          </cell>
          <cell r="M8">
            <v>176453.4976</v>
          </cell>
          <cell r="N8">
            <v>179248.1605</v>
          </cell>
          <cell r="O8">
            <v>182071.95619999999</v>
          </cell>
          <cell r="P8">
            <v>184919.93719999999</v>
          </cell>
          <cell r="Q8">
            <v>187789.3443</v>
          </cell>
          <cell r="R8">
            <v>190666.88699999999</v>
          </cell>
          <cell r="S8">
            <v>193562.12390000001</v>
          </cell>
          <cell r="T8">
            <v>196476.88920000001</v>
          </cell>
          <cell r="U8">
            <v>199413.1954</v>
          </cell>
          <cell r="V8">
            <v>202252.8181</v>
          </cell>
          <cell r="W8">
            <v>205179.42420000001</v>
          </cell>
          <cell r="X8">
            <v>208148.90839999999</v>
          </cell>
          <cell r="Y8">
            <v>211160.1979</v>
          </cell>
          <cell r="Z8">
            <v>214213.64369999999</v>
          </cell>
          <cell r="AA8">
            <v>216963.66159999999</v>
          </cell>
          <cell r="AB8">
            <v>219772.0796</v>
          </cell>
          <cell r="AC8">
            <v>222584.8468</v>
          </cell>
          <cell r="AD8">
            <v>225412.91870000001</v>
          </cell>
          <cell r="AE8">
            <v>228267.6759</v>
          </cell>
          <cell r="AF8">
            <v>231158.33979999999</v>
          </cell>
          <cell r="AG8">
            <v>234094.3939</v>
          </cell>
          <cell r="AH8">
            <v>237078.3008</v>
          </cell>
          <cell r="AI8">
            <v>240112.64619999999</v>
          </cell>
          <cell r="AJ8">
            <v>243198.8132</v>
          </cell>
          <cell r="AK8">
            <v>246337.39360000001</v>
          </cell>
          <cell r="AL8">
            <v>249470.11730000001</v>
          </cell>
          <cell r="AM8">
            <v>252619.78479999999</v>
          </cell>
          <cell r="AN8">
            <v>255794.8112</v>
          </cell>
          <cell r="AO8">
            <v>259001.82519999999</v>
          </cell>
          <cell r="AP8">
            <v>262246.49890000001</v>
          </cell>
          <cell r="AQ8">
            <v>265537.44640000002</v>
          </cell>
          <cell r="AR8">
            <v>268875.48259999999</v>
          </cell>
          <cell r="AS8">
            <v>272263.0099</v>
          </cell>
          <cell r="AT8">
            <v>275701.6188</v>
          </cell>
          <cell r="AU8">
            <v>279192.23560000001</v>
          </cell>
          <cell r="AV8">
            <v>282756.08679999999</v>
          </cell>
          <cell r="AW8">
            <v>286380.08010000002</v>
          </cell>
          <cell r="AX8">
            <v>290062.51799999998</v>
          </cell>
          <cell r="AY8">
            <v>293802.01040000003</v>
          </cell>
          <cell r="AZ8">
            <v>297597.36009999999</v>
          </cell>
          <cell r="BA8">
            <v>350298.37439999997</v>
          </cell>
          <cell r="BB8">
            <v>355986.72869999998</v>
          </cell>
          <cell r="BC8">
            <v>361766.7818</v>
          </cell>
          <cell r="BD8">
            <v>367640.6189</v>
          </cell>
          <cell r="BE8">
            <v>373610.44949999999</v>
          </cell>
        </row>
        <row r="9">
          <cell r="B9">
            <v>157864.05040000001</v>
          </cell>
          <cell r="C9">
            <v>159519.2034</v>
          </cell>
          <cell r="D9">
            <v>161394.6177</v>
          </cell>
          <cell r="E9">
            <v>163504.99280000001</v>
          </cell>
          <cell r="F9">
            <v>165840.0484</v>
          </cell>
          <cell r="G9">
            <v>168370.1182</v>
          </cell>
          <cell r="H9">
            <v>170966.9197</v>
          </cell>
          <cell r="I9">
            <v>173653.30300000001</v>
          </cell>
          <cell r="J9">
            <v>176418.4368</v>
          </cell>
          <cell r="K9">
            <v>179252.5105</v>
          </cell>
          <cell r="L9">
            <v>182317.94149999999</v>
          </cell>
          <cell r="M9">
            <v>185349.57930000001</v>
          </cell>
          <cell r="N9">
            <v>188408.7671</v>
          </cell>
          <cell r="O9">
            <v>191494.78909999999</v>
          </cell>
          <cell r="P9">
            <v>194605.95680000001</v>
          </cell>
          <cell r="Q9">
            <v>197741.82949999999</v>
          </cell>
          <cell r="R9">
            <v>200903.23319999999</v>
          </cell>
          <cell r="S9">
            <v>204091.86350000001</v>
          </cell>
          <cell r="T9">
            <v>207309.89920000001</v>
          </cell>
          <cell r="U9">
            <v>210559.7211</v>
          </cell>
          <cell r="V9">
            <v>213716.65770000001</v>
          </cell>
          <cell r="W9">
            <v>216974.95430000001</v>
          </cell>
          <cell r="X9">
            <v>220287.45509999999</v>
          </cell>
          <cell r="Y9">
            <v>223653.40719999999</v>
          </cell>
          <cell r="Z9">
            <v>227073.32709999999</v>
          </cell>
          <cell r="AA9">
            <v>230179.86360000001</v>
          </cell>
          <cell r="AB9">
            <v>233353.08739999999</v>
          </cell>
          <cell r="AC9">
            <v>236537.01569999999</v>
          </cell>
          <cell r="AD9">
            <v>239743.33530000001</v>
          </cell>
          <cell r="AE9">
            <v>242984.073</v>
          </cell>
          <cell r="AF9">
            <v>246268.87479999999</v>
          </cell>
          <cell r="AG9">
            <v>249604.6557</v>
          </cell>
          <cell r="AH9">
            <v>252995.94390000001</v>
          </cell>
          <cell r="AI9">
            <v>256445.41899999999</v>
          </cell>
          <cell r="AJ9">
            <v>259954.45629999999</v>
          </cell>
          <cell r="AK9">
            <v>263523.59539999999</v>
          </cell>
          <cell r="AL9">
            <v>267063.73239999998</v>
          </cell>
          <cell r="AM9">
            <v>270619.22649999999</v>
          </cell>
          <cell r="AN9">
            <v>274200.27559999999</v>
          </cell>
          <cell r="AO9">
            <v>277815.16989999998</v>
          </cell>
          <cell r="AP9">
            <v>281471.26040000003</v>
          </cell>
          <cell r="AQ9">
            <v>285174.81760000001</v>
          </cell>
          <cell r="AR9">
            <v>288930.87280000001</v>
          </cell>
          <cell r="AS9">
            <v>292743.22019999998</v>
          </cell>
          <cell r="AT9">
            <v>296614.56109999999</v>
          </cell>
          <cell r="AU9">
            <v>300546.74280000001</v>
          </cell>
          <cell r="AV9">
            <v>304549.22210000001</v>
          </cell>
          <cell r="AW9">
            <v>308619.06180000002</v>
          </cell>
          <cell r="AX9">
            <v>312756.04599999997</v>
          </cell>
          <cell r="AY9">
            <v>316959.22320000001</v>
          </cell>
          <cell r="AZ9">
            <v>321227.69349999999</v>
          </cell>
          <cell r="BA9">
            <v>351018.65299999999</v>
          </cell>
          <cell r="BB9">
            <v>356745.55609999999</v>
          </cell>
          <cell r="BC9">
            <v>362565.28129999997</v>
          </cell>
          <cell r="BD9">
            <v>368480.17609999998</v>
          </cell>
          <cell r="BE9">
            <v>374492.70890000003</v>
          </cell>
        </row>
        <row r="10">
          <cell r="B10">
            <v>119829.1057</v>
          </cell>
          <cell r="C10">
            <v>121732.2746</v>
          </cell>
          <cell r="D10">
            <v>124076.08930000001</v>
          </cell>
          <cell r="E10">
            <v>126416.9592</v>
          </cell>
          <cell r="F10">
            <v>128643.9703</v>
          </cell>
          <cell r="G10">
            <v>130746.32339999999</v>
          </cell>
          <cell r="H10">
            <v>132626.0784</v>
          </cell>
          <cell r="I10">
            <v>134423.96830000001</v>
          </cell>
          <cell r="J10">
            <v>136172.02350000001</v>
          </cell>
          <cell r="K10">
            <v>137890.58900000001</v>
          </cell>
          <cell r="L10">
            <v>139790.57639999999</v>
          </cell>
          <cell r="M10">
            <v>141469.87340000001</v>
          </cell>
          <cell r="N10">
            <v>143131.4192</v>
          </cell>
          <cell r="O10">
            <v>144787.29389999999</v>
          </cell>
          <cell r="P10">
            <v>146444.32759999999</v>
          </cell>
          <cell r="Q10">
            <v>148107.44440000001</v>
          </cell>
          <cell r="R10">
            <v>149753.90909999999</v>
          </cell>
          <cell r="S10">
            <v>151414.42050000001</v>
          </cell>
          <cell r="T10">
            <v>153093.2665</v>
          </cell>
          <cell r="U10">
            <v>154793.76180000001</v>
          </cell>
          <cell r="V10">
            <v>156376.00099999999</v>
          </cell>
          <cell r="W10">
            <v>158118.80979999999</v>
          </cell>
          <cell r="X10">
            <v>159900.04620000001</v>
          </cell>
          <cell r="Y10">
            <v>161716.0851</v>
          </cell>
          <cell r="Z10">
            <v>163566.14629999999</v>
          </cell>
          <cell r="AA10">
            <v>165044.71979999999</v>
          </cell>
          <cell r="AB10">
            <v>166756.3413</v>
          </cell>
          <cell r="AC10">
            <v>168514.7714</v>
          </cell>
          <cell r="AD10">
            <v>170317.2879</v>
          </cell>
          <cell r="AE10">
            <v>172162.79610000001</v>
          </cell>
          <cell r="AF10">
            <v>174050.26790000001</v>
          </cell>
          <cell r="AG10">
            <v>175984.4889</v>
          </cell>
          <cell r="AH10">
            <v>177958.1433</v>
          </cell>
          <cell r="AI10">
            <v>179969.62969999999</v>
          </cell>
          <cell r="AJ10">
            <v>182017.5379</v>
          </cell>
          <cell r="AK10">
            <v>184100.62849999999</v>
          </cell>
          <cell r="AL10">
            <v>186174.65640000001</v>
          </cell>
          <cell r="AM10">
            <v>188274.53539999999</v>
          </cell>
          <cell r="AN10">
            <v>190403.90969999999</v>
          </cell>
          <cell r="AO10">
            <v>192564.33110000001</v>
          </cell>
          <cell r="AP10">
            <v>194756.44500000001</v>
          </cell>
          <cell r="AQ10">
            <v>196988.83069999999</v>
          </cell>
          <cell r="AR10">
            <v>199252.96799999999</v>
          </cell>
          <cell r="AS10">
            <v>201548.23800000001</v>
          </cell>
          <cell r="AT10">
            <v>203874.16740000001</v>
          </cell>
          <cell r="AU10">
            <v>206230.37710000001</v>
          </cell>
          <cell r="AV10">
            <v>208653.69760000001</v>
          </cell>
          <cell r="AW10">
            <v>211107.7617</v>
          </cell>
          <cell r="AX10">
            <v>213590.94899999999</v>
          </cell>
          <cell r="AY10">
            <v>216102.78940000001</v>
          </cell>
          <cell r="AZ10">
            <v>218643.34969999999</v>
          </cell>
          <cell r="BA10">
            <v>275411.86959999998</v>
          </cell>
          <cell r="BB10">
            <v>279995.66629999998</v>
          </cell>
          <cell r="BC10">
            <v>284667.75870000001</v>
          </cell>
          <cell r="BD10">
            <v>289429.39720000001</v>
          </cell>
          <cell r="BE10">
            <v>294281.80160000001</v>
          </cell>
        </row>
        <row r="11">
          <cell r="B11">
            <v>125926.7249</v>
          </cell>
          <cell r="C11">
            <v>128329.38370000001</v>
          </cell>
          <cell r="D11">
            <v>131029.2882</v>
          </cell>
          <cell r="E11">
            <v>133658.57010000001</v>
          </cell>
          <cell r="F11">
            <v>136145.4173</v>
          </cell>
          <cell r="G11">
            <v>138504.73240000001</v>
          </cell>
          <cell r="H11">
            <v>140655.02540000001</v>
          </cell>
          <cell r="I11">
            <v>142745.69209999999</v>
          </cell>
          <cell r="J11">
            <v>144813.21160000001</v>
          </cell>
          <cell r="K11">
            <v>146879.6838</v>
          </cell>
          <cell r="L11">
            <v>149169.66269999999</v>
          </cell>
          <cell r="M11">
            <v>151281.39749999999</v>
          </cell>
          <cell r="N11">
            <v>153401.56330000001</v>
          </cell>
          <cell r="O11">
            <v>155539.91560000001</v>
          </cell>
          <cell r="P11">
            <v>157701.51790000001</v>
          </cell>
          <cell r="Q11">
            <v>159889.83360000001</v>
          </cell>
          <cell r="R11">
            <v>162107.6937</v>
          </cell>
          <cell r="S11">
            <v>164357.63029999999</v>
          </cell>
          <cell r="T11">
            <v>166641.97700000001</v>
          </cell>
          <cell r="U11">
            <v>168962.8854</v>
          </cell>
          <cell r="V11">
            <v>171165.92540000001</v>
          </cell>
          <cell r="W11">
            <v>173554.7427</v>
          </cell>
          <cell r="X11">
            <v>175995.3352</v>
          </cell>
          <cell r="Y11">
            <v>178483.4901</v>
          </cell>
          <cell r="Z11">
            <v>181017.90359999999</v>
          </cell>
          <cell r="AA11">
            <v>183147.2537</v>
          </cell>
          <cell r="AB11">
            <v>185528.3977</v>
          </cell>
          <cell r="AC11">
            <v>187966.56520000001</v>
          </cell>
          <cell r="AD11">
            <v>190459.27489999999</v>
          </cell>
          <cell r="AE11">
            <v>193005.45</v>
          </cell>
          <cell r="AF11">
            <v>195603.9454</v>
          </cell>
          <cell r="AG11">
            <v>198253.39139999999</v>
          </cell>
          <cell r="AH11">
            <v>200952.27540000001</v>
          </cell>
          <cell r="AI11">
            <v>203699.06080000001</v>
          </cell>
          <cell r="AJ11">
            <v>206492.29509999999</v>
          </cell>
          <cell r="AK11">
            <v>209330.68859999999</v>
          </cell>
          <cell r="AL11">
            <v>212103.8872</v>
          </cell>
          <cell r="AM11">
            <v>214911.7121</v>
          </cell>
          <cell r="AN11">
            <v>217760.11780000001</v>
          </cell>
          <cell r="AO11">
            <v>220651.5013</v>
          </cell>
          <cell r="AP11">
            <v>223586.7562</v>
          </cell>
          <cell r="AQ11">
            <v>226566.016</v>
          </cell>
          <cell r="AR11">
            <v>229589.0091</v>
          </cell>
          <cell r="AS11">
            <v>232655.25949999999</v>
          </cell>
          <cell r="AT11">
            <v>235764.2163</v>
          </cell>
          <cell r="AU11">
            <v>238915.34169999999</v>
          </cell>
          <cell r="AV11">
            <v>242118.08559999999</v>
          </cell>
          <cell r="AW11">
            <v>245362.93350000001</v>
          </cell>
          <cell r="AX11">
            <v>248649.07860000001</v>
          </cell>
          <cell r="AY11">
            <v>251976.15580000001</v>
          </cell>
          <cell r="AZ11">
            <v>255344.07279999999</v>
          </cell>
          <cell r="BA11">
            <v>276935.37959999999</v>
          </cell>
          <cell r="BB11">
            <v>281600.92109999998</v>
          </cell>
          <cell r="BC11">
            <v>286356.38660000003</v>
          </cell>
          <cell r="BD11">
            <v>291203.18199999997</v>
          </cell>
          <cell r="BE11">
            <v>296142.67499999999</v>
          </cell>
        </row>
        <row r="12">
          <cell r="B12">
            <v>21683.961360000001</v>
          </cell>
          <cell r="C12">
            <v>21828.909169999999</v>
          </cell>
          <cell r="D12">
            <v>22039.508600000001</v>
          </cell>
          <cell r="E12">
            <v>22291.37631</v>
          </cell>
          <cell r="F12">
            <v>22574.19571</v>
          </cell>
          <cell r="G12">
            <v>22881.279709999999</v>
          </cell>
          <cell r="H12">
            <v>23195.569159999999</v>
          </cell>
          <cell r="I12">
            <v>23520.548859999999</v>
          </cell>
          <cell r="J12">
            <v>23855.185229999999</v>
          </cell>
          <cell r="K12">
            <v>24198.420989999999</v>
          </cell>
          <cell r="L12">
            <v>24570.048900000002</v>
          </cell>
          <cell r="M12">
            <v>24935.308499999999</v>
          </cell>
          <cell r="N12">
            <v>25304.020420000001</v>
          </cell>
          <cell r="O12">
            <v>25676.849129999999</v>
          </cell>
          <cell r="P12">
            <v>26054.10713</v>
          </cell>
          <cell r="Q12">
            <v>26436.121739999999</v>
          </cell>
          <cell r="R12">
            <v>26821.371630000001</v>
          </cell>
          <cell r="S12">
            <v>27211.880140000001</v>
          </cell>
          <cell r="T12">
            <v>27608.34921</v>
          </cell>
          <cell r="U12">
            <v>28011.385559999999</v>
          </cell>
          <cell r="V12">
            <v>28406.314419999999</v>
          </cell>
          <cell r="W12">
            <v>28817.11017</v>
          </cell>
          <cell r="X12">
            <v>29237.719710000001</v>
          </cell>
          <cell r="Y12">
            <v>29667.89646</v>
          </cell>
          <cell r="Z12">
            <v>30107.670150000002</v>
          </cell>
          <cell r="AA12">
            <v>30513.428380000001</v>
          </cell>
          <cell r="AB12">
            <v>30932.428800000002</v>
          </cell>
          <cell r="AC12">
            <v>31356.51541</v>
          </cell>
          <cell r="AD12">
            <v>31786.16128</v>
          </cell>
          <cell r="AE12">
            <v>32222.00316</v>
          </cell>
          <cell r="AF12">
            <v>32664.567490000001</v>
          </cell>
          <cell r="AG12">
            <v>33114.640469999998</v>
          </cell>
          <cell r="AH12">
            <v>33572.063099999999</v>
          </cell>
          <cell r="AI12">
            <v>34036.824130000001</v>
          </cell>
          <cell r="AJ12">
            <v>34508.817219999997</v>
          </cell>
          <cell r="AK12">
            <v>34987.865239999999</v>
          </cell>
          <cell r="AL12">
            <v>35467.066039999998</v>
          </cell>
          <cell r="AM12">
            <v>35948.627339999999</v>
          </cell>
          <cell r="AN12">
            <v>36433.132769999997</v>
          </cell>
          <cell r="AO12">
            <v>36920.970379999999</v>
          </cell>
          <cell r="AP12">
            <v>37412.440970000003</v>
          </cell>
          <cell r="AQ12">
            <v>37908.393709999997</v>
          </cell>
          <cell r="AR12">
            <v>38408.534659999998</v>
          </cell>
          <cell r="AS12">
            <v>38912.932309999997</v>
          </cell>
          <cell r="AT12">
            <v>39421.637889999998</v>
          </cell>
          <cell r="AU12">
            <v>39934.679450000003</v>
          </cell>
          <cell r="AV12">
            <v>40455.093589999997</v>
          </cell>
          <cell r="AW12">
            <v>40980.798130000003</v>
          </cell>
          <cell r="AX12">
            <v>41511.511339999997</v>
          </cell>
          <cell r="AY12">
            <v>42047.101119999999</v>
          </cell>
          <cell r="AZ12">
            <v>42587.511180000001</v>
          </cell>
          <cell r="BA12">
            <v>52774.763420000003</v>
          </cell>
          <cell r="BB12">
            <v>53722.473180000001</v>
          </cell>
          <cell r="BC12">
            <v>54682.407440000003</v>
          </cell>
          <cell r="BD12">
            <v>55654.485569999997</v>
          </cell>
          <cell r="BE12">
            <v>56638.647239999998</v>
          </cell>
        </row>
        <row r="13">
          <cell r="B13">
            <v>22135.232400000001</v>
          </cell>
          <cell r="C13">
            <v>22414.733629999999</v>
          </cell>
          <cell r="D13">
            <v>22724.067220000001</v>
          </cell>
          <cell r="E13">
            <v>23057.36521</v>
          </cell>
          <cell r="F13">
            <v>23411.98029</v>
          </cell>
          <cell r="G13">
            <v>23785.15899</v>
          </cell>
          <cell r="H13">
            <v>24162.095369999999</v>
          </cell>
          <cell r="I13">
            <v>24547.676289999999</v>
          </cell>
          <cell r="J13">
            <v>24941.930369999998</v>
          </cell>
          <cell r="K13">
            <v>25344.723379999999</v>
          </cell>
          <cell r="L13">
            <v>25777.720219999999</v>
          </cell>
          <cell r="M13">
            <v>26207.088169999999</v>
          </cell>
          <cell r="N13">
            <v>26642.20117</v>
          </cell>
          <cell r="O13">
            <v>27083.857029999999</v>
          </cell>
          <cell r="P13">
            <v>27532.431240000002</v>
          </cell>
          <cell r="Q13">
            <v>27988.230100000001</v>
          </cell>
          <cell r="R13">
            <v>28451.57445</v>
          </cell>
          <cell r="S13">
            <v>28922.808079999999</v>
          </cell>
          <cell r="T13">
            <v>29402.282190000002</v>
          </cell>
          <cell r="U13">
            <v>29890.334579999999</v>
          </cell>
          <cell r="V13">
            <v>30371.02666</v>
          </cell>
          <cell r="W13">
            <v>30869.647550000002</v>
          </cell>
          <cell r="X13">
            <v>31379.448820000001</v>
          </cell>
          <cell r="Y13">
            <v>31899.99396</v>
          </cell>
          <cell r="Z13">
            <v>32431.131140000001</v>
          </cell>
          <cell r="AA13">
            <v>32925.675029999999</v>
          </cell>
          <cell r="AB13">
            <v>33433.45321</v>
          </cell>
          <cell r="AC13">
            <v>33945.950409999998</v>
          </cell>
          <cell r="AD13">
            <v>34463.59618</v>
          </cell>
          <cell r="AE13">
            <v>34986.97378</v>
          </cell>
          <cell r="AF13">
            <v>35516.543339999997</v>
          </cell>
          <cell r="AG13">
            <v>36052.581729999998</v>
          </cell>
          <cell r="AH13">
            <v>36595.184849999998</v>
          </cell>
          <cell r="AI13">
            <v>37144.296199999997</v>
          </cell>
          <cell r="AJ13">
            <v>37699.746870000003</v>
          </cell>
          <cell r="AK13">
            <v>38261.297070000001</v>
          </cell>
          <cell r="AL13">
            <v>38817.180899999999</v>
          </cell>
          <cell r="AM13">
            <v>39373.111069999999</v>
          </cell>
          <cell r="AN13">
            <v>39930.039830000002</v>
          </cell>
          <cell r="AO13">
            <v>40488.556349999999</v>
          </cell>
          <cell r="AP13">
            <v>41049.11591</v>
          </cell>
          <cell r="AQ13">
            <v>41612.09446</v>
          </cell>
          <cell r="AR13">
            <v>42177.80169</v>
          </cell>
          <cell r="AS13">
            <v>42746.48691</v>
          </cell>
          <cell r="AT13">
            <v>43318.347800000003</v>
          </cell>
          <cell r="AU13">
            <v>43893.543969999999</v>
          </cell>
          <cell r="AV13">
            <v>44473.263619999998</v>
          </cell>
          <cell r="AW13">
            <v>45057.092340000003</v>
          </cell>
          <cell r="AX13">
            <v>45645.058360000003</v>
          </cell>
          <cell r="AY13">
            <v>46237.224869999998</v>
          </cell>
          <cell r="AZ13">
            <v>46833.692790000001</v>
          </cell>
          <cell r="BA13">
            <v>52895.144769999999</v>
          </cell>
          <cell r="BB13">
            <v>53841.176039999998</v>
          </cell>
          <cell r="BC13">
            <v>54798.63222</v>
          </cell>
          <cell r="BD13">
            <v>55767.451399999998</v>
          </cell>
          <cell r="BE13">
            <v>56747.601349999997</v>
          </cell>
        </row>
        <row r="14">
          <cell r="B14">
            <v>15826.66071</v>
          </cell>
          <cell r="C14">
            <v>15922.579900000001</v>
          </cell>
          <cell r="D14">
            <v>16074.300520000001</v>
          </cell>
          <cell r="E14">
            <v>16259.149869999999</v>
          </cell>
          <cell r="F14">
            <v>16469.933949999999</v>
          </cell>
          <cell r="G14">
            <v>16701.61419</v>
          </cell>
          <cell r="H14">
            <v>16937.79809</v>
          </cell>
          <cell r="I14">
            <v>17183.67715</v>
          </cell>
          <cell r="J14">
            <v>17437.372670000001</v>
          </cell>
          <cell r="K14">
            <v>17696.984349999999</v>
          </cell>
          <cell r="L14">
            <v>17980.983749999999</v>
          </cell>
          <cell r="M14">
            <v>18251.243480000001</v>
          </cell>
          <cell r="N14">
            <v>18521.461619999998</v>
          </cell>
          <cell r="O14">
            <v>18791.986089999999</v>
          </cell>
          <cell r="P14">
            <v>19062.800449999999</v>
          </cell>
          <cell r="Q14">
            <v>19333.999319999999</v>
          </cell>
          <cell r="R14">
            <v>19603.63997</v>
          </cell>
          <cell r="S14">
            <v>19874.083279999999</v>
          </cell>
          <cell r="T14">
            <v>20145.905460000002</v>
          </cell>
          <cell r="U14">
            <v>20419.62989</v>
          </cell>
          <cell r="V14">
            <v>20681.07818</v>
          </cell>
          <cell r="W14">
            <v>20956.1054</v>
          </cell>
          <cell r="X14">
            <v>21235.92467</v>
          </cell>
          <cell r="Y14">
            <v>21520.35369</v>
          </cell>
          <cell r="Z14">
            <v>21809.574270000001</v>
          </cell>
          <cell r="AA14">
            <v>22061.805909999999</v>
          </cell>
          <cell r="AB14">
            <v>22330.603480000002</v>
          </cell>
          <cell r="AC14">
            <v>22603.18648</v>
          </cell>
          <cell r="AD14">
            <v>22879.835849999999</v>
          </cell>
          <cell r="AE14">
            <v>23161.20421</v>
          </cell>
          <cell r="AF14">
            <v>23447.864600000001</v>
          </cell>
          <cell r="AG14">
            <v>23740.713640000002</v>
          </cell>
          <cell r="AH14">
            <v>24039.556690000001</v>
          </cell>
          <cell r="AI14">
            <v>24344.473190000001</v>
          </cell>
          <cell r="AJ14">
            <v>24655.460849999999</v>
          </cell>
          <cell r="AK14">
            <v>24972.45551</v>
          </cell>
          <cell r="AL14">
            <v>25289.642690000001</v>
          </cell>
          <cell r="AM14">
            <v>25610.127550000001</v>
          </cell>
          <cell r="AN14">
            <v>25934.491849999999</v>
          </cell>
          <cell r="AO14">
            <v>26263.08295</v>
          </cell>
          <cell r="AP14">
            <v>26596.16893</v>
          </cell>
          <cell r="AQ14">
            <v>26934.652160000001</v>
          </cell>
          <cell r="AR14">
            <v>27278.072980000001</v>
          </cell>
          <cell r="AS14">
            <v>27626.488939999999</v>
          </cell>
          <cell r="AT14">
            <v>27979.936730000001</v>
          </cell>
          <cell r="AU14">
            <v>28338.424579999999</v>
          </cell>
          <cell r="AV14">
            <v>28705.19182</v>
          </cell>
          <cell r="AW14">
            <v>29077.500680000001</v>
          </cell>
          <cell r="AX14">
            <v>29455.09663</v>
          </cell>
          <cell r="AY14">
            <v>29837.852309999998</v>
          </cell>
          <cell r="AZ14">
            <v>30225.68533</v>
          </cell>
          <cell r="BA14">
            <v>36300.431920000003</v>
          </cell>
          <cell r="BB14">
            <v>36916.198770000003</v>
          </cell>
          <cell r="BC14">
            <v>37543.095710000001</v>
          </cell>
          <cell r="BD14">
            <v>38181.311820000003</v>
          </cell>
          <cell r="BE14">
            <v>38831.034959999997</v>
          </cell>
        </row>
        <row r="15">
          <cell r="B15">
            <v>16338.48991</v>
          </cell>
          <cell r="C15">
            <v>16530.087790000001</v>
          </cell>
          <cell r="D15">
            <v>16748.270390000001</v>
          </cell>
          <cell r="E15">
            <v>16986.67971</v>
          </cell>
          <cell r="F15">
            <v>17242.737799999999</v>
          </cell>
          <cell r="G15">
            <v>17513.36695</v>
          </cell>
          <cell r="H15">
            <v>17783.64213</v>
          </cell>
          <cell r="I15">
            <v>18060.022239999998</v>
          </cell>
          <cell r="J15">
            <v>18341.854749999999</v>
          </cell>
          <cell r="K15">
            <v>18628.39847</v>
          </cell>
          <cell r="L15">
            <v>18940.293580000001</v>
          </cell>
          <cell r="M15">
            <v>19240.397870000001</v>
          </cell>
          <cell r="N15">
            <v>19541.91864</v>
          </cell>
          <cell r="O15">
            <v>19845.5236</v>
          </cell>
          <cell r="P15">
            <v>20151.425309999999</v>
          </cell>
          <cell r="Q15">
            <v>20459.847170000001</v>
          </cell>
          <cell r="R15">
            <v>20771.090889999999</v>
          </cell>
          <cell r="S15">
            <v>21085.520659999998</v>
          </cell>
          <cell r="T15">
            <v>21403.533510000001</v>
          </cell>
          <cell r="U15">
            <v>21725.533100000001</v>
          </cell>
          <cell r="V15">
            <v>22036.169249999999</v>
          </cell>
          <cell r="W15">
            <v>22363.016039999999</v>
          </cell>
          <cell r="X15">
            <v>22696.441139999999</v>
          </cell>
          <cell r="Y15">
            <v>23036.149069999999</v>
          </cell>
          <cell r="Z15">
            <v>23382.221000000001</v>
          </cell>
          <cell r="AA15">
            <v>23689.30013</v>
          </cell>
          <cell r="AB15">
            <v>24014.405159999998</v>
          </cell>
          <cell r="AC15">
            <v>24344.25231</v>
          </cell>
          <cell r="AD15">
            <v>24679.116999999998</v>
          </cell>
          <cell r="AE15">
            <v>25019.646250000002</v>
          </cell>
          <cell r="AF15">
            <v>25366.401809999999</v>
          </cell>
          <cell r="AG15">
            <v>25719.773499999999</v>
          </cell>
          <cell r="AH15">
            <v>26079.983520000002</v>
          </cell>
          <cell r="AI15">
            <v>26447.117549999999</v>
          </cell>
          <cell r="AJ15">
            <v>26821.16216</v>
          </cell>
          <cell r="AK15">
            <v>27202.040120000001</v>
          </cell>
          <cell r="AL15">
            <v>27578.586770000002</v>
          </cell>
          <cell r="AM15">
            <v>27958.581269999999</v>
          </cell>
          <cell r="AN15">
            <v>28342.914529999998</v>
          </cell>
          <cell r="AO15">
            <v>28732.080320000001</v>
          </cell>
          <cell r="AP15">
            <v>29126.460609999998</v>
          </cell>
          <cell r="AQ15">
            <v>29526.366979999999</v>
          </cell>
          <cell r="AR15">
            <v>29932.040789999999</v>
          </cell>
          <cell r="AS15">
            <v>30343.65353</v>
          </cell>
          <cell r="AT15">
            <v>30761.314170000001</v>
          </cell>
          <cell r="AU15">
            <v>31185.082760000001</v>
          </cell>
          <cell r="AV15">
            <v>31615.999110000001</v>
          </cell>
          <cell r="AW15">
            <v>32053.36117</v>
          </cell>
          <cell r="AX15">
            <v>32497.081760000001</v>
          </cell>
          <cell r="AY15">
            <v>32947.073450000004</v>
          </cell>
          <cell r="AZ15">
            <v>33403.263469999998</v>
          </cell>
          <cell r="BA15">
            <v>36460.51715</v>
          </cell>
          <cell r="BB15">
            <v>37084.866710000002</v>
          </cell>
          <cell r="BC15">
            <v>37720.52203</v>
          </cell>
          <cell r="BD15">
            <v>38367.690739999998</v>
          </cell>
          <cell r="BE15">
            <v>39026.581709999999</v>
          </cell>
        </row>
        <row r="16">
          <cell r="B16">
            <v>83583.357749999996</v>
          </cell>
          <cell r="C16">
            <v>84212.292979999998</v>
          </cell>
          <cell r="D16">
            <v>85113.089009999996</v>
          </cell>
          <cell r="E16">
            <v>86156.528640000004</v>
          </cell>
          <cell r="F16">
            <v>87311.757979999995</v>
          </cell>
          <cell r="G16">
            <v>88557.048729999995</v>
          </cell>
          <cell r="H16">
            <v>89798.924249999996</v>
          </cell>
          <cell r="I16">
            <v>91084.013659999997</v>
          </cell>
          <cell r="J16">
            <v>92402.140410000007</v>
          </cell>
          <cell r="K16">
            <v>93743.613029999993</v>
          </cell>
          <cell r="L16">
            <v>95223.027159999998</v>
          </cell>
          <cell r="M16">
            <v>96591.716279999993</v>
          </cell>
          <cell r="N16">
            <v>97958.479269999996</v>
          </cell>
          <cell r="O16">
            <v>99324.264639999994</v>
          </cell>
          <cell r="P16">
            <v>100689.0119</v>
          </cell>
          <cell r="Q16">
            <v>102053.4633</v>
          </cell>
          <cell r="R16">
            <v>103403.7564</v>
          </cell>
          <cell r="S16">
            <v>104757.14969999999</v>
          </cell>
          <cell r="T16">
            <v>106116.8465</v>
          </cell>
          <cell r="U16">
            <v>107485.8587</v>
          </cell>
          <cell r="V16">
            <v>108777.9311</v>
          </cell>
          <cell r="W16">
            <v>110161.7702</v>
          </cell>
          <cell r="X16">
            <v>111568.3134</v>
          </cell>
          <cell r="Y16">
            <v>112997.9179</v>
          </cell>
          <cell r="Z16">
            <v>114452.1979</v>
          </cell>
          <cell r="AA16">
            <v>115678.1256</v>
          </cell>
          <cell r="AB16">
            <v>117035.03660000001</v>
          </cell>
          <cell r="AC16">
            <v>118415.4843</v>
          </cell>
          <cell r="AD16">
            <v>119820.6338</v>
          </cell>
          <cell r="AE16">
            <v>121253.11410000001</v>
          </cell>
          <cell r="AF16">
            <v>122715.1896</v>
          </cell>
          <cell r="AG16">
            <v>124211.8829</v>
          </cell>
          <cell r="AH16">
            <v>125740.7748</v>
          </cell>
          <cell r="AI16">
            <v>127302.0616</v>
          </cell>
          <cell r="AJ16">
            <v>128895.5868</v>
          </cell>
          <cell r="AK16">
            <v>130520.9148</v>
          </cell>
          <cell r="AL16">
            <v>132147.21</v>
          </cell>
          <cell r="AM16">
            <v>133795.4841</v>
          </cell>
          <cell r="AN16">
            <v>135467.21359999999</v>
          </cell>
          <cell r="AO16">
            <v>137163.21599999999</v>
          </cell>
          <cell r="AP16">
            <v>138884.11739999999</v>
          </cell>
          <cell r="AQ16">
            <v>140635.27220000001</v>
          </cell>
          <cell r="AR16">
            <v>142412.37770000001</v>
          </cell>
          <cell r="AS16">
            <v>144215.43059999999</v>
          </cell>
          <cell r="AT16">
            <v>146044.40710000001</v>
          </cell>
          <cell r="AU16">
            <v>147899.2113</v>
          </cell>
          <cell r="AV16">
            <v>149801.69529999999</v>
          </cell>
          <cell r="AW16">
            <v>151731.47510000001</v>
          </cell>
          <cell r="AX16">
            <v>153687.5324</v>
          </cell>
          <cell r="AY16">
            <v>155669.3983</v>
          </cell>
          <cell r="AZ16">
            <v>157676.7874</v>
          </cell>
          <cell r="BA16">
            <v>194268.86120000001</v>
          </cell>
          <cell r="BB16">
            <v>197611.76019999999</v>
          </cell>
          <cell r="BC16">
            <v>201017.3364</v>
          </cell>
          <cell r="BD16">
            <v>204486.6298</v>
          </cell>
          <cell r="BE16">
            <v>208020.64610000001</v>
          </cell>
        </row>
        <row r="17">
          <cell r="B17">
            <v>87184.058229999995</v>
          </cell>
          <cell r="C17">
            <v>88262.675369999997</v>
          </cell>
          <cell r="D17">
            <v>89492.640509999997</v>
          </cell>
          <cell r="E17">
            <v>90815.614579999994</v>
          </cell>
          <cell r="F17">
            <v>92218.382190000004</v>
          </cell>
          <cell r="G17">
            <v>93686.525460000004</v>
          </cell>
          <cell r="H17">
            <v>95132.285220000005</v>
          </cell>
          <cell r="I17">
            <v>96608.066059999997</v>
          </cell>
          <cell r="J17">
            <v>98109.463940000001</v>
          </cell>
          <cell r="K17">
            <v>99632.332110000003</v>
          </cell>
          <cell r="L17">
            <v>101304.4379</v>
          </cell>
          <cell r="M17">
            <v>102881.2464</v>
          </cell>
          <cell r="N17">
            <v>104466.7016</v>
          </cell>
          <cell r="O17">
            <v>106063.4531</v>
          </cell>
          <cell r="P17">
            <v>107672.6204</v>
          </cell>
          <cell r="Q17">
            <v>109295.5672</v>
          </cell>
          <cell r="R17">
            <v>110934.08689999999</v>
          </cell>
          <cell r="S17">
            <v>112590.2879</v>
          </cell>
          <cell r="T17">
            <v>114266.44010000001</v>
          </cell>
          <cell r="U17">
            <v>115964.8431</v>
          </cell>
          <cell r="V17">
            <v>117590.8003</v>
          </cell>
          <cell r="W17">
            <v>119326.18090000001</v>
          </cell>
          <cell r="X17">
            <v>121095.2031</v>
          </cell>
          <cell r="Y17">
            <v>122897.4725</v>
          </cell>
          <cell r="Z17">
            <v>124733.9492</v>
          </cell>
          <cell r="AA17">
            <v>126325.6902</v>
          </cell>
          <cell r="AB17">
            <v>128059.34080000001</v>
          </cell>
          <cell r="AC17">
            <v>129822.9515</v>
          </cell>
          <cell r="AD17">
            <v>131617.50700000001</v>
          </cell>
          <cell r="AE17">
            <v>133445.5171</v>
          </cell>
          <cell r="AF17">
            <v>135309.14490000001</v>
          </cell>
          <cell r="AG17">
            <v>137209.86199999999</v>
          </cell>
          <cell r="AH17">
            <v>139148.45670000001</v>
          </cell>
          <cell r="AI17">
            <v>141125.14869999999</v>
          </cell>
          <cell r="AJ17">
            <v>143139.7347</v>
          </cell>
          <cell r="AK17">
            <v>145191.73149999999</v>
          </cell>
          <cell r="AL17">
            <v>147212.4333</v>
          </cell>
          <cell r="AM17">
            <v>149258.38039999999</v>
          </cell>
          <cell r="AN17">
            <v>151332.35320000001</v>
          </cell>
          <cell r="AO17">
            <v>153435.73490000001</v>
          </cell>
          <cell r="AP17">
            <v>155569.6011</v>
          </cell>
          <cell r="AQ17">
            <v>157734.8456</v>
          </cell>
          <cell r="AR17">
            <v>159932.15770000001</v>
          </cell>
          <cell r="AS17">
            <v>162162.00659999999</v>
          </cell>
          <cell r="AT17">
            <v>164424.65729999999</v>
          </cell>
          <cell r="AU17">
            <v>166720.21249999999</v>
          </cell>
          <cell r="AV17">
            <v>169054.89509999999</v>
          </cell>
          <cell r="AW17">
            <v>171423.45269999999</v>
          </cell>
          <cell r="AX17">
            <v>173825.50719999999</v>
          </cell>
          <cell r="AY17">
            <v>176260.70310000001</v>
          </cell>
          <cell r="AZ17">
            <v>178728.7543</v>
          </cell>
          <cell r="BA17">
            <v>195144.80350000001</v>
          </cell>
          <cell r="BB17">
            <v>198536.37779999999</v>
          </cell>
          <cell r="BC17">
            <v>201991.7243</v>
          </cell>
          <cell r="BD17">
            <v>205511.9504</v>
          </cell>
          <cell r="BE17">
            <v>209098.14439999999</v>
          </cell>
        </row>
        <row r="18">
          <cell r="B18">
            <v>28058.93117</v>
          </cell>
          <cell r="C18">
            <v>28256.0484</v>
          </cell>
          <cell r="D18">
            <v>28561.912</v>
          </cell>
          <cell r="E18">
            <v>28918.779419999999</v>
          </cell>
          <cell r="F18">
            <v>29311.88624</v>
          </cell>
          <cell r="G18">
            <v>29733.442070000001</v>
          </cell>
          <cell r="H18">
            <v>30155.290949999999</v>
          </cell>
          <cell r="I18">
            <v>30590.04825</v>
          </cell>
          <cell r="J18">
            <v>31035.362420000001</v>
          </cell>
          <cell r="K18">
            <v>31488.440259999999</v>
          </cell>
          <cell r="L18">
            <v>31983.76079</v>
          </cell>
          <cell r="M18">
            <v>32448.830310000001</v>
          </cell>
          <cell r="N18">
            <v>32912.211150000003</v>
          </cell>
          <cell r="O18">
            <v>33374.85269</v>
          </cell>
          <cell r="P18">
            <v>33836.918030000001</v>
          </cell>
          <cell r="Q18">
            <v>34298.743829999999</v>
          </cell>
          <cell r="R18">
            <v>34756.273650000003</v>
          </cell>
          <cell r="S18">
            <v>35214.718930000003</v>
          </cell>
          <cell r="T18">
            <v>35675.351490000001</v>
          </cell>
          <cell r="U18">
            <v>36139.300649999997</v>
          </cell>
          <cell r="V18">
            <v>36580.715259999997</v>
          </cell>
          <cell r="W18">
            <v>37048.685169999997</v>
          </cell>
          <cell r="X18">
            <v>37525.402170000001</v>
          </cell>
          <cell r="Y18">
            <v>38010.627840000001</v>
          </cell>
          <cell r="Z18">
            <v>38504.821830000001</v>
          </cell>
          <cell r="AA18">
            <v>38931.638769999998</v>
          </cell>
          <cell r="AB18">
            <v>39393.753499999999</v>
          </cell>
          <cell r="AC18">
            <v>39864.329619999997</v>
          </cell>
          <cell r="AD18">
            <v>40343.417710000002</v>
          </cell>
          <cell r="AE18">
            <v>40831.85295</v>
          </cell>
          <cell r="AF18">
            <v>41330.402750000001</v>
          </cell>
          <cell r="AG18">
            <v>41840.644509999998</v>
          </cell>
          <cell r="AH18">
            <v>42361.905989999999</v>
          </cell>
          <cell r="AI18">
            <v>42894.203529999999</v>
          </cell>
          <cell r="AJ18">
            <v>43437.436179999997</v>
          </cell>
          <cell r="AK18">
            <v>43991.401579999998</v>
          </cell>
          <cell r="AL18">
            <v>44546.721210000003</v>
          </cell>
          <cell r="AM18">
            <v>45108.549270000003</v>
          </cell>
          <cell r="AN18">
            <v>45677.56523</v>
          </cell>
          <cell r="AO18">
            <v>46254.113010000001</v>
          </cell>
          <cell r="AP18">
            <v>46838.429150000004</v>
          </cell>
          <cell r="AQ18">
            <v>47432.155639999997</v>
          </cell>
          <cell r="AR18">
            <v>48034.052190000002</v>
          </cell>
          <cell r="AS18">
            <v>48644.076229999999</v>
          </cell>
          <cell r="AT18">
            <v>49262.198069999999</v>
          </cell>
          <cell r="AU18">
            <v>49888.367209999997</v>
          </cell>
          <cell r="AV18">
            <v>50529.166149999997</v>
          </cell>
          <cell r="AW18">
            <v>51178.71731</v>
          </cell>
          <cell r="AX18">
            <v>51836.517890000003</v>
          </cell>
          <cell r="AY18">
            <v>52502.360509999999</v>
          </cell>
          <cell r="AZ18">
            <v>53176.130940000003</v>
          </cell>
          <cell r="BA18">
            <v>65374.391609999999</v>
          </cell>
          <cell r="BB18">
            <v>66504.938649999996</v>
          </cell>
          <cell r="BC18">
            <v>67655.673490000001</v>
          </cell>
          <cell r="BD18">
            <v>68826.861879999997</v>
          </cell>
          <cell r="BE18">
            <v>70018.761929999993</v>
          </cell>
        </row>
        <row r="19">
          <cell r="B19">
            <v>29140.398990000002</v>
          </cell>
          <cell r="C19">
            <v>29509.433809999999</v>
          </cell>
          <cell r="D19">
            <v>29927.532220000001</v>
          </cell>
          <cell r="E19">
            <v>30375.55831</v>
          </cell>
          <cell r="F19">
            <v>30847.929</v>
          </cell>
          <cell r="G19">
            <v>31340.255120000002</v>
          </cell>
          <cell r="H19">
            <v>31826.505150000001</v>
          </cell>
          <cell r="I19">
            <v>32321.220209999999</v>
          </cell>
          <cell r="J19">
            <v>32823.985999999997</v>
          </cell>
          <cell r="K19">
            <v>33333.919139999998</v>
          </cell>
          <cell r="L19">
            <v>33889.651669999999</v>
          </cell>
          <cell r="M19">
            <v>34420.417090000003</v>
          </cell>
          <cell r="N19">
            <v>34953.457020000002</v>
          </cell>
          <cell r="O19">
            <v>35490.256930000003</v>
          </cell>
          <cell r="P19">
            <v>36031.368029999998</v>
          </cell>
          <cell r="Q19">
            <v>36577.316809999997</v>
          </cell>
          <cell r="R19">
            <v>37128.746140000003</v>
          </cell>
          <cell r="S19">
            <v>37686.399219999999</v>
          </cell>
          <cell r="T19">
            <v>38251.072220000002</v>
          </cell>
          <cell r="U19">
            <v>38823.568039999998</v>
          </cell>
          <cell r="V19">
            <v>39375.46787</v>
          </cell>
          <cell r="W19">
            <v>39959.495819999996</v>
          </cell>
          <cell r="X19">
            <v>40555.926249999997</v>
          </cell>
          <cell r="Y19">
            <v>41164.191209999997</v>
          </cell>
          <cell r="Z19">
            <v>41784.471490000004</v>
          </cell>
          <cell r="AA19">
            <v>42332.731059999998</v>
          </cell>
          <cell r="AB19">
            <v>42919.150179999997</v>
          </cell>
          <cell r="AC19">
            <v>43515.779600000002</v>
          </cell>
          <cell r="AD19">
            <v>44122.579169999997</v>
          </cell>
          <cell r="AE19">
            <v>44740.311679999999</v>
          </cell>
          <cell r="AF19">
            <v>45369.678050000002</v>
          </cell>
          <cell r="AG19">
            <v>46011.148930000003</v>
          </cell>
          <cell r="AH19">
            <v>46664.952239999999</v>
          </cell>
          <cell r="AI19">
            <v>47331.108890000003</v>
          </cell>
          <cell r="AJ19">
            <v>48009.484250000001</v>
          </cell>
          <cell r="AK19">
            <v>48699.840889999999</v>
          </cell>
          <cell r="AL19">
            <v>49381.389580000003</v>
          </cell>
          <cell r="AM19">
            <v>50069.530559999999</v>
          </cell>
          <cell r="AN19">
            <v>50765.598619999997</v>
          </cell>
          <cell r="AO19">
            <v>51470.173920000001</v>
          </cell>
          <cell r="AP19">
            <v>52183.6561</v>
          </cell>
          <cell r="AQ19">
            <v>52906.360489999999</v>
          </cell>
          <cell r="AR19">
            <v>53638.526290000002</v>
          </cell>
          <cell r="AS19">
            <v>54380.31583</v>
          </cell>
          <cell r="AT19">
            <v>55131.820789999998</v>
          </cell>
          <cell r="AU19">
            <v>55893.076739999997</v>
          </cell>
          <cell r="AV19">
            <v>56665.955090000003</v>
          </cell>
          <cell r="AW19">
            <v>57449.007510000003</v>
          </cell>
          <cell r="AX19">
            <v>58242.06581</v>
          </cell>
          <cell r="AY19">
            <v>59045.021240000002</v>
          </cell>
          <cell r="AZ19">
            <v>59857.800779999998</v>
          </cell>
          <cell r="BA19">
            <v>65674.958790000004</v>
          </cell>
          <cell r="BB19">
            <v>66820.09246</v>
          </cell>
          <cell r="BC19">
            <v>67985.551479999995</v>
          </cell>
          <cell r="BD19">
            <v>69171.626420000001</v>
          </cell>
          <cell r="BE19">
            <v>70378.605540000004</v>
          </cell>
        </row>
        <row r="20">
          <cell r="B20">
            <v>77445.077170000004</v>
          </cell>
          <cell r="C20">
            <v>77967.506049999996</v>
          </cell>
          <cell r="D20">
            <v>78837.288230000006</v>
          </cell>
          <cell r="E20">
            <v>79853.668489999996</v>
          </cell>
          <cell r="F20">
            <v>80960.318350000001</v>
          </cell>
          <cell r="G20">
            <v>82130.86017</v>
          </cell>
          <cell r="H20">
            <v>83289.191319999998</v>
          </cell>
          <cell r="I20">
            <v>84471.063639999993</v>
          </cell>
          <cell r="J20">
            <v>85673.390270000004</v>
          </cell>
          <cell r="K20">
            <v>86891.429260000004</v>
          </cell>
          <cell r="L20">
            <v>88220.198269999993</v>
          </cell>
          <cell r="M20">
            <v>89466.565300000002</v>
          </cell>
          <cell r="N20">
            <v>90708.026540000006</v>
          </cell>
          <cell r="O20">
            <v>91949.445879999999</v>
          </cell>
          <cell r="P20">
            <v>93192.495410000003</v>
          </cell>
          <cell r="Q20">
            <v>94438.826579999994</v>
          </cell>
          <cell r="R20">
            <v>95677.76844</v>
          </cell>
          <cell r="S20">
            <v>96923.705449999994</v>
          </cell>
          <cell r="T20">
            <v>98180.427460000006</v>
          </cell>
          <cell r="U20">
            <v>99451.076830000005</v>
          </cell>
          <cell r="V20">
            <v>100666.2892</v>
          </cell>
          <cell r="W20">
            <v>101957.6008</v>
          </cell>
          <cell r="X20">
            <v>103277.6838</v>
          </cell>
          <cell r="Y20">
            <v>104625.04459999999</v>
          </cell>
          <cell r="Z20">
            <v>106000.52370000001</v>
          </cell>
          <cell r="AA20">
            <v>107199.08289999999</v>
          </cell>
          <cell r="AB20">
            <v>108495.80740000001</v>
          </cell>
          <cell r="AC20">
            <v>109820.018</v>
          </cell>
          <cell r="AD20">
            <v>111170.336</v>
          </cell>
          <cell r="AE20">
            <v>112548.0374</v>
          </cell>
          <cell r="AF20">
            <v>113954.4543</v>
          </cell>
          <cell r="AG20">
            <v>115393.3222</v>
          </cell>
          <cell r="AH20">
            <v>116862.3913</v>
          </cell>
          <cell r="AI20">
            <v>118361.33130000001</v>
          </cell>
          <cell r="AJ20">
            <v>119889.6038</v>
          </cell>
          <cell r="AK20">
            <v>121446.4602</v>
          </cell>
          <cell r="AL20">
            <v>123007.0497</v>
          </cell>
          <cell r="AM20">
            <v>124584.7696</v>
          </cell>
          <cell r="AN20">
            <v>126181.25229999999</v>
          </cell>
          <cell r="AO20">
            <v>127797.16310000001</v>
          </cell>
          <cell r="AP20">
            <v>129432.8897</v>
          </cell>
          <cell r="AQ20">
            <v>131092.71040000001</v>
          </cell>
          <cell r="AR20">
            <v>132773.10449999999</v>
          </cell>
          <cell r="AS20">
            <v>134473.78200000001</v>
          </cell>
          <cell r="AT20">
            <v>136194.58369999999</v>
          </cell>
          <cell r="AU20">
            <v>137935.3462</v>
          </cell>
          <cell r="AV20">
            <v>139714.01209999999</v>
          </cell>
          <cell r="AW20">
            <v>141514.73050000001</v>
          </cell>
          <cell r="AX20">
            <v>143335.9394</v>
          </cell>
          <cell r="AY20">
            <v>145177.1054</v>
          </cell>
          <cell r="AZ20">
            <v>147038.02480000001</v>
          </cell>
          <cell r="BA20">
            <v>183022.07269999999</v>
          </cell>
          <cell r="BB20">
            <v>186256.61790000001</v>
          </cell>
          <cell r="BC20">
            <v>189546.32399999999</v>
          </cell>
          <cell r="BD20">
            <v>192891.60990000001</v>
          </cell>
          <cell r="BE20">
            <v>196292.88219999999</v>
          </cell>
        </row>
        <row r="21">
          <cell r="B21">
            <v>80401.828569999998</v>
          </cell>
          <cell r="C21">
            <v>81419.582120000006</v>
          </cell>
          <cell r="D21">
            <v>82583.786229999998</v>
          </cell>
          <cell r="E21">
            <v>83831.167090000003</v>
          </cell>
          <cell r="F21">
            <v>85141.175480000005</v>
          </cell>
          <cell r="G21">
            <v>86500.723759999993</v>
          </cell>
          <cell r="H21">
            <v>87840.3364</v>
          </cell>
          <cell r="I21">
            <v>89200.271859999993</v>
          </cell>
          <cell r="J21">
            <v>90581.363580000005</v>
          </cell>
          <cell r="K21">
            <v>91982.59951</v>
          </cell>
          <cell r="L21">
            <v>93508.939679999996</v>
          </cell>
          <cell r="M21">
            <v>94971.059680000006</v>
          </cell>
          <cell r="N21">
            <v>96441.826799999995</v>
          </cell>
          <cell r="O21">
            <v>97926.689490000004</v>
          </cell>
          <cell r="P21">
            <v>99427.755590000001</v>
          </cell>
          <cell r="Q21">
            <v>100946.7167</v>
          </cell>
          <cell r="R21">
            <v>102485.38159999999</v>
          </cell>
          <cell r="S21">
            <v>104045.7136</v>
          </cell>
          <cell r="T21">
            <v>105629.75</v>
          </cell>
          <cell r="U21">
            <v>107239.5018</v>
          </cell>
          <cell r="V21">
            <v>108798.33440000001</v>
          </cell>
          <cell r="W21">
            <v>110447.6718</v>
          </cell>
          <cell r="X21">
            <v>112135.00350000001</v>
          </cell>
          <cell r="Y21">
            <v>113857.8355</v>
          </cell>
          <cell r="Z21">
            <v>115616.19439999999</v>
          </cell>
          <cell r="AA21">
            <v>117183.57060000001</v>
          </cell>
          <cell r="AB21">
            <v>118855.59910000001</v>
          </cell>
          <cell r="AC21">
            <v>120558.8205</v>
          </cell>
          <cell r="AD21">
            <v>122291.607</v>
          </cell>
          <cell r="AE21">
            <v>124055.00659999999</v>
          </cell>
          <cell r="AF21">
            <v>125850.12880000001</v>
          </cell>
          <cell r="AG21">
            <v>127677.6364</v>
          </cell>
          <cell r="AH21">
            <v>129537.6728</v>
          </cell>
          <cell r="AI21">
            <v>131429.92319999999</v>
          </cell>
          <cell r="AJ21">
            <v>133353.7274</v>
          </cell>
          <cell r="AK21">
            <v>135308.20420000001</v>
          </cell>
          <cell r="AL21">
            <v>137237.11060000001</v>
          </cell>
          <cell r="AM21">
            <v>139181.57689999999</v>
          </cell>
          <cell r="AN21">
            <v>141145.46679999999</v>
          </cell>
          <cell r="AO21">
            <v>143130.1514</v>
          </cell>
          <cell r="AP21">
            <v>145136.40520000001</v>
          </cell>
          <cell r="AQ21">
            <v>147164.78260000001</v>
          </cell>
          <cell r="AR21">
            <v>149215.6882</v>
          </cell>
          <cell r="AS21">
            <v>151289.38860000001</v>
          </cell>
          <cell r="AT21">
            <v>153386.02660000001</v>
          </cell>
          <cell r="AU21">
            <v>155505.65090000001</v>
          </cell>
          <cell r="AV21">
            <v>157653.3051</v>
          </cell>
          <cell r="AW21">
            <v>159825.1251</v>
          </cell>
          <cell r="AX21">
            <v>162020.68169999999</v>
          </cell>
          <cell r="AY21">
            <v>164239.80499999999</v>
          </cell>
          <cell r="AZ21">
            <v>166482.45860000001</v>
          </cell>
          <cell r="BA21">
            <v>183905.85140000001</v>
          </cell>
          <cell r="BB21">
            <v>187177.02359999999</v>
          </cell>
          <cell r="BC21">
            <v>190503.01850000001</v>
          </cell>
          <cell r="BD21">
            <v>193884.32029999999</v>
          </cell>
          <cell r="BE21">
            <v>197321.42540000001</v>
          </cell>
        </row>
        <row r="22">
          <cell r="B22">
            <v>77172.38639</v>
          </cell>
          <cell r="C22">
            <v>78084.050109999996</v>
          </cell>
          <cell r="D22">
            <v>79201.65883</v>
          </cell>
          <cell r="E22">
            <v>80395.517720000003</v>
          </cell>
          <cell r="F22">
            <v>81634.388489999998</v>
          </cell>
          <cell r="G22">
            <v>82901.688439999998</v>
          </cell>
          <cell r="H22">
            <v>84112.520749999996</v>
          </cell>
          <cell r="I22">
            <v>85329.417809999999</v>
          </cell>
          <cell r="J22">
            <v>86549.693369999994</v>
          </cell>
          <cell r="K22">
            <v>87770.427479999998</v>
          </cell>
          <cell r="L22">
            <v>89111.367639999997</v>
          </cell>
          <cell r="M22">
            <v>90316.863010000001</v>
          </cell>
          <cell r="N22">
            <v>91514.168309999994</v>
          </cell>
          <cell r="O22">
            <v>92705.851330000005</v>
          </cell>
          <cell r="P22">
            <v>93893.797160000002</v>
          </cell>
          <cell r="Q22">
            <v>95080.208639999997</v>
          </cell>
          <cell r="R22">
            <v>96249.972110000002</v>
          </cell>
          <cell r="S22">
            <v>97424.059720000005</v>
          </cell>
          <cell r="T22">
            <v>98605.964170000007</v>
          </cell>
          <cell r="U22">
            <v>99798.883329999997</v>
          </cell>
          <cell r="V22">
            <v>100917.4718</v>
          </cell>
          <cell r="W22">
            <v>102135.9466</v>
          </cell>
          <cell r="X22">
            <v>103376.6421</v>
          </cell>
          <cell r="Y22">
            <v>104640.4074</v>
          </cell>
          <cell r="Z22">
            <v>105928.7369</v>
          </cell>
          <cell r="AA22">
            <v>106991.54059999999</v>
          </cell>
          <cell r="AB22">
            <v>108205.3091</v>
          </cell>
          <cell r="AC22">
            <v>109445.99679999999</v>
          </cell>
          <cell r="AD22">
            <v>110714.07670000001</v>
          </cell>
          <cell r="AE22">
            <v>112010.6927</v>
          </cell>
          <cell r="AF22">
            <v>113336.8164</v>
          </cell>
          <cell r="AG22">
            <v>114696.99129999999</v>
          </cell>
          <cell r="AH22">
            <v>116087.4123</v>
          </cell>
          <cell r="AI22">
            <v>117507.7994</v>
          </cell>
          <cell r="AJ22">
            <v>118957.6578</v>
          </cell>
          <cell r="AK22">
            <v>120436.3288</v>
          </cell>
          <cell r="AL22">
            <v>121918.17630000001</v>
          </cell>
          <cell r="AM22">
            <v>123422.3832</v>
          </cell>
          <cell r="AN22">
            <v>124949.4057</v>
          </cell>
          <cell r="AO22">
            <v>126499.3941</v>
          </cell>
          <cell r="AP22">
            <v>128072.4241</v>
          </cell>
          <cell r="AQ22">
            <v>129674.11010000001</v>
          </cell>
          <cell r="AR22">
            <v>131298.85699999999</v>
          </cell>
          <cell r="AS22">
            <v>132946.4497</v>
          </cell>
          <cell r="AT22">
            <v>134616.7126</v>
          </cell>
          <cell r="AU22">
            <v>136309.47</v>
          </cell>
          <cell r="AV22">
            <v>138048.88930000001</v>
          </cell>
          <cell r="AW22">
            <v>139811.0741</v>
          </cell>
          <cell r="AX22">
            <v>141595.33410000001</v>
          </cell>
          <cell r="AY22">
            <v>143401.4258</v>
          </cell>
          <cell r="AZ22">
            <v>145229.29810000001</v>
          </cell>
          <cell r="BA22">
            <v>183523.55319999999</v>
          </cell>
          <cell r="BB22">
            <v>186745.99849999999</v>
          </cell>
          <cell r="BC22">
            <v>190030.42559999999</v>
          </cell>
          <cell r="BD22">
            <v>193377.65919999999</v>
          </cell>
          <cell r="BE22">
            <v>196788.48449999999</v>
          </cell>
        </row>
        <row r="23">
          <cell r="B23">
            <v>81289.904609999998</v>
          </cell>
          <cell r="C23">
            <v>82527.293680000002</v>
          </cell>
          <cell r="D23">
            <v>83884.974929999997</v>
          </cell>
          <cell r="E23">
            <v>85288.0864</v>
          </cell>
          <cell r="F23">
            <v>86725.831189999997</v>
          </cell>
          <cell r="G23">
            <v>88189.611059999996</v>
          </cell>
          <cell r="H23">
            <v>89597.834189999994</v>
          </cell>
          <cell r="I23">
            <v>91015.275590000005</v>
          </cell>
          <cell r="J23">
            <v>92441.625390000001</v>
          </cell>
          <cell r="K23">
            <v>93876.617989999999</v>
          </cell>
          <cell r="L23">
            <v>95451.857820000005</v>
          </cell>
          <cell r="M23">
            <v>96914.08743</v>
          </cell>
          <cell r="N23">
            <v>98382.755319999997</v>
          </cell>
          <cell r="O23">
            <v>99861.225659999996</v>
          </cell>
          <cell r="P23">
            <v>101351.8299</v>
          </cell>
          <cell r="Q23">
            <v>102856.81329999999</v>
          </cell>
          <cell r="R23">
            <v>104378.51730000001</v>
          </cell>
          <cell r="S23">
            <v>105919.35769999999</v>
          </cell>
          <cell r="T23">
            <v>107481.7453</v>
          </cell>
          <cell r="U23">
            <v>109068.00260000001</v>
          </cell>
          <cell r="V23">
            <v>110583.0171</v>
          </cell>
          <cell r="W23">
            <v>112216.7242</v>
          </cell>
          <cell r="X23">
            <v>113883.28350000001</v>
          </cell>
          <cell r="Y23">
            <v>115582.8073</v>
          </cell>
          <cell r="Z23">
            <v>117316.13129999999</v>
          </cell>
          <cell r="AA23">
            <v>118803.1263</v>
          </cell>
          <cell r="AB23">
            <v>120453.5984</v>
          </cell>
          <cell r="AC23">
            <v>122137.7059</v>
          </cell>
          <cell r="AD23">
            <v>123855.7461</v>
          </cell>
          <cell r="AE23">
            <v>125608.7101</v>
          </cell>
          <cell r="AF23">
            <v>127397.4348</v>
          </cell>
          <cell r="AG23">
            <v>129222.38310000001</v>
          </cell>
          <cell r="AH23">
            <v>131083.61189999999</v>
          </cell>
          <cell r="AI23">
            <v>132980.82519999999</v>
          </cell>
          <cell r="AJ23">
            <v>134913.46590000001</v>
          </cell>
          <cell r="AK23">
            <v>136880.81690000001</v>
          </cell>
          <cell r="AL23">
            <v>138813.6539</v>
          </cell>
          <cell r="AM23">
            <v>140773.98560000001</v>
          </cell>
          <cell r="AN23">
            <v>142763.17420000001</v>
          </cell>
          <cell r="AO23">
            <v>144781.70120000001</v>
          </cell>
          <cell r="AP23">
            <v>146829.82509999999</v>
          </cell>
          <cell r="AQ23">
            <v>148907.71919999999</v>
          </cell>
          <cell r="AR23">
            <v>151015.48300000001</v>
          </cell>
          <cell r="AS23">
            <v>153153.13329999999</v>
          </cell>
          <cell r="AT23">
            <v>155320.6048</v>
          </cell>
          <cell r="AU23">
            <v>157517.76819999999</v>
          </cell>
          <cell r="AV23">
            <v>159750.7145</v>
          </cell>
          <cell r="AW23">
            <v>162013.5374</v>
          </cell>
          <cell r="AX23">
            <v>164305.89989999999</v>
          </cell>
          <cell r="AY23">
            <v>166627.57370000001</v>
          </cell>
          <cell r="AZ23">
            <v>168978.4228</v>
          </cell>
          <cell r="BA23">
            <v>184523.6764</v>
          </cell>
          <cell r="BB23">
            <v>187799.9662</v>
          </cell>
          <cell r="BC23">
            <v>191139.277</v>
          </cell>
          <cell r="BD23">
            <v>194542.50580000001</v>
          </cell>
          <cell r="BE23">
            <v>198010.52179999999</v>
          </cell>
        </row>
        <row r="24">
          <cell r="B24">
            <v>102047.25659999999</v>
          </cell>
          <cell r="C24">
            <v>102562.651</v>
          </cell>
          <cell r="D24">
            <v>103479.53879999999</v>
          </cell>
          <cell r="E24">
            <v>104619.6033</v>
          </cell>
          <cell r="F24">
            <v>105917.7193</v>
          </cell>
          <cell r="G24">
            <v>107337.7387</v>
          </cell>
          <cell r="H24">
            <v>108785.1566</v>
          </cell>
          <cell r="I24">
            <v>110288.48119999999</v>
          </cell>
          <cell r="J24">
            <v>111841.8827</v>
          </cell>
          <cell r="K24">
            <v>113437.94779999999</v>
          </cell>
          <cell r="L24">
            <v>115186.5762</v>
          </cell>
          <cell r="M24">
            <v>116876.4224</v>
          </cell>
          <cell r="N24">
            <v>118575.41009999999</v>
          </cell>
          <cell r="O24">
            <v>120287.1162</v>
          </cell>
          <cell r="P24">
            <v>122012.041</v>
          </cell>
          <cell r="Q24">
            <v>123750.7507</v>
          </cell>
          <cell r="R24">
            <v>125492.62119999999</v>
          </cell>
          <cell r="S24">
            <v>127249.34480000001</v>
          </cell>
          <cell r="T24">
            <v>129023.9932</v>
          </cell>
          <cell r="U24">
            <v>130819.11040000001</v>
          </cell>
          <cell r="V24">
            <v>132551.43100000001</v>
          </cell>
          <cell r="W24">
            <v>134364.73550000001</v>
          </cell>
          <cell r="X24">
            <v>136215.20680000001</v>
          </cell>
          <cell r="Y24">
            <v>138100.37409999999</v>
          </cell>
          <cell r="Z24">
            <v>140020.28820000001</v>
          </cell>
          <cell r="AA24">
            <v>141730.23509999999</v>
          </cell>
          <cell r="AB24">
            <v>143523.82149999999</v>
          </cell>
          <cell r="AC24">
            <v>145341.09599999999</v>
          </cell>
          <cell r="AD24">
            <v>147183.15179999999</v>
          </cell>
          <cell r="AE24">
            <v>149053.35010000001</v>
          </cell>
          <cell r="AF24">
            <v>150954.74900000001</v>
          </cell>
          <cell r="AG24">
            <v>152892.1869</v>
          </cell>
          <cell r="AH24">
            <v>154864.78080000001</v>
          </cell>
          <cell r="AI24">
            <v>156872.87409999999</v>
          </cell>
          <cell r="AJ24">
            <v>158916.40410000001</v>
          </cell>
          <cell r="AK24">
            <v>160994.99479999999</v>
          </cell>
          <cell r="AL24">
            <v>163072.6305</v>
          </cell>
          <cell r="AM24">
            <v>165166.41560000001</v>
          </cell>
          <cell r="AN24">
            <v>167280.4382</v>
          </cell>
          <cell r="AO24">
            <v>169417.2463</v>
          </cell>
          <cell r="AP24">
            <v>171578.79459999999</v>
          </cell>
          <cell r="AQ24">
            <v>173770.3462</v>
          </cell>
          <cell r="AR24">
            <v>175989.97409999999</v>
          </cell>
          <cell r="AS24">
            <v>178238.14869999999</v>
          </cell>
          <cell r="AT24">
            <v>180515.24170000001</v>
          </cell>
          <cell r="AU24">
            <v>182821.4621</v>
          </cell>
          <cell r="AV24">
            <v>185174.82250000001</v>
          </cell>
          <cell r="AW24">
            <v>187561.56820000001</v>
          </cell>
          <cell r="AX24">
            <v>189979.97959999999</v>
          </cell>
          <cell r="AY24">
            <v>192429.29829999999</v>
          </cell>
          <cell r="AZ24">
            <v>194909.13219999999</v>
          </cell>
          <cell r="BA24">
            <v>237062.62289999999</v>
          </cell>
          <cell r="BB24">
            <v>241147.1697</v>
          </cell>
          <cell r="BC24">
            <v>245299.2776</v>
          </cell>
          <cell r="BD24">
            <v>249519.81039999999</v>
          </cell>
          <cell r="BE24">
            <v>253809.6715</v>
          </cell>
        </row>
        <row r="25">
          <cell r="B25">
            <v>104800.5695</v>
          </cell>
          <cell r="C25">
            <v>105992.8845</v>
          </cell>
          <cell r="D25">
            <v>107370.0024</v>
          </cell>
          <cell r="E25">
            <v>108879.993</v>
          </cell>
          <cell r="F25">
            <v>110498.606</v>
          </cell>
          <cell r="G25">
            <v>112206.4584</v>
          </cell>
          <cell r="H25">
            <v>113918.705</v>
          </cell>
          <cell r="I25">
            <v>115670.3842</v>
          </cell>
          <cell r="J25">
            <v>117461.4638</v>
          </cell>
          <cell r="K25">
            <v>119289.95600000001</v>
          </cell>
          <cell r="L25">
            <v>121276.9945</v>
          </cell>
          <cell r="M25">
            <v>123216.2996</v>
          </cell>
          <cell r="N25">
            <v>125172.7871</v>
          </cell>
          <cell r="O25">
            <v>127151.147</v>
          </cell>
          <cell r="P25">
            <v>129152.7248</v>
          </cell>
          <cell r="Q25">
            <v>131178.52129999999</v>
          </cell>
          <cell r="R25">
            <v>133229.79980000001</v>
          </cell>
          <cell r="S25">
            <v>135308.11189999999</v>
          </cell>
          <cell r="T25">
            <v>137415.17989999999</v>
          </cell>
          <cell r="U25">
            <v>139552.76920000001</v>
          </cell>
          <cell r="V25">
            <v>141630.8983</v>
          </cell>
          <cell r="W25">
            <v>143802.68789999999</v>
          </cell>
          <cell r="X25">
            <v>146020.35380000001</v>
          </cell>
          <cell r="Y25">
            <v>148280.81090000001</v>
          </cell>
          <cell r="Z25">
            <v>150583.60370000001</v>
          </cell>
          <cell r="AA25">
            <v>152663.49840000001</v>
          </cell>
          <cell r="AB25">
            <v>154832.36199999999</v>
          </cell>
          <cell r="AC25">
            <v>157028.4063</v>
          </cell>
          <cell r="AD25">
            <v>159252.8499</v>
          </cell>
          <cell r="AE25">
            <v>161509.11809999999</v>
          </cell>
          <cell r="AF25">
            <v>163800.2548</v>
          </cell>
          <cell r="AG25">
            <v>166128.38380000001</v>
          </cell>
          <cell r="AH25">
            <v>168494.70069999999</v>
          </cell>
          <cell r="AI25">
            <v>170899.63800000001</v>
          </cell>
          <cell r="AJ25">
            <v>173343.07990000001</v>
          </cell>
          <cell r="AK25">
            <v>175824.56880000001</v>
          </cell>
          <cell r="AL25">
            <v>178278.90969999999</v>
          </cell>
          <cell r="AM25">
            <v>180746.6599</v>
          </cell>
          <cell r="AN25">
            <v>183234.3976</v>
          </cell>
          <cell r="AO25">
            <v>185745.81049999999</v>
          </cell>
          <cell r="AP25">
            <v>188283.63070000001</v>
          </cell>
          <cell r="AQ25">
            <v>190850.03940000001</v>
          </cell>
          <cell r="AR25">
            <v>193446.74729999999</v>
          </cell>
          <cell r="AS25">
            <v>196075.03150000001</v>
          </cell>
          <cell r="AT25">
            <v>198735.79440000001</v>
          </cell>
          <cell r="AU25">
            <v>201429.6496</v>
          </cell>
          <cell r="AV25">
            <v>204162.93160000001</v>
          </cell>
          <cell r="AW25">
            <v>206932.26149999999</v>
          </cell>
          <cell r="AX25">
            <v>209737.29430000001</v>
          </cell>
          <cell r="AY25">
            <v>212577.7494</v>
          </cell>
          <cell r="AZ25">
            <v>215453.4719</v>
          </cell>
          <cell r="BA25">
            <v>237783.5478</v>
          </cell>
          <cell r="BB25">
            <v>241895.67249999999</v>
          </cell>
          <cell r="BC25">
            <v>246074.98370000001</v>
          </cell>
          <cell r="BD25">
            <v>250322.47320000001</v>
          </cell>
          <cell r="BE25">
            <v>254639.1814</v>
          </cell>
        </row>
        <row r="26">
          <cell r="B26">
            <v>269324.45500000002</v>
          </cell>
          <cell r="C26">
            <v>271251.20199999999</v>
          </cell>
          <cell r="D26">
            <v>273725.95409999997</v>
          </cell>
          <cell r="E26">
            <v>276626.78810000001</v>
          </cell>
          <cell r="F26">
            <v>279857.55430000002</v>
          </cell>
          <cell r="G26">
            <v>283356.64380000002</v>
          </cell>
          <cell r="H26">
            <v>286986.71509999997</v>
          </cell>
          <cell r="I26">
            <v>290748.40419999999</v>
          </cell>
          <cell r="J26">
            <v>294647.272</v>
          </cell>
          <cell r="K26">
            <v>298687.85090000002</v>
          </cell>
          <cell r="L26">
            <v>303047.2733</v>
          </cell>
          <cell r="M26">
            <v>307512.01929999999</v>
          </cell>
          <cell r="N26">
            <v>312090.24469999998</v>
          </cell>
          <cell r="O26">
            <v>316789.35629999998</v>
          </cell>
          <cell r="P26">
            <v>321614.35979999998</v>
          </cell>
          <cell r="Q26">
            <v>326569.17369999998</v>
          </cell>
          <cell r="R26">
            <v>331648.94949999999</v>
          </cell>
          <cell r="S26">
            <v>336859.35739999998</v>
          </cell>
          <cell r="T26">
            <v>342205.21370000002</v>
          </cell>
          <cell r="U26">
            <v>347690.20899999997</v>
          </cell>
          <cell r="V26">
            <v>353187.34389999998</v>
          </cell>
          <cell r="W26">
            <v>358850.35350000003</v>
          </cell>
          <cell r="X26">
            <v>364675.90659999999</v>
          </cell>
          <cell r="Y26">
            <v>370660.02750000003</v>
          </cell>
          <cell r="Z26">
            <v>376799.58250000002</v>
          </cell>
          <cell r="AA26">
            <v>382715.89980000001</v>
          </cell>
          <cell r="AB26">
            <v>388669.96090000001</v>
          </cell>
          <cell r="AC26">
            <v>394673.42619999999</v>
          </cell>
          <cell r="AD26">
            <v>400732.85680000001</v>
          </cell>
          <cell r="AE26">
            <v>406853.69140000001</v>
          </cell>
          <cell r="AF26">
            <v>413040.15210000001</v>
          </cell>
          <cell r="AG26">
            <v>419296.84629999998</v>
          </cell>
          <cell r="AH26">
            <v>425624.34279999998</v>
          </cell>
          <cell r="AI26">
            <v>432021.82539999997</v>
          </cell>
          <cell r="AJ26">
            <v>438487.4338</v>
          </cell>
          <cell r="AK26">
            <v>445018.60019999999</v>
          </cell>
          <cell r="AL26">
            <v>451537.68469999998</v>
          </cell>
          <cell r="AM26">
            <v>458051.40759999998</v>
          </cell>
          <cell r="AN26">
            <v>464565.28720000002</v>
          </cell>
          <cell r="AO26">
            <v>471083.75699999998</v>
          </cell>
          <cell r="AP26">
            <v>477610.62479999999</v>
          </cell>
          <cell r="AQ26">
            <v>484151.93170000002</v>
          </cell>
          <cell r="AR26">
            <v>490709.83069999999</v>
          </cell>
          <cell r="AS26">
            <v>497286.11</v>
          </cell>
          <cell r="AT26">
            <v>503882.27799999999</v>
          </cell>
          <cell r="AU26">
            <v>510499.59600000002</v>
          </cell>
          <cell r="AV26">
            <v>517156.75599999999</v>
          </cell>
          <cell r="AW26">
            <v>523851.36</v>
          </cell>
          <cell r="AX26">
            <v>530581.82810000004</v>
          </cell>
          <cell r="AY26">
            <v>537347.66469999996</v>
          </cell>
          <cell r="AZ26">
            <v>544149.21719999996</v>
          </cell>
          <cell r="BA26">
            <v>696884.66639999999</v>
          </cell>
          <cell r="BB26">
            <v>709947.75120000006</v>
          </cell>
          <cell r="BC26">
            <v>723115.34360000002</v>
          </cell>
          <cell r="BD26">
            <v>736382.24600000004</v>
          </cell>
          <cell r="BE26">
            <v>749743.90249999997</v>
          </cell>
        </row>
        <row r="27">
          <cell r="B27">
            <v>271361.60570000001</v>
          </cell>
          <cell r="C27">
            <v>274962.27600000001</v>
          </cell>
          <cell r="D27">
            <v>278828.4375</v>
          </cell>
          <cell r="E27">
            <v>282962.74930000002</v>
          </cell>
          <cell r="F27">
            <v>287353.39529999997</v>
          </cell>
          <cell r="G27">
            <v>291984.18810000003</v>
          </cell>
          <cell r="H27">
            <v>296738.679</v>
          </cell>
          <cell r="I27">
            <v>301625.3248</v>
          </cell>
          <cell r="J27">
            <v>306653.13199999998</v>
          </cell>
          <cell r="K27">
            <v>311829.37229999999</v>
          </cell>
          <cell r="L27">
            <v>317340.60080000001</v>
          </cell>
          <cell r="M27">
            <v>322978.59999999998</v>
          </cell>
          <cell r="N27">
            <v>328750.38709999999</v>
          </cell>
          <cell r="O27">
            <v>334661.81520000001</v>
          </cell>
          <cell r="P27">
            <v>340715.97269999998</v>
          </cell>
          <cell r="Q27">
            <v>346914.46480000002</v>
          </cell>
          <cell r="R27">
            <v>353258.26</v>
          </cell>
          <cell r="S27">
            <v>359748.03460000001</v>
          </cell>
          <cell r="T27">
            <v>366384.20110000001</v>
          </cell>
          <cell r="U27">
            <v>373166.80440000002</v>
          </cell>
          <cell r="V27">
            <v>379958.37400000001</v>
          </cell>
          <cell r="W27">
            <v>386916.3602</v>
          </cell>
          <cell r="X27">
            <v>394035.67930000002</v>
          </cell>
          <cell r="Y27">
            <v>401310.39569999999</v>
          </cell>
          <cell r="Z27">
            <v>408735.31199999998</v>
          </cell>
          <cell r="AA27">
            <v>415905.05349999998</v>
          </cell>
          <cell r="AB27">
            <v>423085.16409999999</v>
          </cell>
          <cell r="AC27">
            <v>430286.96549999999</v>
          </cell>
          <cell r="AD27">
            <v>437516.31660000002</v>
          </cell>
          <cell r="AE27">
            <v>444777.72619999998</v>
          </cell>
          <cell r="AF27">
            <v>452074.26919999998</v>
          </cell>
          <cell r="AG27">
            <v>459407.30670000002</v>
          </cell>
          <cell r="AH27">
            <v>466776.43890000001</v>
          </cell>
          <cell r="AI27">
            <v>474179.728</v>
          </cell>
          <cell r="AJ27">
            <v>481614.09769999998</v>
          </cell>
          <cell r="AK27">
            <v>489075.79619999998</v>
          </cell>
          <cell r="AL27">
            <v>496462.12060000002</v>
          </cell>
          <cell r="AM27">
            <v>503782.7145</v>
          </cell>
          <cell r="AN27">
            <v>511045.86040000001</v>
          </cell>
          <cell r="AO27">
            <v>518258.12199999997</v>
          </cell>
          <cell r="AP27">
            <v>525425.16529999999</v>
          </cell>
          <cell r="AQ27">
            <v>532552.15749999997</v>
          </cell>
          <cell r="AR27">
            <v>539643.88320000004</v>
          </cell>
          <cell r="AS27">
            <v>546704.76870000002</v>
          </cell>
          <cell r="AT27">
            <v>553738.92850000004</v>
          </cell>
          <cell r="AU27">
            <v>560750.27209999994</v>
          </cell>
          <cell r="AV27">
            <v>567751.66130000004</v>
          </cell>
          <cell r="AW27">
            <v>574745.79299999995</v>
          </cell>
          <cell r="AX27">
            <v>581735.78150000004</v>
          </cell>
          <cell r="AY27">
            <v>588725.14469999995</v>
          </cell>
          <cell r="AZ27">
            <v>595717.95730000001</v>
          </cell>
          <cell r="BA27">
            <v>696433.33770000003</v>
          </cell>
          <cell r="BB27">
            <v>709265.26879999996</v>
          </cell>
          <cell r="BC27">
            <v>722177.89289999998</v>
          </cell>
          <cell r="BD27">
            <v>735166.22560000001</v>
          </cell>
          <cell r="BE27">
            <v>748226.09380000003</v>
          </cell>
        </row>
        <row r="28">
          <cell r="B28">
            <v>6669.9285049999999</v>
          </cell>
          <cell r="C28">
            <v>6711.2132030000002</v>
          </cell>
          <cell r="D28">
            <v>6767.0351520000004</v>
          </cell>
          <cell r="E28">
            <v>6832.7748080000001</v>
          </cell>
          <cell r="F28">
            <v>6907.2457210000002</v>
          </cell>
          <cell r="G28">
            <v>6989.3442210000003</v>
          </cell>
          <cell r="H28">
            <v>7073.8104620000004</v>
          </cell>
          <cell r="I28">
            <v>7162.2044679999999</v>
          </cell>
          <cell r="J28">
            <v>7253.9630340000003</v>
          </cell>
          <cell r="K28">
            <v>7348.4354020000001</v>
          </cell>
          <cell r="L28">
            <v>7451.9060550000004</v>
          </cell>
          <cell r="M28">
            <v>7551.9424079999999</v>
          </cell>
          <cell r="N28">
            <v>7652.3553519999996</v>
          </cell>
          <cell r="O28">
            <v>7753.2573540000003</v>
          </cell>
          <cell r="P28">
            <v>7854.6018679999997</v>
          </cell>
          <cell r="Q28">
            <v>7956.371271</v>
          </cell>
          <cell r="R28">
            <v>8058.0441780000001</v>
          </cell>
          <cell r="S28">
            <v>8160.1492859999998</v>
          </cell>
          <cell r="T28">
            <v>8262.8327119999994</v>
          </cell>
          <cell r="U28">
            <v>8366.2248999999993</v>
          </cell>
          <cell r="V28">
            <v>8465.4254550000005</v>
          </cell>
          <cell r="W28">
            <v>8568.9151270000002</v>
          </cell>
          <cell r="X28">
            <v>8674.0720130000009</v>
          </cell>
          <cell r="Y28">
            <v>8780.7648900000004</v>
          </cell>
          <cell r="Z28">
            <v>8889.0164820000009</v>
          </cell>
          <cell r="AA28">
            <v>8984.4807039999996</v>
          </cell>
          <cell r="AB28">
            <v>9084.4981329999991</v>
          </cell>
          <cell r="AC28">
            <v>9185.5157159999999</v>
          </cell>
          <cell r="AD28">
            <v>9287.6316850000003</v>
          </cell>
          <cell r="AE28">
            <v>9391.0945599999995</v>
          </cell>
          <cell r="AF28">
            <v>9496.1267229999994</v>
          </cell>
          <cell r="AG28">
            <v>9603.0140520000004</v>
          </cell>
          <cell r="AH28">
            <v>9711.759489</v>
          </cell>
          <cell r="AI28">
            <v>9822.407835</v>
          </cell>
          <cell r="AJ28">
            <v>9934.9750469999999</v>
          </cell>
          <cell r="AK28">
            <v>10049.45573</v>
          </cell>
          <cell r="AL28">
            <v>10163.48862</v>
          </cell>
          <cell r="AM28">
            <v>10278.38882</v>
          </cell>
          <cell r="AN28">
            <v>10394.42461</v>
          </cell>
          <cell r="AO28">
            <v>10511.75656</v>
          </cell>
          <cell r="AP28">
            <v>10630.50815</v>
          </cell>
          <cell r="AQ28">
            <v>10750.951220000001</v>
          </cell>
          <cell r="AR28">
            <v>10873.01813</v>
          </cell>
          <cell r="AS28">
            <v>10996.743700000001</v>
          </cell>
          <cell r="AT28">
            <v>11122.15184</v>
          </cell>
          <cell r="AU28">
            <v>11249.254010000001</v>
          </cell>
          <cell r="AV28">
            <v>11378.95177</v>
          </cell>
          <cell r="AW28">
            <v>11510.56654</v>
          </cell>
          <cell r="AX28">
            <v>11644.008</v>
          </cell>
          <cell r="AY28">
            <v>11779.230009999999</v>
          </cell>
          <cell r="AZ28">
            <v>11916.20192</v>
          </cell>
          <cell r="BA28">
            <v>13889.72669</v>
          </cell>
          <cell r="BB28">
            <v>14101.70952</v>
          </cell>
          <cell r="BC28">
            <v>14317.214830000001</v>
          </cell>
          <cell r="BD28">
            <v>14536.30652</v>
          </cell>
          <cell r="BE28">
            <v>14759.04989</v>
          </cell>
        </row>
        <row r="29">
          <cell r="B29">
            <v>6796.2633040000001</v>
          </cell>
          <cell r="C29">
            <v>6871.5918600000005</v>
          </cell>
          <cell r="D29">
            <v>6952.4412899999998</v>
          </cell>
          <cell r="E29">
            <v>7038.8415420000001</v>
          </cell>
          <cell r="F29">
            <v>7130.7826859999996</v>
          </cell>
          <cell r="G29">
            <v>7227.7094859999997</v>
          </cell>
          <cell r="H29">
            <v>7324.847401</v>
          </cell>
          <cell r="I29">
            <v>7424.2270259999996</v>
          </cell>
          <cell r="J29">
            <v>7525.7502770000001</v>
          </cell>
          <cell r="K29">
            <v>7629.1993759999996</v>
          </cell>
          <cell r="L29">
            <v>7741.5250230000001</v>
          </cell>
          <cell r="M29">
            <v>7850.6579330000004</v>
          </cell>
          <cell r="N29">
            <v>7960.3621649999995</v>
          </cell>
          <cell r="O29">
            <v>8070.8638639999999</v>
          </cell>
          <cell r="P29">
            <v>8182.2012729999997</v>
          </cell>
          <cell r="Q29">
            <v>8294.4116520000007</v>
          </cell>
          <cell r="R29">
            <v>8407.5605869999999</v>
          </cell>
          <cell r="S29">
            <v>8521.7375900000006</v>
          </cell>
          <cell r="T29">
            <v>8637.0460679999997</v>
          </cell>
          <cell r="U29">
            <v>8753.5945859999993</v>
          </cell>
          <cell r="V29">
            <v>8866.1969379999991</v>
          </cell>
          <cell r="W29">
            <v>8983.7497239999993</v>
          </cell>
          <cell r="X29">
            <v>9103.4561799999992</v>
          </cell>
          <cell r="Y29">
            <v>9225.1620149999999</v>
          </cell>
          <cell r="Z29">
            <v>9348.8693660000008</v>
          </cell>
          <cell r="AA29">
            <v>9459.3364720000009</v>
          </cell>
          <cell r="AB29">
            <v>9574.6901049999997</v>
          </cell>
          <cell r="AC29">
            <v>9691.2905510000001</v>
          </cell>
          <cell r="AD29">
            <v>9809.2419669999999</v>
          </cell>
          <cell r="AE29">
            <v>9928.7966950000009</v>
          </cell>
          <cell r="AF29">
            <v>10050.177</v>
          </cell>
          <cell r="AG29">
            <v>10173.54141</v>
          </cell>
          <cell r="AH29">
            <v>10298.98698</v>
          </cell>
          <cell r="AI29">
            <v>10426.561470000001</v>
          </cell>
          <cell r="AJ29">
            <v>10556.277389999999</v>
          </cell>
          <cell r="AK29">
            <v>10688.12473</v>
          </cell>
          <cell r="AL29">
            <v>10818.39265</v>
          </cell>
          <cell r="AM29">
            <v>10949.46027</v>
          </cell>
          <cell r="AN29">
            <v>11081.70709</v>
          </cell>
          <cell r="AO29">
            <v>11215.34967</v>
          </cell>
          <cell r="AP29">
            <v>11350.555630000001</v>
          </cell>
          <cell r="AQ29">
            <v>11487.46148</v>
          </cell>
          <cell r="AR29">
            <v>11626.17389</v>
          </cell>
          <cell r="AS29">
            <v>11766.7708</v>
          </cell>
          <cell r="AT29">
            <v>11909.304910000001</v>
          </cell>
          <cell r="AU29">
            <v>12053.809139999999</v>
          </cell>
          <cell r="AV29">
            <v>12200.637710000001</v>
          </cell>
          <cell r="AW29">
            <v>12349.58569</v>
          </cell>
          <cell r="AX29">
            <v>12500.625019999999</v>
          </cell>
          <cell r="AY29">
            <v>12653.73287</v>
          </cell>
          <cell r="AZ29">
            <v>12808.89099</v>
          </cell>
          <cell r="BA29">
            <v>13924.567080000001</v>
          </cell>
          <cell r="BB29">
            <v>14138.27967</v>
          </cell>
          <cell r="BC29">
            <v>14355.5419</v>
          </cell>
          <cell r="BD29">
            <v>14576.423720000001</v>
          </cell>
          <cell r="BE29">
            <v>14800.996429999999</v>
          </cell>
        </row>
        <row r="30">
          <cell r="B30">
            <v>76733.487399999998</v>
          </cell>
          <cell r="C30">
            <v>77208.442859999996</v>
          </cell>
          <cell r="D30">
            <v>77850.640570000003</v>
          </cell>
          <cell r="E30">
            <v>78606.93548</v>
          </cell>
          <cell r="F30">
            <v>79463.678239999994</v>
          </cell>
          <cell r="G30">
            <v>80408.171740000005</v>
          </cell>
          <cell r="H30">
            <v>81379.904680000007</v>
          </cell>
          <cell r="I30">
            <v>82396.824189999999</v>
          </cell>
          <cell r="J30">
            <v>83452.45091</v>
          </cell>
          <cell r="K30">
            <v>84539.298280000003</v>
          </cell>
          <cell r="L30">
            <v>85729.665460000004</v>
          </cell>
          <cell r="M30">
            <v>86880.523119999998</v>
          </cell>
          <cell r="N30">
            <v>88035.713220000005</v>
          </cell>
          <cell r="O30">
            <v>89196.529639999993</v>
          </cell>
          <cell r="P30">
            <v>90362.436879999994</v>
          </cell>
          <cell r="Q30">
            <v>91533.232220000005</v>
          </cell>
          <cell r="R30">
            <v>92702.917430000001</v>
          </cell>
          <cell r="S30">
            <v>93877.574850000005</v>
          </cell>
          <cell r="T30">
            <v>95058.885469999994</v>
          </cell>
          <cell r="U30">
            <v>96248.349969999996</v>
          </cell>
          <cell r="V30">
            <v>97389.592269999994</v>
          </cell>
          <cell r="W30">
            <v>98580.178249999997</v>
          </cell>
          <cell r="X30">
            <v>99789.944529999993</v>
          </cell>
          <cell r="Y30">
            <v>101017.3815</v>
          </cell>
          <cell r="Z30">
            <v>102262.75049999999</v>
          </cell>
          <cell r="AA30">
            <v>103361.0085</v>
          </cell>
          <cell r="AB30">
            <v>104511.6485</v>
          </cell>
          <cell r="AC30">
            <v>105673.79459999999</v>
          </cell>
          <cell r="AD30">
            <v>106848.5769</v>
          </cell>
          <cell r="AE30">
            <v>108038.85460000001</v>
          </cell>
          <cell r="AF30">
            <v>109247.186</v>
          </cell>
          <cell r="AG30">
            <v>110476.86</v>
          </cell>
          <cell r="AH30">
            <v>111727.91039999999</v>
          </cell>
          <cell r="AI30">
            <v>113000.8526</v>
          </cell>
          <cell r="AJ30">
            <v>114295.8702</v>
          </cell>
          <cell r="AK30">
            <v>115612.9011</v>
          </cell>
          <cell r="AL30">
            <v>116924.7804</v>
          </cell>
          <cell r="AM30">
            <v>118246.6376</v>
          </cell>
          <cell r="AN30">
            <v>119581.5591</v>
          </cell>
          <cell r="AO30">
            <v>120931.3921</v>
          </cell>
          <cell r="AP30">
            <v>122297.5573</v>
          </cell>
          <cell r="AQ30">
            <v>123683.18180000001</v>
          </cell>
          <cell r="AR30">
            <v>125087.4877</v>
          </cell>
          <cell r="AS30">
            <v>126510.87549999999</v>
          </cell>
          <cell r="AT30">
            <v>127953.6201</v>
          </cell>
          <cell r="AU30">
            <v>129415.8536</v>
          </cell>
          <cell r="AV30">
            <v>130907.94779999999</v>
          </cell>
          <cell r="AW30">
            <v>132422.09599999999</v>
          </cell>
          <cell r="AX30">
            <v>133957.2591</v>
          </cell>
          <cell r="AY30">
            <v>135512.90650000001</v>
          </cell>
          <cell r="AZ30">
            <v>137088.68530000001</v>
          </cell>
          <cell r="BA30">
            <v>159792.89240000001</v>
          </cell>
          <cell r="BB30">
            <v>162231.62650000001</v>
          </cell>
          <cell r="BC30">
            <v>164710.88459999999</v>
          </cell>
          <cell r="BD30">
            <v>167231.40169999999</v>
          </cell>
          <cell r="BE30">
            <v>169793.92929999999</v>
          </cell>
        </row>
        <row r="31">
          <cell r="B31">
            <v>78186.892749999999</v>
          </cell>
          <cell r="C31">
            <v>79053.50215</v>
          </cell>
          <cell r="D31">
            <v>79983.625870000003</v>
          </cell>
          <cell r="E31">
            <v>80977.60845</v>
          </cell>
          <cell r="F31">
            <v>82035.335609999995</v>
          </cell>
          <cell r="G31">
            <v>83150.419739999998</v>
          </cell>
          <cell r="H31">
            <v>84267.932610000003</v>
          </cell>
          <cell r="I31">
            <v>85411.235000000001</v>
          </cell>
          <cell r="J31">
            <v>86579.198510000002</v>
          </cell>
          <cell r="K31">
            <v>87769.317739999999</v>
          </cell>
          <cell r="L31">
            <v>89061.556270000001</v>
          </cell>
          <cell r="M31">
            <v>90317.064299999998</v>
          </cell>
          <cell r="N31">
            <v>91579.145040000003</v>
          </cell>
          <cell r="O31">
            <v>92850.400150000001</v>
          </cell>
          <cell r="P31">
            <v>94131.269610000003</v>
          </cell>
          <cell r="Q31">
            <v>95422.18204</v>
          </cell>
          <cell r="R31">
            <v>96723.892009999996</v>
          </cell>
          <cell r="S31">
            <v>98037.429269999993</v>
          </cell>
          <cell r="T31">
            <v>99363.983470000006</v>
          </cell>
          <cell r="U31">
            <v>100704.8036</v>
          </cell>
          <cell r="V31">
            <v>102000.2254</v>
          </cell>
          <cell r="W31">
            <v>103352.599</v>
          </cell>
          <cell r="X31">
            <v>104729.7493</v>
          </cell>
          <cell r="Y31">
            <v>106129.90119999999</v>
          </cell>
          <cell r="Z31">
            <v>107553.0793</v>
          </cell>
          <cell r="AA31">
            <v>108823.9365</v>
          </cell>
          <cell r="AB31">
            <v>110151.0102</v>
          </cell>
          <cell r="AC31">
            <v>111492.4277</v>
          </cell>
          <cell r="AD31">
            <v>112849.3873</v>
          </cell>
          <cell r="AE31">
            <v>114224.792</v>
          </cell>
          <cell r="AF31">
            <v>115621.1989</v>
          </cell>
          <cell r="AG31">
            <v>117040.4317</v>
          </cell>
          <cell r="AH31">
            <v>118483.607</v>
          </cell>
          <cell r="AI31">
            <v>119951.2743</v>
          </cell>
          <cell r="AJ31">
            <v>121443.5773</v>
          </cell>
          <cell r="AK31">
            <v>122960.4011</v>
          </cell>
          <cell r="AL31">
            <v>124459.0546</v>
          </cell>
          <cell r="AM31">
            <v>125966.90820000001</v>
          </cell>
          <cell r="AN31">
            <v>127488.32769999999</v>
          </cell>
          <cell r="AO31">
            <v>129025.80469999999</v>
          </cell>
          <cell r="AP31">
            <v>130581.2674</v>
          </cell>
          <cell r="AQ31">
            <v>132156.28630000001</v>
          </cell>
          <cell r="AR31">
            <v>133752.08859999999</v>
          </cell>
          <cell r="AS31">
            <v>135369.57079999999</v>
          </cell>
          <cell r="AT31">
            <v>137009.3394</v>
          </cell>
          <cell r="AU31">
            <v>138671.77299999999</v>
          </cell>
          <cell r="AV31">
            <v>140360.94690000001</v>
          </cell>
          <cell r="AW31">
            <v>142074.5031</v>
          </cell>
          <cell r="AX31">
            <v>143812.11910000001</v>
          </cell>
          <cell r="AY31">
            <v>145573.53219999999</v>
          </cell>
          <cell r="AZ31">
            <v>147358.5324</v>
          </cell>
          <cell r="BA31">
            <v>160193.71</v>
          </cell>
          <cell r="BB31">
            <v>162652.34390000001</v>
          </cell>
          <cell r="BC31">
            <v>165151.8143</v>
          </cell>
          <cell r="BD31">
            <v>167692.9258</v>
          </cell>
          <cell r="BE31">
            <v>170276.4988</v>
          </cell>
        </row>
        <row r="32">
          <cell r="B32">
            <v>14555.280140000001</v>
          </cell>
          <cell r="C32">
            <v>14752.948829999999</v>
          </cell>
          <cell r="D32">
            <v>14980.975689999999</v>
          </cell>
          <cell r="E32">
            <v>15219.09671</v>
          </cell>
          <cell r="F32">
            <v>15462.575769999999</v>
          </cell>
          <cell r="G32">
            <v>15707.93492</v>
          </cell>
          <cell r="H32">
            <v>15937.01</v>
          </cell>
          <cell r="I32">
            <v>16164.36959</v>
          </cell>
          <cell r="J32">
            <v>16389.512119999999</v>
          </cell>
          <cell r="K32">
            <v>16612.290959999998</v>
          </cell>
          <cell r="L32">
            <v>16858.529050000001</v>
          </cell>
          <cell r="M32">
            <v>17072.58943</v>
          </cell>
          <cell r="N32">
            <v>17284.86061</v>
          </cell>
          <cell r="O32">
            <v>17495.858219999998</v>
          </cell>
          <cell r="P32">
            <v>17706.109919999999</v>
          </cell>
          <cell r="Q32">
            <v>17916.168470000001</v>
          </cell>
          <cell r="R32">
            <v>18122.59202</v>
          </cell>
          <cell r="S32">
            <v>18330.16851</v>
          </cell>
          <cell r="T32">
            <v>18539.504669999998</v>
          </cell>
          <cell r="U32">
            <v>18751.167990000002</v>
          </cell>
          <cell r="V32">
            <v>18947.152539999999</v>
          </cell>
          <cell r="W32">
            <v>19165.414499999999</v>
          </cell>
          <cell r="X32">
            <v>19387.56927</v>
          </cell>
          <cell r="Y32">
            <v>19613.932270000001</v>
          </cell>
          <cell r="Z32">
            <v>19844.797040000001</v>
          </cell>
          <cell r="AA32">
            <v>20027.7183</v>
          </cell>
          <cell r="AB32">
            <v>20245.989430000001</v>
          </cell>
          <cell r="AC32">
            <v>20469.745620000002</v>
          </cell>
          <cell r="AD32">
            <v>20699.102169999998</v>
          </cell>
          <cell r="AE32">
            <v>20934.132870000001</v>
          </cell>
          <cell r="AF32">
            <v>21174.86564</v>
          </cell>
          <cell r="AG32">
            <v>21422.178929999998</v>
          </cell>
          <cell r="AH32">
            <v>21675.087670000001</v>
          </cell>
          <cell r="AI32">
            <v>21933.494409999999</v>
          </cell>
          <cell r="AJ32">
            <v>22197.281319999998</v>
          </cell>
          <cell r="AK32">
            <v>22466.318090000001</v>
          </cell>
          <cell r="AL32">
            <v>22735.855439999999</v>
          </cell>
          <cell r="AM32">
            <v>23010.134290000002</v>
          </cell>
          <cell r="AN32">
            <v>23289.076349999999</v>
          </cell>
          <cell r="AO32">
            <v>23572.612069999999</v>
          </cell>
          <cell r="AP32">
            <v>23860.681659999998</v>
          </cell>
          <cell r="AQ32">
            <v>24154.49641</v>
          </cell>
          <cell r="AR32">
            <v>24452.710080000001</v>
          </cell>
          <cell r="AS32">
            <v>24755.269380000002</v>
          </cell>
          <cell r="AT32">
            <v>25062.131000000001</v>
          </cell>
          <cell r="AU32">
            <v>25373.260109999999</v>
          </cell>
          <cell r="AV32">
            <v>25694.042990000002</v>
          </cell>
          <cell r="AW32">
            <v>26018.94845</v>
          </cell>
          <cell r="AX32">
            <v>26347.934020000001</v>
          </cell>
          <cell r="AY32">
            <v>26680.994289999999</v>
          </cell>
          <cell r="AZ32">
            <v>27018.149850000002</v>
          </cell>
          <cell r="BA32">
            <v>34739.093679999998</v>
          </cell>
          <cell r="BB32">
            <v>35350.257310000001</v>
          </cell>
          <cell r="BC32">
            <v>35973.748610000002</v>
          </cell>
          <cell r="BD32">
            <v>36609.742610000001</v>
          </cell>
          <cell r="BE32">
            <v>37258.403209999997</v>
          </cell>
        </row>
        <row r="33">
          <cell r="B33">
            <v>15488.613649999999</v>
          </cell>
          <cell r="C33">
            <v>15731.88845</v>
          </cell>
          <cell r="D33">
            <v>15998.2899</v>
          </cell>
          <cell r="E33">
            <v>16271.259599999999</v>
          </cell>
          <cell r="F33">
            <v>16549.12199</v>
          </cell>
          <cell r="G33">
            <v>16830.225600000002</v>
          </cell>
          <cell r="H33">
            <v>17097.328450000001</v>
          </cell>
          <cell r="I33">
            <v>17365.453580000001</v>
          </cell>
          <cell r="J33">
            <v>17634.34851</v>
          </cell>
          <cell r="K33">
            <v>17904.02865</v>
          </cell>
          <cell r="L33">
            <v>18202.513050000001</v>
          </cell>
          <cell r="M33">
            <v>18474.2232</v>
          </cell>
          <cell r="N33">
            <v>18747.39474</v>
          </cell>
          <cell r="O33">
            <v>19022.533599999999</v>
          </cell>
          <cell r="P33">
            <v>19300.129730000001</v>
          </cell>
          <cell r="Q33">
            <v>19580.66705</v>
          </cell>
          <cell r="R33">
            <v>19864.623660000001</v>
          </cell>
          <cell r="S33">
            <v>20152.467219999999</v>
          </cell>
          <cell r="T33">
            <v>20444.64731</v>
          </cell>
          <cell r="U33">
            <v>20741.58755</v>
          </cell>
          <cell r="V33">
            <v>21023.1021</v>
          </cell>
          <cell r="W33">
            <v>21330.880280000001</v>
          </cell>
          <cell r="X33">
            <v>21644.625980000001</v>
          </cell>
          <cell r="Y33">
            <v>21964.545819999999</v>
          </cell>
          <cell r="Z33">
            <v>22290.83294</v>
          </cell>
          <cell r="AA33">
            <v>22564.226009999998</v>
          </cell>
          <cell r="AB33">
            <v>22875.979670000001</v>
          </cell>
          <cell r="AC33">
            <v>23194.78428</v>
          </cell>
          <cell r="AD33">
            <v>23520.729749999999</v>
          </cell>
          <cell r="AE33">
            <v>23853.868780000001</v>
          </cell>
          <cell r="AF33">
            <v>24194.210790000001</v>
          </cell>
          <cell r="AG33">
            <v>24541.72221</v>
          </cell>
          <cell r="AH33">
            <v>24896.33063</v>
          </cell>
          <cell r="AI33">
            <v>25257.932629999999</v>
          </cell>
          <cell r="AJ33">
            <v>25626.40394</v>
          </cell>
          <cell r="AK33">
            <v>26001.610199999999</v>
          </cell>
          <cell r="AL33">
            <v>26368.931560000001</v>
          </cell>
          <cell r="AM33">
            <v>26742.646659999999</v>
          </cell>
          <cell r="AN33">
            <v>27122.745019999998</v>
          </cell>
          <cell r="AO33">
            <v>27509.187450000001</v>
          </cell>
          <cell r="AP33">
            <v>27901.924370000001</v>
          </cell>
          <cell r="AQ33">
            <v>28300.902760000001</v>
          </cell>
          <cell r="AR33">
            <v>28706.068380000001</v>
          </cell>
          <cell r="AS33">
            <v>29117.366440000002</v>
          </cell>
          <cell r="AT33">
            <v>29534.742470000001</v>
          </cell>
          <cell r="AU33">
            <v>29958.14385</v>
          </cell>
          <cell r="AV33">
            <v>30388.84635</v>
          </cell>
          <cell r="AW33">
            <v>30825.490430000002</v>
          </cell>
          <cell r="AX33">
            <v>31268.032329999998</v>
          </cell>
          <cell r="AY33">
            <v>31716.441910000001</v>
          </cell>
          <cell r="AZ33">
            <v>32170.704040000001</v>
          </cell>
          <cell r="BA33">
            <v>34943.773430000001</v>
          </cell>
          <cell r="BB33">
            <v>35566.895409999997</v>
          </cell>
          <cell r="BC33">
            <v>36202.660819999997</v>
          </cell>
          <cell r="BD33">
            <v>36851.256710000001</v>
          </cell>
          <cell r="BE33">
            <v>37512.862710000001</v>
          </cell>
        </row>
        <row r="34">
          <cell r="B34">
            <v>20009.72608</v>
          </cell>
          <cell r="C34">
            <v>20221.26283</v>
          </cell>
          <cell r="D34">
            <v>20477.397690000002</v>
          </cell>
          <cell r="E34">
            <v>20762.241669999999</v>
          </cell>
          <cell r="F34">
            <v>21074.27347</v>
          </cell>
          <cell r="G34">
            <v>21411.963909999999</v>
          </cell>
          <cell r="H34">
            <v>21755.030019999998</v>
          </cell>
          <cell r="I34">
            <v>22113.214540000001</v>
          </cell>
          <cell r="J34">
            <v>22484.619330000001</v>
          </cell>
          <cell r="K34">
            <v>22867.007119999998</v>
          </cell>
          <cell r="L34">
            <v>23288.328560000002</v>
          </cell>
          <cell r="M34">
            <v>23692.46457</v>
          </cell>
          <cell r="N34">
            <v>24099.753629999999</v>
          </cell>
          <cell r="O34">
            <v>24509.987690000002</v>
          </cell>
          <cell r="P34">
            <v>24922.913530000002</v>
          </cell>
          <cell r="Q34">
            <v>25338.52764</v>
          </cell>
          <cell r="R34">
            <v>25753.857260000001</v>
          </cell>
          <cell r="S34">
            <v>26172.185130000002</v>
          </cell>
          <cell r="T34">
            <v>26594.075690000001</v>
          </cell>
          <cell r="U34">
            <v>27020.0988</v>
          </cell>
          <cell r="V34">
            <v>27428.330269999999</v>
          </cell>
          <cell r="W34">
            <v>27857.428199999998</v>
          </cell>
          <cell r="X34">
            <v>28294.203229999999</v>
          </cell>
          <cell r="Y34">
            <v>28738.692360000001</v>
          </cell>
          <cell r="Z34">
            <v>29191.157149999999</v>
          </cell>
          <cell r="AA34">
            <v>29586.773799999999</v>
          </cell>
          <cell r="AB34">
            <v>30005.80213</v>
          </cell>
          <cell r="AC34">
            <v>30428.906920000001</v>
          </cell>
          <cell r="AD34">
            <v>30857.385579999998</v>
          </cell>
          <cell r="AE34">
            <v>31292.65279</v>
          </cell>
          <cell r="AF34">
            <v>31735.881010000001</v>
          </cell>
          <cell r="AG34">
            <v>32188.656309999998</v>
          </cell>
          <cell r="AH34">
            <v>32650.924299999999</v>
          </cell>
          <cell r="AI34">
            <v>33123.023220000003</v>
          </cell>
          <cell r="AJ34">
            <v>33605.13493</v>
          </cell>
          <cell r="AK34">
            <v>34097.336049999998</v>
          </cell>
          <cell r="AL34">
            <v>34590.168570000002</v>
          </cell>
          <cell r="AM34">
            <v>35088.426359999998</v>
          </cell>
          <cell r="AN34">
            <v>35593.219429999997</v>
          </cell>
          <cell r="AO34">
            <v>36105.386749999998</v>
          </cell>
          <cell r="AP34">
            <v>36625.632740000001</v>
          </cell>
          <cell r="AQ34">
            <v>37155.561589999998</v>
          </cell>
          <cell r="AR34">
            <v>37694.736190000003</v>
          </cell>
          <cell r="AS34">
            <v>38243.461669999997</v>
          </cell>
          <cell r="AT34">
            <v>38801.949419999997</v>
          </cell>
          <cell r="AU34">
            <v>39370.334970000004</v>
          </cell>
          <cell r="AV34">
            <v>39953.63495</v>
          </cell>
          <cell r="AW34">
            <v>40547.9467</v>
          </cell>
          <cell r="AX34">
            <v>41153.087610000002</v>
          </cell>
          <cell r="AY34">
            <v>41768.931129999997</v>
          </cell>
          <cell r="AZ34">
            <v>42395.382060000004</v>
          </cell>
          <cell r="BA34">
            <v>52337.766199999998</v>
          </cell>
          <cell r="BB34">
            <v>53349.739670000003</v>
          </cell>
          <cell r="BC34">
            <v>54382.347670000003</v>
          </cell>
          <cell r="BD34">
            <v>55436.091399999998</v>
          </cell>
          <cell r="BE34">
            <v>56511.49512</v>
          </cell>
        </row>
        <row r="35">
          <cell r="B35">
            <v>20693.635730000002</v>
          </cell>
          <cell r="C35">
            <v>21015.807949999999</v>
          </cell>
          <cell r="D35">
            <v>21379.066360000001</v>
          </cell>
          <cell r="E35">
            <v>21763.414570000001</v>
          </cell>
          <cell r="F35">
            <v>22164.718430000001</v>
          </cell>
          <cell r="G35">
            <v>22581.112120000002</v>
          </cell>
          <cell r="H35">
            <v>22993.303790000002</v>
          </cell>
          <cell r="I35">
            <v>23412.814320000001</v>
          </cell>
          <cell r="J35">
            <v>23839.788260000001</v>
          </cell>
          <cell r="K35">
            <v>24273.981039999999</v>
          </cell>
          <cell r="L35">
            <v>24746.95361</v>
          </cell>
          <cell r="M35">
            <v>25203.933239999998</v>
          </cell>
          <cell r="N35">
            <v>25664.738239999999</v>
          </cell>
          <cell r="O35">
            <v>26129.796630000001</v>
          </cell>
          <cell r="P35">
            <v>26599.301530000001</v>
          </cell>
          <cell r="Q35">
            <v>27073.54667</v>
          </cell>
          <cell r="R35">
            <v>27552.95463</v>
          </cell>
          <cell r="S35">
            <v>28038.036899999999</v>
          </cell>
          <cell r="T35">
            <v>28529.34765</v>
          </cell>
          <cell r="U35">
            <v>29027.448329999999</v>
          </cell>
          <cell r="V35">
            <v>29508.670569999998</v>
          </cell>
          <cell r="W35">
            <v>30014.553639999998</v>
          </cell>
          <cell r="X35">
            <v>30530.72335</v>
          </cell>
          <cell r="Y35">
            <v>31057.194520000001</v>
          </cell>
          <cell r="Z35">
            <v>31594.190780000001</v>
          </cell>
          <cell r="AA35">
            <v>32071.226129999999</v>
          </cell>
          <cell r="AB35">
            <v>32574.137869999999</v>
          </cell>
          <cell r="AC35">
            <v>33082.762119999999</v>
          </cell>
          <cell r="AD35">
            <v>33598.472390000003</v>
          </cell>
          <cell r="AE35">
            <v>34122.751579999996</v>
          </cell>
          <cell r="AF35">
            <v>34656.817569999999</v>
          </cell>
          <cell r="AG35">
            <v>35201.5579</v>
          </cell>
          <cell r="AH35">
            <v>35757.560859999998</v>
          </cell>
          <cell r="AI35">
            <v>36325.17841</v>
          </cell>
          <cell r="AJ35">
            <v>36904.594080000003</v>
          </cell>
          <cell r="AK35">
            <v>37495.883320000001</v>
          </cell>
          <cell r="AL35">
            <v>38081.56525</v>
          </cell>
          <cell r="AM35">
            <v>38673.282630000002</v>
          </cell>
          <cell r="AN35">
            <v>39272.387629999997</v>
          </cell>
          <cell r="AO35">
            <v>39879.942159999999</v>
          </cell>
          <cell r="AP35">
            <v>40496.882749999997</v>
          </cell>
          <cell r="AQ35">
            <v>41124.016049999998</v>
          </cell>
          <cell r="AR35">
            <v>41762.000639999998</v>
          </cell>
          <cell r="AS35">
            <v>42411.345580000001</v>
          </cell>
          <cell r="AT35">
            <v>43072.426270000004</v>
          </cell>
          <cell r="AU35">
            <v>43745.51079</v>
          </cell>
          <cell r="AV35">
            <v>44432.411410000001</v>
          </cell>
          <cell r="AW35">
            <v>45132.203860000001</v>
          </cell>
          <cell r="AX35">
            <v>45844.878089999998</v>
          </cell>
          <cell r="AY35">
            <v>46570.429170000003</v>
          </cell>
          <cell r="AZ35">
            <v>47308.862359999999</v>
          </cell>
          <cell r="BA35">
            <v>52479.261599999998</v>
          </cell>
          <cell r="BB35">
            <v>53498.937100000003</v>
          </cell>
          <cell r="BC35">
            <v>54539.476699999999</v>
          </cell>
          <cell r="BD35">
            <v>55601.42121</v>
          </cell>
          <cell r="BE35">
            <v>56685.3272</v>
          </cell>
        </row>
        <row r="36">
          <cell r="B36">
            <v>1984215.9</v>
          </cell>
          <cell r="C36">
            <v>1995865.9779999999</v>
          </cell>
          <cell r="D36">
            <v>2013408.598</v>
          </cell>
          <cell r="E36">
            <v>2034860.66</v>
          </cell>
          <cell r="F36">
            <v>2059511.827</v>
          </cell>
          <cell r="G36">
            <v>2086887.683</v>
          </cell>
          <cell r="H36">
            <v>2115314.3199999998</v>
          </cell>
          <cell r="I36">
            <v>2145143.64</v>
          </cell>
          <cell r="J36">
            <v>2176230.074</v>
          </cell>
          <cell r="K36">
            <v>2208396.3169999998</v>
          </cell>
          <cell r="L36">
            <v>2243606.5690000001</v>
          </cell>
          <cell r="M36">
            <v>2278254.3679999998</v>
          </cell>
          <cell r="N36">
            <v>2313225.3730000001</v>
          </cell>
          <cell r="O36">
            <v>2348545.0550000002</v>
          </cell>
          <cell r="P36">
            <v>2384195.6140000001</v>
          </cell>
          <cell r="Q36">
            <v>2420167.3679999998</v>
          </cell>
          <cell r="R36">
            <v>2456314.5750000002</v>
          </cell>
          <cell r="S36">
            <v>2492760.8909999998</v>
          </cell>
          <cell r="T36">
            <v>2529543.554</v>
          </cell>
          <cell r="U36">
            <v>2566693.7409999999</v>
          </cell>
          <cell r="V36">
            <v>2602667.77</v>
          </cell>
          <cell r="W36">
            <v>2639932.3259999999</v>
          </cell>
          <cell r="X36">
            <v>2677857.716</v>
          </cell>
          <cell r="Y36">
            <v>2716396.1609999998</v>
          </cell>
          <cell r="Z36">
            <v>2755541.608</v>
          </cell>
          <cell r="AA36">
            <v>2790772.764</v>
          </cell>
          <cell r="AB36">
            <v>2827008.6910000001</v>
          </cell>
          <cell r="AC36">
            <v>2863483.4180000001</v>
          </cell>
          <cell r="AD36">
            <v>2900266.0049999999</v>
          </cell>
          <cell r="AE36">
            <v>2937458.929</v>
          </cell>
          <cell r="AF36">
            <v>2975150.727</v>
          </cell>
          <cell r="AG36">
            <v>3013440.1660000002</v>
          </cell>
          <cell r="AH36">
            <v>3052346.2069999999</v>
          </cell>
          <cell r="AI36">
            <v>3091890.2609999999</v>
          </cell>
          <cell r="AJ36">
            <v>3132082.7540000002</v>
          </cell>
          <cell r="AK36">
            <v>3172926.4530000002</v>
          </cell>
          <cell r="AL36">
            <v>3213630.8909999998</v>
          </cell>
          <cell r="AM36">
            <v>3254562.497</v>
          </cell>
          <cell r="AN36">
            <v>3295826.821</v>
          </cell>
          <cell r="AO36">
            <v>3337497.7889999999</v>
          </cell>
          <cell r="AP36">
            <v>3379635.5460000001</v>
          </cell>
          <cell r="AQ36">
            <v>3422336.54</v>
          </cell>
          <cell r="AR36">
            <v>3465605.27</v>
          </cell>
          <cell r="AS36">
            <v>3509464.2239999999</v>
          </cell>
          <cell r="AT36">
            <v>3553929.6209999998</v>
          </cell>
          <cell r="AU36">
            <v>3599011.5720000002</v>
          </cell>
          <cell r="AV36">
            <v>3644974.784</v>
          </cell>
          <cell r="AW36">
            <v>3691656.8339999998</v>
          </cell>
          <cell r="AX36">
            <v>3739029.65</v>
          </cell>
          <cell r="AY36">
            <v>3787077.838</v>
          </cell>
          <cell r="AZ36">
            <v>3835790.8909999998</v>
          </cell>
          <cell r="BA36">
            <v>4542533.9309999999</v>
          </cell>
          <cell r="BB36">
            <v>4617958.6519999998</v>
          </cell>
          <cell r="BC36">
            <v>4694587.21</v>
          </cell>
          <cell r="BD36">
            <v>4772441.5109999999</v>
          </cell>
          <cell r="BE36">
            <v>4851545.0520000001</v>
          </cell>
        </row>
        <row r="37">
          <cell r="B37">
            <v>2019902.0560000001</v>
          </cell>
          <cell r="C37">
            <v>2044810.274</v>
          </cell>
          <cell r="D37">
            <v>2072261.432</v>
          </cell>
          <cell r="E37">
            <v>2101936.699</v>
          </cell>
          <cell r="F37">
            <v>2133645.003</v>
          </cell>
          <cell r="G37">
            <v>2167136.821</v>
          </cell>
          <cell r="H37">
            <v>2200914.2039999999</v>
          </cell>
          <cell r="I37">
            <v>2235476.0180000002</v>
          </cell>
          <cell r="J37">
            <v>2270821.6359999999</v>
          </cell>
          <cell r="K37">
            <v>2306910.9730000002</v>
          </cell>
          <cell r="L37">
            <v>2345918.3730000001</v>
          </cell>
          <cell r="M37">
            <v>2384349.4640000002</v>
          </cell>
          <cell r="N37">
            <v>2423093.4649999999</v>
          </cell>
          <cell r="O37">
            <v>2462211.8119999999</v>
          </cell>
          <cell r="P37">
            <v>2501713.7250000001</v>
          </cell>
          <cell r="Q37">
            <v>2541607.892</v>
          </cell>
          <cell r="R37">
            <v>2581911.2349999999</v>
          </cell>
          <cell r="S37">
            <v>2622647.588</v>
          </cell>
          <cell r="T37">
            <v>2663844.568</v>
          </cell>
          <cell r="U37">
            <v>2705530.8909999998</v>
          </cell>
          <cell r="V37">
            <v>2746079.9879999999</v>
          </cell>
          <cell r="W37">
            <v>2788080.287</v>
          </cell>
          <cell r="X37">
            <v>2830867.5469999998</v>
          </cell>
          <cell r="Y37">
            <v>2874392.8220000002</v>
          </cell>
          <cell r="Z37">
            <v>2918649.0060000001</v>
          </cell>
          <cell r="AA37">
            <v>2958846.3969999999</v>
          </cell>
          <cell r="AB37">
            <v>3000116.1809999999</v>
          </cell>
          <cell r="AC37">
            <v>3041681.0529999998</v>
          </cell>
          <cell r="AD37">
            <v>3083618.0180000002</v>
          </cell>
          <cell r="AE37">
            <v>3126035.8730000001</v>
          </cell>
          <cell r="AF37">
            <v>3169026.9079999998</v>
          </cell>
          <cell r="AG37">
            <v>3212657.699</v>
          </cell>
          <cell r="AH37">
            <v>3256970.85</v>
          </cell>
          <cell r="AI37">
            <v>3301990.0219999999</v>
          </cell>
          <cell r="AJ37">
            <v>3347725.5380000002</v>
          </cell>
          <cell r="AK37">
            <v>3394179.3760000002</v>
          </cell>
          <cell r="AL37">
            <v>3440186.3840000001</v>
          </cell>
          <cell r="AM37">
            <v>3486366.2549999999</v>
          </cell>
          <cell r="AN37">
            <v>3532862.7829999998</v>
          </cell>
          <cell r="AO37">
            <v>3579772.031</v>
          </cell>
          <cell r="AP37">
            <v>3627172.4780000001</v>
          </cell>
          <cell r="AQ37">
            <v>3675129.429</v>
          </cell>
          <cell r="AR37">
            <v>3723695.1209999998</v>
          </cell>
          <cell r="AS37">
            <v>3772909.2119999998</v>
          </cell>
          <cell r="AT37">
            <v>3822800.358</v>
          </cell>
          <cell r="AU37">
            <v>3873388.6179999998</v>
          </cell>
          <cell r="AV37">
            <v>3924794.4890000001</v>
          </cell>
          <cell r="AW37">
            <v>3976973.6439999999</v>
          </cell>
          <cell r="AX37">
            <v>4029921.9679999999</v>
          </cell>
          <cell r="AY37">
            <v>4083632.628</v>
          </cell>
          <cell r="AZ37">
            <v>4138100.2510000002</v>
          </cell>
          <cell r="BA37">
            <v>4550279.9239999996</v>
          </cell>
          <cell r="BB37">
            <v>4626018.0379999997</v>
          </cell>
          <cell r="BC37">
            <v>4702960.2850000001</v>
          </cell>
          <cell r="BD37">
            <v>4781131.4129999997</v>
          </cell>
          <cell r="BE37">
            <v>4860557.57</v>
          </cell>
        </row>
        <row r="38">
          <cell r="B38">
            <v>539137.96640000003</v>
          </cell>
          <cell r="C38">
            <v>546211.93819999998</v>
          </cell>
          <cell r="D38">
            <v>554150.8382</v>
          </cell>
          <cell r="E38">
            <v>562463.45360000001</v>
          </cell>
          <cell r="F38">
            <v>571121.05790000001</v>
          </cell>
          <cell r="G38">
            <v>580096.74569999997</v>
          </cell>
          <cell r="H38">
            <v>588850.70209999999</v>
          </cell>
          <cell r="I38">
            <v>597814.91449999996</v>
          </cell>
          <cell r="J38">
            <v>606977.00699999998</v>
          </cell>
          <cell r="K38">
            <v>616323.34259999997</v>
          </cell>
          <cell r="L38">
            <v>626729.86190000002</v>
          </cell>
          <cell r="M38">
            <v>636483.46340000001</v>
          </cell>
          <cell r="N38">
            <v>646372.78509999998</v>
          </cell>
          <cell r="O38">
            <v>656401.80720000004</v>
          </cell>
          <cell r="P38">
            <v>666570.49509999994</v>
          </cell>
          <cell r="Q38">
            <v>676879.68460000004</v>
          </cell>
          <cell r="R38">
            <v>687323.77430000005</v>
          </cell>
          <cell r="S38">
            <v>697910.40269999998</v>
          </cell>
          <cell r="T38">
            <v>708643.7095</v>
          </cell>
          <cell r="U38">
            <v>719527.55330000003</v>
          </cell>
          <cell r="V38">
            <v>729904.57019999996</v>
          </cell>
          <cell r="W38">
            <v>741042.58920000005</v>
          </cell>
          <cell r="X38">
            <v>752356.48329999996</v>
          </cell>
          <cell r="Y38">
            <v>763844.47270000004</v>
          </cell>
          <cell r="Z38">
            <v>775508.60100000002</v>
          </cell>
          <cell r="AA38">
            <v>785437.33940000006</v>
          </cell>
          <cell r="AB38">
            <v>796386.53720000002</v>
          </cell>
          <cell r="AC38">
            <v>807468.99650000001</v>
          </cell>
          <cell r="AD38">
            <v>818690.20499999996</v>
          </cell>
          <cell r="AE38">
            <v>830060.05070000002</v>
          </cell>
          <cell r="AF38">
            <v>841587.45570000005</v>
          </cell>
          <cell r="AG38">
            <v>853281.13760000002</v>
          </cell>
          <cell r="AH38">
            <v>865145.22970000003</v>
          </cell>
          <cell r="AI38">
            <v>877183.30579999997</v>
          </cell>
          <cell r="AJ38">
            <v>889398.05839999998</v>
          </cell>
          <cell r="AK38">
            <v>901791.62529999996</v>
          </cell>
          <cell r="AL38">
            <v>913916.0514</v>
          </cell>
          <cell r="AM38">
            <v>926182.571</v>
          </cell>
          <cell r="AN38">
            <v>938600.69680000003</v>
          </cell>
          <cell r="AO38">
            <v>951177.19270000001</v>
          </cell>
          <cell r="AP38">
            <v>963918.16980000003</v>
          </cell>
          <cell r="AQ38">
            <v>976831.57949999999</v>
          </cell>
          <cell r="AR38">
            <v>989920.75540000002</v>
          </cell>
          <cell r="AS38">
            <v>1003189.455</v>
          </cell>
          <cell r="AT38">
            <v>1016640.874</v>
          </cell>
          <cell r="AU38">
            <v>1030277.699</v>
          </cell>
          <cell r="AV38">
            <v>1044152.6580000001</v>
          </cell>
          <cell r="AW38">
            <v>1058224.8589999999</v>
          </cell>
          <cell r="AX38">
            <v>1072494.53</v>
          </cell>
          <cell r="AY38">
            <v>1086962.632</v>
          </cell>
          <cell r="AZ38">
            <v>1101630.398</v>
          </cell>
          <cell r="BA38">
            <v>1233911.6610000001</v>
          </cell>
          <cell r="BB38">
            <v>1255059.872</v>
          </cell>
          <cell r="BC38">
            <v>1276567.656</v>
          </cell>
          <cell r="BD38">
            <v>1298441.4480000001</v>
          </cell>
          <cell r="BE38">
            <v>1320687.8959999999</v>
          </cell>
        </row>
        <row r="39">
          <cell r="B39">
            <v>540981.04669999995</v>
          </cell>
          <cell r="C39">
            <v>548901.4817</v>
          </cell>
          <cell r="D39">
            <v>557490.9192</v>
          </cell>
          <cell r="E39">
            <v>566341.16070000001</v>
          </cell>
          <cell r="F39">
            <v>575449.53639999998</v>
          </cell>
          <cell r="G39">
            <v>584803.37450000003</v>
          </cell>
          <cell r="H39">
            <v>593876.6446</v>
          </cell>
          <cell r="I39">
            <v>603113.36399999994</v>
          </cell>
          <cell r="J39">
            <v>612512.49659999995</v>
          </cell>
          <cell r="K39">
            <v>622070.52430000005</v>
          </cell>
          <cell r="L39">
            <v>632676.5527</v>
          </cell>
          <cell r="M39">
            <v>642625.07449999999</v>
          </cell>
          <cell r="N39">
            <v>652706.25899999996</v>
          </cell>
          <cell r="O39">
            <v>662926.51130000001</v>
          </cell>
          <cell r="P39">
            <v>673287.55870000005</v>
          </cell>
          <cell r="Q39">
            <v>683791.47730000003</v>
          </cell>
          <cell r="R39">
            <v>694441.23620000004</v>
          </cell>
          <cell r="S39">
            <v>705240.4325</v>
          </cell>
          <cell r="T39">
            <v>716192.95920000004</v>
          </cell>
          <cell r="U39">
            <v>727302.77060000005</v>
          </cell>
          <cell r="V39">
            <v>737908.52509999997</v>
          </cell>
          <cell r="W39">
            <v>749283.97779999999</v>
          </cell>
          <cell r="X39">
            <v>760842.83409999998</v>
          </cell>
          <cell r="Y39">
            <v>772583.45510000002</v>
          </cell>
          <cell r="Z39">
            <v>784507.98010000004</v>
          </cell>
          <cell r="AA39">
            <v>794691.52450000006</v>
          </cell>
          <cell r="AB39">
            <v>805899.22389999998</v>
          </cell>
          <cell r="AC39">
            <v>817243.67949999997</v>
          </cell>
          <cell r="AD39">
            <v>828730.90370000002</v>
          </cell>
          <cell r="AE39">
            <v>840371.23930000002</v>
          </cell>
          <cell r="AF39">
            <v>852173.88809999998</v>
          </cell>
          <cell r="AG39">
            <v>864145.96230000001</v>
          </cell>
          <cell r="AH39">
            <v>876292.62910000002</v>
          </cell>
          <cell r="AI39">
            <v>888617.55759999994</v>
          </cell>
          <cell r="AJ39">
            <v>901123.40460000001</v>
          </cell>
          <cell r="AK39">
            <v>913812.23199999996</v>
          </cell>
          <cell r="AL39">
            <v>926217.04130000004</v>
          </cell>
          <cell r="AM39">
            <v>938760.11239999998</v>
          </cell>
          <cell r="AN39">
            <v>951453.07869999995</v>
          </cell>
          <cell r="AO39">
            <v>964304.1263</v>
          </cell>
          <cell r="AP39">
            <v>977320.65449999995</v>
          </cell>
          <cell r="AQ39">
            <v>990509.3665</v>
          </cell>
          <cell r="AR39">
            <v>1003876.086</v>
          </cell>
          <cell r="AS39">
            <v>1017425.699</v>
          </cell>
          <cell r="AT39">
            <v>1031162.238</v>
          </cell>
          <cell r="AU39">
            <v>1045089.071</v>
          </cell>
          <cell r="AV39">
            <v>1059251.7309999999</v>
          </cell>
          <cell r="AW39">
            <v>1073614.7919999999</v>
          </cell>
          <cell r="AX39">
            <v>1088179.933</v>
          </cell>
          <cell r="AY39">
            <v>1102948.649</v>
          </cell>
          <cell r="AZ39">
            <v>1117922.5419999999</v>
          </cell>
          <cell r="BA39">
            <v>1234252.1529999999</v>
          </cell>
          <cell r="BB39">
            <v>1255414.557</v>
          </cell>
          <cell r="BC39">
            <v>1276936.693</v>
          </cell>
          <cell r="BD39">
            <v>1298825.179</v>
          </cell>
          <cell r="BE39">
            <v>1321086.8219999999</v>
          </cell>
        </row>
        <row r="40">
          <cell r="B40">
            <v>4116.0918890000003</v>
          </cell>
          <cell r="C40">
            <v>4133.0088089999999</v>
          </cell>
          <cell r="D40">
            <v>4167.3331639999997</v>
          </cell>
          <cell r="E40">
            <v>4211.2967479999998</v>
          </cell>
          <cell r="F40">
            <v>4262.4025629999996</v>
          </cell>
          <cell r="G40">
            <v>4319.0998220000001</v>
          </cell>
          <cell r="H40">
            <v>4377.4996579999997</v>
          </cell>
          <cell r="I40">
            <v>4438.3708390000002</v>
          </cell>
          <cell r="J40">
            <v>4501.2992240000003</v>
          </cell>
          <cell r="K40">
            <v>4565.8242909999999</v>
          </cell>
          <cell r="L40">
            <v>4636.0730940000003</v>
          </cell>
          <cell r="M40">
            <v>4703.8637900000003</v>
          </cell>
          <cell r="N40">
            <v>4771.5972869999996</v>
          </cell>
          <cell r="O40">
            <v>4839.4809690000002</v>
          </cell>
          <cell r="P40">
            <v>4907.5475770000003</v>
          </cell>
          <cell r="Q40">
            <v>4975.8326280000001</v>
          </cell>
          <cell r="R40">
            <v>5043.9331759999995</v>
          </cell>
          <cell r="S40">
            <v>5112.3369190000003</v>
          </cell>
          <cell r="T40">
            <v>5181.2109209999999</v>
          </cell>
          <cell r="U40">
            <v>5250.6926229999999</v>
          </cell>
          <cell r="V40">
            <v>5317.6018290000002</v>
          </cell>
          <cell r="W40">
            <v>5387.4736400000002</v>
          </cell>
          <cell r="X40">
            <v>5458.7827139999999</v>
          </cell>
          <cell r="Y40">
            <v>5531.4096499999996</v>
          </cell>
          <cell r="Z40">
            <v>5605.3746789999996</v>
          </cell>
          <cell r="AA40">
            <v>5671.2559469999997</v>
          </cell>
          <cell r="AB40">
            <v>5740.2440329999999</v>
          </cell>
          <cell r="AC40">
            <v>5810.3362260000004</v>
          </cell>
          <cell r="AD40">
            <v>5881.5211380000001</v>
          </cell>
          <cell r="AE40">
            <v>5953.9314119999999</v>
          </cell>
          <cell r="AF40">
            <v>6027.6947229999996</v>
          </cell>
          <cell r="AG40">
            <v>6103.0071939999998</v>
          </cell>
          <cell r="AH40">
            <v>6179.8347279999998</v>
          </cell>
          <cell r="AI40">
            <v>6258.1845549999998</v>
          </cell>
          <cell r="AJ40">
            <v>6338.0471879999996</v>
          </cell>
          <cell r="AK40">
            <v>6419.3985849999999</v>
          </cell>
          <cell r="AL40">
            <v>6500.8694379999997</v>
          </cell>
          <cell r="AM40">
            <v>6583.0521159999998</v>
          </cell>
          <cell r="AN40">
            <v>6666.1124879999998</v>
          </cell>
          <cell r="AO40">
            <v>6750.1429820000003</v>
          </cell>
          <cell r="AP40">
            <v>6835.2098539999997</v>
          </cell>
          <cell r="AQ40">
            <v>6921.5113810000003</v>
          </cell>
          <cell r="AR40">
            <v>7008.9622040000004</v>
          </cell>
          <cell r="AS40">
            <v>7097.5673909999996</v>
          </cell>
          <cell r="AT40">
            <v>7187.3320329999997</v>
          </cell>
          <cell r="AU40">
            <v>7278.2557530000004</v>
          </cell>
          <cell r="AV40">
            <v>7371.0413360000002</v>
          </cell>
          <cell r="AW40">
            <v>7465.1481160000003</v>
          </cell>
          <cell r="AX40">
            <v>7560.4838600000003</v>
          </cell>
          <cell r="AY40">
            <v>7657.0094900000004</v>
          </cell>
          <cell r="AZ40">
            <v>7754.7031070000003</v>
          </cell>
          <cell r="BA40">
            <v>9299.3698519999998</v>
          </cell>
          <cell r="BB40">
            <v>9457.0824250000005</v>
          </cell>
          <cell r="BC40">
            <v>9617.4964099999997</v>
          </cell>
          <cell r="BD40">
            <v>9780.6466670000009</v>
          </cell>
          <cell r="BE40">
            <v>9946.5684729999994</v>
          </cell>
        </row>
        <row r="41">
          <cell r="B41">
            <v>4225.5979100000004</v>
          </cell>
          <cell r="C41">
            <v>4270.7791159999997</v>
          </cell>
          <cell r="D41">
            <v>4321.9936740000003</v>
          </cell>
          <cell r="E41">
            <v>4378.7258979999997</v>
          </cell>
          <cell r="F41">
            <v>4440.3850220000004</v>
          </cell>
          <cell r="G41">
            <v>4506.1954800000003</v>
          </cell>
          <cell r="H41">
            <v>4572.6726580000004</v>
          </cell>
          <cell r="I41">
            <v>4640.8869869999999</v>
          </cell>
          <cell r="J41">
            <v>4710.7004870000001</v>
          </cell>
          <cell r="K41">
            <v>4781.9116320000003</v>
          </cell>
          <cell r="L41">
            <v>4859.118152</v>
          </cell>
          <cell r="M41">
            <v>4934.3911019999996</v>
          </cell>
          <cell r="N41">
            <v>5010.0366739999999</v>
          </cell>
          <cell r="O41">
            <v>5086.3180249999996</v>
          </cell>
          <cell r="P41">
            <v>5163.3127119999999</v>
          </cell>
          <cell r="Q41">
            <v>5241.0800200000003</v>
          </cell>
          <cell r="R41">
            <v>5319.692403</v>
          </cell>
          <cell r="S41">
            <v>5399.235987</v>
          </cell>
          <cell r="T41">
            <v>5479.804607</v>
          </cell>
          <cell r="U41">
            <v>5561.4936299999999</v>
          </cell>
          <cell r="V41">
            <v>5640.8637230000004</v>
          </cell>
          <cell r="W41">
            <v>5723.7813070000002</v>
          </cell>
          <cell r="X41">
            <v>5808.5602529999996</v>
          </cell>
          <cell r="Y41">
            <v>5895.0416459999997</v>
          </cell>
          <cell r="Z41">
            <v>5983.2144770000004</v>
          </cell>
          <cell r="AA41">
            <v>6062.890523</v>
          </cell>
          <cell r="AB41">
            <v>6145.9164259999998</v>
          </cell>
          <cell r="AC41">
            <v>6230.2243619999999</v>
          </cell>
          <cell r="AD41">
            <v>6315.7970809999997</v>
          </cell>
          <cell r="AE41">
            <v>6402.7618259999999</v>
          </cell>
          <cell r="AF41">
            <v>6491.2394340000001</v>
          </cell>
          <cell r="AG41">
            <v>6581.3129499999995</v>
          </cell>
          <cell r="AH41">
            <v>6673.0257320000001</v>
          </cell>
          <cell r="AI41">
            <v>6766.3880509999999</v>
          </cell>
          <cell r="AJ41">
            <v>6861.3859810000004</v>
          </cell>
          <cell r="AK41">
            <v>6957.9900969999999</v>
          </cell>
          <cell r="AL41">
            <v>7053.6828809999997</v>
          </cell>
          <cell r="AM41">
            <v>7149.9690460000002</v>
          </cell>
          <cell r="AN41">
            <v>7247.1385069999997</v>
          </cell>
          <cell r="AO41">
            <v>7345.3299360000001</v>
          </cell>
          <cell r="AP41">
            <v>7444.6393280000002</v>
          </cell>
          <cell r="AQ41">
            <v>7545.1413359999997</v>
          </cell>
          <cell r="AR41">
            <v>7646.8927659999999</v>
          </cell>
          <cell r="AS41">
            <v>7749.9337150000001</v>
          </cell>
          <cell r="AT41">
            <v>7854.2895140000001</v>
          </cell>
          <cell r="AU41">
            <v>7959.9734790000002</v>
          </cell>
          <cell r="AV41">
            <v>8067.2152059999999</v>
          </cell>
          <cell r="AW41">
            <v>8175.8803280000002</v>
          </cell>
          <cell r="AX41">
            <v>8285.9401259999995</v>
          </cell>
          <cell r="AY41">
            <v>8397.3808700000009</v>
          </cell>
          <cell r="AZ41">
            <v>8510.1941750000005</v>
          </cell>
          <cell r="BA41">
            <v>9336.7969190000003</v>
          </cell>
          <cell r="BB41">
            <v>9496.1710920000005</v>
          </cell>
          <cell r="BC41">
            <v>9658.2496090000004</v>
          </cell>
          <cell r="BD41">
            <v>9823.0714029999999</v>
          </cell>
          <cell r="BE41">
            <v>9990.6764860000003</v>
          </cell>
        </row>
        <row r="42">
          <cell r="B42">
            <v>34546.086969999997</v>
          </cell>
          <cell r="C42">
            <v>34612.7232</v>
          </cell>
          <cell r="D42">
            <v>34722.930849999997</v>
          </cell>
          <cell r="E42">
            <v>34881.000829999997</v>
          </cell>
          <cell r="F42">
            <v>35094.05442</v>
          </cell>
          <cell r="G42">
            <v>35358.234499999999</v>
          </cell>
          <cell r="H42">
            <v>35647.9444</v>
          </cell>
          <cell r="I42">
            <v>35969.913410000001</v>
          </cell>
          <cell r="J42">
            <v>36318.398159999997</v>
          </cell>
          <cell r="K42">
            <v>36687.755689999998</v>
          </cell>
          <cell r="L42">
            <v>37106.621879999999</v>
          </cell>
          <cell r="M42">
            <v>37510.4211</v>
          </cell>
          <cell r="N42">
            <v>37920.685709999998</v>
          </cell>
          <cell r="O42">
            <v>38337.465479999999</v>
          </cell>
          <cell r="P42">
            <v>38759.776380000003</v>
          </cell>
          <cell r="Q42">
            <v>39186.746189999998</v>
          </cell>
          <cell r="R42">
            <v>39613.853490000001</v>
          </cell>
          <cell r="S42">
            <v>40044.2595</v>
          </cell>
          <cell r="T42">
            <v>40478.133090000003</v>
          </cell>
          <cell r="U42">
            <v>40915.565860000002</v>
          </cell>
          <cell r="V42">
            <v>41332.67499</v>
          </cell>
          <cell r="W42">
            <v>41771.11778</v>
          </cell>
          <cell r="X42">
            <v>42216.062290000002</v>
          </cell>
          <cell r="Y42">
            <v>42666.521639999999</v>
          </cell>
          <cell r="Z42">
            <v>43122.481769999999</v>
          </cell>
          <cell r="AA42">
            <v>43515.60325</v>
          </cell>
          <cell r="AB42">
            <v>43933.219109999998</v>
          </cell>
          <cell r="AC42">
            <v>44354.23158</v>
          </cell>
          <cell r="AD42">
            <v>44778.206919999997</v>
          </cell>
          <cell r="AE42">
            <v>45205.869010000002</v>
          </cell>
          <cell r="AF42">
            <v>45638.033499999998</v>
          </cell>
          <cell r="AG42">
            <v>46076.274660000003</v>
          </cell>
          <cell r="AH42">
            <v>46520.349770000001</v>
          </cell>
          <cell r="AI42">
            <v>46970.567280000003</v>
          </cell>
          <cell r="AJ42">
            <v>47427.154750000002</v>
          </cell>
          <cell r="AK42">
            <v>47890.249300000003</v>
          </cell>
          <cell r="AL42">
            <v>48351.548759999998</v>
          </cell>
          <cell r="AM42">
            <v>48815.83236</v>
          </cell>
          <cell r="AN42">
            <v>49284.070059999998</v>
          </cell>
          <cell r="AO42">
            <v>49756.789579999997</v>
          </cell>
          <cell r="AP42">
            <v>50234.379789999999</v>
          </cell>
          <cell r="AQ42">
            <v>50718.397969999998</v>
          </cell>
          <cell r="AR42">
            <v>51208.016819999997</v>
          </cell>
          <cell r="AS42">
            <v>51703.321470000003</v>
          </cell>
          <cell r="AT42">
            <v>52204.393929999998</v>
          </cell>
          <cell r="AU42">
            <v>52711.27519</v>
          </cell>
          <cell r="AV42">
            <v>53229.629979999998</v>
          </cell>
          <cell r="AW42">
            <v>53754.807910000003</v>
          </cell>
          <cell r="AX42">
            <v>54286.332589999998</v>
          </cell>
          <cell r="AY42">
            <v>54824.003199999999</v>
          </cell>
          <cell r="AZ42">
            <v>55367.665939999999</v>
          </cell>
          <cell r="BA42">
            <v>67926.883799999996</v>
          </cell>
          <cell r="BB42">
            <v>68915.504950000002</v>
          </cell>
          <cell r="BC42">
            <v>69920.264439999999</v>
          </cell>
          <cell r="BD42">
            <v>70941.557520000002</v>
          </cell>
          <cell r="BE42">
            <v>71979.801760000002</v>
          </cell>
        </row>
        <row r="43">
          <cell r="B43">
            <v>35478.33685</v>
          </cell>
          <cell r="C43">
            <v>35744.19354</v>
          </cell>
          <cell r="D43">
            <v>36000.990510000003</v>
          </cell>
          <cell r="E43">
            <v>36292.427069999998</v>
          </cell>
          <cell r="F43">
            <v>36629.837019999999</v>
          </cell>
          <cell r="G43">
            <v>37012.753210000003</v>
          </cell>
          <cell r="H43">
            <v>37414.35224</v>
          </cell>
          <cell r="I43">
            <v>37841.751040000003</v>
          </cell>
          <cell r="J43">
            <v>38290.141170000003</v>
          </cell>
          <cell r="K43">
            <v>38755.053039999999</v>
          </cell>
          <cell r="L43">
            <v>39268.913410000001</v>
          </cell>
          <cell r="M43">
            <v>39767.624530000001</v>
          </cell>
          <cell r="N43">
            <v>40272.122259999996</v>
          </cell>
          <cell r="O43">
            <v>40783.065459999998</v>
          </cell>
          <cell r="P43">
            <v>41300.049189999998</v>
          </cell>
          <cell r="Q43">
            <v>41822.70175</v>
          </cell>
          <cell r="R43">
            <v>42350.83352</v>
          </cell>
          <cell r="S43">
            <v>42884.416640000003</v>
          </cell>
          <cell r="T43">
            <v>43423.54189</v>
          </cell>
          <cell r="U43">
            <v>43968.38063</v>
          </cell>
          <cell r="V43">
            <v>44492.661350000002</v>
          </cell>
          <cell r="W43">
            <v>45042.397010000001</v>
          </cell>
          <cell r="X43">
            <v>45601.066019999998</v>
          </cell>
          <cell r="Y43">
            <v>46167.620909999998</v>
          </cell>
          <cell r="Z43">
            <v>46742.053699999997</v>
          </cell>
          <cell r="AA43">
            <v>47248.083279999999</v>
          </cell>
          <cell r="AB43">
            <v>47781.666519999999</v>
          </cell>
          <cell r="AC43">
            <v>48320.337699999996</v>
          </cell>
          <cell r="AD43">
            <v>48863.65913</v>
          </cell>
          <cell r="AE43">
            <v>49412.38493</v>
          </cell>
          <cell r="AF43">
            <v>49967.357909999999</v>
          </cell>
          <cell r="AG43">
            <v>50529.29279</v>
          </cell>
          <cell r="AH43">
            <v>51098.735619999999</v>
          </cell>
          <cell r="AI43">
            <v>51676.075770000003</v>
          </cell>
          <cell r="AJ43">
            <v>52261.573709999997</v>
          </cell>
          <cell r="AK43">
            <v>52855.392319999999</v>
          </cell>
          <cell r="AL43">
            <v>53439.176829999997</v>
          </cell>
          <cell r="AM43">
            <v>54026.269719999997</v>
          </cell>
          <cell r="AN43">
            <v>54618.351459999998</v>
          </cell>
          <cell r="AO43">
            <v>55216.190739999998</v>
          </cell>
          <cell r="AP43">
            <v>55820.364110000002</v>
          </cell>
          <cell r="AQ43">
            <v>56431.367960000003</v>
          </cell>
          <cell r="AR43">
            <v>57049.62457</v>
          </cell>
          <cell r="AS43">
            <v>57675.475930000001</v>
          </cell>
          <cell r="AT43">
            <v>58309.178310000003</v>
          </cell>
          <cell r="AU43">
            <v>58950.884100000003</v>
          </cell>
          <cell r="AV43">
            <v>59602.196369999998</v>
          </cell>
          <cell r="AW43">
            <v>60261.943859999999</v>
          </cell>
          <cell r="AX43">
            <v>60929.872779999998</v>
          </cell>
          <cell r="AY43">
            <v>61606.43348</v>
          </cell>
          <cell r="AZ43">
            <v>62292.00604</v>
          </cell>
          <cell r="BA43">
            <v>67946.043550000002</v>
          </cell>
          <cell r="BB43">
            <v>68930.646030000004</v>
          </cell>
          <cell r="BC43">
            <v>69931.037639999995</v>
          </cell>
          <cell r="BD43">
            <v>70947.610119999998</v>
          </cell>
          <cell r="BE43">
            <v>71980.767460000003</v>
          </cell>
        </row>
        <row r="44">
          <cell r="B44">
            <v>3838.6431440000001</v>
          </cell>
          <cell r="C44">
            <v>3841.829154</v>
          </cell>
          <cell r="D44">
            <v>3845.8706459999999</v>
          </cell>
          <cell r="E44">
            <v>3855.6137189999999</v>
          </cell>
          <cell r="F44">
            <v>3872.7698999999998</v>
          </cell>
          <cell r="G44">
            <v>3896.9236040000001</v>
          </cell>
          <cell r="H44">
            <v>3925.0452890000001</v>
          </cell>
          <cell r="I44">
            <v>3957.3829470000001</v>
          </cell>
          <cell r="J44">
            <v>3993.081893</v>
          </cell>
          <cell r="K44">
            <v>4031.424649</v>
          </cell>
          <cell r="L44">
            <v>4075.0446350000002</v>
          </cell>
          <cell r="M44">
            <v>4117.6615359999996</v>
          </cell>
          <cell r="N44">
            <v>4161.3522050000001</v>
          </cell>
          <cell r="O44">
            <v>4205.9784099999997</v>
          </cell>
          <cell r="P44">
            <v>4251.3680400000003</v>
          </cell>
          <cell r="Q44">
            <v>4297.3851949999998</v>
          </cell>
          <cell r="R44">
            <v>4343.536298</v>
          </cell>
          <cell r="S44">
            <v>4390.1006719999996</v>
          </cell>
          <cell r="T44">
            <v>4437.0517730000001</v>
          </cell>
          <cell r="U44">
            <v>4484.3661810000003</v>
          </cell>
          <cell r="V44">
            <v>4529.7178130000002</v>
          </cell>
          <cell r="W44">
            <v>4577.0766249999997</v>
          </cell>
          <cell r="X44">
            <v>4624.9511050000001</v>
          </cell>
          <cell r="Y44">
            <v>4673.2826400000004</v>
          </cell>
          <cell r="Z44">
            <v>4722.073007</v>
          </cell>
          <cell r="AA44">
            <v>4764.7321529999999</v>
          </cell>
          <cell r="AB44">
            <v>4809.6294630000002</v>
          </cell>
          <cell r="AC44">
            <v>4854.5729140000003</v>
          </cell>
          <cell r="AD44">
            <v>4899.5885280000002</v>
          </cell>
          <cell r="AE44">
            <v>4944.7803880000001</v>
          </cell>
          <cell r="AF44">
            <v>4990.2513060000001</v>
          </cell>
          <cell r="AG44">
            <v>5036.1752939999997</v>
          </cell>
          <cell r="AH44">
            <v>5082.5416489999998</v>
          </cell>
          <cell r="AI44">
            <v>5129.3950340000001</v>
          </cell>
          <cell r="AJ44">
            <v>5176.7686839999997</v>
          </cell>
          <cell r="AK44">
            <v>5224.6850370000002</v>
          </cell>
          <cell r="AL44">
            <v>5272.3760160000002</v>
          </cell>
          <cell r="AM44">
            <v>5320.2736210000003</v>
          </cell>
          <cell r="AN44">
            <v>5368.4531440000001</v>
          </cell>
          <cell r="AO44">
            <v>5416.9666630000002</v>
          </cell>
          <cell r="AP44">
            <v>5465.8589060000004</v>
          </cell>
          <cell r="AQ44">
            <v>5515.29241</v>
          </cell>
          <cell r="AR44">
            <v>5565.1905360000001</v>
          </cell>
          <cell r="AS44">
            <v>5615.569587</v>
          </cell>
          <cell r="AT44">
            <v>5666.44182</v>
          </cell>
          <cell r="AU44">
            <v>5717.8128809999998</v>
          </cell>
          <cell r="AV44">
            <v>5770.2415389999996</v>
          </cell>
          <cell r="AW44">
            <v>5823.2627039999998</v>
          </cell>
          <cell r="AX44">
            <v>5876.8381259999996</v>
          </cell>
          <cell r="AY44">
            <v>5930.945213</v>
          </cell>
          <cell r="AZ44">
            <v>5985.5624539999999</v>
          </cell>
          <cell r="BA44">
            <v>7347.7758219999996</v>
          </cell>
          <cell r="BB44">
            <v>7449.9415129999998</v>
          </cell>
          <cell r="BC44">
            <v>7553.7110700000003</v>
          </cell>
          <cell r="BD44">
            <v>7659.1339539999999</v>
          </cell>
          <cell r="BE44">
            <v>7766.2621429999999</v>
          </cell>
        </row>
        <row r="45">
          <cell r="B45">
            <v>3931.2550940000001</v>
          </cell>
          <cell r="C45">
            <v>3952.9588469999999</v>
          </cell>
          <cell r="D45">
            <v>3972.5560839999998</v>
          </cell>
          <cell r="E45">
            <v>3997.35923</v>
          </cell>
          <cell r="F45">
            <v>4029.1252479999998</v>
          </cell>
          <cell r="G45">
            <v>4067.2748839999999</v>
          </cell>
          <cell r="H45">
            <v>4108.652752</v>
          </cell>
          <cell r="I45">
            <v>4153.5180499999997</v>
          </cell>
          <cell r="J45">
            <v>4201.0787790000004</v>
          </cell>
          <cell r="K45">
            <v>4250.7141609999999</v>
          </cell>
          <cell r="L45">
            <v>4305.4321900000004</v>
          </cell>
          <cell r="M45">
            <v>4358.9817460000004</v>
          </cell>
          <cell r="N45">
            <v>4413.3928089999999</v>
          </cell>
          <cell r="O45">
            <v>4468.5992759999999</v>
          </cell>
          <cell r="P45">
            <v>4524.494299</v>
          </cell>
          <cell r="Q45">
            <v>4580.9965670000001</v>
          </cell>
          <cell r="R45">
            <v>4638.0538539999998</v>
          </cell>
          <cell r="S45">
            <v>4695.6368380000004</v>
          </cell>
          <cell r="T45">
            <v>4753.7328420000003</v>
          </cell>
          <cell r="U45">
            <v>4812.3409869999996</v>
          </cell>
          <cell r="V45">
            <v>4868.9017000000003</v>
          </cell>
          <cell r="W45">
            <v>4927.8492630000001</v>
          </cell>
          <cell r="X45">
            <v>4987.5204569999996</v>
          </cell>
          <cell r="Y45">
            <v>5047.8637369999997</v>
          </cell>
          <cell r="Z45">
            <v>5108.8913819999998</v>
          </cell>
          <cell r="AA45">
            <v>5163.205723</v>
          </cell>
          <cell r="AB45">
            <v>5220.0871969999998</v>
          </cell>
          <cell r="AC45">
            <v>5277.184542</v>
          </cell>
          <cell r="AD45">
            <v>5334.527008</v>
          </cell>
          <cell r="AE45">
            <v>5392.2257810000001</v>
          </cell>
          <cell r="AF45">
            <v>5450.3910960000003</v>
          </cell>
          <cell r="AG45">
            <v>5509.1151229999996</v>
          </cell>
          <cell r="AH45">
            <v>5568.4697999999999</v>
          </cell>
          <cell r="AI45">
            <v>5628.5088560000004</v>
          </cell>
          <cell r="AJ45">
            <v>5689.2711170000002</v>
          </cell>
          <cell r="AK45">
            <v>5750.7840130000004</v>
          </cell>
          <cell r="AL45">
            <v>5811.2738650000001</v>
          </cell>
          <cell r="AM45">
            <v>5872.0428449999999</v>
          </cell>
          <cell r="AN45">
            <v>5933.2185790000003</v>
          </cell>
          <cell r="AO45">
            <v>5994.8757290000003</v>
          </cell>
          <cell r="AP45">
            <v>6057.0800929999996</v>
          </cell>
          <cell r="AQ45">
            <v>6119.8922810000004</v>
          </cell>
          <cell r="AR45">
            <v>6183.3656989999999</v>
          </cell>
          <cell r="AS45">
            <v>6247.5450790000004</v>
          </cell>
          <cell r="AT45">
            <v>6312.4662699999999</v>
          </cell>
          <cell r="AU45">
            <v>6378.1569170000002</v>
          </cell>
          <cell r="AV45">
            <v>6444.7992480000003</v>
          </cell>
          <cell r="AW45">
            <v>6512.2916660000001</v>
          </cell>
          <cell r="AX45">
            <v>6580.6355290000001</v>
          </cell>
          <cell r="AY45">
            <v>6649.8364949999996</v>
          </cell>
          <cell r="AZ45">
            <v>6719.8990460000005</v>
          </cell>
          <cell r="BA45">
            <v>7331.8069230000001</v>
          </cell>
          <cell r="BB45">
            <v>7432.871486</v>
          </cell>
          <cell r="BC45">
            <v>7535.4863310000001</v>
          </cell>
          <cell r="BD45">
            <v>7639.6964379999999</v>
          </cell>
          <cell r="BE45">
            <v>7745.5498040000002</v>
          </cell>
        </row>
        <row r="46">
          <cell r="B46">
            <v>390.3165707</v>
          </cell>
          <cell r="C46">
            <v>391.53361940000002</v>
          </cell>
          <cell r="D46">
            <v>393.64993820000001</v>
          </cell>
          <cell r="E46">
            <v>396.25389949999999</v>
          </cell>
          <cell r="F46">
            <v>399.33578519999998</v>
          </cell>
          <cell r="G46">
            <v>402.8638272</v>
          </cell>
          <cell r="H46">
            <v>406.569209</v>
          </cell>
          <cell r="I46">
            <v>410.57860219999998</v>
          </cell>
          <cell r="J46">
            <v>414.85207989999998</v>
          </cell>
          <cell r="K46">
            <v>419.33481490000003</v>
          </cell>
          <cell r="L46">
            <v>424.41920429999999</v>
          </cell>
          <cell r="M46">
            <v>429.28709259999999</v>
          </cell>
          <cell r="N46">
            <v>434.18020469999999</v>
          </cell>
          <cell r="O46">
            <v>439.11884379999998</v>
          </cell>
          <cell r="P46">
            <v>444.09887759999998</v>
          </cell>
          <cell r="Q46">
            <v>449.1139005</v>
          </cell>
          <cell r="R46">
            <v>454.11743990000002</v>
          </cell>
          <cell r="S46">
            <v>459.14419900000001</v>
          </cell>
          <cell r="T46">
            <v>464.19978980000002</v>
          </cell>
          <cell r="U46">
            <v>469.28825769999997</v>
          </cell>
          <cell r="V46">
            <v>474.09738499999997</v>
          </cell>
          <cell r="W46">
            <v>479.16511409999998</v>
          </cell>
          <cell r="X46">
            <v>484.3264964</v>
          </cell>
          <cell r="Y46">
            <v>489.56089589999999</v>
          </cell>
          <cell r="Z46">
            <v>494.86621789999998</v>
          </cell>
          <cell r="AA46">
            <v>499.34438110000002</v>
          </cell>
          <cell r="AB46">
            <v>504.10210910000001</v>
          </cell>
          <cell r="AC46">
            <v>508.92878869999998</v>
          </cell>
          <cell r="AD46">
            <v>513.81103770000004</v>
          </cell>
          <cell r="AE46">
            <v>518.75458939999999</v>
          </cell>
          <cell r="AF46">
            <v>523.76799779999999</v>
          </cell>
          <cell r="AG46">
            <v>528.8685481</v>
          </cell>
          <cell r="AH46">
            <v>534.05440229999999</v>
          </cell>
          <cell r="AI46">
            <v>539.32894150000004</v>
          </cell>
          <cell r="AJ46">
            <v>544.69476810000003</v>
          </cell>
          <cell r="AK46">
            <v>550.15342820000001</v>
          </cell>
          <cell r="AL46">
            <v>555.57909159999997</v>
          </cell>
          <cell r="AM46">
            <v>561.04378159999999</v>
          </cell>
          <cell r="AN46">
            <v>566.56788210000002</v>
          </cell>
          <cell r="AO46">
            <v>572.16073789999996</v>
          </cell>
          <cell r="AP46">
            <v>577.82783370000004</v>
          </cell>
          <cell r="AQ46">
            <v>583.58640490000005</v>
          </cell>
          <cell r="AR46">
            <v>589.42816059999996</v>
          </cell>
          <cell r="AS46">
            <v>595.35363129999996</v>
          </cell>
          <cell r="AT46">
            <v>601.36357740000005</v>
          </cell>
          <cell r="AU46">
            <v>607.45846959999994</v>
          </cell>
          <cell r="AV46">
            <v>613.7029718</v>
          </cell>
          <cell r="AW46">
            <v>620.04775519999998</v>
          </cell>
          <cell r="AX46">
            <v>626.48573620000002</v>
          </cell>
          <cell r="AY46">
            <v>633.01446499999997</v>
          </cell>
          <cell r="AZ46">
            <v>639.63251820000005</v>
          </cell>
          <cell r="BA46">
            <v>765.24011380000002</v>
          </cell>
          <cell r="BB46">
            <v>776.48617630000001</v>
          </cell>
          <cell r="BC46">
            <v>787.92153589999998</v>
          </cell>
          <cell r="BD46">
            <v>799.54989030000002</v>
          </cell>
          <cell r="BE46">
            <v>811.37528320000001</v>
          </cell>
        </row>
        <row r="47">
          <cell r="B47">
            <v>400.48580320000002</v>
          </cell>
          <cell r="C47">
            <v>404.4221</v>
          </cell>
          <cell r="D47">
            <v>408.36509849999999</v>
          </cell>
          <cell r="E47">
            <v>412.50125270000001</v>
          </cell>
          <cell r="F47">
            <v>416.89862299999999</v>
          </cell>
          <cell r="G47">
            <v>421.61832429999998</v>
          </cell>
          <cell r="H47">
            <v>426.39217689999998</v>
          </cell>
          <cell r="I47">
            <v>431.36491439999998</v>
          </cell>
          <cell r="J47">
            <v>436.52519790000002</v>
          </cell>
          <cell r="K47">
            <v>441.84206349999999</v>
          </cell>
          <cell r="L47">
            <v>447.7556108</v>
          </cell>
          <cell r="M47">
            <v>453.4564737</v>
          </cell>
          <cell r="N47">
            <v>459.18214210000002</v>
          </cell>
          <cell r="O47">
            <v>464.96029759999999</v>
          </cell>
          <cell r="P47">
            <v>470.79488909999998</v>
          </cell>
          <cell r="Q47">
            <v>476.68631540000001</v>
          </cell>
          <cell r="R47">
            <v>482.6355001</v>
          </cell>
          <cell r="S47">
            <v>488.64454169999999</v>
          </cell>
          <cell r="T47">
            <v>494.71658639999998</v>
          </cell>
          <cell r="U47">
            <v>500.85554330000002</v>
          </cell>
          <cell r="V47">
            <v>506.72246319999999</v>
          </cell>
          <cell r="W47">
            <v>512.89993200000004</v>
          </cell>
          <cell r="X47">
            <v>519.20570889999999</v>
          </cell>
          <cell r="Y47">
            <v>525.61696040000004</v>
          </cell>
          <cell r="Z47">
            <v>532.13055810000003</v>
          </cell>
          <cell r="AA47">
            <v>537.76204859999996</v>
          </cell>
          <cell r="AB47">
            <v>543.70575919999999</v>
          </cell>
          <cell r="AC47">
            <v>549.73920320000002</v>
          </cell>
          <cell r="AD47">
            <v>555.84857399999999</v>
          </cell>
          <cell r="AE47">
            <v>562.03923339999994</v>
          </cell>
          <cell r="AF47">
            <v>568.31952650000005</v>
          </cell>
          <cell r="AG47">
            <v>574.69701299999997</v>
          </cell>
          <cell r="AH47">
            <v>581.17756459999998</v>
          </cell>
          <cell r="AI47">
            <v>587.76532880000002</v>
          </cell>
          <cell r="AJ47">
            <v>594.46296859999995</v>
          </cell>
          <cell r="AK47">
            <v>601.27198539999995</v>
          </cell>
          <cell r="AL47">
            <v>607.9575294</v>
          </cell>
          <cell r="AM47">
            <v>614.67885049999995</v>
          </cell>
          <cell r="AN47">
            <v>621.46678629999997</v>
          </cell>
          <cell r="AO47">
            <v>628.33396579999999</v>
          </cell>
          <cell r="AP47">
            <v>635.28819220000003</v>
          </cell>
          <cell r="AQ47">
            <v>642.33533850000003</v>
          </cell>
          <cell r="AR47">
            <v>649.48002629999996</v>
          </cell>
          <cell r="AS47">
            <v>656.72581639999999</v>
          </cell>
          <cell r="AT47">
            <v>664.07523949999995</v>
          </cell>
          <cell r="AU47">
            <v>671.52960180000002</v>
          </cell>
          <cell r="AV47">
            <v>679.10886979999998</v>
          </cell>
          <cell r="AW47">
            <v>686.78680329999997</v>
          </cell>
          <cell r="AX47">
            <v>694.54541389999997</v>
          </cell>
          <cell r="AY47">
            <v>702.40611449999994</v>
          </cell>
          <cell r="AZ47">
            <v>710.3876659</v>
          </cell>
          <cell r="BA47">
            <v>768.46091969999998</v>
          </cell>
          <cell r="BB47">
            <v>779.74758099999997</v>
          </cell>
          <cell r="BC47">
            <v>791.22139240000001</v>
          </cell>
          <cell r="BD47">
            <v>802.88681480000002</v>
          </cell>
          <cell r="BE47">
            <v>814.74811299999999</v>
          </cell>
        </row>
        <row r="48">
          <cell r="B48">
            <v>547.94169399999998</v>
          </cell>
          <cell r="C48">
            <v>549.65023470000006</v>
          </cell>
          <cell r="D48">
            <v>552.62120600000003</v>
          </cell>
          <cell r="E48">
            <v>556.27674869999998</v>
          </cell>
          <cell r="F48">
            <v>560.60322069999995</v>
          </cell>
          <cell r="G48">
            <v>565.55602429999999</v>
          </cell>
          <cell r="H48">
            <v>570.75778439999999</v>
          </cell>
          <cell r="I48">
            <v>576.38632770000004</v>
          </cell>
          <cell r="J48">
            <v>582.38560310000003</v>
          </cell>
          <cell r="K48">
            <v>588.67864210000005</v>
          </cell>
          <cell r="L48">
            <v>595.81630710000002</v>
          </cell>
          <cell r="M48">
            <v>602.65003950000005</v>
          </cell>
          <cell r="N48">
            <v>609.519182</v>
          </cell>
          <cell r="O48">
            <v>616.45223699999997</v>
          </cell>
          <cell r="P48">
            <v>623.44340360000001</v>
          </cell>
          <cell r="Q48">
            <v>630.48368919999996</v>
          </cell>
          <cell r="R48">
            <v>637.50785389999999</v>
          </cell>
          <cell r="S48">
            <v>644.56461520000005</v>
          </cell>
          <cell r="T48">
            <v>651.66185159999998</v>
          </cell>
          <cell r="U48">
            <v>658.80524219999995</v>
          </cell>
          <cell r="V48">
            <v>665.55648359999998</v>
          </cell>
          <cell r="W48">
            <v>672.67076020000002</v>
          </cell>
          <cell r="X48">
            <v>679.91651090000005</v>
          </cell>
          <cell r="Y48">
            <v>687.26476600000001</v>
          </cell>
          <cell r="Z48">
            <v>694.71258490000002</v>
          </cell>
          <cell r="AA48">
            <v>700.99920569999995</v>
          </cell>
          <cell r="AB48">
            <v>707.67829080000001</v>
          </cell>
          <cell r="AC48">
            <v>714.45417269999996</v>
          </cell>
          <cell r="AD48">
            <v>721.30806519999999</v>
          </cell>
          <cell r="AE48">
            <v>728.24801660000003</v>
          </cell>
          <cell r="AF48">
            <v>735.2860359</v>
          </cell>
          <cell r="AG48">
            <v>742.4463882</v>
          </cell>
          <cell r="AH48">
            <v>749.72649339999998</v>
          </cell>
          <cell r="AI48">
            <v>757.1310982</v>
          </cell>
          <cell r="AJ48">
            <v>764.66385590000004</v>
          </cell>
          <cell r="AK48">
            <v>772.32693670000003</v>
          </cell>
          <cell r="AL48">
            <v>779.94369570000003</v>
          </cell>
          <cell r="AM48">
            <v>787.61524150000002</v>
          </cell>
          <cell r="AN48">
            <v>795.37019020000002</v>
          </cell>
          <cell r="AO48">
            <v>803.22166040000002</v>
          </cell>
          <cell r="AP48">
            <v>811.17735140000002</v>
          </cell>
          <cell r="AQ48">
            <v>819.26145940000004</v>
          </cell>
          <cell r="AR48">
            <v>827.46234489999995</v>
          </cell>
          <cell r="AS48">
            <v>835.78075279999996</v>
          </cell>
          <cell r="AT48">
            <v>844.21775060000004</v>
          </cell>
          <cell r="AU48">
            <v>852.77399909999997</v>
          </cell>
          <cell r="AV48">
            <v>861.54027580000002</v>
          </cell>
          <cell r="AW48">
            <v>870.44733140000005</v>
          </cell>
          <cell r="AX48">
            <v>879.4852214</v>
          </cell>
          <cell r="AY48">
            <v>888.65050659999997</v>
          </cell>
          <cell r="AZ48">
            <v>897.94118890000004</v>
          </cell>
          <cell r="BA48">
            <v>1074.2740530000001</v>
          </cell>
          <cell r="BB48">
            <v>1090.0617159999999</v>
          </cell>
          <cell r="BC48">
            <v>1106.1151219999999</v>
          </cell>
          <cell r="BD48">
            <v>1122.4394609999999</v>
          </cell>
          <cell r="BE48">
            <v>1139.0404109999999</v>
          </cell>
        </row>
        <row r="49">
          <cell r="B49">
            <v>562.21766100000002</v>
          </cell>
          <cell r="C49">
            <v>567.74358859999995</v>
          </cell>
          <cell r="D49">
            <v>573.27892450000002</v>
          </cell>
          <cell r="E49">
            <v>579.08541979999995</v>
          </cell>
          <cell r="F49">
            <v>585.25862040000004</v>
          </cell>
          <cell r="G49">
            <v>591.88432209999996</v>
          </cell>
          <cell r="H49">
            <v>598.58604349999996</v>
          </cell>
          <cell r="I49">
            <v>605.56696720000002</v>
          </cell>
          <cell r="J49">
            <v>612.81117529999995</v>
          </cell>
          <cell r="K49">
            <v>620.27519949999999</v>
          </cell>
          <cell r="L49">
            <v>628.57686890000002</v>
          </cell>
          <cell r="M49">
            <v>636.57996349999996</v>
          </cell>
          <cell r="N49">
            <v>644.61788120000006</v>
          </cell>
          <cell r="O49">
            <v>652.72948220000001</v>
          </cell>
          <cell r="P49">
            <v>660.92031039999995</v>
          </cell>
          <cell r="Q49">
            <v>669.19092550000005</v>
          </cell>
          <cell r="R49">
            <v>677.54262400000005</v>
          </cell>
          <cell r="S49">
            <v>685.97835210000005</v>
          </cell>
          <cell r="T49">
            <v>694.5025263</v>
          </cell>
          <cell r="U49">
            <v>703.12063460000002</v>
          </cell>
          <cell r="V49">
            <v>711.35684649999996</v>
          </cell>
          <cell r="W49">
            <v>720.02901929999996</v>
          </cell>
          <cell r="X49">
            <v>728.8813159</v>
          </cell>
          <cell r="Y49">
            <v>737.88168199999996</v>
          </cell>
          <cell r="Z49">
            <v>747.02572559999999</v>
          </cell>
          <cell r="AA49">
            <v>754.93143259999999</v>
          </cell>
          <cell r="AB49">
            <v>763.27544639999996</v>
          </cell>
          <cell r="AC49">
            <v>771.7454315</v>
          </cell>
          <cell r="AD49">
            <v>780.32200560000001</v>
          </cell>
          <cell r="AE49">
            <v>789.01269579999996</v>
          </cell>
          <cell r="AF49">
            <v>797.82921729999998</v>
          </cell>
          <cell r="AG49">
            <v>806.78218270000002</v>
          </cell>
          <cell r="AH49">
            <v>815.87983499999996</v>
          </cell>
          <cell r="AI49">
            <v>825.12799640000003</v>
          </cell>
          <cell r="AJ49">
            <v>834.53040559999999</v>
          </cell>
          <cell r="AK49">
            <v>844.08917010000005</v>
          </cell>
          <cell r="AL49">
            <v>853.47459879999997</v>
          </cell>
          <cell r="AM49">
            <v>862.91025260000004</v>
          </cell>
          <cell r="AN49">
            <v>872.43942279999999</v>
          </cell>
          <cell r="AO49">
            <v>882.07983839999997</v>
          </cell>
          <cell r="AP49">
            <v>891.84245390000001</v>
          </cell>
          <cell r="AQ49">
            <v>901.73551410000005</v>
          </cell>
          <cell r="AR49">
            <v>911.76550669999995</v>
          </cell>
          <cell r="AS49">
            <v>921.93743070000005</v>
          </cell>
          <cell r="AT49">
            <v>932.25483870000005</v>
          </cell>
          <cell r="AU49">
            <v>942.71956469999998</v>
          </cell>
          <cell r="AV49">
            <v>953.35963800000002</v>
          </cell>
          <cell r="AW49">
            <v>964.1382218</v>
          </cell>
          <cell r="AX49">
            <v>975.03006340000002</v>
          </cell>
          <cell r="AY49">
            <v>986.06522280000002</v>
          </cell>
          <cell r="AZ49">
            <v>997.27003730000001</v>
          </cell>
          <cell r="BA49">
            <v>1078.7955460000001</v>
          </cell>
          <cell r="BB49">
            <v>1094.640204</v>
          </cell>
          <cell r="BC49">
            <v>1110.7475899999999</v>
          </cell>
          <cell r="BD49">
            <v>1127.123967</v>
          </cell>
          <cell r="BE49">
            <v>1143.775322</v>
          </cell>
        </row>
        <row r="50">
          <cell r="B50">
            <v>45644.969109999998</v>
          </cell>
          <cell r="C50">
            <v>45741.635679999999</v>
          </cell>
          <cell r="D50">
            <v>45876.902020000001</v>
          </cell>
          <cell r="E50">
            <v>46061.608090000002</v>
          </cell>
          <cell r="F50">
            <v>46306.372770000002</v>
          </cell>
          <cell r="G50">
            <v>46606.811650000003</v>
          </cell>
          <cell r="H50">
            <v>46943.33195</v>
          </cell>
          <cell r="I50">
            <v>47318.278420000002</v>
          </cell>
          <cell r="J50">
            <v>47723.129300000001</v>
          </cell>
          <cell r="K50">
            <v>48148.631399999998</v>
          </cell>
          <cell r="L50">
            <v>48626.02607</v>
          </cell>
          <cell r="M50">
            <v>49084.193370000001</v>
          </cell>
          <cell r="N50">
            <v>49538.45276</v>
          </cell>
          <cell r="O50">
            <v>49990.300689999996</v>
          </cell>
          <cell r="P50">
            <v>50439.568270000003</v>
          </cell>
          <cell r="Q50">
            <v>50886.110760000003</v>
          </cell>
          <cell r="R50">
            <v>51326.987860000001</v>
          </cell>
          <cell r="S50">
            <v>51765.095000000001</v>
          </cell>
          <cell r="T50">
            <v>52201.680679999998</v>
          </cell>
          <cell r="U50">
            <v>52637.930160000004</v>
          </cell>
          <cell r="V50">
            <v>53046.808539999998</v>
          </cell>
          <cell r="W50">
            <v>53475.038619999999</v>
          </cell>
          <cell r="X50">
            <v>53911.651619999997</v>
          </cell>
          <cell r="Y50">
            <v>54355.350409999999</v>
          </cell>
          <cell r="Z50">
            <v>54806.464650000002</v>
          </cell>
          <cell r="AA50">
            <v>55185.369070000001</v>
          </cell>
          <cell r="AB50">
            <v>55584.910810000001</v>
          </cell>
          <cell r="AC50">
            <v>55992.631009999997</v>
          </cell>
          <cell r="AD50">
            <v>56408.23962</v>
          </cell>
          <cell r="AE50">
            <v>56832.940499999997</v>
          </cell>
          <cell r="AF50">
            <v>57267.99396</v>
          </cell>
          <cell r="AG50">
            <v>57715.127200000003</v>
          </cell>
          <cell r="AH50">
            <v>58174.557910000003</v>
          </cell>
          <cell r="AI50">
            <v>58646.651019999998</v>
          </cell>
          <cell r="AJ50">
            <v>59131.596700000002</v>
          </cell>
          <cell r="AK50">
            <v>59629.408029999999</v>
          </cell>
          <cell r="AL50">
            <v>60127.274369999999</v>
          </cell>
          <cell r="AM50">
            <v>60631.579689999999</v>
          </cell>
          <cell r="AN50">
            <v>61144.389750000002</v>
          </cell>
          <cell r="AO50">
            <v>61666.637119999999</v>
          </cell>
          <cell r="AP50">
            <v>62198.854939999997</v>
          </cell>
          <cell r="AQ50">
            <v>62742.380640000003</v>
          </cell>
          <cell r="AR50">
            <v>63296.736819999998</v>
          </cell>
          <cell r="AS50">
            <v>63861.963150000003</v>
          </cell>
          <cell r="AT50">
            <v>64438.085379999997</v>
          </cell>
          <cell r="AU50">
            <v>65025.11795</v>
          </cell>
          <cell r="AV50">
            <v>65628.074919999999</v>
          </cell>
          <cell r="AW50">
            <v>66243.522020000004</v>
          </cell>
          <cell r="AX50">
            <v>66870.740869999994</v>
          </cell>
          <cell r="AY50">
            <v>67509.445869999996</v>
          </cell>
          <cell r="AZ50">
            <v>68159.499920000002</v>
          </cell>
          <cell r="BA50">
            <v>75081.2601</v>
          </cell>
          <cell r="BB50">
            <v>76031.318859999999</v>
          </cell>
          <cell r="BC50">
            <v>76999.102410000007</v>
          </cell>
          <cell r="BD50">
            <v>77984.709340000001</v>
          </cell>
          <cell r="BE50">
            <v>78988.25331</v>
          </cell>
        </row>
        <row r="51">
          <cell r="B51">
            <v>46370.097629999997</v>
          </cell>
          <cell r="C51">
            <v>46710.399790000003</v>
          </cell>
          <cell r="D51">
            <v>46998.392260000001</v>
          </cell>
          <cell r="E51">
            <v>47291.161010000003</v>
          </cell>
          <cell r="F51">
            <v>47608.212160000003</v>
          </cell>
          <cell r="G51">
            <v>47964.58023</v>
          </cell>
          <cell r="H51">
            <v>48338.274149999997</v>
          </cell>
          <cell r="I51">
            <v>48736.867660000004</v>
          </cell>
          <cell r="J51">
            <v>49155.812720000002</v>
          </cell>
          <cell r="K51">
            <v>49589.341630000003</v>
          </cell>
          <cell r="L51">
            <v>50073.668319999997</v>
          </cell>
          <cell r="M51">
            <v>50540.592989999997</v>
          </cell>
          <cell r="N51">
            <v>51005.948859999997</v>
          </cell>
          <cell r="O51">
            <v>51472.319340000002</v>
          </cell>
          <cell r="P51">
            <v>51940.37902</v>
          </cell>
          <cell r="Q51">
            <v>52410.553</v>
          </cell>
          <cell r="R51">
            <v>52883.374430000003</v>
          </cell>
          <cell r="S51">
            <v>53359.530440000002</v>
          </cell>
          <cell r="T51">
            <v>53839.832750000001</v>
          </cell>
          <cell r="U51">
            <v>54325.172189999997</v>
          </cell>
          <cell r="V51">
            <v>54786.82647</v>
          </cell>
          <cell r="W51">
            <v>55273.348209999996</v>
          </cell>
          <cell r="X51">
            <v>55772.673779999997</v>
          </cell>
          <cell r="Y51">
            <v>56283.054239999998</v>
          </cell>
          <cell r="Z51">
            <v>56804.434910000004</v>
          </cell>
          <cell r="AA51">
            <v>57252.313280000002</v>
          </cell>
          <cell r="AB51">
            <v>57723.05154</v>
          </cell>
          <cell r="AC51">
            <v>58203.72148</v>
          </cell>
          <cell r="AD51">
            <v>58693.803370000001</v>
          </cell>
          <cell r="AE51">
            <v>59194.327259999998</v>
          </cell>
          <cell r="AF51">
            <v>59706.422310000002</v>
          </cell>
          <cell r="AG51">
            <v>60230.977709999999</v>
          </cell>
          <cell r="AH51">
            <v>60768.58554</v>
          </cell>
          <cell r="AI51">
            <v>61319.564680000003</v>
          </cell>
          <cell r="AJ51">
            <v>61884.01107</v>
          </cell>
          <cell r="AK51">
            <v>62461.854749999999</v>
          </cell>
          <cell r="AL51">
            <v>63032.733630000002</v>
          </cell>
          <cell r="AM51">
            <v>63608.438589999998</v>
          </cell>
          <cell r="AN51">
            <v>64191.971810000003</v>
          </cell>
          <cell r="AO51">
            <v>64784.64544</v>
          </cell>
          <cell r="AP51">
            <v>65387.265610000002</v>
          </cell>
          <cell r="AQ51">
            <v>66000.412179999999</v>
          </cell>
          <cell r="AR51">
            <v>66624.505780000007</v>
          </cell>
          <cell r="AS51">
            <v>67259.832859999995</v>
          </cell>
          <cell r="AT51">
            <v>67906.523159999997</v>
          </cell>
          <cell r="AU51">
            <v>68564.442750000002</v>
          </cell>
          <cell r="AV51">
            <v>69234.439780000001</v>
          </cell>
          <cell r="AW51">
            <v>69914.839179999995</v>
          </cell>
          <cell r="AX51">
            <v>70604.517850000004</v>
          </cell>
          <cell r="AY51">
            <v>71305.005680000002</v>
          </cell>
          <cell r="AZ51">
            <v>72017.717139999993</v>
          </cell>
          <cell r="BA51">
            <v>76493.494720000002</v>
          </cell>
          <cell r="BB51">
            <v>77489.911290000004</v>
          </cell>
          <cell r="BC51">
            <v>78504.211280000003</v>
          </cell>
          <cell r="BD51">
            <v>79536.728640000001</v>
          </cell>
          <cell r="BE51">
            <v>80587.747329999998</v>
          </cell>
        </row>
        <row r="52">
          <cell r="B52">
            <v>909.69782559999999</v>
          </cell>
          <cell r="C52">
            <v>911.62437669999997</v>
          </cell>
          <cell r="D52">
            <v>914.32021589999999</v>
          </cell>
          <cell r="E52">
            <v>918.00138200000004</v>
          </cell>
          <cell r="F52">
            <v>922.87950760000001</v>
          </cell>
          <cell r="G52">
            <v>928.86721230000001</v>
          </cell>
          <cell r="H52">
            <v>935.57401449999998</v>
          </cell>
          <cell r="I52">
            <v>943.04664509999998</v>
          </cell>
          <cell r="J52">
            <v>951.1152664</v>
          </cell>
          <cell r="K52">
            <v>959.59546360000002</v>
          </cell>
          <cell r="L52">
            <v>969.10987220000004</v>
          </cell>
          <cell r="M52">
            <v>978.24108220000005</v>
          </cell>
          <cell r="N52">
            <v>987.29440799999998</v>
          </cell>
          <cell r="O52">
            <v>996.29967380000005</v>
          </cell>
          <cell r="P52">
            <v>1005.253514</v>
          </cell>
          <cell r="Q52">
            <v>1014.153043</v>
          </cell>
          <cell r="R52">
            <v>1022.939661</v>
          </cell>
          <cell r="S52">
            <v>1031.671075</v>
          </cell>
          <cell r="T52">
            <v>1040.372167</v>
          </cell>
          <cell r="U52">
            <v>1049.0665570000001</v>
          </cell>
          <cell r="V52">
            <v>1057.2154459999999</v>
          </cell>
          <cell r="W52">
            <v>1065.750012</v>
          </cell>
          <cell r="X52">
            <v>1074.4516470000001</v>
          </cell>
          <cell r="Y52">
            <v>1083.294502</v>
          </cell>
          <cell r="Z52">
            <v>1092.2851450000001</v>
          </cell>
          <cell r="AA52">
            <v>1099.8366570000001</v>
          </cell>
          <cell r="AB52">
            <v>1107.7994679999999</v>
          </cell>
          <cell r="AC52">
            <v>1115.9252739999999</v>
          </cell>
          <cell r="AD52">
            <v>1124.208296</v>
          </cell>
          <cell r="AE52">
            <v>1132.6725240000001</v>
          </cell>
          <cell r="AF52">
            <v>1141.343079</v>
          </cell>
          <cell r="AG52">
            <v>1150.254381</v>
          </cell>
          <cell r="AH52">
            <v>1159.4107710000001</v>
          </cell>
          <cell r="AI52">
            <v>1168.81952</v>
          </cell>
          <cell r="AJ52">
            <v>1178.48442</v>
          </cell>
          <cell r="AK52">
            <v>1188.4057299999999</v>
          </cell>
          <cell r="AL52">
            <v>1198.3281360000001</v>
          </cell>
          <cell r="AM52">
            <v>1208.37887</v>
          </cell>
          <cell r="AN52">
            <v>1218.599103</v>
          </cell>
          <cell r="AO52">
            <v>1229.007419</v>
          </cell>
          <cell r="AP52">
            <v>1239.614446</v>
          </cell>
          <cell r="AQ52">
            <v>1250.446837</v>
          </cell>
          <cell r="AR52">
            <v>1261.4950779999999</v>
          </cell>
          <cell r="AS52">
            <v>1272.759959</v>
          </cell>
          <cell r="AT52">
            <v>1284.241994</v>
          </cell>
          <cell r="AU52">
            <v>1295.9414710000001</v>
          </cell>
          <cell r="AV52">
            <v>1307.9583190000001</v>
          </cell>
          <cell r="AW52">
            <v>1320.224093</v>
          </cell>
          <cell r="AX52">
            <v>1332.7244760000001</v>
          </cell>
          <cell r="AY52">
            <v>1345.4537769999999</v>
          </cell>
          <cell r="AZ52">
            <v>1358.409263</v>
          </cell>
          <cell r="BA52">
            <v>1496.358972</v>
          </cell>
          <cell r="BB52">
            <v>1515.29351</v>
          </cell>
          <cell r="BC52">
            <v>1534.5813000000001</v>
          </cell>
          <cell r="BD52">
            <v>1554.2243080000001</v>
          </cell>
          <cell r="BE52">
            <v>1574.224798</v>
          </cell>
        </row>
        <row r="53">
          <cell r="B53">
            <v>924.14953509999998</v>
          </cell>
          <cell r="C53">
            <v>930.93170929999997</v>
          </cell>
          <cell r="D53">
            <v>936.67135889999997</v>
          </cell>
          <cell r="E53">
            <v>942.50619900000004</v>
          </cell>
          <cell r="F53">
            <v>948.82498390000001</v>
          </cell>
          <cell r="G53">
            <v>955.92734949999999</v>
          </cell>
          <cell r="H53">
            <v>963.37501669999995</v>
          </cell>
          <cell r="I53">
            <v>971.31892949999997</v>
          </cell>
          <cell r="J53">
            <v>979.66844579999997</v>
          </cell>
          <cell r="K53">
            <v>988.30861600000003</v>
          </cell>
          <cell r="L53">
            <v>997.96117890000005</v>
          </cell>
          <cell r="M53">
            <v>1007.266922</v>
          </cell>
          <cell r="N53">
            <v>1016.541399</v>
          </cell>
          <cell r="O53">
            <v>1025.8360970000001</v>
          </cell>
          <cell r="P53">
            <v>1035.1644610000001</v>
          </cell>
          <cell r="Q53">
            <v>1044.5349630000001</v>
          </cell>
          <cell r="R53">
            <v>1053.9582270000001</v>
          </cell>
          <cell r="S53">
            <v>1063.44795</v>
          </cell>
          <cell r="T53">
            <v>1073.020307</v>
          </cell>
          <cell r="U53">
            <v>1082.6930540000001</v>
          </cell>
          <cell r="V53">
            <v>1091.893759</v>
          </cell>
          <cell r="W53">
            <v>1101.5900690000001</v>
          </cell>
          <cell r="X53">
            <v>1111.5415579999999</v>
          </cell>
          <cell r="Y53">
            <v>1121.7133690000001</v>
          </cell>
          <cell r="Z53">
            <v>1132.1044119999999</v>
          </cell>
          <cell r="AA53">
            <v>1141.030565</v>
          </cell>
          <cell r="AB53">
            <v>1150.412313</v>
          </cell>
          <cell r="AC53">
            <v>1159.9919970000001</v>
          </cell>
          <cell r="AD53">
            <v>1169.75926</v>
          </cell>
          <cell r="AE53">
            <v>1179.734631</v>
          </cell>
          <cell r="AF53">
            <v>1189.940613</v>
          </cell>
          <cell r="AG53">
            <v>1200.394929</v>
          </cell>
          <cell r="AH53">
            <v>1211.1093780000001</v>
          </cell>
          <cell r="AI53">
            <v>1222.090314</v>
          </cell>
          <cell r="AJ53">
            <v>1233.3396519999999</v>
          </cell>
          <cell r="AK53">
            <v>1244.8559949999999</v>
          </cell>
          <cell r="AL53">
            <v>1256.2335310000001</v>
          </cell>
          <cell r="AM53">
            <v>1267.7072499999999</v>
          </cell>
          <cell r="AN53">
            <v>1279.3369849999999</v>
          </cell>
          <cell r="AO53">
            <v>1291.1488870000001</v>
          </cell>
          <cell r="AP53">
            <v>1303.1590229999999</v>
          </cell>
          <cell r="AQ53">
            <v>1315.378948</v>
          </cell>
          <cell r="AR53">
            <v>1327.8170459999999</v>
          </cell>
          <cell r="AS53">
            <v>1340.4790250000001</v>
          </cell>
          <cell r="AT53">
            <v>1353.3674719999999</v>
          </cell>
          <cell r="AU53">
            <v>1366.4797169999999</v>
          </cell>
          <cell r="AV53">
            <v>1379.832664</v>
          </cell>
          <cell r="AW53">
            <v>1393.392928</v>
          </cell>
          <cell r="AX53">
            <v>1407.1381280000001</v>
          </cell>
          <cell r="AY53">
            <v>1421.0987520000001</v>
          </cell>
          <cell r="AZ53">
            <v>1435.302991</v>
          </cell>
          <cell r="BA53">
            <v>1524.50461</v>
          </cell>
          <cell r="BB53">
            <v>1544.3630519999999</v>
          </cell>
          <cell r="BC53">
            <v>1564.577908</v>
          </cell>
          <cell r="BD53">
            <v>1585.1558339999999</v>
          </cell>
          <cell r="BE53">
            <v>1606.1024890000001</v>
          </cell>
        </row>
        <row r="54">
          <cell r="B54">
            <v>1321.9437579999999</v>
          </cell>
          <cell r="C54">
            <v>1324.743361</v>
          </cell>
          <cell r="D54">
            <v>1328.6608679999999</v>
          </cell>
          <cell r="E54">
            <v>1334.0102199999999</v>
          </cell>
          <cell r="F54">
            <v>1341.0989569999999</v>
          </cell>
          <cell r="G54">
            <v>1349.8000970000001</v>
          </cell>
          <cell r="H54">
            <v>1359.546208</v>
          </cell>
          <cell r="I54">
            <v>1370.405195</v>
          </cell>
          <cell r="J54">
            <v>1382.130257</v>
          </cell>
          <cell r="K54">
            <v>1394.4534080000001</v>
          </cell>
          <cell r="L54">
            <v>1408.279442</v>
          </cell>
          <cell r="M54">
            <v>1421.548624</v>
          </cell>
          <cell r="N54">
            <v>1434.704628</v>
          </cell>
          <cell r="O54">
            <v>1447.790792</v>
          </cell>
          <cell r="P54">
            <v>1460.8022249999999</v>
          </cell>
          <cell r="Q54">
            <v>1473.7347360000001</v>
          </cell>
          <cell r="R54">
            <v>1486.5031690000001</v>
          </cell>
          <cell r="S54">
            <v>1499.19138</v>
          </cell>
          <cell r="T54">
            <v>1511.835527</v>
          </cell>
          <cell r="U54">
            <v>1524.469938</v>
          </cell>
          <cell r="V54">
            <v>1536.3116419999999</v>
          </cell>
          <cell r="W54">
            <v>1548.7137990000001</v>
          </cell>
          <cell r="X54">
            <v>1561.3587379999999</v>
          </cell>
          <cell r="Y54">
            <v>1574.208891</v>
          </cell>
          <cell r="Z54">
            <v>1587.2738059999999</v>
          </cell>
          <cell r="AA54">
            <v>1598.247421</v>
          </cell>
          <cell r="AB54">
            <v>1609.8187230000001</v>
          </cell>
          <cell r="AC54">
            <v>1621.6268849999999</v>
          </cell>
          <cell r="AD54">
            <v>1633.6635060000001</v>
          </cell>
          <cell r="AE54">
            <v>1645.963452</v>
          </cell>
          <cell r="AF54">
            <v>1658.5632250000001</v>
          </cell>
          <cell r="AG54">
            <v>1671.5128440000001</v>
          </cell>
          <cell r="AH54">
            <v>1684.8186169999999</v>
          </cell>
          <cell r="AI54">
            <v>1698.4911099999999</v>
          </cell>
          <cell r="AJ54">
            <v>1712.535832</v>
          </cell>
          <cell r="AK54">
            <v>1726.953162</v>
          </cell>
          <cell r="AL54">
            <v>1741.372085</v>
          </cell>
          <cell r="AM54">
            <v>1755.97749</v>
          </cell>
          <cell r="AN54">
            <v>1770.829205</v>
          </cell>
          <cell r="AO54">
            <v>1785.954238</v>
          </cell>
          <cell r="AP54">
            <v>1801.368029</v>
          </cell>
          <cell r="AQ54">
            <v>1817.1093129999999</v>
          </cell>
          <cell r="AR54">
            <v>1833.1642629999999</v>
          </cell>
          <cell r="AS54">
            <v>1849.534028</v>
          </cell>
          <cell r="AT54">
            <v>1866.2193540000001</v>
          </cell>
          <cell r="AU54">
            <v>1883.2206590000001</v>
          </cell>
          <cell r="AV54">
            <v>1900.6831569999999</v>
          </cell>
          <cell r="AW54">
            <v>1918.507388</v>
          </cell>
          <cell r="AX54">
            <v>1936.6725449999999</v>
          </cell>
          <cell r="AY54">
            <v>1955.1703580000001</v>
          </cell>
          <cell r="AZ54">
            <v>1973.9968550000001</v>
          </cell>
          <cell r="BA54">
            <v>2174.460955</v>
          </cell>
          <cell r="BB54">
            <v>2201.9760190000002</v>
          </cell>
          <cell r="BC54">
            <v>2230.0044189999999</v>
          </cell>
          <cell r="BD54">
            <v>2258.5490089999998</v>
          </cell>
          <cell r="BE54">
            <v>2287.613081</v>
          </cell>
        </row>
        <row r="55">
          <cell r="B55">
            <v>1342.94452</v>
          </cell>
          <cell r="C55">
            <v>1352.800158</v>
          </cell>
          <cell r="D55">
            <v>1361.1408329999999</v>
          </cell>
          <cell r="E55">
            <v>1369.6198360000001</v>
          </cell>
          <cell r="F55">
            <v>1378.8020919999999</v>
          </cell>
          <cell r="G55">
            <v>1389.123022</v>
          </cell>
          <cell r="H55">
            <v>1399.9457339999999</v>
          </cell>
          <cell r="I55">
            <v>1411.4895739999999</v>
          </cell>
          <cell r="J55">
            <v>1423.622824</v>
          </cell>
          <cell r="K55">
            <v>1436.1784419999999</v>
          </cell>
          <cell r="L55">
            <v>1450.205238</v>
          </cell>
          <cell r="M55">
            <v>1463.7280459999999</v>
          </cell>
          <cell r="N55">
            <v>1477.2054189999999</v>
          </cell>
          <cell r="O55">
            <v>1490.7121770000001</v>
          </cell>
          <cell r="P55">
            <v>1504.2678559999999</v>
          </cell>
          <cell r="Q55">
            <v>1517.884769</v>
          </cell>
          <cell r="R55">
            <v>1531.578356</v>
          </cell>
          <cell r="S55">
            <v>1545.368516</v>
          </cell>
          <cell r="T55">
            <v>1559.2787599999999</v>
          </cell>
          <cell r="U55">
            <v>1573.3348860000001</v>
          </cell>
          <cell r="V55">
            <v>1586.705056</v>
          </cell>
          <cell r="W55">
            <v>1600.795423</v>
          </cell>
          <cell r="X55">
            <v>1615.2566079999999</v>
          </cell>
          <cell r="Y55">
            <v>1630.0379579999999</v>
          </cell>
          <cell r="Z55">
            <v>1645.13789</v>
          </cell>
          <cell r="AA55">
            <v>1658.1090899999999</v>
          </cell>
          <cell r="AB55">
            <v>1671.7423449999999</v>
          </cell>
          <cell r="AC55">
            <v>1685.663235</v>
          </cell>
          <cell r="AD55">
            <v>1699.85671</v>
          </cell>
          <cell r="AE55">
            <v>1714.3525990000001</v>
          </cell>
          <cell r="AF55">
            <v>1729.1836060000001</v>
          </cell>
          <cell r="AG55">
            <v>1744.375483</v>
          </cell>
          <cell r="AH55">
            <v>1759.945377</v>
          </cell>
          <cell r="AI55">
            <v>1775.9025220000001</v>
          </cell>
          <cell r="AJ55">
            <v>1792.249699</v>
          </cell>
          <cell r="AK55">
            <v>1808.9848810000001</v>
          </cell>
          <cell r="AL55">
            <v>1825.518352</v>
          </cell>
          <cell r="AM55">
            <v>1842.191593</v>
          </cell>
          <cell r="AN55">
            <v>1859.0915520000001</v>
          </cell>
          <cell r="AO55">
            <v>1876.25623</v>
          </cell>
          <cell r="AP55">
            <v>1893.7089739999999</v>
          </cell>
          <cell r="AQ55">
            <v>1911.466578</v>
          </cell>
          <cell r="AR55">
            <v>1929.5412240000001</v>
          </cell>
          <cell r="AS55">
            <v>1947.9412070000001</v>
          </cell>
          <cell r="AT55">
            <v>1966.6702849999999</v>
          </cell>
          <cell r="AU55">
            <v>1985.7245800000001</v>
          </cell>
          <cell r="AV55">
            <v>2005.128655</v>
          </cell>
          <cell r="AW55">
            <v>2024.833997</v>
          </cell>
          <cell r="AX55">
            <v>2044.80808</v>
          </cell>
          <cell r="AY55">
            <v>2065.0952120000002</v>
          </cell>
          <cell r="AZ55">
            <v>2085.7363580000001</v>
          </cell>
          <cell r="BA55">
            <v>2215.3612950000002</v>
          </cell>
          <cell r="BB55">
            <v>2244.2189480000002</v>
          </cell>
          <cell r="BC55">
            <v>2273.5945299999998</v>
          </cell>
          <cell r="BD55">
            <v>2303.4977130000002</v>
          </cell>
          <cell r="BE55">
            <v>2333.9367219999999</v>
          </cell>
        </row>
        <row r="56">
          <cell r="B56">
            <v>1200.993393</v>
          </cell>
          <cell r="C56">
            <v>1203.536848</v>
          </cell>
          <cell r="D56">
            <v>1207.0959250000001</v>
          </cell>
          <cell r="E56">
            <v>1211.9558420000001</v>
          </cell>
          <cell r="F56">
            <v>1218.3959990000001</v>
          </cell>
          <cell r="G56">
            <v>1226.301035</v>
          </cell>
          <cell r="H56">
            <v>1235.1554309999999</v>
          </cell>
          <cell r="I56">
            <v>1245.0208829999999</v>
          </cell>
          <cell r="J56">
            <v>1255.673168</v>
          </cell>
          <cell r="K56">
            <v>1266.868821</v>
          </cell>
          <cell r="L56">
            <v>1279.4298510000001</v>
          </cell>
          <cell r="M56">
            <v>1291.484978</v>
          </cell>
          <cell r="N56">
            <v>1303.4372820000001</v>
          </cell>
          <cell r="O56">
            <v>1315.3261359999999</v>
          </cell>
          <cell r="P56">
            <v>1327.147097</v>
          </cell>
          <cell r="Q56">
            <v>1338.896356</v>
          </cell>
          <cell r="R56">
            <v>1350.4965500000001</v>
          </cell>
          <cell r="S56">
            <v>1362.0238609999999</v>
          </cell>
          <cell r="T56">
            <v>1373.511141</v>
          </cell>
          <cell r="U56">
            <v>1384.9895739999999</v>
          </cell>
          <cell r="V56">
            <v>1395.74783</v>
          </cell>
          <cell r="W56">
            <v>1407.0152599999999</v>
          </cell>
          <cell r="X56">
            <v>1418.503258</v>
          </cell>
          <cell r="Y56">
            <v>1430.1776950000001</v>
          </cell>
          <cell r="Z56">
            <v>1442.047245</v>
          </cell>
          <cell r="AA56">
            <v>1452.016836</v>
          </cell>
          <cell r="AB56">
            <v>1462.52943</v>
          </cell>
          <cell r="AC56">
            <v>1473.2572110000001</v>
          </cell>
          <cell r="AD56">
            <v>1484.19255</v>
          </cell>
          <cell r="AE56">
            <v>1495.367121</v>
          </cell>
          <cell r="AF56">
            <v>1506.814085</v>
          </cell>
          <cell r="AG56">
            <v>1518.578888</v>
          </cell>
          <cell r="AH56">
            <v>1530.6672579999999</v>
          </cell>
          <cell r="AI56">
            <v>1543.0887949999999</v>
          </cell>
          <cell r="AJ56">
            <v>1555.8485049999999</v>
          </cell>
          <cell r="AK56">
            <v>1568.946731</v>
          </cell>
          <cell r="AL56">
            <v>1582.0464039999999</v>
          </cell>
          <cell r="AM56">
            <v>1595.3154979999999</v>
          </cell>
          <cell r="AN56">
            <v>1608.8083650000001</v>
          </cell>
          <cell r="AO56">
            <v>1622.5495430000001</v>
          </cell>
          <cell r="AP56">
            <v>1636.5530590000001</v>
          </cell>
          <cell r="AQ56">
            <v>1650.8541049999999</v>
          </cell>
          <cell r="AR56">
            <v>1665.440118</v>
          </cell>
          <cell r="AS56">
            <v>1680.312142</v>
          </cell>
          <cell r="AT56">
            <v>1695.470855</v>
          </cell>
          <cell r="AU56">
            <v>1710.916637</v>
          </cell>
          <cell r="AV56">
            <v>1726.781416</v>
          </cell>
          <cell r="AW56">
            <v>1742.9748300000001</v>
          </cell>
          <cell r="AX56">
            <v>1759.4779779999999</v>
          </cell>
          <cell r="AY56">
            <v>1776.2833459999999</v>
          </cell>
          <cell r="AZ56">
            <v>1793.3873249999999</v>
          </cell>
          <cell r="BA56">
            <v>1975.510096</v>
          </cell>
          <cell r="BB56">
            <v>2000.5076879999999</v>
          </cell>
          <cell r="BC56">
            <v>2025.9716470000001</v>
          </cell>
          <cell r="BD56">
            <v>2051.9045689999998</v>
          </cell>
          <cell r="BE56">
            <v>2078.309444</v>
          </cell>
        </row>
        <row r="57">
          <cell r="B57">
            <v>1220.0727039999999</v>
          </cell>
          <cell r="C57">
            <v>1229.026607</v>
          </cell>
          <cell r="D57">
            <v>1236.6041580000001</v>
          </cell>
          <cell r="E57">
            <v>1244.30738</v>
          </cell>
          <cell r="F57">
            <v>1252.649512</v>
          </cell>
          <cell r="G57">
            <v>1262.0261350000001</v>
          </cell>
          <cell r="H57">
            <v>1271.8586299999999</v>
          </cell>
          <cell r="I57">
            <v>1282.346274</v>
          </cell>
          <cell r="J57">
            <v>1293.3694</v>
          </cell>
          <cell r="K57">
            <v>1304.776251</v>
          </cell>
          <cell r="L57">
            <v>1317.5196739999999</v>
          </cell>
          <cell r="M57">
            <v>1329.805222</v>
          </cell>
          <cell r="N57">
            <v>1342.049491</v>
          </cell>
          <cell r="O57">
            <v>1354.320457</v>
          </cell>
          <cell r="P57">
            <v>1366.635869</v>
          </cell>
          <cell r="Q57">
            <v>1379.0069120000001</v>
          </cell>
          <cell r="R57">
            <v>1391.4476119999999</v>
          </cell>
          <cell r="S57">
            <v>1403.976052</v>
          </cell>
          <cell r="T57">
            <v>1416.6135870000001</v>
          </cell>
          <cell r="U57">
            <v>1429.3836570000001</v>
          </cell>
          <cell r="V57">
            <v>1441.530532</v>
          </cell>
          <cell r="W57">
            <v>1454.331711</v>
          </cell>
          <cell r="X57">
            <v>1467.469779</v>
          </cell>
          <cell r="Y57">
            <v>1480.898719</v>
          </cell>
          <cell r="Z57">
            <v>1494.6170930000001</v>
          </cell>
          <cell r="AA57">
            <v>1506.4015010000001</v>
          </cell>
          <cell r="AB57">
            <v>1518.7873910000001</v>
          </cell>
          <cell r="AC57">
            <v>1531.4345989999999</v>
          </cell>
          <cell r="AD57">
            <v>1544.32945</v>
          </cell>
          <cell r="AE57">
            <v>1557.4990479999999</v>
          </cell>
          <cell r="AF57">
            <v>1570.9731019999999</v>
          </cell>
          <cell r="AG57">
            <v>1584.7750080000001</v>
          </cell>
          <cell r="AH57">
            <v>1598.920345</v>
          </cell>
          <cell r="AI57">
            <v>1613.417502</v>
          </cell>
          <cell r="AJ57">
            <v>1628.2690050000001</v>
          </cell>
          <cell r="AK57">
            <v>1643.4730119999999</v>
          </cell>
          <cell r="AL57">
            <v>1658.4937640000001</v>
          </cell>
          <cell r="AM57">
            <v>1673.641498</v>
          </cell>
          <cell r="AN57">
            <v>1688.9952069999999</v>
          </cell>
          <cell r="AO57">
            <v>1704.589414</v>
          </cell>
          <cell r="AP57">
            <v>1720.4453309999999</v>
          </cell>
          <cell r="AQ57">
            <v>1736.578215</v>
          </cell>
          <cell r="AR57">
            <v>1752.999133</v>
          </cell>
          <cell r="AS57">
            <v>1769.7156210000001</v>
          </cell>
          <cell r="AT57">
            <v>1786.7310950000001</v>
          </cell>
          <cell r="AU57">
            <v>1804.0420300000001</v>
          </cell>
          <cell r="AV57">
            <v>1821.670742</v>
          </cell>
          <cell r="AW57">
            <v>1839.573157</v>
          </cell>
          <cell r="AX57">
            <v>1857.7197249999999</v>
          </cell>
          <cell r="AY57">
            <v>1876.150699</v>
          </cell>
          <cell r="AZ57">
            <v>1894.9032970000001</v>
          </cell>
          <cell r="BA57">
            <v>2012.6682860000001</v>
          </cell>
          <cell r="BB57">
            <v>2038.8856270000001</v>
          </cell>
          <cell r="BC57">
            <v>2065.5735100000002</v>
          </cell>
          <cell r="BD57">
            <v>2092.740722</v>
          </cell>
          <cell r="BE57">
            <v>2120.3947330000001</v>
          </cell>
        </row>
        <row r="58">
          <cell r="B58">
            <v>2363.5340489999999</v>
          </cell>
          <cell r="C58">
            <v>2368.53586</v>
          </cell>
          <cell r="D58">
            <v>2375.5400509999999</v>
          </cell>
          <cell r="E58">
            <v>2385.1042689999999</v>
          </cell>
          <cell r="F58">
            <v>2397.7783650000001</v>
          </cell>
          <cell r="G58">
            <v>2413.3353139999999</v>
          </cell>
          <cell r="H58">
            <v>2430.7605840000001</v>
          </cell>
          <cell r="I58">
            <v>2450.1755910000002</v>
          </cell>
          <cell r="J58">
            <v>2471.1390710000001</v>
          </cell>
          <cell r="K58">
            <v>2493.1718850000002</v>
          </cell>
          <cell r="L58">
            <v>2517.891736</v>
          </cell>
          <cell r="M58">
            <v>2541.6159790000002</v>
          </cell>
          <cell r="N58">
            <v>2565.1378669999999</v>
          </cell>
          <cell r="O58">
            <v>2588.5348880000001</v>
          </cell>
          <cell r="P58">
            <v>2611.7982969999998</v>
          </cell>
          <cell r="Q58">
            <v>2634.920599</v>
          </cell>
          <cell r="R58">
            <v>2657.749542</v>
          </cell>
          <cell r="S58">
            <v>2680.4350559999998</v>
          </cell>
          <cell r="T58">
            <v>2703.0417859999998</v>
          </cell>
          <cell r="U58">
            <v>2725.631108</v>
          </cell>
          <cell r="V58">
            <v>2746.8031339999998</v>
          </cell>
          <cell r="W58">
            <v>2768.977206</v>
          </cell>
          <cell r="X58">
            <v>2791.5853520000001</v>
          </cell>
          <cell r="Y58">
            <v>2814.5604039999998</v>
          </cell>
          <cell r="Z58">
            <v>2837.9194349999998</v>
          </cell>
          <cell r="AA58">
            <v>2857.5393869999998</v>
          </cell>
          <cell r="AB58">
            <v>2878.2279549999998</v>
          </cell>
          <cell r="AC58">
            <v>2899.340009</v>
          </cell>
          <cell r="AD58">
            <v>2920.8605320000001</v>
          </cell>
          <cell r="AE58">
            <v>2942.8518589999999</v>
          </cell>
          <cell r="AF58">
            <v>2965.37925</v>
          </cell>
          <cell r="AG58">
            <v>2988.5321410000001</v>
          </cell>
          <cell r="AH58">
            <v>3012.321805</v>
          </cell>
          <cell r="AI58">
            <v>3036.7671359999999</v>
          </cell>
          <cell r="AJ58">
            <v>3061.8779840000002</v>
          </cell>
          <cell r="AK58">
            <v>3087.6550240000001</v>
          </cell>
          <cell r="AL58">
            <v>3113.4349130000001</v>
          </cell>
          <cell r="AM58">
            <v>3139.5482160000001</v>
          </cell>
          <cell r="AN58">
            <v>3166.1019019999999</v>
          </cell>
          <cell r="AO58">
            <v>3193.1442590000001</v>
          </cell>
          <cell r="AP58">
            <v>3220.7028930000001</v>
          </cell>
          <cell r="AQ58">
            <v>3248.8470569999999</v>
          </cell>
          <cell r="AR58">
            <v>3277.5520320000001</v>
          </cell>
          <cell r="AS58">
            <v>3306.8198710000001</v>
          </cell>
          <cell r="AT58">
            <v>3336.6519079999998</v>
          </cell>
          <cell r="AU58">
            <v>3367.04889</v>
          </cell>
          <cell r="AV58">
            <v>3398.27045</v>
          </cell>
          <cell r="AW58">
            <v>3430.1387570000002</v>
          </cell>
          <cell r="AX58">
            <v>3462.6166149999999</v>
          </cell>
          <cell r="AY58">
            <v>3495.6892339999999</v>
          </cell>
          <cell r="AZ58">
            <v>3529.3495160000002</v>
          </cell>
          <cell r="BA58">
            <v>3887.7633970000002</v>
          </cell>
          <cell r="BB58">
            <v>3936.9581450000001</v>
          </cell>
          <cell r="BC58">
            <v>3987.0706960000002</v>
          </cell>
          <cell r="BD58">
            <v>4038.1061549999999</v>
          </cell>
          <cell r="BE58">
            <v>4090.0704070000002</v>
          </cell>
        </row>
        <row r="59">
          <cell r="B59">
            <v>2401.0817999999999</v>
          </cell>
          <cell r="C59">
            <v>2418.6991840000001</v>
          </cell>
          <cell r="D59">
            <v>2433.6116480000001</v>
          </cell>
          <cell r="E59">
            <v>2448.771432</v>
          </cell>
          <cell r="F59">
            <v>2465.188576</v>
          </cell>
          <cell r="G59">
            <v>2483.6415790000001</v>
          </cell>
          <cell r="H59">
            <v>2502.9917270000001</v>
          </cell>
          <cell r="I59">
            <v>2523.6311949999999</v>
          </cell>
          <cell r="J59">
            <v>2545.324482</v>
          </cell>
          <cell r="K59">
            <v>2567.772931</v>
          </cell>
          <cell r="L59">
            <v>2592.8517259999999</v>
          </cell>
          <cell r="M59">
            <v>2617.0294330000002</v>
          </cell>
          <cell r="N59">
            <v>2641.1259049999999</v>
          </cell>
          <cell r="O59">
            <v>2665.2749140000001</v>
          </cell>
          <cell r="P59">
            <v>2689.5113919999999</v>
          </cell>
          <cell r="Q59">
            <v>2713.8573500000002</v>
          </cell>
          <cell r="R59">
            <v>2738.3403950000002</v>
          </cell>
          <cell r="S59">
            <v>2762.9961069999999</v>
          </cell>
          <cell r="T59">
            <v>2787.8665169999999</v>
          </cell>
          <cell r="U59">
            <v>2812.997754</v>
          </cell>
          <cell r="V59">
            <v>2836.9025550000001</v>
          </cell>
          <cell r="W59">
            <v>2862.0950120000002</v>
          </cell>
          <cell r="X59">
            <v>2887.9504609999999</v>
          </cell>
          <cell r="Y59">
            <v>2914.3783400000002</v>
          </cell>
          <cell r="Z59">
            <v>2941.375818</v>
          </cell>
          <cell r="AA59">
            <v>2964.5672930000001</v>
          </cell>
          <cell r="AB59">
            <v>2988.9424690000001</v>
          </cell>
          <cell r="AC59">
            <v>3013.8319160000001</v>
          </cell>
          <cell r="AD59">
            <v>3039.2087200000001</v>
          </cell>
          <cell r="AE59">
            <v>3065.1262190000002</v>
          </cell>
          <cell r="AF59">
            <v>3091.6428799999999</v>
          </cell>
          <cell r="AG59">
            <v>3118.804748</v>
          </cell>
          <cell r="AH59">
            <v>3146.6424809999999</v>
          </cell>
          <cell r="AI59">
            <v>3175.1725900000001</v>
          </cell>
          <cell r="AJ59">
            <v>3204.4000430000001</v>
          </cell>
          <cell r="AK59">
            <v>3234.321218</v>
          </cell>
          <cell r="AL59">
            <v>3263.88175</v>
          </cell>
          <cell r="AM59">
            <v>3293.6921809999999</v>
          </cell>
          <cell r="AN59">
            <v>3323.907964</v>
          </cell>
          <cell r="AO59">
            <v>3354.597045</v>
          </cell>
          <cell r="AP59">
            <v>3385.8011649999999</v>
          </cell>
          <cell r="AQ59">
            <v>3417.5503490000001</v>
          </cell>
          <cell r="AR59">
            <v>3449.8663790000001</v>
          </cell>
          <cell r="AS59">
            <v>3482.764087</v>
          </cell>
          <cell r="AT59">
            <v>3516.2501910000001</v>
          </cell>
          <cell r="AU59">
            <v>3550.3177559999999</v>
          </cell>
          <cell r="AV59">
            <v>3585.0106999999998</v>
          </cell>
          <cell r="AW59">
            <v>3620.2422860000001</v>
          </cell>
          <cell r="AX59">
            <v>3655.9543600000002</v>
          </cell>
          <cell r="AY59">
            <v>3692.2261400000002</v>
          </cell>
          <cell r="AZ59">
            <v>3729.1308680000002</v>
          </cell>
          <cell r="BA59">
            <v>3960.8899540000002</v>
          </cell>
          <cell r="BB59">
            <v>4012.4851440000002</v>
          </cell>
          <cell r="BC59">
            <v>4065.006351</v>
          </cell>
          <cell r="BD59">
            <v>4118.470867</v>
          </cell>
          <cell r="BE59">
            <v>4172.8933950000001</v>
          </cell>
        </row>
        <row r="60">
          <cell r="B60">
            <v>859.23489889999996</v>
          </cell>
          <cell r="C60">
            <v>861.05457999999999</v>
          </cell>
          <cell r="D60">
            <v>863.60087510000005</v>
          </cell>
          <cell r="E60">
            <v>867.07783889999996</v>
          </cell>
          <cell r="F60">
            <v>871.68536429999995</v>
          </cell>
          <cell r="G60">
            <v>877.34091790000002</v>
          </cell>
          <cell r="H60">
            <v>883.67567910000002</v>
          </cell>
          <cell r="I60">
            <v>890.73378660000003</v>
          </cell>
          <cell r="J60">
            <v>898.35482379999996</v>
          </cell>
          <cell r="K60">
            <v>906.36460590000002</v>
          </cell>
          <cell r="L60">
            <v>915.35122939999997</v>
          </cell>
          <cell r="M60">
            <v>923.97591130000001</v>
          </cell>
          <cell r="N60">
            <v>932.52702929999998</v>
          </cell>
          <cell r="O60">
            <v>941.03275329999997</v>
          </cell>
          <cell r="P60">
            <v>949.48990409999999</v>
          </cell>
          <cell r="Q60">
            <v>957.89575690000004</v>
          </cell>
          <cell r="R60">
            <v>966.19496260000005</v>
          </cell>
          <cell r="S60">
            <v>974.44202580000001</v>
          </cell>
          <cell r="T60">
            <v>982.6604486</v>
          </cell>
          <cell r="U60">
            <v>990.87254250000001</v>
          </cell>
          <cell r="V60">
            <v>998.56939460000001</v>
          </cell>
          <cell r="W60">
            <v>1006.630529</v>
          </cell>
          <cell r="X60">
            <v>1014.849466</v>
          </cell>
          <cell r="Y60">
            <v>1023.201788</v>
          </cell>
          <cell r="Z60">
            <v>1031.6937009999999</v>
          </cell>
          <cell r="AA60">
            <v>1038.8263139999999</v>
          </cell>
          <cell r="AB60">
            <v>1046.3474100000001</v>
          </cell>
          <cell r="AC60">
            <v>1054.0224599999999</v>
          </cell>
          <cell r="AD60">
            <v>1061.846004</v>
          </cell>
          <cell r="AE60">
            <v>1069.840704</v>
          </cell>
          <cell r="AF60">
            <v>1078.0302839999999</v>
          </cell>
          <cell r="AG60">
            <v>1086.447257</v>
          </cell>
          <cell r="AH60">
            <v>1095.095722</v>
          </cell>
          <cell r="AI60">
            <v>1103.9825470000001</v>
          </cell>
          <cell r="AJ60">
            <v>1113.1113130000001</v>
          </cell>
          <cell r="AK60">
            <v>1122.482266</v>
          </cell>
          <cell r="AL60">
            <v>1131.854255</v>
          </cell>
          <cell r="AM60">
            <v>1141.3474530000001</v>
          </cell>
          <cell r="AN60">
            <v>1151.000747</v>
          </cell>
          <cell r="AO60">
            <v>1160.831692</v>
          </cell>
          <cell r="AP60">
            <v>1170.8503229999999</v>
          </cell>
          <cell r="AQ60">
            <v>1181.0818180000001</v>
          </cell>
          <cell r="AR60">
            <v>1191.5171889999999</v>
          </cell>
          <cell r="AS60">
            <v>1202.1571819999999</v>
          </cell>
          <cell r="AT60">
            <v>1213.0022839999999</v>
          </cell>
          <cell r="AU60">
            <v>1224.0527649999999</v>
          </cell>
          <cell r="AV60">
            <v>1235.403012</v>
          </cell>
          <cell r="AW60">
            <v>1246.9883769999999</v>
          </cell>
          <cell r="AX60">
            <v>1258.795337</v>
          </cell>
          <cell r="AY60">
            <v>1270.818516</v>
          </cell>
          <cell r="AZ60">
            <v>1283.055333</v>
          </cell>
          <cell r="BA60">
            <v>1413.3526690000001</v>
          </cell>
          <cell r="BB60">
            <v>1431.2368670000001</v>
          </cell>
          <cell r="BC60">
            <v>1449.4547210000001</v>
          </cell>
          <cell r="BD60">
            <v>1468.008088</v>
          </cell>
          <cell r="BE60">
            <v>1486.8991080000001</v>
          </cell>
        </row>
        <row r="61">
          <cell r="B61">
            <v>872.88494060000005</v>
          </cell>
          <cell r="C61">
            <v>879.29089269999997</v>
          </cell>
          <cell r="D61">
            <v>884.71215140000004</v>
          </cell>
          <cell r="E61">
            <v>890.22332010000002</v>
          </cell>
          <cell r="F61">
            <v>896.19158830000003</v>
          </cell>
          <cell r="G61">
            <v>902.89997010000002</v>
          </cell>
          <cell r="H61">
            <v>909.93449899999996</v>
          </cell>
          <cell r="I61">
            <v>917.43774550000001</v>
          </cell>
          <cell r="J61">
            <v>925.32409589999997</v>
          </cell>
          <cell r="K61">
            <v>933.48497699999996</v>
          </cell>
          <cell r="L61">
            <v>942.60209120000002</v>
          </cell>
          <cell r="M61">
            <v>951.39162450000003</v>
          </cell>
          <cell r="N61">
            <v>960.15162599999996</v>
          </cell>
          <cell r="O61">
            <v>968.93072689999997</v>
          </cell>
          <cell r="P61">
            <v>977.74162590000003</v>
          </cell>
          <cell r="Q61">
            <v>986.5923252</v>
          </cell>
          <cell r="R61">
            <v>995.49286080000002</v>
          </cell>
          <cell r="S61">
            <v>1004.456168</v>
          </cell>
          <cell r="T61">
            <v>1013.497526</v>
          </cell>
          <cell r="U61">
            <v>1022.633704</v>
          </cell>
          <cell r="V61">
            <v>1031.324026</v>
          </cell>
          <cell r="W61">
            <v>1040.4824599999999</v>
          </cell>
          <cell r="X61">
            <v>1049.881918</v>
          </cell>
          <cell r="Y61">
            <v>1059.489476</v>
          </cell>
          <cell r="Z61">
            <v>1069.304106</v>
          </cell>
          <cell r="AA61">
            <v>1077.7351060000001</v>
          </cell>
          <cell r="AB61">
            <v>1086.5964269999999</v>
          </cell>
          <cell r="AC61">
            <v>1095.644706</v>
          </cell>
          <cell r="AD61">
            <v>1104.8701570000001</v>
          </cell>
          <cell r="AE61">
            <v>1114.292173</v>
          </cell>
          <cell r="AF61">
            <v>1123.9320070000001</v>
          </cell>
          <cell r="AG61">
            <v>1133.8063990000001</v>
          </cell>
          <cell r="AH61">
            <v>1143.9264929999999</v>
          </cell>
          <cell r="AI61">
            <v>1154.2982939999999</v>
          </cell>
          <cell r="AJ61">
            <v>1164.9236060000001</v>
          </cell>
          <cell r="AK61">
            <v>1175.8011120000001</v>
          </cell>
          <cell r="AL61">
            <v>1186.547511</v>
          </cell>
          <cell r="AM61">
            <v>1197.3847579999999</v>
          </cell>
          <cell r="AN61">
            <v>1208.369367</v>
          </cell>
          <cell r="AO61">
            <v>1219.5260370000001</v>
          </cell>
          <cell r="AP61">
            <v>1230.869944</v>
          </cell>
          <cell r="AQ61">
            <v>1242.4120029999999</v>
          </cell>
          <cell r="AR61">
            <v>1254.160132</v>
          </cell>
          <cell r="AS61">
            <v>1266.1197239999999</v>
          </cell>
          <cell r="AT61">
            <v>1278.29322</v>
          </cell>
          <cell r="AU61">
            <v>1290.678101</v>
          </cell>
          <cell r="AV61">
            <v>1303.29033</v>
          </cell>
          <cell r="AW61">
            <v>1316.098377</v>
          </cell>
          <cell r="AX61">
            <v>1329.0811000000001</v>
          </cell>
          <cell r="AY61">
            <v>1342.267298</v>
          </cell>
          <cell r="AZ61">
            <v>1355.683597</v>
          </cell>
          <cell r="BA61">
            <v>1439.937007</v>
          </cell>
          <cell r="BB61">
            <v>1458.6938580000001</v>
          </cell>
          <cell r="BC61">
            <v>1477.7873520000001</v>
          </cell>
          <cell r="BD61">
            <v>1497.223776</v>
          </cell>
          <cell r="BE61">
            <v>1517.008474</v>
          </cell>
        </row>
        <row r="62">
          <cell r="B62">
            <v>6614.5202429999999</v>
          </cell>
          <cell r="C62">
            <v>6628.5284240000001</v>
          </cell>
          <cell r="D62">
            <v>6648.1301890000004</v>
          </cell>
          <cell r="E62">
            <v>6674.8963819999999</v>
          </cell>
          <cell r="F62">
            <v>6710.3658089999999</v>
          </cell>
          <cell r="G62">
            <v>6753.9031169999998</v>
          </cell>
          <cell r="H62">
            <v>6802.6690669999998</v>
          </cell>
          <cell r="I62">
            <v>6857.0034459999997</v>
          </cell>
          <cell r="J62">
            <v>6915.671343</v>
          </cell>
          <cell r="K62">
            <v>6977.3318570000001</v>
          </cell>
          <cell r="L62">
            <v>7046.5122449999999</v>
          </cell>
          <cell r="M62">
            <v>7112.9063509999996</v>
          </cell>
          <cell r="N62">
            <v>7178.7341509999997</v>
          </cell>
          <cell r="O62">
            <v>7244.212501</v>
          </cell>
          <cell r="P62">
            <v>7309.3169269999999</v>
          </cell>
          <cell r="Q62">
            <v>7374.0264539999998</v>
          </cell>
          <cell r="R62">
            <v>7437.9149950000001</v>
          </cell>
          <cell r="S62">
            <v>7501.4021350000003</v>
          </cell>
          <cell r="T62">
            <v>7564.6687970000003</v>
          </cell>
          <cell r="U62">
            <v>7627.8867389999996</v>
          </cell>
          <cell r="V62">
            <v>7687.1382709999998</v>
          </cell>
          <cell r="W62">
            <v>7749.1941029999998</v>
          </cell>
          <cell r="X62">
            <v>7812.4647240000004</v>
          </cell>
          <cell r="Y62">
            <v>7876.7621630000003</v>
          </cell>
          <cell r="Z62">
            <v>7942.1341920000004</v>
          </cell>
          <cell r="AA62">
            <v>7997.0421269999997</v>
          </cell>
          <cell r="AB62">
            <v>8054.9406639999997</v>
          </cell>
          <cell r="AC62">
            <v>8114.0243600000003</v>
          </cell>
          <cell r="AD62">
            <v>8174.2511850000001</v>
          </cell>
          <cell r="AE62">
            <v>8235.7955920000004</v>
          </cell>
          <cell r="AF62">
            <v>8298.8402170000008</v>
          </cell>
          <cell r="AG62">
            <v>8363.6353490000001</v>
          </cell>
          <cell r="AH62">
            <v>8430.2125390000001</v>
          </cell>
          <cell r="AI62">
            <v>8498.6246659999997</v>
          </cell>
          <cell r="AJ62">
            <v>8568.8992899999994</v>
          </cell>
          <cell r="AK62">
            <v>8641.038305</v>
          </cell>
          <cell r="AL62">
            <v>8713.1852920000001</v>
          </cell>
          <cell r="AM62">
            <v>8786.2653649999993</v>
          </cell>
          <cell r="AN62">
            <v>8860.5778819999996</v>
          </cell>
          <cell r="AO62">
            <v>8936.2579819999992</v>
          </cell>
          <cell r="AP62">
            <v>9013.3829229999992</v>
          </cell>
          <cell r="AQ62">
            <v>9092.1465160000007</v>
          </cell>
          <cell r="AR62">
            <v>9172.4795790000007</v>
          </cell>
          <cell r="AS62">
            <v>9254.3878600000007</v>
          </cell>
          <cell r="AT62">
            <v>9337.8750930000006</v>
          </cell>
          <cell r="AU62">
            <v>9422.9433680000002</v>
          </cell>
          <cell r="AV62">
            <v>9510.3192870000003</v>
          </cell>
          <cell r="AW62">
            <v>9599.5051789999998</v>
          </cell>
          <cell r="AX62">
            <v>9690.3969429999997</v>
          </cell>
          <cell r="AY62">
            <v>9782.9531929999994</v>
          </cell>
          <cell r="AZ62">
            <v>9877.1540600000008</v>
          </cell>
          <cell r="BA62">
            <v>10880.202670000001</v>
          </cell>
          <cell r="BB62">
            <v>11017.877930000001</v>
          </cell>
          <cell r="BC62">
            <v>11158.121730000001</v>
          </cell>
          <cell r="BD62">
            <v>11300.94836</v>
          </cell>
          <cell r="BE62">
            <v>11446.37428</v>
          </cell>
        </row>
        <row r="63">
          <cell r="B63">
            <v>6719.6003289999999</v>
          </cell>
          <cell r="C63">
            <v>6768.9143180000001</v>
          </cell>
          <cell r="D63">
            <v>6810.6479870000003</v>
          </cell>
          <cell r="E63">
            <v>6853.0737980000004</v>
          </cell>
          <cell r="F63">
            <v>6899.0184289999997</v>
          </cell>
          <cell r="G63">
            <v>6950.6605669999999</v>
          </cell>
          <cell r="H63">
            <v>7004.813435</v>
          </cell>
          <cell r="I63">
            <v>7062.5745619999998</v>
          </cell>
          <cell r="J63">
            <v>7123.2848800000002</v>
          </cell>
          <cell r="K63">
            <v>7186.1085780000003</v>
          </cell>
          <cell r="L63">
            <v>7256.2935020000004</v>
          </cell>
          <cell r="M63">
            <v>7323.9566590000004</v>
          </cell>
          <cell r="N63">
            <v>7391.392476</v>
          </cell>
          <cell r="O63">
            <v>7458.9753229999997</v>
          </cell>
          <cell r="P63">
            <v>7526.8029560000004</v>
          </cell>
          <cell r="Q63">
            <v>7594.9369790000001</v>
          </cell>
          <cell r="R63">
            <v>7663.4546479999999</v>
          </cell>
          <cell r="S63">
            <v>7732.4555399999999</v>
          </cell>
          <cell r="T63">
            <v>7802.0572819999998</v>
          </cell>
          <cell r="U63">
            <v>7872.3889660000004</v>
          </cell>
          <cell r="V63">
            <v>7939.2883769999999</v>
          </cell>
          <cell r="W63">
            <v>8009.7913909999997</v>
          </cell>
          <cell r="X63">
            <v>8082.1498389999997</v>
          </cell>
          <cell r="Y63">
            <v>8156.1102769999998</v>
          </cell>
          <cell r="Z63">
            <v>8231.6647799999992</v>
          </cell>
          <cell r="AA63">
            <v>8296.5678919999991</v>
          </cell>
          <cell r="AB63">
            <v>8364.7836850000003</v>
          </cell>
          <cell r="AC63">
            <v>8434.4387009999991</v>
          </cell>
          <cell r="AD63">
            <v>8505.4576249999991</v>
          </cell>
          <cell r="AE63">
            <v>8577.9897230000006</v>
          </cell>
          <cell r="AF63">
            <v>8652.1986250000009</v>
          </cell>
          <cell r="AG63">
            <v>8728.2131869999994</v>
          </cell>
          <cell r="AH63">
            <v>8806.1192080000001</v>
          </cell>
          <cell r="AI63">
            <v>8885.9628950000006</v>
          </cell>
          <cell r="AJ63">
            <v>8967.7581539999992</v>
          </cell>
          <cell r="AK63">
            <v>9051.4948459999996</v>
          </cell>
          <cell r="AL63">
            <v>9134.2222529999999</v>
          </cell>
          <cell r="AM63">
            <v>9217.6490180000001</v>
          </cell>
          <cell r="AN63">
            <v>9302.2101949999997</v>
          </cell>
          <cell r="AO63">
            <v>9388.0959289999992</v>
          </cell>
          <cell r="AP63">
            <v>9475.423041</v>
          </cell>
          <cell r="AQ63">
            <v>9564.2755579999994</v>
          </cell>
          <cell r="AR63">
            <v>9654.7144360000002</v>
          </cell>
          <cell r="AS63">
            <v>9746.7811820000006</v>
          </cell>
          <cell r="AT63">
            <v>9840.4946</v>
          </cell>
          <cell r="AU63">
            <v>9935.835282</v>
          </cell>
          <cell r="AV63">
            <v>10032.92613</v>
          </cell>
          <cell r="AW63">
            <v>10131.52442</v>
          </cell>
          <cell r="AX63">
            <v>10231.46738</v>
          </cell>
          <cell r="AY63">
            <v>10332.97673</v>
          </cell>
          <cell r="AZ63">
            <v>10436.25743</v>
          </cell>
          <cell r="BA63">
            <v>11084.852919999999</v>
          </cell>
          <cell r="BB63">
            <v>11229.245999999999</v>
          </cell>
          <cell r="BC63">
            <v>11376.230610000001</v>
          </cell>
          <cell r="BD63">
            <v>11525.85514</v>
          </cell>
          <cell r="BE63">
            <v>11678.160739999999</v>
          </cell>
        </row>
        <row r="64">
          <cell r="B64">
            <v>7837.186694</v>
          </cell>
          <cell r="C64">
            <v>7884.9939940000004</v>
          </cell>
          <cell r="D64">
            <v>7942.2281759999996</v>
          </cell>
          <cell r="E64">
            <v>8006.5966189999999</v>
          </cell>
          <cell r="F64">
            <v>8078.4709400000002</v>
          </cell>
          <cell r="G64">
            <v>8157.8972240000003</v>
          </cell>
          <cell r="H64">
            <v>8235.2533970000004</v>
          </cell>
          <cell r="I64">
            <v>8310.8779959999993</v>
          </cell>
          <cell r="J64">
            <v>8385.9296730000005</v>
          </cell>
          <cell r="K64">
            <v>8461.2027130000006</v>
          </cell>
          <cell r="L64">
            <v>8547.1104180000002</v>
          </cell>
          <cell r="M64">
            <v>8627.2732369999994</v>
          </cell>
          <cell r="N64">
            <v>8705.6367730000002</v>
          </cell>
          <cell r="O64">
            <v>8783.3797680000007</v>
          </cell>
          <cell r="P64">
            <v>8860.9063370000003</v>
          </cell>
          <cell r="Q64">
            <v>8938.3522329999996</v>
          </cell>
          <cell r="R64">
            <v>9015.4246750000002</v>
          </cell>
          <cell r="S64">
            <v>9092.3895080000002</v>
          </cell>
          <cell r="T64">
            <v>9169.3447620000006</v>
          </cell>
          <cell r="U64">
            <v>9246.3845939999992</v>
          </cell>
          <cell r="V64">
            <v>9316.6402730000009</v>
          </cell>
          <cell r="W64">
            <v>9391.3757600000008</v>
          </cell>
          <cell r="X64">
            <v>9468.0629809999991</v>
          </cell>
          <cell r="Y64">
            <v>9545.9647399999994</v>
          </cell>
          <cell r="Z64">
            <v>9624.8507179999997</v>
          </cell>
          <cell r="AA64">
            <v>9685.2562280000002</v>
          </cell>
          <cell r="AB64">
            <v>9749.2272329999996</v>
          </cell>
          <cell r="AC64">
            <v>9814.7406350000001</v>
          </cell>
          <cell r="AD64">
            <v>9881.4393500000006</v>
          </cell>
          <cell r="AE64">
            <v>9949.2728289999995</v>
          </cell>
          <cell r="AF64">
            <v>10018.27484</v>
          </cell>
          <cell r="AG64">
            <v>10088.57827</v>
          </cell>
          <cell r="AH64">
            <v>10160.18499</v>
          </cell>
          <cell r="AI64">
            <v>10233.123610000001</v>
          </cell>
          <cell r="AJ64">
            <v>10307.411459999999</v>
          </cell>
          <cell r="AK64">
            <v>10383.05128</v>
          </cell>
          <cell r="AL64">
            <v>10456.33776</v>
          </cell>
          <cell r="AM64">
            <v>10529.367260000001</v>
          </cell>
          <cell r="AN64">
            <v>10602.949360000001</v>
          </cell>
          <cell r="AO64">
            <v>10677.42707</v>
          </cell>
          <cell r="AP64">
            <v>10752.95181</v>
          </cell>
          <cell r="AQ64">
            <v>10829.697039999999</v>
          </cell>
          <cell r="AR64">
            <v>10907.623449999999</v>
          </cell>
          <cell r="AS64">
            <v>10986.73834</v>
          </cell>
          <cell r="AT64">
            <v>11067.03342</v>
          </cell>
          <cell r="AU64">
            <v>11148.504849999999</v>
          </cell>
          <cell r="AV64">
            <v>11231.86974</v>
          </cell>
          <cell r="AW64">
            <v>11316.6597</v>
          </cell>
          <cell r="AX64">
            <v>11402.748320000001</v>
          </cell>
          <cell r="AY64">
            <v>11490.082759999999</v>
          </cell>
          <cell r="AZ64">
            <v>11578.63769</v>
          </cell>
          <cell r="BA64">
            <v>12248.41584</v>
          </cell>
          <cell r="BB64">
            <v>12371.03154</v>
          </cell>
          <cell r="BC64">
            <v>12495.64899</v>
          </cell>
          <cell r="BD64">
            <v>12622.26433</v>
          </cell>
          <cell r="BE64">
            <v>12750.89213</v>
          </cell>
        </row>
        <row r="65">
          <cell r="B65">
            <v>7913.6607000000004</v>
          </cell>
          <cell r="C65">
            <v>7990.3891389999999</v>
          </cell>
          <cell r="D65">
            <v>8067.9693960000004</v>
          </cell>
          <cell r="E65">
            <v>8149.2163469999996</v>
          </cell>
          <cell r="F65">
            <v>8235.4516710000007</v>
          </cell>
          <cell r="G65">
            <v>8319.7968509999992</v>
          </cell>
          <cell r="H65">
            <v>8396.1485859999993</v>
          </cell>
          <cell r="I65">
            <v>8469.5898209999996</v>
          </cell>
          <cell r="J65">
            <v>8542.4910880000007</v>
          </cell>
          <cell r="K65">
            <v>8615.8541519999999</v>
          </cell>
          <cell r="L65">
            <v>8700.3022120000005</v>
          </cell>
          <cell r="M65">
            <v>8779.4541179999997</v>
          </cell>
          <cell r="N65">
            <v>8857.1352819999993</v>
          </cell>
          <cell r="O65">
            <v>8934.5390979999993</v>
          </cell>
          <cell r="P65">
            <v>9012.1157889999995</v>
          </cell>
          <cell r="Q65">
            <v>9090.0522469999996</v>
          </cell>
          <cell r="R65">
            <v>9168.4450290000004</v>
          </cell>
          <cell r="S65">
            <v>9247.3663820000002</v>
          </cell>
          <cell r="T65">
            <v>9326.8880279999994</v>
          </cell>
          <cell r="U65">
            <v>9407.0874480000002</v>
          </cell>
          <cell r="V65">
            <v>9480.9157429999996</v>
          </cell>
          <cell r="W65">
            <v>9559.8613019999993</v>
          </cell>
          <cell r="X65">
            <v>9641.2851609999998</v>
          </cell>
          <cell r="Y65">
            <v>9724.4047289999999</v>
          </cell>
          <cell r="Z65">
            <v>9808.9500160000007</v>
          </cell>
          <cell r="AA65">
            <v>9874.904751</v>
          </cell>
          <cell r="AB65">
            <v>9944.7328390000002</v>
          </cell>
          <cell r="AC65">
            <v>10016.369619999999</v>
          </cell>
          <cell r="AD65">
            <v>10089.441349999999</v>
          </cell>
          <cell r="AE65">
            <v>10163.884</v>
          </cell>
          <cell r="AF65">
            <v>10239.73157</v>
          </cell>
          <cell r="AG65">
            <v>10317.03629</v>
          </cell>
          <cell r="AH65">
            <v>10395.84123</v>
          </cell>
          <cell r="AI65">
            <v>10476.1723</v>
          </cell>
          <cell r="AJ65">
            <v>10558.03888</v>
          </cell>
          <cell r="AK65">
            <v>10641.43778</v>
          </cell>
          <cell r="AL65">
            <v>10721.86471</v>
          </cell>
          <cell r="AM65">
            <v>10801.983490000001</v>
          </cell>
          <cell r="AN65">
            <v>10882.727870000001</v>
          </cell>
          <cell r="AO65">
            <v>10964.51354</v>
          </cell>
          <cell r="AP65">
            <v>11047.562620000001</v>
          </cell>
          <cell r="AQ65">
            <v>11132.02247</v>
          </cell>
          <cell r="AR65">
            <v>11218.016379999999</v>
          </cell>
          <cell r="AS65">
            <v>11305.673989999999</v>
          </cell>
          <cell r="AT65">
            <v>11395.16331</v>
          </cell>
          <cell r="AU65">
            <v>11486.760270000001</v>
          </cell>
          <cell r="AV65">
            <v>11581.48011</v>
          </cell>
          <cell r="AW65">
            <v>11676.25158</v>
          </cell>
          <cell r="AX65">
            <v>11770.601769999999</v>
          </cell>
          <cell r="AY65">
            <v>11864.916800000001</v>
          </cell>
          <cell r="AZ65">
            <v>11959.765009999999</v>
          </cell>
          <cell r="BA65">
            <v>12608.19685</v>
          </cell>
          <cell r="BB65">
            <v>12741.371359999999</v>
          </cell>
          <cell r="BC65">
            <v>12876.53918</v>
          </cell>
          <cell r="BD65">
            <v>13013.763499999999</v>
          </cell>
          <cell r="BE65">
            <v>13153.091350000001</v>
          </cell>
        </row>
        <row r="66">
          <cell r="B66">
            <v>108.0485087</v>
          </cell>
          <cell r="C66">
            <v>108.277333</v>
          </cell>
          <cell r="D66">
            <v>108.59752880000001</v>
          </cell>
          <cell r="E66">
            <v>109.0347558</v>
          </cell>
          <cell r="F66">
            <v>109.6141506</v>
          </cell>
          <cell r="G66">
            <v>110.3253347</v>
          </cell>
          <cell r="H66">
            <v>111.12192880000001</v>
          </cell>
          <cell r="I66">
            <v>112.0094835</v>
          </cell>
          <cell r="J66">
            <v>112.9678265</v>
          </cell>
          <cell r="K66">
            <v>113.975054</v>
          </cell>
          <cell r="L66">
            <v>115.10511889999999</v>
          </cell>
          <cell r="M66">
            <v>116.1896699</v>
          </cell>
          <cell r="N66">
            <v>117.26497019999999</v>
          </cell>
          <cell r="O66">
            <v>118.33456219999999</v>
          </cell>
          <cell r="P66">
            <v>119.3980462</v>
          </cell>
          <cell r="Q66">
            <v>120.4550794</v>
          </cell>
          <cell r="R66">
            <v>121.49870180000001</v>
          </cell>
          <cell r="S66">
            <v>122.5357673</v>
          </cell>
          <cell r="T66">
            <v>123.5692313</v>
          </cell>
          <cell r="U66">
            <v>124.6018995</v>
          </cell>
          <cell r="V66">
            <v>125.5697761</v>
          </cell>
          <cell r="W66">
            <v>126.58346109999999</v>
          </cell>
          <cell r="X66">
            <v>127.6169898</v>
          </cell>
          <cell r="Y66">
            <v>128.6672916</v>
          </cell>
          <cell r="Z66">
            <v>129.73514689999999</v>
          </cell>
          <cell r="AA66">
            <v>130.63207059999999</v>
          </cell>
          <cell r="AB66">
            <v>131.57784599999999</v>
          </cell>
          <cell r="AC66">
            <v>132.54298109999999</v>
          </cell>
          <cell r="AD66">
            <v>133.5267892</v>
          </cell>
          <cell r="AE66">
            <v>134.53211999999999</v>
          </cell>
          <cell r="AF66">
            <v>135.56195700000001</v>
          </cell>
          <cell r="AG66">
            <v>136.62038870000001</v>
          </cell>
          <cell r="AH66">
            <v>137.70793029999999</v>
          </cell>
          <cell r="AI66">
            <v>138.82544569999999</v>
          </cell>
          <cell r="AJ66">
            <v>139.9733851</v>
          </cell>
          <cell r="AK66">
            <v>141.15177940000001</v>
          </cell>
          <cell r="AL66">
            <v>142.33030389999999</v>
          </cell>
          <cell r="AM66">
            <v>143.52407049999999</v>
          </cell>
          <cell r="AN66">
            <v>144.73796899999999</v>
          </cell>
          <cell r="AO66">
            <v>145.9742071</v>
          </cell>
          <cell r="AP66">
            <v>147.23404679999999</v>
          </cell>
          <cell r="AQ66">
            <v>148.52065390000001</v>
          </cell>
          <cell r="AR66">
            <v>149.83289830000001</v>
          </cell>
          <cell r="AS66">
            <v>151.17087409999999</v>
          </cell>
          <cell r="AT66">
            <v>152.53464210000001</v>
          </cell>
          <cell r="AU66">
            <v>153.92423650000001</v>
          </cell>
          <cell r="AV66">
            <v>155.35152629999999</v>
          </cell>
          <cell r="AW66">
            <v>156.80838220000001</v>
          </cell>
          <cell r="AX66">
            <v>158.29310359999999</v>
          </cell>
          <cell r="AY66">
            <v>159.8050144</v>
          </cell>
          <cell r="AZ66">
            <v>161.34379010000001</v>
          </cell>
          <cell r="BA66">
            <v>177.7286378</v>
          </cell>
          <cell r="BB66">
            <v>179.9775698</v>
          </cell>
          <cell r="BC66">
            <v>182.2684591</v>
          </cell>
          <cell r="BD66">
            <v>184.60153890000001</v>
          </cell>
          <cell r="BE66">
            <v>186.9770785</v>
          </cell>
        </row>
        <row r="67">
          <cell r="B67">
            <v>109.76499699999999</v>
          </cell>
          <cell r="C67">
            <v>110.57054340000001</v>
          </cell>
          <cell r="D67">
            <v>111.2522649</v>
          </cell>
          <cell r="E67">
            <v>111.94529249999999</v>
          </cell>
          <cell r="F67">
            <v>112.6958003</v>
          </cell>
          <cell r="G67">
            <v>113.5393771</v>
          </cell>
          <cell r="H67">
            <v>114.4239669</v>
          </cell>
          <cell r="I67">
            <v>115.3674977</v>
          </cell>
          <cell r="J67">
            <v>116.35920369999999</v>
          </cell>
          <cell r="K67">
            <v>117.38543180000001</v>
          </cell>
          <cell r="L67">
            <v>118.5319059</v>
          </cell>
          <cell r="M67">
            <v>119.6371869</v>
          </cell>
          <cell r="N67">
            <v>120.7387542</v>
          </cell>
          <cell r="O67">
            <v>121.8427233</v>
          </cell>
          <cell r="P67">
            <v>122.95069100000001</v>
          </cell>
          <cell r="Q67">
            <v>124.0636635</v>
          </cell>
          <cell r="R67">
            <v>125.182903</v>
          </cell>
          <cell r="S67">
            <v>126.3100359</v>
          </cell>
          <cell r="T67">
            <v>127.4469837</v>
          </cell>
          <cell r="U67">
            <v>128.59585519999999</v>
          </cell>
          <cell r="V67">
            <v>129.68866030000001</v>
          </cell>
          <cell r="W67">
            <v>130.84033049999999</v>
          </cell>
          <cell r="X67">
            <v>132.0223092</v>
          </cell>
          <cell r="Y67">
            <v>133.2304566</v>
          </cell>
          <cell r="Z67">
            <v>134.464643</v>
          </cell>
          <cell r="AA67">
            <v>135.52483849999999</v>
          </cell>
          <cell r="AB67">
            <v>136.63914679999999</v>
          </cell>
          <cell r="AC67">
            <v>137.7769648</v>
          </cell>
          <cell r="AD67">
            <v>138.9370624</v>
          </cell>
          <cell r="AE67">
            <v>140.12187779999999</v>
          </cell>
          <cell r="AF67">
            <v>141.3340838</v>
          </cell>
          <cell r="AG67">
            <v>142.57578530000001</v>
          </cell>
          <cell r="AH67">
            <v>143.84838389999999</v>
          </cell>
          <cell r="AI67">
            <v>145.15263440000001</v>
          </cell>
          <cell r="AJ67">
            <v>146.488764</v>
          </cell>
          <cell r="AK67">
            <v>147.8566069</v>
          </cell>
          <cell r="AL67">
            <v>149.2079631</v>
          </cell>
          <cell r="AM67">
            <v>150.5707433</v>
          </cell>
          <cell r="AN67">
            <v>151.95205419999999</v>
          </cell>
          <cell r="AO67">
            <v>153.35500189999999</v>
          </cell>
          <cell r="AP67">
            <v>154.78149450000001</v>
          </cell>
          <cell r="AQ67">
            <v>156.23290460000001</v>
          </cell>
          <cell r="AR67">
            <v>157.71022809999999</v>
          </cell>
          <cell r="AS67">
            <v>159.21414290000001</v>
          </cell>
          <cell r="AT67">
            <v>160.7449561</v>
          </cell>
          <cell r="AU67">
            <v>162.30235070000001</v>
          </cell>
          <cell r="AV67">
            <v>163.88833450000001</v>
          </cell>
          <cell r="AW67">
            <v>165.49894219999999</v>
          </cell>
          <cell r="AX67">
            <v>167.13151540000001</v>
          </cell>
          <cell r="AY67">
            <v>168.78967549999999</v>
          </cell>
          <cell r="AZ67">
            <v>170.4767707</v>
          </cell>
          <cell r="BA67">
            <v>181.07160959999999</v>
          </cell>
          <cell r="BB67">
            <v>183.43027749999999</v>
          </cell>
          <cell r="BC67">
            <v>185.83127820000001</v>
          </cell>
          <cell r="BD67">
            <v>188.27540210000001</v>
          </cell>
          <cell r="BE67">
            <v>190.76332149999999</v>
          </cell>
        </row>
      </sheetData>
      <sheetData sheetId="4">
        <row r="2">
          <cell r="B2">
            <v>5218721.5520000001</v>
          </cell>
          <cell r="C2">
            <v>5271406.5820000004</v>
          </cell>
          <cell r="D2">
            <v>5324029.335</v>
          </cell>
          <cell r="E2">
            <v>5377525.6950000003</v>
          </cell>
          <cell r="F2">
            <v>5432435.0590000004</v>
          </cell>
          <cell r="G2">
            <v>5489098.5250000004</v>
          </cell>
          <cell r="H2">
            <v>5547558.7989999996</v>
          </cell>
          <cell r="I2">
            <v>5607869.1569999997</v>
          </cell>
          <cell r="J2">
            <v>5670095.2910000002</v>
          </cell>
          <cell r="K2">
            <v>5734305.3880000003</v>
          </cell>
          <cell r="L2">
            <v>5800897.2920000004</v>
          </cell>
          <cell r="M2">
            <v>5869796.6639999999</v>
          </cell>
          <cell r="N2">
            <v>5940963.0460000001</v>
          </cell>
          <cell r="O2">
            <v>6014382.7709999997</v>
          </cell>
          <cell r="P2">
            <v>6090055.0429999996</v>
          </cell>
          <cell r="Q2">
            <v>6167986.2829999998</v>
          </cell>
          <cell r="R2">
            <v>6248164.6689999998</v>
          </cell>
          <cell r="S2">
            <v>6330595.4500000002</v>
          </cell>
          <cell r="T2">
            <v>6415294.6900000004</v>
          </cell>
          <cell r="U2">
            <v>6502284.9170000004</v>
          </cell>
          <cell r="V2">
            <v>6591346.0619999999</v>
          </cell>
          <cell r="W2">
            <v>6682584.2769999998</v>
          </cell>
          <cell r="X2">
            <v>6776084.6869999999</v>
          </cell>
          <cell r="Y2">
            <v>6871912.057</v>
          </cell>
          <cell r="Z2">
            <v>6970118.7419999996</v>
          </cell>
          <cell r="AA2">
            <v>7070036.682</v>
          </cell>
          <cell r="AB2">
            <v>7171595.8669999996</v>
          </cell>
          <cell r="AC2">
            <v>7274754.807</v>
          </cell>
          <cell r="AD2">
            <v>7379481.0049999999</v>
          </cell>
          <cell r="AE2">
            <v>7485752.5750000002</v>
          </cell>
          <cell r="AF2">
            <v>7593557.5109999999</v>
          </cell>
          <cell r="AG2">
            <v>7702896.3650000002</v>
          </cell>
          <cell r="AH2">
            <v>7813770.9720000001</v>
          </cell>
          <cell r="AI2">
            <v>7926182.7570000002</v>
          </cell>
          <cell r="AJ2">
            <v>8040131.3090000004</v>
          </cell>
          <cell r="AK2">
            <v>8155613.3930000002</v>
          </cell>
          <cell r="AL2">
            <v>8272497.4740000004</v>
          </cell>
          <cell r="AM2">
            <v>8390676.5040000007</v>
          </cell>
          <cell r="AN2">
            <v>8510066.0240000002</v>
          </cell>
          <cell r="AO2">
            <v>8630598.7070000004</v>
          </cell>
          <cell r="AP2">
            <v>8752220.9900000002</v>
          </cell>
          <cell r="AQ2">
            <v>8874898.3800000008</v>
          </cell>
          <cell r="AR2">
            <v>8998602.1459999997</v>
          </cell>
          <cell r="AS2">
            <v>9123309.2320000008</v>
          </cell>
          <cell r="AT2">
            <v>9249001.7320000008</v>
          </cell>
          <cell r="AU2">
            <v>9375666.0830000006</v>
          </cell>
          <cell r="AV2">
            <v>9503333.8239999991</v>
          </cell>
          <cell r="AW2">
            <v>9632022.4590000007</v>
          </cell>
          <cell r="AX2">
            <v>9761742.1539999992</v>
          </cell>
          <cell r="AY2">
            <v>9892500.3819999993</v>
          </cell>
          <cell r="AZ2">
            <v>10024304.220000001</v>
          </cell>
          <cell r="BA2">
            <v>11978567.880000001</v>
          </cell>
          <cell r="BB2">
            <v>12204228.35</v>
          </cell>
          <cell r="BC2">
            <v>12433206.91</v>
          </cell>
          <cell r="BD2">
            <v>12665453.859999999</v>
          </cell>
          <cell r="BE2">
            <v>12900919.949999999</v>
          </cell>
        </row>
        <row r="3">
          <cell r="B3">
            <v>5224351.5990000004</v>
          </cell>
          <cell r="C3">
            <v>5285939.1900000004</v>
          </cell>
          <cell r="D3">
            <v>5349468.2709999997</v>
          </cell>
          <cell r="E3">
            <v>5415267.1310000001</v>
          </cell>
          <cell r="F3">
            <v>5483570.4570000004</v>
          </cell>
          <cell r="G3">
            <v>5554548.6679999996</v>
          </cell>
          <cell r="H3">
            <v>5628132.9579999996</v>
          </cell>
          <cell r="I3">
            <v>5704292.9780000001</v>
          </cell>
          <cell r="J3">
            <v>5783028.0690000001</v>
          </cell>
          <cell r="K3">
            <v>5864354.1339999996</v>
          </cell>
          <cell r="L3">
            <v>5948646.04</v>
          </cell>
          <cell r="M3">
            <v>6035819.6490000002</v>
          </cell>
          <cell r="N3">
            <v>6125820.8250000002</v>
          </cell>
          <cell r="O3">
            <v>6218620.2949999999</v>
          </cell>
          <cell r="P3">
            <v>6314200.1509999996</v>
          </cell>
          <cell r="Q3">
            <v>6412547.8669999996</v>
          </cell>
          <cell r="R3">
            <v>6513654.2609999999</v>
          </cell>
          <cell r="S3">
            <v>6617512.8949999996</v>
          </cell>
          <cell r="T3">
            <v>6724119.6919999998</v>
          </cell>
          <cell r="U3">
            <v>6833472.3949999996</v>
          </cell>
          <cell r="V3">
            <v>6945305.1560000004</v>
          </cell>
          <cell r="W3">
            <v>7059698.8569999998</v>
          </cell>
          <cell r="X3">
            <v>7176711.4029999999</v>
          </cell>
          <cell r="Y3">
            <v>7296379.2070000004</v>
          </cell>
          <cell r="Z3">
            <v>7418725.773</v>
          </cell>
          <cell r="AA3">
            <v>7542993.5420000004</v>
          </cell>
          <cell r="AB3">
            <v>7669058.5219999999</v>
          </cell>
          <cell r="AC3">
            <v>7796832.5369999995</v>
          </cell>
          <cell r="AD3">
            <v>7926240.9440000001</v>
          </cell>
          <cell r="AE3">
            <v>8057223.2769999998</v>
          </cell>
          <cell r="AF3">
            <v>8189731.7740000002</v>
          </cell>
          <cell r="AG3">
            <v>8323728.102</v>
          </cell>
          <cell r="AH3">
            <v>8459179.6539999992</v>
          </cell>
          <cell r="AI3">
            <v>8596056.3389999997</v>
          </cell>
          <cell r="AJ3">
            <v>8734328.2559999991</v>
          </cell>
          <cell r="AK3">
            <v>8873964.3579999991</v>
          </cell>
          <cell r="AL3">
            <v>9014742.1789999995</v>
          </cell>
          <cell r="AM3">
            <v>9156493.5219999999</v>
          </cell>
          <cell r="AN3">
            <v>9299090.307</v>
          </cell>
          <cell r="AO3">
            <v>9442431.8100000005</v>
          </cell>
          <cell r="AP3">
            <v>9586438.2219999991</v>
          </cell>
          <cell r="AQ3">
            <v>9731047.0299999993</v>
          </cell>
          <cell r="AR3">
            <v>9876210.398</v>
          </cell>
          <cell r="AS3">
            <v>10021892.93</v>
          </cell>
          <cell r="AT3">
            <v>10168069.75</v>
          </cell>
          <cell r="AU3">
            <v>10314724.859999999</v>
          </cell>
          <cell r="AV3">
            <v>10461867.300000001</v>
          </cell>
          <cell r="AW3">
            <v>10609507.949999999</v>
          </cell>
          <cell r="AX3">
            <v>10757660.439999999</v>
          </cell>
          <cell r="AY3">
            <v>10906341.779999999</v>
          </cell>
          <cell r="AZ3">
            <v>11055572.85</v>
          </cell>
          <cell r="BA3">
            <v>12048683.140000001</v>
          </cell>
          <cell r="BB3">
            <v>12276883.67</v>
          </cell>
          <cell r="BC3">
            <v>12508283.220000001</v>
          </cell>
          <cell r="BD3">
            <v>12742824.369999999</v>
          </cell>
          <cell r="BE3">
            <v>12980451.76</v>
          </cell>
        </row>
        <row r="4">
          <cell r="B4">
            <v>47151.43993</v>
          </cell>
          <cell r="C4">
            <v>47592.692210000001</v>
          </cell>
          <cell r="D4">
            <v>48014.724499999997</v>
          </cell>
          <cell r="E4">
            <v>48429.981520000001</v>
          </cell>
          <cell r="F4">
            <v>48848.108370000002</v>
          </cell>
          <cell r="G4">
            <v>49276.684860000001</v>
          </cell>
          <cell r="H4">
            <v>49719.773029999997</v>
          </cell>
          <cell r="I4">
            <v>50180.58152</v>
          </cell>
          <cell r="J4">
            <v>50661.608809999998</v>
          </cell>
          <cell r="K4">
            <v>51164.696210000002</v>
          </cell>
          <cell r="L4">
            <v>51694.154150000002</v>
          </cell>
          <cell r="M4">
            <v>52249.650930000003</v>
          </cell>
          <cell r="N4">
            <v>52830.741600000001</v>
          </cell>
          <cell r="O4">
            <v>53436.9617</v>
          </cell>
          <cell r="P4">
            <v>54067.79277</v>
          </cell>
          <cell r="Q4">
            <v>54722.679759999999</v>
          </cell>
          <cell r="R4">
            <v>55400.791069999999</v>
          </cell>
          <cell r="S4">
            <v>56101.470139999998</v>
          </cell>
          <cell r="T4">
            <v>56824.173799999997</v>
          </cell>
          <cell r="U4">
            <v>57568.436970000002</v>
          </cell>
          <cell r="V4">
            <v>58331.612289999997</v>
          </cell>
          <cell r="W4">
            <v>59113.957620000001</v>
          </cell>
          <cell r="X4">
            <v>59915.701430000001</v>
          </cell>
          <cell r="Y4">
            <v>60736.970889999997</v>
          </cell>
          <cell r="Z4">
            <v>61577.83554</v>
          </cell>
          <cell r="AA4">
            <v>62431.85557</v>
          </cell>
          <cell r="AB4">
            <v>63297.800589999999</v>
          </cell>
          <cell r="AC4">
            <v>64174.94399</v>
          </cell>
          <cell r="AD4">
            <v>65062.82804</v>
          </cell>
          <cell r="AE4">
            <v>65961.251239999998</v>
          </cell>
          <cell r="AF4">
            <v>66870.229609999995</v>
          </cell>
          <cell r="AG4">
            <v>67790.000450000007</v>
          </cell>
          <cell r="AH4">
            <v>68720.867620000005</v>
          </cell>
          <cell r="AI4">
            <v>69663.169080000007</v>
          </cell>
          <cell r="AJ4">
            <v>70617.249540000004</v>
          </cell>
          <cell r="AK4">
            <v>71583.440870000006</v>
          </cell>
          <cell r="AL4">
            <v>72561.038679999998</v>
          </cell>
          <cell r="AM4">
            <v>73549.414470000003</v>
          </cell>
          <cell r="AN4">
            <v>74548.134569999995</v>
          </cell>
          <cell r="AO4">
            <v>75556.954389999999</v>
          </cell>
          <cell r="AP4">
            <v>76575.794680000006</v>
          </cell>
          <cell r="AQ4">
            <v>77604.801590000003</v>
          </cell>
          <cell r="AR4">
            <v>78644.181580000004</v>
          </cell>
          <cell r="AS4">
            <v>79694.195569999996</v>
          </cell>
          <cell r="AT4">
            <v>80755.145189999996</v>
          </cell>
          <cell r="AU4">
            <v>81827.356029999995</v>
          </cell>
          <cell r="AV4">
            <v>82911.605509999994</v>
          </cell>
          <cell r="AW4">
            <v>84008.477759999994</v>
          </cell>
          <cell r="AX4">
            <v>85118.441449999998</v>
          </cell>
          <cell r="AY4">
            <v>86241.897200000007</v>
          </cell>
          <cell r="AZ4">
            <v>87379.198199999999</v>
          </cell>
          <cell r="BA4">
            <v>103584.394</v>
          </cell>
          <cell r="BB4">
            <v>105462.39079999999</v>
          </cell>
          <cell r="BC4">
            <v>107372.7289</v>
          </cell>
          <cell r="BD4">
            <v>109315.7332</v>
          </cell>
          <cell r="BE4">
            <v>111291.7519</v>
          </cell>
        </row>
        <row r="5">
          <cell r="B5">
            <v>47217.39402</v>
          </cell>
          <cell r="C5">
            <v>47760.717660000002</v>
          </cell>
          <cell r="D5">
            <v>48305.589419999997</v>
          </cell>
          <cell r="E5">
            <v>48857.212800000001</v>
          </cell>
          <cell r="F5">
            <v>49421.240109999999</v>
          </cell>
          <cell r="G5">
            <v>50002.531949999997</v>
          </cell>
          <cell r="H5">
            <v>50603.050929999998</v>
          </cell>
          <cell r="I5">
            <v>51224.306550000001</v>
          </cell>
          <cell r="J5">
            <v>51867.452490000003</v>
          </cell>
          <cell r="K5">
            <v>52533.32185</v>
          </cell>
          <cell r="L5">
            <v>53225.70549</v>
          </cell>
          <cell r="M5">
            <v>53944.036310000003</v>
          </cell>
          <cell r="N5">
            <v>54687.691319999998</v>
          </cell>
          <cell r="O5">
            <v>55456.09564</v>
          </cell>
          <cell r="P5">
            <v>56248.676180000002</v>
          </cell>
          <cell r="Q5">
            <v>57064.860760000003</v>
          </cell>
          <cell r="R5">
            <v>57904.097930000004</v>
          </cell>
          <cell r="S5">
            <v>58765.87659</v>
          </cell>
          <cell r="T5">
            <v>59649.737860000001</v>
          </cell>
          <cell r="U5">
            <v>60555.279060000001</v>
          </cell>
          <cell r="V5">
            <v>61479.729290000003</v>
          </cell>
          <cell r="W5">
            <v>62423.455390000003</v>
          </cell>
          <cell r="X5">
            <v>63386.779829999999</v>
          </cell>
          <cell r="Y5">
            <v>64369.919139999998</v>
          </cell>
          <cell r="Z5">
            <v>65373.033689999997</v>
          </cell>
          <cell r="AA5">
            <v>66389.199940000006</v>
          </cell>
          <cell r="AB5">
            <v>67417.082160000005</v>
          </cell>
          <cell r="AC5">
            <v>68455.929470000003</v>
          </cell>
          <cell r="AD5">
            <v>69505.307209999999</v>
          </cell>
          <cell r="AE5">
            <v>70565.07273</v>
          </cell>
          <cell r="AF5">
            <v>71635.327019999997</v>
          </cell>
          <cell r="AG5">
            <v>72716.347590000005</v>
          </cell>
          <cell r="AH5">
            <v>73808.522039999996</v>
          </cell>
          <cell r="AI5">
            <v>74912.29333</v>
          </cell>
          <cell r="AJ5">
            <v>76028.120219999997</v>
          </cell>
          <cell r="AK5">
            <v>77156.452160000001</v>
          </cell>
          <cell r="AL5">
            <v>78295.991330000004</v>
          </cell>
          <cell r="AM5">
            <v>79445.868870000006</v>
          </cell>
          <cell r="AN5">
            <v>80605.588310000006</v>
          </cell>
          <cell r="AO5">
            <v>81774.930609999996</v>
          </cell>
          <cell r="AP5">
            <v>82953.897639999996</v>
          </cell>
          <cell r="AQ5">
            <v>84142.670150000005</v>
          </cell>
          <cell r="AR5">
            <v>85341.568440000003</v>
          </cell>
          <cell r="AS5">
            <v>86551.014670000004</v>
          </cell>
          <cell r="AT5">
            <v>87771.498970000001</v>
          </cell>
          <cell r="AU5">
            <v>89003.551699999996</v>
          </cell>
          <cell r="AV5">
            <v>90247.881500000003</v>
          </cell>
          <cell r="AW5">
            <v>91505.165219999995</v>
          </cell>
          <cell r="AX5">
            <v>92776.0432</v>
          </cell>
          <cell r="AY5">
            <v>94061.11017</v>
          </cell>
          <cell r="AZ5">
            <v>95360.914650000006</v>
          </cell>
          <cell r="BA5">
            <v>103506.8563</v>
          </cell>
          <cell r="BB5">
            <v>105342.2723</v>
          </cell>
          <cell r="BC5">
            <v>107205.95759999999</v>
          </cell>
          <cell r="BD5">
            <v>109098.23020000001</v>
          </cell>
          <cell r="BE5">
            <v>111019.45050000001</v>
          </cell>
        </row>
        <row r="6">
          <cell r="B6">
            <v>1843.8704009999999</v>
          </cell>
          <cell r="C6">
            <v>1862.4710620000001</v>
          </cell>
          <cell r="D6">
            <v>1879.035087</v>
          </cell>
          <cell r="E6">
            <v>1893.4970129999999</v>
          </cell>
          <cell r="F6">
            <v>1905.951673</v>
          </cell>
          <cell r="G6">
            <v>1916.54187</v>
          </cell>
          <cell r="H6">
            <v>1925.440552</v>
          </cell>
          <cell r="I6">
            <v>1932.850242</v>
          </cell>
          <cell r="J6">
            <v>1938.9717700000001</v>
          </cell>
          <cell r="K6">
            <v>1943.9846110000001</v>
          </cell>
          <cell r="L6">
            <v>1948.1183510000001</v>
          </cell>
          <cell r="M6">
            <v>1951.466795</v>
          </cell>
          <cell r="N6">
            <v>1954.1121969999999</v>
          </cell>
          <cell r="O6">
            <v>1956.136463</v>
          </cell>
          <cell r="P6">
            <v>1957.62004</v>
          </cell>
          <cell r="Q6">
            <v>1958.6403660000001</v>
          </cell>
          <cell r="R6">
            <v>1959.2674689999999</v>
          </cell>
          <cell r="S6">
            <v>1959.569929</v>
          </cell>
          <cell r="T6">
            <v>1959.612734</v>
          </cell>
          <cell r="U6">
            <v>1959.456782</v>
          </cell>
          <cell r="V6">
            <v>1959.1078319999999</v>
          </cell>
          <cell r="W6">
            <v>1958.63941</v>
          </cell>
          <cell r="X6">
            <v>1958.1181429999999</v>
          </cell>
          <cell r="Y6">
            <v>1957.5990280000001</v>
          </cell>
          <cell r="Z6">
            <v>1957.128234</v>
          </cell>
          <cell r="AA6">
            <v>1956.6053320000001</v>
          </cell>
          <cell r="AB6">
            <v>1956.0574779999999</v>
          </cell>
          <cell r="AC6">
            <v>1955.5246480000001</v>
          </cell>
          <cell r="AD6">
            <v>1955.044042</v>
          </cell>
          <cell r="AE6">
            <v>1954.64824</v>
          </cell>
          <cell r="AF6">
            <v>1954.3656840000001</v>
          </cell>
          <cell r="AG6">
            <v>1954.2221019999999</v>
          </cell>
          <cell r="AH6">
            <v>1954.2395879999999</v>
          </cell>
          <cell r="AI6">
            <v>1954.437224</v>
          </cell>
          <cell r="AJ6">
            <v>1954.8314909999999</v>
          </cell>
          <cell r="AK6">
            <v>1955.4365620000001</v>
          </cell>
          <cell r="AL6">
            <v>1956.2406089999999</v>
          </cell>
          <cell r="AM6">
            <v>1957.237445</v>
          </cell>
          <cell r="AN6">
            <v>1958.427651</v>
          </cell>
          <cell r="AO6">
            <v>1959.81564</v>
          </cell>
          <cell r="AP6">
            <v>1961.407393</v>
          </cell>
          <cell r="AQ6">
            <v>1963.210341</v>
          </cell>
          <cell r="AR6">
            <v>1965.230908</v>
          </cell>
          <cell r="AS6">
            <v>1967.4747580000001</v>
          </cell>
          <cell r="AT6">
            <v>1969.946794</v>
          </cell>
          <cell r="AU6">
            <v>1972.6512620000001</v>
          </cell>
          <cell r="AV6">
            <v>1975.5982260000001</v>
          </cell>
          <cell r="AW6">
            <v>1978.79366</v>
          </cell>
          <cell r="AX6">
            <v>1982.2411320000001</v>
          </cell>
          <cell r="AY6">
            <v>1985.942974</v>
          </cell>
          <cell r="AZ6">
            <v>1989.9008389999999</v>
          </cell>
          <cell r="BA6">
            <v>2250.0236629999999</v>
          </cell>
          <cell r="BB6">
            <v>2268.8863310000002</v>
          </cell>
          <cell r="BC6">
            <v>2288.4447949999999</v>
          </cell>
          <cell r="BD6">
            <v>2308.6961110000002</v>
          </cell>
          <cell r="BE6">
            <v>2329.6364589999998</v>
          </cell>
        </row>
        <row r="7">
          <cell r="B7">
            <v>1844.7470519999999</v>
          </cell>
          <cell r="C7">
            <v>1864.5141799999999</v>
          </cell>
          <cell r="D7">
            <v>1882.2706470000001</v>
          </cell>
          <cell r="E7">
            <v>1897.8557249999999</v>
          </cell>
          <cell r="F7">
            <v>1911.3240109999999</v>
          </cell>
          <cell r="G7">
            <v>1922.8722560000001</v>
          </cell>
          <cell r="H7">
            <v>1932.7094629999999</v>
          </cell>
          <cell r="I7">
            <v>1941.0625580000001</v>
          </cell>
          <cell r="J7">
            <v>1948.1440150000001</v>
          </cell>
          <cell r="K7">
            <v>1954.1370449999999</v>
          </cell>
          <cell r="L7">
            <v>1959.2754179999999</v>
          </cell>
          <cell r="M7">
            <v>1963.6571289999999</v>
          </cell>
          <cell r="N7">
            <v>1967.366914</v>
          </cell>
          <cell r="O7">
            <v>1970.4881909999999</v>
          </cell>
          <cell r="P7">
            <v>1973.1020530000001</v>
          </cell>
          <cell r="Q7">
            <v>1975.285672</v>
          </cell>
          <cell r="R7">
            <v>1977.1116019999999</v>
          </cell>
          <cell r="S7">
            <v>1978.6476720000001</v>
          </cell>
          <cell r="T7">
            <v>1979.957138</v>
          </cell>
          <cell r="U7">
            <v>1981.09889</v>
          </cell>
          <cell r="V7">
            <v>1982.0740040000001</v>
          </cell>
          <cell r="W7">
            <v>1982.9551530000001</v>
          </cell>
          <cell r="X7">
            <v>1983.807558</v>
          </cell>
          <cell r="Y7">
            <v>1984.6846290000001</v>
          </cell>
          <cell r="Z7">
            <v>1985.630999</v>
          </cell>
          <cell r="AA7">
            <v>1986.536521</v>
          </cell>
          <cell r="AB7">
            <v>1987.426048</v>
          </cell>
          <cell r="AC7">
            <v>1988.3385900000001</v>
          </cell>
          <cell r="AD7">
            <v>1989.31115</v>
          </cell>
          <cell r="AE7">
            <v>1990.376667</v>
          </cell>
          <cell r="AF7">
            <v>1991.5643769999999</v>
          </cell>
          <cell r="AG7">
            <v>1992.900337</v>
          </cell>
          <cell r="AH7">
            <v>1994.407774</v>
          </cell>
          <cell r="AI7">
            <v>1996.1073389999999</v>
          </cell>
          <cell r="AJ7">
            <v>1998.0173139999999</v>
          </cell>
          <cell r="AK7">
            <v>2000.1538390000001</v>
          </cell>
          <cell r="AL7">
            <v>2002.497852</v>
          </cell>
          <cell r="AM7">
            <v>2005.04222</v>
          </cell>
          <cell r="AN7">
            <v>2007.7894249999999</v>
          </cell>
          <cell r="AO7">
            <v>2010.746891</v>
          </cell>
          <cell r="AP7">
            <v>2013.924084</v>
          </cell>
          <cell r="AQ7">
            <v>2017.3310630000001</v>
          </cell>
          <cell r="AR7">
            <v>2020.977785</v>
          </cell>
          <cell r="AS7">
            <v>2024.8736899999999</v>
          </cell>
          <cell r="AT7">
            <v>2029.0272110000001</v>
          </cell>
          <cell r="AU7">
            <v>2033.444616</v>
          </cell>
          <cell r="AV7">
            <v>2038.1275889999999</v>
          </cell>
          <cell r="AW7">
            <v>2043.072496</v>
          </cell>
          <cell r="AX7">
            <v>2048.275028</v>
          </cell>
          <cell r="AY7">
            <v>2053.7340610000001</v>
          </cell>
          <cell r="AZ7">
            <v>2059.4524900000001</v>
          </cell>
          <cell r="BA7">
            <v>2271.9894399999998</v>
          </cell>
          <cell r="BB7">
            <v>2288.2904079999998</v>
          </cell>
          <cell r="BC7">
            <v>2304.9516779999999</v>
          </cell>
          <cell r="BD7">
            <v>2321.9704510000001</v>
          </cell>
          <cell r="BE7">
            <v>2339.3448629999998</v>
          </cell>
        </row>
        <row r="8">
          <cell r="B8">
            <v>74442.363630000007</v>
          </cell>
          <cell r="C8">
            <v>75170.957599999994</v>
          </cell>
          <cell r="D8">
            <v>75878.279670000004</v>
          </cell>
          <cell r="E8">
            <v>76580.446049999999</v>
          </cell>
          <cell r="F8">
            <v>77290.495269999999</v>
          </cell>
          <cell r="G8">
            <v>78019.076130000001</v>
          </cell>
          <cell r="H8">
            <v>78771.90208</v>
          </cell>
          <cell r="I8">
            <v>79553.593049999996</v>
          </cell>
          <cell r="J8">
            <v>80367.849549999999</v>
          </cell>
          <cell r="K8">
            <v>81217.491869999998</v>
          </cell>
          <cell r="L8">
            <v>82109.290040000007</v>
          </cell>
          <cell r="M8">
            <v>83043.108049999995</v>
          </cell>
          <cell r="N8">
            <v>84018.483259999994</v>
          </cell>
          <cell r="O8">
            <v>85034.827090000006</v>
          </cell>
          <cell r="P8">
            <v>86091.422120000003</v>
          </cell>
          <cell r="Q8">
            <v>87187.470170000001</v>
          </cell>
          <cell r="R8">
            <v>88321.797619999998</v>
          </cell>
          <cell r="S8">
            <v>89493.424010000002</v>
          </cell>
          <cell r="T8">
            <v>90701.491670000003</v>
          </cell>
          <cell r="U8">
            <v>91945.228520000004</v>
          </cell>
          <cell r="V8">
            <v>93220.412320000003</v>
          </cell>
          <cell r="W8">
            <v>94527.201430000001</v>
          </cell>
          <cell r="X8">
            <v>95865.779349999997</v>
          </cell>
          <cell r="Y8">
            <v>97236.209050000005</v>
          </cell>
          <cell r="Z8">
            <v>98638.469870000001</v>
          </cell>
          <cell r="AA8">
            <v>100062.304</v>
          </cell>
          <cell r="AB8">
            <v>101505.18309999999</v>
          </cell>
          <cell r="AC8">
            <v>102965.463</v>
          </cell>
          <cell r="AD8">
            <v>104442.0275</v>
          </cell>
          <cell r="AE8">
            <v>105934.242</v>
          </cell>
          <cell r="AF8">
            <v>107441.8726</v>
          </cell>
          <cell r="AG8">
            <v>108965.0628</v>
          </cell>
          <cell r="AH8">
            <v>110504.1124</v>
          </cell>
          <cell r="AI8">
            <v>112059.41469999999</v>
          </cell>
          <cell r="AJ8">
            <v>113631.4048</v>
          </cell>
          <cell r="AK8">
            <v>115220.5245</v>
          </cell>
          <cell r="AL8">
            <v>116825.4497</v>
          </cell>
          <cell r="AM8">
            <v>118445.02250000001</v>
          </cell>
          <cell r="AN8">
            <v>120078.4393</v>
          </cell>
          <cell r="AO8">
            <v>121725.2371</v>
          </cell>
          <cell r="AP8">
            <v>123385.25260000001</v>
          </cell>
          <cell r="AQ8">
            <v>125058.68769999999</v>
          </cell>
          <cell r="AR8">
            <v>126745.8882</v>
          </cell>
          <cell r="AS8">
            <v>128447.3202</v>
          </cell>
          <cell r="AT8">
            <v>130163.5365</v>
          </cell>
          <cell r="AU8">
            <v>131895.14300000001</v>
          </cell>
          <cell r="AV8">
            <v>133643.38089999999</v>
          </cell>
          <cell r="AW8">
            <v>135409.2672</v>
          </cell>
          <cell r="AX8">
            <v>137193.67819999999</v>
          </cell>
          <cell r="AY8">
            <v>138997.39610000001</v>
          </cell>
          <cell r="AZ8">
            <v>140821.13020000001</v>
          </cell>
          <cell r="BA8">
            <v>162579.52590000001</v>
          </cell>
          <cell r="BB8">
            <v>165357.26949999999</v>
          </cell>
          <cell r="BC8">
            <v>168176.40669999999</v>
          </cell>
          <cell r="BD8">
            <v>171037.34650000001</v>
          </cell>
          <cell r="BE8">
            <v>173940.5448</v>
          </cell>
        </row>
        <row r="9">
          <cell r="B9">
            <v>74528.112829999998</v>
          </cell>
          <cell r="C9">
            <v>75393.603109999996</v>
          </cell>
          <cell r="D9">
            <v>76271.233420000004</v>
          </cell>
          <cell r="E9">
            <v>77167.94889</v>
          </cell>
          <cell r="F9">
            <v>78091.028340000004</v>
          </cell>
          <cell r="G9">
            <v>79046.729120000004</v>
          </cell>
          <cell r="H9">
            <v>80037.142619999999</v>
          </cell>
          <cell r="I9">
            <v>81063.83279</v>
          </cell>
          <cell r="J9">
            <v>82127.996150000006</v>
          </cell>
          <cell r="K9">
            <v>83230.494040000005</v>
          </cell>
          <cell r="L9">
            <v>84376.895480000007</v>
          </cell>
          <cell r="M9">
            <v>85566.314620000005</v>
          </cell>
          <cell r="N9">
            <v>86797.691500000001</v>
          </cell>
          <cell r="O9">
            <v>88069.982990000004</v>
          </cell>
          <cell r="P9">
            <v>89382.127609999996</v>
          </cell>
          <cell r="Q9">
            <v>90733.060620000004</v>
          </cell>
          <cell r="R9">
            <v>92121.749490000002</v>
          </cell>
          <cell r="S9">
            <v>93547.224069999997</v>
          </cell>
          <cell r="T9">
            <v>95008.593280000001</v>
          </cell>
          <cell r="U9">
            <v>96505.049580000006</v>
          </cell>
          <cell r="V9">
            <v>98032.094939999995</v>
          </cell>
          <cell r="W9">
            <v>99589.946030000006</v>
          </cell>
          <cell r="X9">
            <v>101178.8532</v>
          </cell>
          <cell r="Y9">
            <v>102798.9657</v>
          </cell>
          <cell r="Z9">
            <v>104450.37089999999</v>
          </cell>
          <cell r="AA9">
            <v>106122.1234</v>
          </cell>
          <cell r="AB9">
            <v>107811.51420000001</v>
          </cell>
          <cell r="AC9">
            <v>109516.8328</v>
          </cell>
          <cell r="AD9">
            <v>111236.9773</v>
          </cell>
          <cell r="AE9">
            <v>112971.39380000001</v>
          </cell>
          <cell r="AF9">
            <v>114719.97930000001</v>
          </cell>
          <cell r="AG9">
            <v>116482.96189999999</v>
          </cell>
          <cell r="AH9">
            <v>118260.7867</v>
          </cell>
          <cell r="AI9">
            <v>120054.0227</v>
          </cell>
          <cell r="AJ9">
            <v>121863.29519999999</v>
          </cell>
          <cell r="AK9">
            <v>123689.2435</v>
          </cell>
          <cell r="AL9">
            <v>125529.8098</v>
          </cell>
          <cell r="AM9">
            <v>127383.5148</v>
          </cell>
          <cell r="AN9">
            <v>129249.4421</v>
          </cell>
          <cell r="AO9">
            <v>131127.13399999999</v>
          </cell>
          <cell r="AP9">
            <v>133016.52059999999</v>
          </cell>
          <cell r="AQ9">
            <v>134917.85550000001</v>
          </cell>
          <cell r="AR9">
            <v>136831.65090000001</v>
          </cell>
          <cell r="AS9">
            <v>138758.61259999999</v>
          </cell>
          <cell r="AT9">
            <v>140699.58069999999</v>
          </cell>
          <cell r="AU9">
            <v>142655.48120000001</v>
          </cell>
          <cell r="AV9">
            <v>144627.53709999999</v>
          </cell>
          <cell r="AW9">
            <v>146616.94839999999</v>
          </cell>
          <cell r="AX9">
            <v>148624.8749</v>
          </cell>
          <cell r="AY9">
            <v>150652.4111</v>
          </cell>
          <cell r="AZ9">
            <v>152700.58189999999</v>
          </cell>
          <cell r="BA9">
            <v>163548.33609999999</v>
          </cell>
          <cell r="BB9">
            <v>166373.9596</v>
          </cell>
          <cell r="BC9">
            <v>169241.5043</v>
          </cell>
          <cell r="BD9">
            <v>172151.42559999999</v>
          </cell>
          <cell r="BE9">
            <v>175104.24179999999</v>
          </cell>
        </row>
        <row r="10">
          <cell r="B10">
            <v>400369.66769999999</v>
          </cell>
          <cell r="C10">
            <v>403610.962</v>
          </cell>
          <cell r="D10">
            <v>407073.31430000003</v>
          </cell>
          <cell r="E10">
            <v>410861.52590000001</v>
          </cell>
          <cell r="F10">
            <v>414969.55249999999</v>
          </cell>
          <cell r="G10">
            <v>419356.14970000001</v>
          </cell>
          <cell r="H10">
            <v>423951.60249999998</v>
          </cell>
          <cell r="I10">
            <v>428708.09629999998</v>
          </cell>
          <cell r="J10">
            <v>433593.20809999999</v>
          </cell>
          <cell r="K10">
            <v>438584.64230000001</v>
          </cell>
          <cell r="L10">
            <v>443706.38020000001</v>
          </cell>
          <cell r="M10">
            <v>448916.04810000001</v>
          </cell>
          <cell r="N10">
            <v>454192.22230000002</v>
          </cell>
          <cell r="O10">
            <v>459523.85840000003</v>
          </cell>
          <cell r="P10">
            <v>464904.9264</v>
          </cell>
          <cell r="Q10">
            <v>470332.25290000002</v>
          </cell>
          <cell r="R10">
            <v>475799.23080000002</v>
          </cell>
          <cell r="S10">
            <v>481304.6188</v>
          </cell>
          <cell r="T10">
            <v>486849.8567</v>
          </cell>
          <cell r="U10">
            <v>492437.84360000002</v>
          </cell>
          <cell r="V10">
            <v>498043.8542</v>
          </cell>
          <cell r="W10">
            <v>503690.9829</v>
          </cell>
          <cell r="X10">
            <v>509392.3395</v>
          </cell>
          <cell r="Y10">
            <v>515156.36959999998</v>
          </cell>
          <cell r="Z10">
            <v>520989.63740000001</v>
          </cell>
          <cell r="AA10">
            <v>526816.74979999999</v>
          </cell>
          <cell r="AB10">
            <v>532659.72719999996</v>
          </cell>
          <cell r="AC10">
            <v>538533.6986</v>
          </cell>
          <cell r="AD10">
            <v>544449.83189999999</v>
          </cell>
          <cell r="AE10">
            <v>550417.46589999995</v>
          </cell>
          <cell r="AF10">
            <v>556444.80830000003</v>
          </cell>
          <cell r="AG10">
            <v>562540.33589999995</v>
          </cell>
          <cell r="AH10">
            <v>568710.8014</v>
          </cell>
          <cell r="AI10">
            <v>574961.79879999999</v>
          </cell>
          <cell r="AJ10">
            <v>581298.03469999996</v>
          </cell>
          <cell r="AK10">
            <v>587723.47840000002</v>
          </cell>
          <cell r="AL10">
            <v>594232.83959999995</v>
          </cell>
          <cell r="AM10">
            <v>600824.99970000004</v>
          </cell>
          <cell r="AN10">
            <v>607500.93330000003</v>
          </cell>
          <cell r="AO10">
            <v>614262.48970000003</v>
          </cell>
          <cell r="AP10">
            <v>621111.82649999997</v>
          </cell>
          <cell r="AQ10">
            <v>628052.81770000001</v>
          </cell>
          <cell r="AR10">
            <v>635088.03009999997</v>
          </cell>
          <cell r="AS10">
            <v>642219.38370000001</v>
          </cell>
          <cell r="AT10">
            <v>649448.42960000003</v>
          </cell>
          <cell r="AU10">
            <v>656776.46129999997</v>
          </cell>
          <cell r="AV10">
            <v>664211.98919999995</v>
          </cell>
          <cell r="AW10">
            <v>671758.23750000005</v>
          </cell>
          <cell r="AX10">
            <v>679416.27410000004</v>
          </cell>
          <cell r="AY10">
            <v>687186.37899999996</v>
          </cell>
          <cell r="AZ10">
            <v>695068.57990000001</v>
          </cell>
          <cell r="BA10">
            <v>865119.21860000002</v>
          </cell>
          <cell r="BB10">
            <v>879781.67909999995</v>
          </cell>
          <cell r="BC10">
            <v>894729.21810000006</v>
          </cell>
          <cell r="BD10">
            <v>909966.19389999995</v>
          </cell>
          <cell r="BE10">
            <v>925496.88950000005</v>
          </cell>
        </row>
        <row r="11">
          <cell r="B11">
            <v>401602.75579999998</v>
          </cell>
          <cell r="C11">
            <v>406515.0441</v>
          </cell>
          <cell r="D11">
            <v>411794.9791</v>
          </cell>
          <cell r="E11">
            <v>417445.86090000003</v>
          </cell>
          <cell r="F11">
            <v>423425.56760000001</v>
          </cell>
          <cell r="G11">
            <v>429681.6716</v>
          </cell>
          <cell r="H11">
            <v>436143.5392</v>
          </cell>
          <cell r="I11">
            <v>442767.00530000002</v>
          </cell>
          <cell r="J11">
            <v>449525.23950000003</v>
          </cell>
          <cell r="K11">
            <v>456402.16690000001</v>
          </cell>
          <cell r="L11">
            <v>463431.24249999999</v>
          </cell>
          <cell r="M11">
            <v>470579.13679999998</v>
          </cell>
          <cell r="N11">
            <v>477830.08270000003</v>
          </cell>
          <cell r="O11">
            <v>485176.91450000001</v>
          </cell>
          <cell r="P11">
            <v>492616.38170000003</v>
          </cell>
          <cell r="Q11">
            <v>500147.28720000002</v>
          </cell>
          <cell r="R11">
            <v>507769.72100000002</v>
          </cell>
          <cell r="S11">
            <v>515484.70970000001</v>
          </cell>
          <cell r="T11">
            <v>523294.01890000002</v>
          </cell>
          <cell r="U11">
            <v>531200.01329999999</v>
          </cell>
          <cell r="V11">
            <v>539173.47979999997</v>
          </cell>
          <cell r="W11">
            <v>547238.31599999999</v>
          </cell>
          <cell r="X11">
            <v>555407.14610000001</v>
          </cell>
          <cell r="Y11">
            <v>563687.34869999997</v>
          </cell>
          <cell r="Z11">
            <v>572084.1692</v>
          </cell>
          <cell r="AA11">
            <v>580509.15020000003</v>
          </cell>
          <cell r="AB11">
            <v>588981.98389999999</v>
          </cell>
          <cell r="AC11">
            <v>597516.39210000006</v>
          </cell>
          <cell r="AD11">
            <v>606122.46160000004</v>
          </cell>
          <cell r="AE11">
            <v>614808.61990000005</v>
          </cell>
          <cell r="AF11">
            <v>623582.25100000005</v>
          </cell>
          <cell r="AG11">
            <v>632449.85880000005</v>
          </cell>
          <cell r="AH11">
            <v>641417.10959999997</v>
          </cell>
          <cell r="AI11">
            <v>650488.86899999995</v>
          </cell>
          <cell r="AJ11">
            <v>659669.25950000004</v>
          </cell>
          <cell r="AK11">
            <v>668961.74369999999</v>
          </cell>
          <cell r="AL11">
            <v>678346.68839999998</v>
          </cell>
          <cell r="AM11">
            <v>687818.3517</v>
          </cell>
          <cell r="AN11">
            <v>697376.92879999999</v>
          </cell>
          <cell r="AO11">
            <v>707024.87679999997</v>
          </cell>
          <cell r="AP11">
            <v>716765.44720000005</v>
          </cell>
          <cell r="AQ11">
            <v>726602.06960000005</v>
          </cell>
          <cell r="AR11">
            <v>736538.0773</v>
          </cell>
          <cell r="AS11">
            <v>746576.5845</v>
          </cell>
          <cell r="AT11">
            <v>756720.4375</v>
          </cell>
          <cell r="AU11">
            <v>766972.21019999997</v>
          </cell>
          <cell r="AV11">
            <v>777336.26610000001</v>
          </cell>
          <cell r="AW11">
            <v>787815.4436</v>
          </cell>
          <cell r="AX11">
            <v>798411.8371</v>
          </cell>
          <cell r="AY11">
            <v>809127.18319999997</v>
          </cell>
          <cell r="AZ11">
            <v>819963.04460000002</v>
          </cell>
          <cell r="BA11">
            <v>872049.647</v>
          </cell>
          <cell r="BB11">
            <v>887091.75049999997</v>
          </cell>
          <cell r="BC11">
            <v>902425.33770000003</v>
          </cell>
          <cell r="BD11">
            <v>918054.73739999998</v>
          </cell>
          <cell r="BE11">
            <v>933984.26800000004</v>
          </cell>
        </row>
        <row r="13">
          <cell r="B13">
            <v>16084.663259999999</v>
          </cell>
          <cell r="C13">
            <v>16273.87587</v>
          </cell>
          <cell r="D13">
            <v>16468.53011</v>
          </cell>
          <cell r="E13">
            <v>16669.80271</v>
          </cell>
          <cell r="F13">
            <v>16878.614269999998</v>
          </cell>
          <cell r="G13">
            <v>17095.639520000001</v>
          </cell>
          <cell r="H13">
            <v>17320.807840000001</v>
          </cell>
          <cell r="I13">
            <v>17554.072530000001</v>
          </cell>
          <cell r="J13">
            <v>17795.431759999999</v>
          </cell>
          <cell r="K13">
            <v>18044.915389999998</v>
          </cell>
          <cell r="L13">
            <v>18303.555850000001</v>
          </cell>
          <cell r="M13">
            <v>18571.1479</v>
          </cell>
          <cell r="N13">
            <v>18847.537980000001</v>
          </cell>
          <cell r="O13">
            <v>19132.645629999999</v>
          </cell>
          <cell r="P13">
            <v>19426.434689999998</v>
          </cell>
          <cell r="Q13">
            <v>19728.897099999998</v>
          </cell>
          <cell r="R13">
            <v>20040.045839999999</v>
          </cell>
          <cell r="S13">
            <v>20359.911609999999</v>
          </cell>
          <cell r="T13">
            <v>20688.540069999999</v>
          </cell>
          <cell r="U13">
            <v>21025.988519999999</v>
          </cell>
          <cell r="V13">
            <v>21371.58195</v>
          </cell>
          <cell r="W13">
            <v>21725.585060000001</v>
          </cell>
          <cell r="X13">
            <v>22088.230599999999</v>
          </cell>
          <cell r="Y13">
            <v>22459.695739999999</v>
          </cell>
          <cell r="Z13">
            <v>22840.117569999999</v>
          </cell>
          <cell r="AA13">
            <v>23227.441719999999</v>
          </cell>
          <cell r="AB13">
            <v>23621.28184</v>
          </cell>
          <cell r="AC13">
            <v>24021.390579999999</v>
          </cell>
          <cell r="AD13">
            <v>24427.564590000002</v>
          </cell>
          <cell r="AE13">
            <v>24839.634679999999</v>
          </cell>
          <cell r="AF13">
            <v>25257.458190000001</v>
          </cell>
          <cell r="AG13">
            <v>25680.908630000002</v>
          </cell>
          <cell r="AH13">
            <v>26109.864710000002</v>
          </cell>
          <cell r="AI13">
            <v>26544.200970000002</v>
          </cell>
          <cell r="AJ13">
            <v>26983.78111</v>
          </cell>
          <cell r="AK13">
            <v>27428.454409999998</v>
          </cell>
          <cell r="AL13">
            <v>27877.521349999999</v>
          </cell>
          <cell r="AM13">
            <v>28330.400979999999</v>
          </cell>
          <cell r="AN13">
            <v>28786.615539999999</v>
          </cell>
          <cell r="AO13">
            <v>29245.760849999999</v>
          </cell>
          <cell r="AP13">
            <v>29707.48978</v>
          </cell>
          <cell r="AQ13">
            <v>30171.50287</v>
          </cell>
          <cell r="AR13">
            <v>30637.541929999999</v>
          </cell>
          <cell r="AS13">
            <v>31105.384829999999</v>
          </cell>
          <cell r="AT13">
            <v>31574.840990000001</v>
          </cell>
          <cell r="AU13">
            <v>32045.747770000002</v>
          </cell>
          <cell r="AV13">
            <v>32518.016930000002</v>
          </cell>
          <cell r="AW13">
            <v>32991.57202</v>
          </cell>
          <cell r="AX13">
            <v>33466.349580000002</v>
          </cell>
          <cell r="AY13">
            <v>33942.301769999998</v>
          </cell>
          <cell r="AZ13">
            <v>34419.398759999996</v>
          </cell>
          <cell r="BA13">
            <v>37576.006950000003</v>
          </cell>
          <cell r="BB13">
            <v>38316.169329999997</v>
          </cell>
          <cell r="BC13">
            <v>39067.006710000001</v>
          </cell>
          <cell r="BD13">
            <v>39828.25834</v>
          </cell>
          <cell r="BE13">
            <v>40599.664290000001</v>
          </cell>
        </row>
        <row r="14">
          <cell r="B14">
            <v>13369.922119999999</v>
          </cell>
          <cell r="C14">
            <v>13488.723739999999</v>
          </cell>
          <cell r="D14">
            <v>13605.62204</v>
          </cell>
          <cell r="E14">
            <v>13724.409890000001</v>
          </cell>
          <cell r="F14">
            <v>13847.29178</v>
          </cell>
          <cell r="G14">
            <v>13975.69161</v>
          </cell>
          <cell r="H14">
            <v>14109.95435</v>
          </cell>
          <cell r="I14">
            <v>14250.38667</v>
          </cell>
          <cell r="J14">
            <v>14397.21565</v>
          </cell>
          <cell r="K14">
            <v>14550.56157</v>
          </cell>
          <cell r="L14">
            <v>14711.463830000001</v>
          </cell>
          <cell r="M14">
            <v>14879.286609999999</v>
          </cell>
          <cell r="N14">
            <v>15053.59038</v>
          </cell>
          <cell r="O14">
            <v>15234.045260000001</v>
          </cell>
          <cell r="P14">
            <v>15420.365040000001</v>
          </cell>
          <cell r="Q14">
            <v>15612.28974</v>
          </cell>
          <cell r="R14">
            <v>15809.47502</v>
          </cell>
          <cell r="S14">
            <v>16011.678470000001</v>
          </cell>
          <cell r="T14">
            <v>16218.72314</v>
          </cell>
          <cell r="U14">
            <v>16430.47897</v>
          </cell>
          <cell r="V14">
            <v>16646.103660000001</v>
          </cell>
          <cell r="W14">
            <v>16865.873360000001</v>
          </cell>
          <cell r="X14">
            <v>17089.954180000001</v>
          </cell>
          <cell r="Y14">
            <v>17318.448619999999</v>
          </cell>
          <cell r="Z14">
            <v>17551.440269999999</v>
          </cell>
          <cell r="AA14">
            <v>17786.853910000002</v>
          </cell>
          <cell r="AB14">
            <v>18024.746200000001</v>
          </cell>
          <cell r="AC14">
            <v>18265.189640000001</v>
          </cell>
          <cell r="AD14">
            <v>18508.251370000002</v>
          </cell>
          <cell r="AE14">
            <v>18754.023229999999</v>
          </cell>
          <cell r="AF14">
            <v>19002.627339999999</v>
          </cell>
          <cell r="AG14">
            <v>19254.23402</v>
          </cell>
          <cell r="AH14">
            <v>19509.010060000001</v>
          </cell>
          <cell r="AI14">
            <v>19767.117249999999</v>
          </cell>
          <cell r="AJ14">
            <v>20028.708620000001</v>
          </cell>
          <cell r="AK14">
            <v>20293.924770000001</v>
          </cell>
          <cell r="AL14">
            <v>20562.595580000001</v>
          </cell>
          <cell r="AM14">
            <v>20834.61793</v>
          </cell>
          <cell r="AN14">
            <v>21109.944159999999</v>
          </cell>
          <cell r="AO14">
            <v>21388.562539999999</v>
          </cell>
          <cell r="AP14">
            <v>21670.48645</v>
          </cell>
          <cell r="AQ14">
            <v>21955.783469999998</v>
          </cell>
          <cell r="AR14">
            <v>22244.5124</v>
          </cell>
          <cell r="AS14">
            <v>22536.7307</v>
          </cell>
          <cell r="AT14">
            <v>22832.496350000001</v>
          </cell>
          <cell r="AU14">
            <v>23131.866849999999</v>
          </cell>
          <cell r="AV14">
            <v>23435.065920000001</v>
          </cell>
          <cell r="AW14">
            <v>23742.22034</v>
          </cell>
          <cell r="AX14">
            <v>24053.408879999999</v>
          </cell>
          <cell r="AY14">
            <v>24368.687740000001</v>
          </cell>
          <cell r="AZ14">
            <v>24688.100999999999</v>
          </cell>
          <cell r="BA14">
            <v>29198.073670000002</v>
          </cell>
          <cell r="BB14">
            <v>29714.874299999999</v>
          </cell>
          <cell r="BC14">
            <v>30240.77392</v>
          </cell>
          <cell r="BD14">
            <v>30775.876130000001</v>
          </cell>
          <cell r="BE14">
            <v>31320.287349999999</v>
          </cell>
        </row>
        <row r="15">
          <cell r="B15">
            <v>13396.22386</v>
          </cell>
          <cell r="C15">
            <v>13553.285980000001</v>
          </cell>
          <cell r="D15">
            <v>13713.94793</v>
          </cell>
          <cell r="E15">
            <v>13879.35446</v>
          </cell>
          <cell r="F15">
            <v>14050.50469</v>
          </cell>
          <cell r="G15">
            <v>14228.15992</v>
          </cell>
          <cell r="H15">
            <v>14412.228639999999</v>
          </cell>
          <cell r="I15">
            <v>14602.703799999999</v>
          </cell>
          <cell r="J15">
            <v>14799.59101</v>
          </cell>
          <cell r="K15">
            <v>15002.870650000001</v>
          </cell>
          <cell r="L15">
            <v>15213.585080000001</v>
          </cell>
          <cell r="M15">
            <v>15431.168449999999</v>
          </cell>
          <cell r="N15">
            <v>15655.242609999999</v>
          </cell>
          <cell r="O15">
            <v>15885.54573</v>
          </cell>
          <cell r="P15">
            <v>16121.867620000001</v>
          </cell>
          <cell r="Q15">
            <v>16364.02817</v>
          </cell>
          <cell r="R15">
            <v>16611.873439999999</v>
          </cell>
          <cell r="S15">
            <v>16865.276709999998</v>
          </cell>
          <cell r="T15">
            <v>17124.139190000002</v>
          </cell>
          <cell r="U15">
            <v>17388.389589999999</v>
          </cell>
          <cell r="V15">
            <v>17657.162520000002</v>
          </cell>
          <cell r="W15">
            <v>17930.800179999998</v>
          </cell>
          <cell r="X15">
            <v>18209.510989999999</v>
          </cell>
          <cell r="Y15">
            <v>18493.42525</v>
          </cell>
          <cell r="Z15">
            <v>18782.645120000001</v>
          </cell>
          <cell r="AA15">
            <v>19074.881430000001</v>
          </cell>
          <cell r="AB15">
            <v>19370.146540000002</v>
          </cell>
          <cell r="AC15">
            <v>19668.489290000001</v>
          </cell>
          <cell r="AD15">
            <v>19969.960739999999</v>
          </cell>
          <cell r="AE15">
            <v>20274.641360000001</v>
          </cell>
          <cell r="AF15">
            <v>20582.644970000001</v>
          </cell>
          <cell r="AG15">
            <v>20894.110400000001</v>
          </cell>
          <cell r="AH15">
            <v>21209.189699999999</v>
          </cell>
          <cell r="AI15">
            <v>21528.037260000001</v>
          </cell>
          <cell r="AJ15">
            <v>21850.801599999999</v>
          </cell>
          <cell r="AK15">
            <v>22177.619989999999</v>
          </cell>
          <cell r="AL15">
            <v>22508.0327</v>
          </cell>
          <cell r="AM15">
            <v>22841.81798</v>
          </cell>
          <cell r="AN15">
            <v>23178.8868</v>
          </cell>
          <cell r="AO15">
            <v>23519.218720000001</v>
          </cell>
          <cell r="AP15">
            <v>23862.835129999999</v>
          </cell>
          <cell r="AQ15">
            <v>24209.78659</v>
          </cell>
          <cell r="AR15">
            <v>24560.14471</v>
          </cell>
          <cell r="AS15">
            <v>24913.995459999998</v>
          </cell>
          <cell r="AT15">
            <v>25271.43345</v>
          </cell>
          <cell r="AU15">
            <v>25632.5573</v>
          </cell>
          <cell r="AV15">
            <v>25997.519810000002</v>
          </cell>
          <cell r="AW15">
            <v>26366.449799999999</v>
          </cell>
          <cell r="AX15">
            <v>26739.46056</v>
          </cell>
          <cell r="AY15">
            <v>27116.65351</v>
          </cell>
          <cell r="AZ15">
            <v>27498.12039</v>
          </cell>
          <cell r="BA15">
            <v>29417.580399999999</v>
          </cell>
          <cell r="BB15">
            <v>29946.401600000001</v>
          </cell>
          <cell r="BC15">
            <v>30484.51958</v>
          </cell>
          <cell r="BD15">
            <v>31032.038619999999</v>
          </cell>
          <cell r="BE15">
            <v>31589.068230000001</v>
          </cell>
        </row>
        <row r="16">
          <cell r="B16">
            <v>36307.96703</v>
          </cell>
          <cell r="C16">
            <v>36606.860260000001</v>
          </cell>
          <cell r="D16">
            <v>36904.10456</v>
          </cell>
          <cell r="E16">
            <v>37210.593399999998</v>
          </cell>
          <cell r="F16">
            <v>37531.559820000002</v>
          </cell>
          <cell r="G16">
            <v>37869.863089999999</v>
          </cell>
          <cell r="H16">
            <v>38225.23414</v>
          </cell>
          <cell r="I16">
            <v>38597.786419999997</v>
          </cell>
          <cell r="J16">
            <v>38987.603020000002</v>
          </cell>
          <cell r="K16">
            <v>39394.571880000003</v>
          </cell>
          <cell r="L16">
            <v>39821.549299999999</v>
          </cell>
          <cell r="M16">
            <v>40265.805780000002</v>
          </cell>
          <cell r="N16">
            <v>40725.796179999998</v>
          </cell>
          <cell r="O16">
            <v>41200.484669999998</v>
          </cell>
          <cell r="P16">
            <v>41689.031060000001</v>
          </cell>
          <cell r="Q16">
            <v>42190.707000000002</v>
          </cell>
          <cell r="R16">
            <v>42704.485710000001</v>
          </cell>
          <cell r="S16">
            <v>43229.728920000001</v>
          </cell>
          <cell r="T16">
            <v>43766.021309999996</v>
          </cell>
          <cell r="U16">
            <v>44313.097600000001</v>
          </cell>
          <cell r="V16">
            <v>44868.490469999997</v>
          </cell>
          <cell r="W16">
            <v>45433.506699999998</v>
          </cell>
          <cell r="X16">
            <v>46008.788439999997</v>
          </cell>
          <cell r="Y16">
            <v>46594.714370000002</v>
          </cell>
          <cell r="Z16">
            <v>47191.600330000001</v>
          </cell>
          <cell r="AA16">
            <v>47793.110480000003</v>
          </cell>
          <cell r="AB16">
            <v>48400.420420000002</v>
          </cell>
          <cell r="AC16">
            <v>49014.231540000001</v>
          </cell>
          <cell r="AD16">
            <v>49635.030769999998</v>
          </cell>
          <cell r="AE16">
            <v>50263.279759999998</v>
          </cell>
          <cell r="AF16">
            <v>50899.464529999997</v>
          </cell>
          <cell r="AG16">
            <v>51544.182430000001</v>
          </cell>
          <cell r="AH16">
            <v>52197.9712</v>
          </cell>
          <cell r="AI16">
            <v>52861.326869999997</v>
          </cell>
          <cell r="AJ16">
            <v>53534.70407</v>
          </cell>
          <cell r="AK16">
            <v>54218.511250000003</v>
          </cell>
          <cell r="AL16">
            <v>54912.310649999999</v>
          </cell>
          <cell r="AM16">
            <v>55615.961889999999</v>
          </cell>
          <cell r="AN16">
            <v>56329.463680000001</v>
          </cell>
          <cell r="AO16">
            <v>57052.875489999999</v>
          </cell>
          <cell r="AP16">
            <v>57786.288130000001</v>
          </cell>
          <cell r="AQ16">
            <v>58529.938770000001</v>
          </cell>
          <cell r="AR16">
            <v>59283.987869999997</v>
          </cell>
          <cell r="AS16">
            <v>60048.565179999998</v>
          </cell>
          <cell r="AT16">
            <v>60823.786500000002</v>
          </cell>
          <cell r="AU16">
            <v>61609.757089999999</v>
          </cell>
          <cell r="AV16">
            <v>62407.150889999997</v>
          </cell>
          <cell r="AW16">
            <v>63216.256889999997</v>
          </cell>
          <cell r="AX16">
            <v>64037.203289999998</v>
          </cell>
          <cell r="AY16">
            <v>64870.055079999998</v>
          </cell>
          <cell r="AZ16">
            <v>65714.849560000002</v>
          </cell>
          <cell r="BA16">
            <v>79197.54393</v>
          </cell>
          <cell r="BB16">
            <v>80609.460149999999</v>
          </cell>
          <cell r="BC16">
            <v>82047.784960000005</v>
          </cell>
          <cell r="BD16">
            <v>83512.867060000004</v>
          </cell>
          <cell r="BE16">
            <v>85005.057159999997</v>
          </cell>
        </row>
        <row r="17">
          <cell r="B17">
            <v>36402.301390000001</v>
          </cell>
          <cell r="C17">
            <v>36832.178140000004</v>
          </cell>
          <cell r="D17">
            <v>37274.425660000001</v>
          </cell>
          <cell r="E17">
            <v>37731.827429999998</v>
          </cell>
          <cell r="F17">
            <v>38206.483489999999</v>
          </cell>
          <cell r="G17">
            <v>38699.813439999998</v>
          </cell>
          <cell r="H17">
            <v>39210.710899999998</v>
          </cell>
          <cell r="I17">
            <v>39738.740210000004</v>
          </cell>
          <cell r="J17">
            <v>40283.639430000003</v>
          </cell>
          <cell r="K17">
            <v>40845.132539999999</v>
          </cell>
          <cell r="L17">
            <v>41426.32733</v>
          </cell>
          <cell r="M17">
            <v>42024.883320000001</v>
          </cell>
          <cell r="N17">
            <v>42639.547189999997</v>
          </cell>
          <cell r="O17">
            <v>43269.563970000003</v>
          </cell>
          <cell r="P17">
            <v>43914.381390000002</v>
          </cell>
          <cell r="Q17">
            <v>44573.558620000003</v>
          </cell>
          <cell r="R17">
            <v>45246.745040000002</v>
          </cell>
          <cell r="S17">
            <v>45933.677739999999</v>
          </cell>
          <cell r="T17">
            <v>46634.180650000002</v>
          </cell>
          <cell r="U17">
            <v>47348.160819999997</v>
          </cell>
          <cell r="V17">
            <v>48073.031430000003</v>
          </cell>
          <cell r="W17">
            <v>48810.322289999996</v>
          </cell>
          <cell r="X17">
            <v>49560.795890000001</v>
          </cell>
          <cell r="Y17">
            <v>50324.894370000002</v>
          </cell>
          <cell r="Z17">
            <v>51102.963360000002</v>
          </cell>
          <cell r="AA17">
            <v>51887.862820000002</v>
          </cell>
          <cell r="AB17">
            <v>52680.643349999998</v>
          </cell>
          <cell r="AC17">
            <v>53481.941939999997</v>
          </cell>
          <cell r="AD17">
            <v>54292.197500000002</v>
          </cell>
          <cell r="AE17">
            <v>55111.832159999998</v>
          </cell>
          <cell r="AF17">
            <v>55941.298150000002</v>
          </cell>
          <cell r="AG17">
            <v>56781.072919999999</v>
          </cell>
          <cell r="AH17">
            <v>57631.639060000001</v>
          </cell>
          <cell r="AI17">
            <v>58493.463620000002</v>
          </cell>
          <cell r="AJ17">
            <v>59366.982060000002</v>
          </cell>
          <cell r="AK17">
            <v>60252.588170000003</v>
          </cell>
          <cell r="AL17">
            <v>61148.803229999998</v>
          </cell>
          <cell r="AM17">
            <v>62055.129309999997</v>
          </cell>
          <cell r="AN17">
            <v>62971.479789999998</v>
          </cell>
          <cell r="AO17">
            <v>63897.928910000002</v>
          </cell>
          <cell r="AP17">
            <v>64834.624730000003</v>
          </cell>
          <cell r="AQ17">
            <v>65781.756739999997</v>
          </cell>
          <cell r="AR17">
            <v>66739.539850000001</v>
          </cell>
          <cell r="AS17">
            <v>67708.202990000005</v>
          </cell>
          <cell r="AT17">
            <v>68687.979800000001</v>
          </cell>
          <cell r="AU17">
            <v>69679.101160000006</v>
          </cell>
          <cell r="AV17">
            <v>70681.957609999998</v>
          </cell>
          <cell r="AW17">
            <v>71696.835909999994</v>
          </cell>
          <cell r="AX17">
            <v>72723.970199999996</v>
          </cell>
          <cell r="AY17">
            <v>73763.562539999999</v>
          </cell>
          <cell r="AZ17">
            <v>74815.791979999995</v>
          </cell>
          <cell r="BA17">
            <v>79869.831170000005</v>
          </cell>
          <cell r="BB17">
            <v>81320.486560000005</v>
          </cell>
          <cell r="BC17">
            <v>82798.377609999996</v>
          </cell>
          <cell r="BD17">
            <v>84303.857399999994</v>
          </cell>
          <cell r="BE17">
            <v>85837.286909999995</v>
          </cell>
        </row>
        <row r="18">
          <cell r="B18">
            <v>13330.597900000001</v>
          </cell>
          <cell r="C18">
            <v>13444.23108</v>
          </cell>
          <cell r="D18">
            <v>13557.35721</v>
          </cell>
          <cell r="E18">
            <v>13673.907010000001</v>
          </cell>
          <cell r="F18">
            <v>13795.704229999999</v>
          </cell>
          <cell r="G18">
            <v>13923.685289999999</v>
          </cell>
          <cell r="H18">
            <v>14057.737059999999</v>
          </cell>
          <cell r="I18">
            <v>14197.840980000001</v>
          </cell>
          <cell r="J18">
            <v>14343.99137</v>
          </cell>
          <cell r="K18">
            <v>14496.13876</v>
          </cell>
          <cell r="L18">
            <v>14655.22307</v>
          </cell>
          <cell r="M18">
            <v>14820.420529999999</v>
          </cell>
          <cell r="N18">
            <v>14991.206469999999</v>
          </cell>
          <cell r="O18">
            <v>15167.21717</v>
          </cell>
          <cell r="P18">
            <v>15348.159540000001</v>
          </cell>
          <cell r="Q18">
            <v>15533.784019999999</v>
          </cell>
          <cell r="R18">
            <v>15723.74893</v>
          </cell>
          <cell r="S18">
            <v>15917.843150000001</v>
          </cell>
          <cell r="T18">
            <v>16115.937889999999</v>
          </cell>
          <cell r="U18">
            <v>16317.96161</v>
          </cell>
          <cell r="V18">
            <v>16523.123250000001</v>
          </cell>
          <cell r="W18">
            <v>16731.82358</v>
          </cell>
          <cell r="X18">
            <v>16944.311880000001</v>
          </cell>
          <cell r="Y18">
            <v>17160.759389999999</v>
          </cell>
          <cell r="Z18">
            <v>17381.315050000001</v>
          </cell>
          <cell r="AA18">
            <v>17603.934649999999</v>
          </cell>
          <cell r="AB18">
            <v>17828.881560000002</v>
          </cell>
          <cell r="AC18">
            <v>18056.368399999999</v>
          </cell>
          <cell r="AD18">
            <v>18286.560310000001</v>
          </cell>
          <cell r="AE18">
            <v>18519.61939</v>
          </cell>
          <cell r="AF18">
            <v>18755.717540000001</v>
          </cell>
          <cell r="AG18">
            <v>18995.063819999999</v>
          </cell>
          <cell r="AH18">
            <v>19237.847750000001</v>
          </cell>
          <cell r="AI18">
            <v>19484.242630000001</v>
          </cell>
          <cell r="AJ18">
            <v>19734.404719999999</v>
          </cell>
          <cell r="AK18">
            <v>19988.471310000001</v>
          </cell>
          <cell r="AL18">
            <v>20246.297869999999</v>
          </cell>
          <cell r="AM18">
            <v>20507.802459999999</v>
          </cell>
          <cell r="AN18">
            <v>20772.945159999999</v>
          </cell>
          <cell r="AO18">
            <v>21041.708770000001</v>
          </cell>
          <cell r="AP18">
            <v>21314.089690000001</v>
          </cell>
          <cell r="AQ18">
            <v>21590.13535</v>
          </cell>
          <cell r="AR18">
            <v>21869.871500000001</v>
          </cell>
          <cell r="AS18">
            <v>22153.314829999999</v>
          </cell>
          <cell r="AT18">
            <v>22440.478299999999</v>
          </cell>
          <cell r="AU18">
            <v>22731.372340000002</v>
          </cell>
          <cell r="AV18">
            <v>23026.19584</v>
          </cell>
          <cell r="AW18">
            <v>23325.030129999999</v>
          </cell>
          <cell r="AX18">
            <v>23627.902020000001</v>
          </cell>
          <cell r="AY18">
            <v>23934.816299999999</v>
          </cell>
          <cell r="AZ18">
            <v>24245.768749999999</v>
          </cell>
          <cell r="BA18">
            <v>29288.266189999998</v>
          </cell>
          <cell r="BB18">
            <v>29817.964530000001</v>
          </cell>
          <cell r="BC18">
            <v>30357.277910000001</v>
          </cell>
          <cell r="BD18">
            <v>30906.279409999999</v>
          </cell>
          <cell r="BE18">
            <v>31465.041249999998</v>
          </cell>
        </row>
        <row r="19">
          <cell r="B19">
            <v>13361.617630000001</v>
          </cell>
          <cell r="C19">
            <v>13519.35399</v>
          </cell>
          <cell r="D19">
            <v>13681.851699999999</v>
          </cell>
          <cell r="E19">
            <v>13850.09756</v>
          </cell>
          <cell r="F19">
            <v>14024.76684</v>
          </cell>
          <cell r="G19">
            <v>14206.28357</v>
          </cell>
          <cell r="H19">
            <v>14394.248659999999</v>
          </cell>
          <cell r="I19">
            <v>14588.45876</v>
          </cell>
          <cell r="J19">
            <v>14788.792649999999</v>
          </cell>
          <cell r="K19">
            <v>14995.148090000001</v>
          </cell>
          <cell r="L19">
            <v>15208.552079999999</v>
          </cell>
          <cell r="M19">
            <v>15428.325500000001</v>
          </cell>
          <cell r="N19">
            <v>15654.05975</v>
          </cell>
          <cell r="O19">
            <v>15885.502619999999</v>
          </cell>
          <cell r="P19">
            <v>16122.473190000001</v>
          </cell>
          <cell r="Q19">
            <v>16364.8315</v>
          </cell>
          <cell r="R19">
            <v>16612.470730000001</v>
          </cell>
          <cell r="S19">
            <v>16865.315770000001</v>
          </cell>
          <cell r="T19">
            <v>17123.32273</v>
          </cell>
          <cell r="U19">
            <v>17386.47726</v>
          </cell>
          <cell r="V19">
            <v>17653.94541</v>
          </cell>
          <cell r="W19">
            <v>17926.188699999999</v>
          </cell>
          <cell r="X19">
            <v>18203.48444</v>
          </cell>
          <cell r="Y19">
            <v>18486.010890000001</v>
          </cell>
          <cell r="Z19">
            <v>18773.91041</v>
          </cell>
          <cell r="AA19">
            <v>19064.855319999999</v>
          </cell>
          <cell r="AB19">
            <v>19359.032480000002</v>
          </cell>
          <cell r="AC19">
            <v>19656.60211</v>
          </cell>
          <cell r="AD19">
            <v>19957.683730000001</v>
          </cell>
          <cell r="AE19">
            <v>20262.397079999999</v>
          </cell>
          <cell r="AF19">
            <v>20570.873889999999</v>
          </cell>
          <cell r="AG19">
            <v>20883.254830000002</v>
          </cell>
          <cell r="AH19">
            <v>21199.68173</v>
          </cell>
          <cell r="AI19">
            <v>21520.2896</v>
          </cell>
          <cell r="AJ19">
            <v>21845.200440000001</v>
          </cell>
          <cell r="AK19">
            <v>22174.519420000001</v>
          </cell>
          <cell r="AL19">
            <v>22507.73128</v>
          </cell>
          <cell r="AM19">
            <v>22844.59708</v>
          </cell>
          <cell r="AN19">
            <v>23185.015220000001</v>
          </cell>
          <cell r="AO19">
            <v>23528.94471</v>
          </cell>
          <cell r="AP19">
            <v>23876.37543</v>
          </cell>
          <cell r="AQ19">
            <v>24227.316210000001</v>
          </cell>
          <cell r="AR19">
            <v>24581.7889</v>
          </cell>
          <cell r="AS19">
            <v>24939.824140000001</v>
          </cell>
          <cell r="AT19">
            <v>25301.457829999999</v>
          </cell>
          <cell r="AU19">
            <v>25666.728459999998</v>
          </cell>
          <cell r="AV19">
            <v>26035.73027</v>
          </cell>
          <cell r="AW19">
            <v>26408.530050000001</v>
          </cell>
          <cell r="AX19">
            <v>26785.17957</v>
          </cell>
          <cell r="AY19">
            <v>27165.722549999999</v>
          </cell>
          <cell r="AZ19">
            <v>27550.198260000001</v>
          </cell>
          <cell r="BA19">
            <v>29526.82949</v>
          </cell>
          <cell r="BB19">
            <v>30069.428540000001</v>
          </cell>
          <cell r="BC19">
            <v>30621.811959999999</v>
          </cell>
          <cell r="BD19">
            <v>31184.047979999999</v>
          </cell>
          <cell r="BE19">
            <v>31756.206590000002</v>
          </cell>
        </row>
        <row r="20">
          <cell r="B20">
            <v>66386.311530000006</v>
          </cell>
          <cell r="C20">
            <v>66949.878540000005</v>
          </cell>
          <cell r="D20">
            <v>67510.023990000002</v>
          </cell>
          <cell r="E20">
            <v>68087.56482</v>
          </cell>
          <cell r="F20">
            <v>68691.885070000004</v>
          </cell>
          <cell r="G20">
            <v>69327.372109999997</v>
          </cell>
          <cell r="H20">
            <v>69993.020380000002</v>
          </cell>
          <cell r="I20">
            <v>70688.221699999995</v>
          </cell>
          <cell r="J20">
            <v>71412.531650000004</v>
          </cell>
          <cell r="K20">
            <v>72165.430349999995</v>
          </cell>
          <cell r="L20">
            <v>72951.347070000003</v>
          </cell>
          <cell r="M20">
            <v>73766.251409999997</v>
          </cell>
          <cell r="N20">
            <v>74607.594989999998</v>
          </cell>
          <cell r="O20">
            <v>75473.715670000005</v>
          </cell>
          <cell r="P20">
            <v>76363.371190000005</v>
          </cell>
          <cell r="Q20">
            <v>77275.575549999994</v>
          </cell>
          <cell r="R20">
            <v>78208.903019999998</v>
          </cell>
          <cell r="S20">
            <v>79162.569390000004</v>
          </cell>
          <cell r="T20">
            <v>80136.202640000003</v>
          </cell>
          <cell r="U20">
            <v>81129.711609999998</v>
          </cell>
          <cell r="V20">
            <v>82139.502789999999</v>
          </cell>
          <cell r="W20">
            <v>83167.746440000003</v>
          </cell>
          <cell r="X20">
            <v>84215.904259999996</v>
          </cell>
          <cell r="Y20">
            <v>85285.023679999998</v>
          </cell>
          <cell r="Z20">
            <v>86376.012069999997</v>
          </cell>
          <cell r="AA20">
            <v>87479.096420000002</v>
          </cell>
          <cell r="AB20">
            <v>88595.647859999997</v>
          </cell>
          <cell r="AC20">
            <v>89726.863429999998</v>
          </cell>
          <cell r="AD20">
            <v>90873.659599999999</v>
          </cell>
          <cell r="AE20">
            <v>92036.875419999997</v>
          </cell>
          <cell r="AF20">
            <v>93217.344719999994</v>
          </cell>
          <cell r="AG20">
            <v>94416.04479</v>
          </cell>
          <cell r="AH20">
            <v>95633.829180000001</v>
          </cell>
          <cell r="AI20">
            <v>96871.448839999997</v>
          </cell>
          <cell r="AJ20">
            <v>98129.555110000001</v>
          </cell>
          <cell r="AK20">
            <v>99408.694570000007</v>
          </cell>
          <cell r="AL20">
            <v>100708.0612</v>
          </cell>
          <cell r="AM20">
            <v>102027.1332</v>
          </cell>
          <cell r="AN20">
            <v>103365.57670000001</v>
          </cell>
          <cell r="AO20">
            <v>104723.1504</v>
          </cell>
          <cell r="AP20">
            <v>106099.6618</v>
          </cell>
          <cell r="AQ20">
            <v>107495.1569</v>
          </cell>
          <cell r="AR20">
            <v>108909.5672</v>
          </cell>
          <cell r="AS20">
            <v>110342.77069999999</v>
          </cell>
          <cell r="AT20">
            <v>111794.6243</v>
          </cell>
          <cell r="AU20">
            <v>113264.9737</v>
          </cell>
          <cell r="AV20">
            <v>114754.6021</v>
          </cell>
          <cell r="AW20">
            <v>116263.7314</v>
          </cell>
          <cell r="AX20">
            <v>117792.3141</v>
          </cell>
          <cell r="AY20">
            <v>119340.198</v>
          </cell>
          <cell r="AZ20">
            <v>120907.1971</v>
          </cell>
          <cell r="BA20">
            <v>147963.2444</v>
          </cell>
          <cell r="BB20">
            <v>150724.8345</v>
          </cell>
          <cell r="BC20">
            <v>153535.99280000001</v>
          </cell>
          <cell r="BD20">
            <v>156396.79120000001</v>
          </cell>
          <cell r="BE20">
            <v>159307.28649999999</v>
          </cell>
        </row>
        <row r="21">
          <cell r="B21">
            <v>66540.278550000003</v>
          </cell>
          <cell r="C21">
            <v>67325.135370000004</v>
          </cell>
          <cell r="D21">
            <v>68133.770340000003</v>
          </cell>
          <cell r="E21">
            <v>68971.425919999994</v>
          </cell>
          <cell r="F21">
            <v>69841.506789999999</v>
          </cell>
          <cell r="G21">
            <v>70746.032319999998</v>
          </cell>
          <cell r="H21">
            <v>71682.969200000007</v>
          </cell>
          <cell r="I21">
            <v>72651.2399</v>
          </cell>
          <cell r="J21">
            <v>73650.235050000003</v>
          </cell>
          <cell r="K21">
            <v>74679.500839999993</v>
          </cell>
          <cell r="L21">
            <v>75744.138479999994</v>
          </cell>
          <cell r="M21">
            <v>76841.003020000004</v>
          </cell>
          <cell r="N21">
            <v>77968.228319999995</v>
          </cell>
          <cell r="O21">
            <v>79124.756219999996</v>
          </cell>
          <cell r="P21">
            <v>80309.909350000002</v>
          </cell>
          <cell r="Q21">
            <v>81523.222869999998</v>
          </cell>
          <cell r="R21">
            <v>82764.390419999996</v>
          </cell>
          <cell r="S21">
            <v>84033.248720000003</v>
          </cell>
          <cell r="T21">
            <v>85329.769969999994</v>
          </cell>
          <cell r="U21">
            <v>86654.051869999996</v>
          </cell>
          <cell r="V21">
            <v>88002.172739999995</v>
          </cell>
          <cell r="W21">
            <v>89376.484039999996</v>
          </cell>
          <cell r="X21">
            <v>90778.46875</v>
          </cell>
          <cell r="Y21">
            <v>92209.086009999999</v>
          </cell>
          <cell r="Z21">
            <v>93669.082920000001</v>
          </cell>
          <cell r="AA21">
            <v>95147.113899999997</v>
          </cell>
          <cell r="AB21">
            <v>96644.005780000007</v>
          </cell>
          <cell r="AC21">
            <v>98160.543449999997</v>
          </cell>
          <cell r="AD21">
            <v>99697.267319999999</v>
          </cell>
          <cell r="AE21">
            <v>101254.6563</v>
          </cell>
          <cell r="AF21">
            <v>102833.19379999999</v>
          </cell>
          <cell r="AG21">
            <v>104433.3664</v>
          </cell>
          <cell r="AH21">
            <v>106055.637</v>
          </cell>
          <cell r="AI21">
            <v>107700.4151</v>
          </cell>
          <cell r="AJ21">
            <v>109368.03350000001</v>
          </cell>
          <cell r="AK21">
            <v>111058.7332</v>
          </cell>
          <cell r="AL21">
            <v>112769.71189999999</v>
          </cell>
          <cell r="AM21">
            <v>114499.4917</v>
          </cell>
          <cell r="AN21">
            <v>116247.2795</v>
          </cell>
          <cell r="AO21">
            <v>118012.5808</v>
          </cell>
          <cell r="AP21">
            <v>119795.0451</v>
          </cell>
          <cell r="AQ21">
            <v>121594.4063</v>
          </cell>
          <cell r="AR21">
            <v>123410.4564</v>
          </cell>
          <cell r="AS21">
            <v>125243.03019999999</v>
          </cell>
          <cell r="AT21">
            <v>127091.9938</v>
          </cell>
          <cell r="AU21">
            <v>128957.2363</v>
          </cell>
          <cell r="AV21">
            <v>130838.9339</v>
          </cell>
          <cell r="AW21">
            <v>132737.14809999999</v>
          </cell>
          <cell r="AX21">
            <v>134651.886</v>
          </cell>
          <cell r="AY21">
            <v>136583.1385</v>
          </cell>
          <cell r="AZ21">
            <v>138530.9</v>
          </cell>
          <cell r="BA21">
            <v>149206.48629999999</v>
          </cell>
          <cell r="BB21">
            <v>152032.96799999999</v>
          </cell>
          <cell r="BC21">
            <v>154909.40760000001</v>
          </cell>
          <cell r="BD21">
            <v>157835.80369999999</v>
          </cell>
          <cell r="BE21">
            <v>160812.15539999999</v>
          </cell>
        </row>
        <row r="22">
          <cell r="B22">
            <v>128760.6924</v>
          </cell>
          <cell r="C22">
            <v>129752.1183</v>
          </cell>
          <cell r="D22">
            <v>130767.0285</v>
          </cell>
          <cell r="E22">
            <v>131843.85339999999</v>
          </cell>
          <cell r="F22">
            <v>132994.6764</v>
          </cell>
          <cell r="G22">
            <v>134221.85879999999</v>
          </cell>
          <cell r="H22">
            <v>135516.66310000001</v>
          </cell>
          <cell r="I22">
            <v>136873.7243</v>
          </cell>
          <cell r="J22">
            <v>138288.97659999999</v>
          </cell>
          <cell r="K22">
            <v>139758.777</v>
          </cell>
          <cell r="L22">
            <v>141291.69889999999</v>
          </cell>
          <cell r="M22">
            <v>142874.7138</v>
          </cell>
          <cell r="N22">
            <v>144501.0343</v>
          </cell>
          <cell r="O22">
            <v>146166.527</v>
          </cell>
          <cell r="P22">
            <v>147868.20569999999</v>
          </cell>
          <cell r="Q22">
            <v>149603.76740000001</v>
          </cell>
          <cell r="R22">
            <v>151369.70939999999</v>
          </cell>
          <cell r="S22">
            <v>153164.34049999999</v>
          </cell>
          <cell r="T22">
            <v>154986.93780000001</v>
          </cell>
          <cell r="U22">
            <v>156837.3884</v>
          </cell>
          <cell r="V22">
            <v>158707.3009</v>
          </cell>
          <cell r="W22">
            <v>160603.15729999999</v>
          </cell>
          <cell r="X22">
            <v>162528.2144</v>
          </cell>
          <cell r="Y22">
            <v>164484.5466</v>
          </cell>
          <cell r="Z22">
            <v>166473.92019999999</v>
          </cell>
          <cell r="AA22">
            <v>168473.1336</v>
          </cell>
          <cell r="AB22">
            <v>170489.1857</v>
          </cell>
          <cell r="AC22">
            <v>172526.1153</v>
          </cell>
          <cell r="AD22">
            <v>174586.6746</v>
          </cell>
          <cell r="AE22">
            <v>176673.2121</v>
          </cell>
          <cell r="AF22">
            <v>178787.93359999999</v>
          </cell>
          <cell r="AG22">
            <v>180933.34179999999</v>
          </cell>
          <cell r="AH22">
            <v>183111.5355</v>
          </cell>
          <cell r="AI22">
            <v>185324.35430000001</v>
          </cell>
          <cell r="AJ22">
            <v>187573.41940000001</v>
          </cell>
          <cell r="AK22">
            <v>189860.1397</v>
          </cell>
          <cell r="AL22">
            <v>192183.2469</v>
          </cell>
          <cell r="AM22">
            <v>194542.55799999999</v>
          </cell>
          <cell r="AN22">
            <v>196938.28030000001</v>
          </cell>
          <cell r="AO22">
            <v>199370.7267</v>
          </cell>
          <cell r="AP22">
            <v>201840.22500000001</v>
          </cell>
          <cell r="AQ22">
            <v>204347.6453</v>
          </cell>
          <cell r="AR22">
            <v>206893.4319</v>
          </cell>
          <cell r="AS22">
            <v>209477.84789999999</v>
          </cell>
          <cell r="AT22">
            <v>212101.06969999999</v>
          </cell>
          <cell r="AU22">
            <v>214763.21859999999</v>
          </cell>
          <cell r="AV22">
            <v>217466.80170000001</v>
          </cell>
          <cell r="AW22">
            <v>220212.60079999999</v>
          </cell>
          <cell r="AX22">
            <v>223000.74110000001</v>
          </cell>
          <cell r="AY22">
            <v>225831.1231</v>
          </cell>
          <cell r="AZ22">
            <v>228703.5759</v>
          </cell>
          <cell r="BA22">
            <v>285631.02980000002</v>
          </cell>
          <cell r="BB22">
            <v>290823.48839999997</v>
          </cell>
          <cell r="BC22">
            <v>296116.929</v>
          </cell>
          <cell r="BD22">
            <v>301512.54700000002</v>
          </cell>
          <cell r="BE22">
            <v>307011.51209999999</v>
          </cell>
        </row>
        <row r="23">
          <cell r="B23">
            <v>129174.9146</v>
          </cell>
          <cell r="C23">
            <v>130725.43459999999</v>
          </cell>
          <cell r="D23">
            <v>132346.70819999999</v>
          </cell>
          <cell r="E23">
            <v>134044.92300000001</v>
          </cell>
          <cell r="F23">
            <v>135821.91219999999</v>
          </cell>
          <cell r="G23">
            <v>137677.1703</v>
          </cell>
          <cell r="H23">
            <v>139601.38200000001</v>
          </cell>
          <cell r="I23">
            <v>141589.34220000001</v>
          </cell>
          <cell r="J23">
            <v>143637.4437</v>
          </cell>
          <cell r="K23">
            <v>145742.7273</v>
          </cell>
          <cell r="L23">
            <v>147915.79250000001</v>
          </cell>
          <cell r="M23">
            <v>150145.7873</v>
          </cell>
          <cell r="N23">
            <v>152427.37839999999</v>
          </cell>
          <cell r="O23">
            <v>154757.6488</v>
          </cell>
          <cell r="P23">
            <v>157134.72649999999</v>
          </cell>
          <cell r="Q23">
            <v>159557.32930000001</v>
          </cell>
          <cell r="R23">
            <v>162024.61569999999</v>
          </cell>
          <cell r="S23">
            <v>164536.12899999999</v>
          </cell>
          <cell r="T23">
            <v>167091.76319999999</v>
          </cell>
          <cell r="U23">
            <v>169691.7279</v>
          </cell>
          <cell r="V23">
            <v>172326.63430000001</v>
          </cell>
          <cell r="W23">
            <v>175003.61670000001</v>
          </cell>
          <cell r="X23">
            <v>177726.08439999999</v>
          </cell>
          <cell r="Y23">
            <v>180496.01519999999</v>
          </cell>
          <cell r="Z23">
            <v>183314.94649999999</v>
          </cell>
          <cell r="AA23">
            <v>186155.62150000001</v>
          </cell>
          <cell r="AB23">
            <v>189024.3743</v>
          </cell>
          <cell r="AC23">
            <v>191924.79440000001</v>
          </cell>
          <cell r="AD23">
            <v>194859.2341</v>
          </cell>
          <cell r="AE23">
            <v>197829.66769999999</v>
          </cell>
          <cell r="AF23">
            <v>200837.9455</v>
          </cell>
          <cell r="AG23">
            <v>203885.83749999999</v>
          </cell>
          <cell r="AH23">
            <v>206975.00889999999</v>
          </cell>
          <cell r="AI23">
            <v>210106.98310000001</v>
          </cell>
          <cell r="AJ23">
            <v>213283.11139999999</v>
          </cell>
          <cell r="AK23">
            <v>216504.55669999999</v>
          </cell>
          <cell r="AL23">
            <v>219765.266</v>
          </cell>
          <cell r="AM23">
            <v>223063.47469999999</v>
          </cell>
          <cell r="AN23">
            <v>226399.0048</v>
          </cell>
          <cell r="AO23">
            <v>229772.1924</v>
          </cell>
          <cell r="AP23">
            <v>233183.53599999999</v>
          </cell>
          <cell r="AQ23">
            <v>236633.58119999999</v>
          </cell>
          <cell r="AR23">
            <v>240122.8805</v>
          </cell>
          <cell r="AS23">
            <v>243651.9736</v>
          </cell>
          <cell r="AT23">
            <v>247221.375</v>
          </cell>
          <cell r="AU23">
            <v>250831.5644</v>
          </cell>
          <cell r="AV23">
            <v>254483.62539999999</v>
          </cell>
          <cell r="AW23">
            <v>258178.1923</v>
          </cell>
          <cell r="AX23">
            <v>261915.70360000001</v>
          </cell>
          <cell r="AY23">
            <v>265696.50719999999</v>
          </cell>
          <cell r="AZ23">
            <v>269520.90519999998</v>
          </cell>
          <cell r="BA23">
            <v>288049.45819999999</v>
          </cell>
          <cell r="BB23">
            <v>293378.7573</v>
          </cell>
          <cell r="BC23">
            <v>298811.56770000001</v>
          </cell>
          <cell r="BD23">
            <v>304349.05959999998</v>
          </cell>
          <cell r="BE23">
            <v>309992.39840000001</v>
          </cell>
        </row>
        <row r="24">
          <cell r="B24">
            <v>144654.96350000001</v>
          </cell>
          <cell r="C24">
            <v>145989.80489999999</v>
          </cell>
          <cell r="D24">
            <v>147299.16510000001</v>
          </cell>
          <cell r="E24">
            <v>148622.16819999999</v>
          </cell>
          <cell r="F24">
            <v>149981.18520000001</v>
          </cell>
          <cell r="G24">
            <v>151389.95869999999</v>
          </cell>
          <cell r="H24">
            <v>152851.54749999999</v>
          </cell>
          <cell r="I24">
            <v>154368.5858</v>
          </cell>
          <cell r="J24">
            <v>155943.467</v>
          </cell>
          <cell r="K24">
            <v>157578.10449999999</v>
          </cell>
          <cell r="L24">
            <v>159283.82449999999</v>
          </cell>
          <cell r="M24">
            <v>161056.62220000001</v>
          </cell>
          <cell r="N24">
            <v>162893.74739999999</v>
          </cell>
          <cell r="O24">
            <v>164793.43780000001</v>
          </cell>
          <cell r="P24">
            <v>166754.37549999999</v>
          </cell>
          <cell r="Q24">
            <v>168775.48439999999</v>
          </cell>
          <cell r="R24">
            <v>170854.8904</v>
          </cell>
          <cell r="S24">
            <v>172991.5141</v>
          </cell>
          <cell r="T24">
            <v>175184.78880000001</v>
          </cell>
          <cell r="U24">
            <v>177434.48300000001</v>
          </cell>
          <cell r="V24">
            <v>179733.27789999999</v>
          </cell>
          <cell r="W24">
            <v>182084.10690000001</v>
          </cell>
          <cell r="X24">
            <v>184489.20860000001</v>
          </cell>
          <cell r="Y24">
            <v>186950.16</v>
          </cell>
          <cell r="Z24">
            <v>189468.20980000001</v>
          </cell>
          <cell r="AA24">
            <v>192023.35070000001</v>
          </cell>
          <cell r="AB24">
            <v>194614.7248</v>
          </cell>
          <cell r="AC24">
            <v>197242.3401</v>
          </cell>
          <cell r="AD24">
            <v>199906.31950000001</v>
          </cell>
          <cell r="AE24">
            <v>202607.01809999999</v>
          </cell>
          <cell r="AF24">
            <v>205345.04459999999</v>
          </cell>
          <cell r="AG24">
            <v>208121.4241</v>
          </cell>
          <cell r="AH24">
            <v>210937.14840000001</v>
          </cell>
          <cell r="AI24">
            <v>213793.15100000001</v>
          </cell>
          <cell r="AJ24">
            <v>216690.2763</v>
          </cell>
          <cell r="AK24">
            <v>219629.25289999999</v>
          </cell>
          <cell r="AL24">
            <v>222607.5999</v>
          </cell>
          <cell r="AM24">
            <v>225623.36929999999</v>
          </cell>
          <cell r="AN24">
            <v>228675.2003</v>
          </cell>
          <cell r="AO24">
            <v>231762.1666</v>
          </cell>
          <cell r="AP24">
            <v>234883.67069999999</v>
          </cell>
          <cell r="AQ24">
            <v>238039.69459999999</v>
          </cell>
          <cell r="AR24">
            <v>241230.23800000001</v>
          </cell>
          <cell r="AS24">
            <v>244455.3547</v>
          </cell>
          <cell r="AT24">
            <v>247715.16070000001</v>
          </cell>
          <cell r="AU24">
            <v>251009.8204</v>
          </cell>
          <cell r="AV24">
            <v>254341.0865</v>
          </cell>
          <cell r="AW24">
            <v>257709.96109999999</v>
          </cell>
          <cell r="AX24">
            <v>261117.0379</v>
          </cell>
          <cell r="AY24">
            <v>264562.72399999999</v>
          </cell>
          <cell r="AZ24">
            <v>268047.3431</v>
          </cell>
          <cell r="BA24">
            <v>321001.99890000001</v>
          </cell>
          <cell r="BB24">
            <v>326859.30650000001</v>
          </cell>
          <cell r="BC24">
            <v>332813.91570000001</v>
          </cell>
          <cell r="BD24">
            <v>338866.0429</v>
          </cell>
          <cell r="BE24">
            <v>345015.929</v>
          </cell>
        </row>
        <row r="25">
          <cell r="B25">
            <v>144892.19870000001</v>
          </cell>
          <cell r="C25">
            <v>146585.408</v>
          </cell>
          <cell r="D25">
            <v>148314.58309999999</v>
          </cell>
          <cell r="E25">
            <v>150092.6685</v>
          </cell>
          <cell r="F25">
            <v>151930.21960000001</v>
          </cell>
          <cell r="G25">
            <v>153834.99050000001</v>
          </cell>
          <cell r="H25">
            <v>155806.44330000001</v>
          </cell>
          <cell r="I25">
            <v>157844.7034</v>
          </cell>
          <cell r="J25">
            <v>159950.33360000001</v>
          </cell>
          <cell r="K25">
            <v>162123.9785</v>
          </cell>
          <cell r="L25">
            <v>164376.8524</v>
          </cell>
          <cell r="M25">
            <v>166705.36069999999</v>
          </cell>
          <cell r="N25">
            <v>169106.98180000001</v>
          </cell>
          <cell r="O25">
            <v>171580.13630000001</v>
          </cell>
          <cell r="P25">
            <v>174123.67970000001</v>
          </cell>
          <cell r="Q25">
            <v>176736.6862</v>
          </cell>
          <cell r="R25">
            <v>179418.3891</v>
          </cell>
          <cell r="S25">
            <v>182168.17449999999</v>
          </cell>
          <cell r="T25">
            <v>184985.5827</v>
          </cell>
          <cell r="U25">
            <v>187870.3014</v>
          </cell>
          <cell r="V25">
            <v>190814.13939999999</v>
          </cell>
          <cell r="W25">
            <v>193819.9932</v>
          </cell>
          <cell r="X25">
            <v>196889.92739999999</v>
          </cell>
          <cell r="Y25">
            <v>200025.25030000001</v>
          </cell>
          <cell r="Z25">
            <v>203226.88639999999</v>
          </cell>
          <cell r="AA25">
            <v>206472.22659999999</v>
          </cell>
          <cell r="AB25">
            <v>209759.35029999999</v>
          </cell>
          <cell r="AC25">
            <v>213087.4951</v>
          </cell>
          <cell r="AD25">
            <v>216456.15090000001</v>
          </cell>
          <cell r="AE25">
            <v>219865.1311</v>
          </cell>
          <cell r="AF25">
            <v>223314.57010000001</v>
          </cell>
          <cell r="AG25">
            <v>226804.84169999999</v>
          </cell>
          <cell r="AH25">
            <v>230336.4522</v>
          </cell>
          <cell r="AI25">
            <v>233909.94279999999</v>
          </cell>
          <cell r="AJ25">
            <v>237525.818</v>
          </cell>
          <cell r="AK25">
            <v>241184.5012</v>
          </cell>
          <cell r="AL25">
            <v>244880.58470000001</v>
          </cell>
          <cell r="AM25">
            <v>248610.61429999999</v>
          </cell>
          <cell r="AN25">
            <v>252372.47820000001</v>
          </cell>
          <cell r="AO25">
            <v>256164.864</v>
          </cell>
          <cell r="AP25">
            <v>259986.9908</v>
          </cell>
          <cell r="AQ25">
            <v>263838.47159999999</v>
          </cell>
          <cell r="AR25">
            <v>267719.22249999997</v>
          </cell>
          <cell r="AS25">
            <v>271629.39159999997</v>
          </cell>
          <cell r="AT25">
            <v>275569.2991</v>
          </cell>
          <cell r="AU25">
            <v>279539.38900000002</v>
          </cell>
          <cell r="AV25">
            <v>283540.72029999999</v>
          </cell>
          <cell r="AW25">
            <v>287574.2366</v>
          </cell>
          <cell r="AX25">
            <v>291640.80989999999</v>
          </cell>
          <cell r="AY25">
            <v>295741.26799999998</v>
          </cell>
          <cell r="AZ25">
            <v>299876.4142</v>
          </cell>
          <cell r="BA25">
            <v>323223.7169</v>
          </cell>
          <cell r="BB25">
            <v>329188.19819999998</v>
          </cell>
          <cell r="BC25">
            <v>335249.99739999999</v>
          </cell>
          <cell r="BD25">
            <v>341409.25400000002</v>
          </cell>
          <cell r="BE25">
            <v>347666.16600000003</v>
          </cell>
        </row>
        <row r="26">
          <cell r="B26">
            <v>1693348.6259999999</v>
          </cell>
          <cell r="C26">
            <v>1711620.551</v>
          </cell>
          <cell r="D26">
            <v>1729754.0830000001</v>
          </cell>
          <cell r="E26">
            <v>1747976.2879999999</v>
          </cell>
          <cell r="F26">
            <v>1766461.7139999999</v>
          </cell>
          <cell r="G26">
            <v>1785340.351</v>
          </cell>
          <cell r="H26">
            <v>1804674.2609999999</v>
          </cell>
          <cell r="I26">
            <v>1824506.047</v>
          </cell>
          <cell r="J26">
            <v>1844876.209</v>
          </cell>
          <cell r="K26">
            <v>1865827.3319999999</v>
          </cell>
          <cell r="L26">
            <v>1887471.588</v>
          </cell>
          <cell r="M26">
            <v>1909858.378</v>
          </cell>
          <cell r="N26">
            <v>1933019.673</v>
          </cell>
          <cell r="O26">
            <v>1956984.9539999999</v>
          </cell>
          <cell r="P26">
            <v>1981784.379</v>
          </cell>
          <cell r="Q26">
            <v>2007449.048</v>
          </cell>
          <cell r="R26">
            <v>2034007.5619999999</v>
          </cell>
          <cell r="S26">
            <v>2061488.882</v>
          </cell>
          <cell r="T26">
            <v>2089922.7109999999</v>
          </cell>
          <cell r="U26">
            <v>2119338.9879999999</v>
          </cell>
          <cell r="V26">
            <v>2149716.7749999999</v>
          </cell>
          <cell r="W26">
            <v>2181078.5180000002</v>
          </cell>
          <cell r="X26">
            <v>2213457.7820000001</v>
          </cell>
          <cell r="Y26">
            <v>2246887.8689999999</v>
          </cell>
          <cell r="Z26">
            <v>2281398.7999999998</v>
          </cell>
          <cell r="AA26">
            <v>2316869.5950000002</v>
          </cell>
          <cell r="AB26">
            <v>2353235.5299999998</v>
          </cell>
          <cell r="AC26">
            <v>2390455.554</v>
          </cell>
          <cell r="AD26">
            <v>2428498.0410000002</v>
          </cell>
          <cell r="AE26">
            <v>2467336.071</v>
          </cell>
          <cell r="AF26">
            <v>2506945.5830000001</v>
          </cell>
          <cell r="AG26">
            <v>2547304.9819999998</v>
          </cell>
          <cell r="AH26">
            <v>2588393.4700000002</v>
          </cell>
          <cell r="AI26">
            <v>2630190.0430000001</v>
          </cell>
          <cell r="AJ26">
            <v>2672672.8730000001</v>
          </cell>
          <cell r="AK26">
            <v>2715818.943</v>
          </cell>
          <cell r="AL26">
            <v>2759574.074</v>
          </cell>
          <cell r="AM26">
            <v>2803877.9730000002</v>
          </cell>
          <cell r="AN26">
            <v>2848672.2080000001</v>
          </cell>
          <cell r="AO26">
            <v>2893902.22</v>
          </cell>
          <cell r="AP26">
            <v>2939517.7069999999</v>
          </cell>
          <cell r="AQ26">
            <v>2985473.605</v>
          </cell>
          <cell r="AR26">
            <v>3031728.8339999998</v>
          </cell>
          <cell r="AS26">
            <v>3078245.7579999999</v>
          </cell>
          <cell r="AT26">
            <v>3124989.89</v>
          </cell>
          <cell r="AU26">
            <v>3171929.6940000001</v>
          </cell>
          <cell r="AV26">
            <v>3219043.3420000002</v>
          </cell>
          <cell r="AW26">
            <v>3266312.2579999999</v>
          </cell>
          <cell r="AX26">
            <v>3313719.3769999999</v>
          </cell>
          <cell r="AY26">
            <v>3361249.0809999998</v>
          </cell>
          <cell r="AZ26">
            <v>3408887.5049999999</v>
          </cell>
          <cell r="BA26">
            <v>4240150.0130000003</v>
          </cell>
          <cell r="BB26">
            <v>4330272.5049999999</v>
          </cell>
          <cell r="BC26">
            <v>4421473.0580000002</v>
          </cell>
          <cell r="BD26">
            <v>4513684.6560000004</v>
          </cell>
          <cell r="BE26">
            <v>4606839.7630000003</v>
          </cell>
        </row>
        <row r="27">
          <cell r="B27">
            <v>1694118.743</v>
          </cell>
          <cell r="C27">
            <v>1713998.41</v>
          </cell>
          <cell r="D27">
            <v>1734461.932</v>
          </cell>
          <cell r="E27">
            <v>1755626.7660000001</v>
          </cell>
          <cell r="F27">
            <v>1777597.534</v>
          </cell>
          <cell r="G27">
            <v>1800464.5630000001</v>
          </cell>
          <cell r="H27">
            <v>1824266.202</v>
          </cell>
          <cell r="I27">
            <v>1849027.425</v>
          </cell>
          <cell r="J27">
            <v>1874772.8570000001</v>
          </cell>
          <cell r="K27">
            <v>1901529.777</v>
          </cell>
          <cell r="L27">
            <v>1929398.561</v>
          </cell>
          <cell r="M27">
            <v>1958418.9609999999</v>
          </cell>
          <cell r="N27">
            <v>1988612.7250000001</v>
          </cell>
          <cell r="O27">
            <v>2019997.7509999999</v>
          </cell>
          <cell r="P27">
            <v>2052591.0419999999</v>
          </cell>
          <cell r="Q27">
            <v>2086408.858</v>
          </cell>
          <cell r="R27">
            <v>2121466.42</v>
          </cell>
          <cell r="S27">
            <v>2157777.648</v>
          </cell>
          <cell r="T27">
            <v>2195354.9300000002</v>
          </cell>
          <cell r="U27">
            <v>2234208.8739999998</v>
          </cell>
          <cell r="V27">
            <v>2274293.8089999999</v>
          </cell>
          <cell r="W27">
            <v>2315608.5469999998</v>
          </cell>
          <cell r="X27">
            <v>2358163.2110000001</v>
          </cell>
          <cell r="Y27">
            <v>2401967.4029999999</v>
          </cell>
          <cell r="Z27">
            <v>2447027.0440000002</v>
          </cell>
          <cell r="AA27">
            <v>2493183.6719999998</v>
          </cell>
          <cell r="AB27">
            <v>2540335.5469999998</v>
          </cell>
          <cell r="AC27">
            <v>2588405.86</v>
          </cell>
          <cell r="AD27">
            <v>2637328.4339999999</v>
          </cell>
          <cell r="AE27">
            <v>2687042.8909999998</v>
          </cell>
          <cell r="AF27">
            <v>2737492.6850000001</v>
          </cell>
          <cell r="AG27">
            <v>2788623.8870000001</v>
          </cell>
          <cell r="AH27">
            <v>2840384.1680000001</v>
          </cell>
          <cell r="AI27">
            <v>2892721.9569999999</v>
          </cell>
          <cell r="AJ27">
            <v>2945585.841</v>
          </cell>
          <cell r="AK27">
            <v>2998924.2409999999</v>
          </cell>
          <cell r="AL27">
            <v>3052645.2790000001</v>
          </cell>
          <cell r="AM27">
            <v>3106650.952</v>
          </cell>
          <cell r="AN27">
            <v>3160847.9509999999</v>
          </cell>
          <cell r="AO27">
            <v>3215150.1779999998</v>
          </cell>
          <cell r="AP27">
            <v>3269479.1120000002</v>
          </cell>
          <cell r="AQ27">
            <v>3323763.6910000001</v>
          </cell>
          <cell r="AR27">
            <v>3377940.0750000002</v>
          </cell>
          <cell r="AS27">
            <v>3431951.3620000002</v>
          </cell>
          <cell r="AT27">
            <v>3485747.2850000001</v>
          </cell>
          <cell r="AU27">
            <v>3539283.94</v>
          </cell>
          <cell r="AV27">
            <v>3592527.23</v>
          </cell>
          <cell r="AW27">
            <v>3645449.5789999999</v>
          </cell>
          <cell r="AX27">
            <v>3698028.8969999999</v>
          </cell>
          <cell r="AY27">
            <v>3750248.307</v>
          </cell>
          <cell r="AZ27">
            <v>3802096.1439999999</v>
          </cell>
          <cell r="BA27">
            <v>4261665.0319999997</v>
          </cell>
          <cell r="BB27">
            <v>4352016.2649999997</v>
          </cell>
          <cell r="BC27">
            <v>4443318.9220000003</v>
          </cell>
          <cell r="BD27">
            <v>4535498.1179999998</v>
          </cell>
          <cell r="BE27">
            <v>4628479.3269999996</v>
          </cell>
        </row>
        <row r="28">
          <cell r="B28">
            <v>4355.3530410000003</v>
          </cell>
          <cell r="C28">
            <v>4398.8066520000002</v>
          </cell>
          <cell r="D28">
            <v>4441.7757629999996</v>
          </cell>
          <cell r="E28">
            <v>4484.967474</v>
          </cell>
          <cell r="F28">
            <v>4528.8195459999997</v>
          </cell>
          <cell r="G28">
            <v>4573.6376090000003</v>
          </cell>
          <cell r="H28">
            <v>4619.4875309999998</v>
          </cell>
          <cell r="I28">
            <v>4666.4435549999998</v>
          </cell>
          <cell r="J28">
            <v>4714.5773230000004</v>
          </cell>
          <cell r="K28">
            <v>4763.9452929999998</v>
          </cell>
          <cell r="L28">
            <v>4814.8564500000002</v>
          </cell>
          <cell r="M28">
            <v>4867.2027829999997</v>
          </cell>
          <cell r="N28">
            <v>4920.9089100000001</v>
          </cell>
          <cell r="O28">
            <v>4975.9252150000002</v>
          </cell>
          <cell r="P28">
            <v>5032.2133700000004</v>
          </cell>
          <cell r="Q28">
            <v>5089.7415039999996</v>
          </cell>
          <cell r="R28">
            <v>5148.4622650000001</v>
          </cell>
          <cell r="S28">
            <v>5208.3471159999999</v>
          </cell>
          <cell r="T28">
            <v>5269.380185</v>
          </cell>
          <cell r="U28">
            <v>5331.5542610000002</v>
          </cell>
          <cell r="V28">
            <v>5394.6701700000003</v>
          </cell>
          <cell r="W28">
            <v>5458.8100530000002</v>
          </cell>
          <cell r="X28">
            <v>5524.0347959999999</v>
          </cell>
          <cell r="Y28">
            <v>5590.3867659999996</v>
          </cell>
          <cell r="Z28">
            <v>5657.899848</v>
          </cell>
          <cell r="AA28">
            <v>5726.0344990000003</v>
          </cell>
          <cell r="AB28">
            <v>5794.778335</v>
          </cell>
          <cell r="AC28">
            <v>5864.141455</v>
          </cell>
          <cell r="AD28">
            <v>5934.1371250000002</v>
          </cell>
          <cell r="AE28">
            <v>6004.7861919999996</v>
          </cell>
          <cell r="AF28">
            <v>6076.1177479999997</v>
          </cell>
          <cell r="AG28">
            <v>6148.1717669999998</v>
          </cell>
          <cell r="AH28">
            <v>6220.9885919999997</v>
          </cell>
          <cell r="AI28">
            <v>6294.607626</v>
          </cell>
          <cell r="AJ28">
            <v>6369.0661630000004</v>
          </cell>
          <cell r="AK28">
            <v>6444.3985199999997</v>
          </cell>
          <cell r="AL28">
            <v>6520.5416590000004</v>
          </cell>
          <cell r="AM28">
            <v>6597.456561</v>
          </cell>
          <cell r="AN28">
            <v>6675.1242339999999</v>
          </cell>
          <cell r="AO28">
            <v>6753.5388640000001</v>
          </cell>
          <cell r="AP28">
            <v>6832.7039800000002</v>
          </cell>
          <cell r="AQ28">
            <v>6912.6368769999999</v>
          </cell>
          <cell r="AR28">
            <v>6993.3561179999997</v>
          </cell>
          <cell r="AS28">
            <v>7074.8818309999997</v>
          </cell>
          <cell r="AT28">
            <v>7157.2354429999996</v>
          </cell>
          <cell r="AU28">
            <v>7240.4390560000002</v>
          </cell>
          <cell r="AV28">
            <v>7324.5501480000003</v>
          </cell>
          <cell r="AW28">
            <v>7409.6082159999996</v>
          </cell>
          <cell r="AX28">
            <v>7495.642554</v>
          </cell>
          <cell r="AY28">
            <v>7582.6772860000001</v>
          </cell>
          <cell r="AZ28">
            <v>7670.7336100000002</v>
          </cell>
          <cell r="BA28">
            <v>8709.0840759999992</v>
          </cell>
          <cell r="BB28">
            <v>8845.8713709999993</v>
          </cell>
          <cell r="BC28">
            <v>8984.9626939999998</v>
          </cell>
          <cell r="BD28">
            <v>9126.3813480000008</v>
          </cell>
          <cell r="BE28">
            <v>9270.1512010000006</v>
          </cell>
        </row>
        <row r="29">
          <cell r="B29">
            <v>4360.2592759999998</v>
          </cell>
          <cell r="C29">
            <v>4411.0959359999997</v>
          </cell>
          <cell r="D29">
            <v>4462.7089169999999</v>
          </cell>
          <cell r="E29">
            <v>4515.2831249999999</v>
          </cell>
          <cell r="F29">
            <v>4569.0108920000002</v>
          </cell>
          <cell r="G29">
            <v>4624.0551839999998</v>
          </cell>
          <cell r="H29">
            <v>4680.3802400000004</v>
          </cell>
          <cell r="I29">
            <v>4737.9806609999996</v>
          </cell>
          <cell r="J29">
            <v>4796.8671750000003</v>
          </cell>
          <cell r="K29">
            <v>4857.0536769999999</v>
          </cell>
          <cell r="L29">
            <v>4918.8363550000004</v>
          </cell>
          <cell r="M29">
            <v>4982.111946</v>
          </cell>
          <cell r="N29">
            <v>5046.8090519999996</v>
          </cell>
          <cell r="O29">
            <v>5112.8829290000003</v>
          </cell>
          <cell r="P29">
            <v>5180.3010389999999</v>
          </cell>
          <cell r="Q29">
            <v>5249.0374389999997</v>
          </cell>
          <cell r="R29">
            <v>5319.0715339999997</v>
          </cell>
          <cell r="S29">
            <v>5390.3880920000001</v>
          </cell>
          <cell r="T29">
            <v>5462.9772700000003</v>
          </cell>
          <cell r="U29">
            <v>5536.8343260000001</v>
          </cell>
          <cell r="V29">
            <v>5611.7477570000001</v>
          </cell>
          <cell r="W29">
            <v>5687.8035460000001</v>
          </cell>
          <cell r="X29">
            <v>5765.063975</v>
          </cell>
          <cell r="Y29">
            <v>5843.5713539999997</v>
          </cell>
          <cell r="Z29">
            <v>5923.3587950000001</v>
          </cell>
          <cell r="AA29">
            <v>6003.8433759999998</v>
          </cell>
          <cell r="AB29">
            <v>6084.9980740000001</v>
          </cell>
          <cell r="AC29">
            <v>6166.8244269999996</v>
          </cell>
          <cell r="AD29">
            <v>6249.3303290000003</v>
          </cell>
          <cell r="AE29">
            <v>6332.5334419999999</v>
          </cell>
          <cell r="AF29">
            <v>6416.4612200000001</v>
          </cell>
          <cell r="AG29">
            <v>6501.1482679999999</v>
          </cell>
          <cell r="AH29">
            <v>6586.6330159999998</v>
          </cell>
          <cell r="AI29">
            <v>6672.9547970000003</v>
          </cell>
          <cell r="AJ29">
            <v>6760.1517299999996</v>
          </cell>
          <cell r="AK29">
            <v>6848.2594580000004</v>
          </cell>
          <cell r="AL29">
            <v>6937.1621729999997</v>
          </cell>
          <cell r="AM29">
            <v>7026.7976319999998</v>
          </cell>
          <cell r="AN29">
            <v>7117.1388639999996</v>
          </cell>
          <cell r="AO29">
            <v>7208.1791620000004</v>
          </cell>
          <cell r="AP29">
            <v>7299.9250220000004</v>
          </cell>
          <cell r="AQ29">
            <v>7392.3924790000001</v>
          </cell>
          <cell r="AR29">
            <v>7485.6045940000004</v>
          </cell>
          <cell r="AS29">
            <v>7579.5893429999996</v>
          </cell>
          <cell r="AT29">
            <v>7674.3778249999996</v>
          </cell>
          <cell r="AU29">
            <v>7770.0028119999997</v>
          </cell>
          <cell r="AV29">
            <v>7866.5111850000003</v>
          </cell>
          <cell r="AW29">
            <v>7963.9447200000004</v>
          </cell>
          <cell r="AX29">
            <v>8062.3414030000004</v>
          </cell>
          <cell r="AY29">
            <v>8161.736339</v>
          </cell>
          <cell r="AZ29">
            <v>8262.1622970000008</v>
          </cell>
          <cell r="BA29">
            <v>8774.3944449999999</v>
          </cell>
          <cell r="BB29">
            <v>8914.5550019999991</v>
          </cell>
          <cell r="BC29">
            <v>9057.0619380000007</v>
          </cell>
          <cell r="BD29">
            <v>9201.939155</v>
          </cell>
          <cell r="BE29">
            <v>9349.2119129999992</v>
          </cell>
        </row>
        <row r="30">
          <cell r="B30">
            <v>43481.55343</v>
          </cell>
          <cell r="C30">
            <v>43914.77895</v>
          </cell>
          <cell r="D30">
            <v>44342.680540000001</v>
          </cell>
          <cell r="E30">
            <v>44772.264510000001</v>
          </cell>
          <cell r="F30">
            <v>45207.883549999999</v>
          </cell>
          <cell r="G30">
            <v>45652.593849999997</v>
          </cell>
          <cell r="H30">
            <v>46107.07733</v>
          </cell>
          <cell r="I30">
            <v>46572.110339999999</v>
          </cell>
          <cell r="J30">
            <v>47048.450960000002</v>
          </cell>
          <cell r="K30">
            <v>47536.711810000001</v>
          </cell>
          <cell r="L30">
            <v>48040.022729999997</v>
          </cell>
          <cell r="M30">
            <v>48557.364909999997</v>
          </cell>
          <cell r="N30">
            <v>49088.046880000002</v>
          </cell>
          <cell r="O30">
            <v>49631.632469999997</v>
          </cell>
          <cell r="P30">
            <v>50187.79451</v>
          </cell>
          <cell r="Q30">
            <v>50756.265590000003</v>
          </cell>
          <cell r="R30">
            <v>51336.618300000002</v>
          </cell>
          <cell r="S30">
            <v>51928.606780000002</v>
          </cell>
          <cell r="T30">
            <v>52532.105580000003</v>
          </cell>
          <cell r="U30">
            <v>53147.06998</v>
          </cell>
          <cell r="V30">
            <v>53771.541259999998</v>
          </cell>
          <cell r="W30">
            <v>54406.352639999997</v>
          </cell>
          <cell r="X30">
            <v>55052.1198</v>
          </cell>
          <cell r="Y30">
            <v>55709.26988</v>
          </cell>
          <cell r="Z30">
            <v>56378.142350000002</v>
          </cell>
          <cell r="AA30">
            <v>57053.372510000001</v>
          </cell>
          <cell r="AB30">
            <v>57734.83309</v>
          </cell>
          <cell r="AC30">
            <v>58422.612809999999</v>
          </cell>
          <cell r="AD30">
            <v>59116.826719999997</v>
          </cell>
          <cell r="AE30">
            <v>59817.662100000001</v>
          </cell>
          <cell r="AF30">
            <v>60525.386590000002</v>
          </cell>
          <cell r="AG30">
            <v>61240.37571</v>
          </cell>
          <cell r="AH30">
            <v>61963.009019999998</v>
          </cell>
          <cell r="AI30">
            <v>62693.657610000002</v>
          </cell>
          <cell r="AJ30">
            <v>63432.672859999999</v>
          </cell>
          <cell r="AK30">
            <v>64180.377919999999</v>
          </cell>
          <cell r="AL30">
            <v>64936.131370000003</v>
          </cell>
          <cell r="AM30">
            <v>65699.532139999996</v>
          </cell>
          <cell r="AN30">
            <v>66470.378660000002</v>
          </cell>
          <cell r="AO30">
            <v>67248.60037</v>
          </cell>
          <cell r="AP30">
            <v>68034.219930000007</v>
          </cell>
          <cell r="AQ30">
            <v>68827.39774</v>
          </cell>
          <cell r="AR30">
            <v>69628.307870000004</v>
          </cell>
          <cell r="AS30">
            <v>70437.141189999995</v>
          </cell>
          <cell r="AT30">
            <v>71254.102910000001</v>
          </cell>
          <cell r="AU30">
            <v>72079.406270000007</v>
          </cell>
          <cell r="AV30">
            <v>72913.618300000002</v>
          </cell>
          <cell r="AW30">
            <v>73757.128859999997</v>
          </cell>
          <cell r="AX30">
            <v>74610.227840000007</v>
          </cell>
          <cell r="AY30">
            <v>75473.154909999997</v>
          </cell>
          <cell r="AZ30">
            <v>76346.121589999995</v>
          </cell>
          <cell r="BA30">
            <v>87013.627139999997</v>
          </cell>
          <cell r="BB30">
            <v>88382.012359999993</v>
          </cell>
          <cell r="BC30">
            <v>89773.287920000002</v>
          </cell>
          <cell r="BD30">
            <v>91187.670169999998</v>
          </cell>
          <cell r="BE30">
            <v>92625.381370000003</v>
          </cell>
        </row>
        <row r="31">
          <cell r="B31">
            <v>43530.6607</v>
          </cell>
          <cell r="C31">
            <v>44037.963250000001</v>
          </cell>
          <cell r="D31">
            <v>44552.852709999999</v>
          </cell>
          <cell r="E31">
            <v>45077.171580000002</v>
          </cell>
          <cell r="F31">
            <v>45612.85037</v>
          </cell>
          <cell r="G31">
            <v>46161.534769999998</v>
          </cell>
          <cell r="H31">
            <v>46722.894970000001</v>
          </cell>
          <cell r="I31">
            <v>47296.906730000002</v>
          </cell>
          <cell r="J31">
            <v>47883.707470000001</v>
          </cell>
          <cell r="K31">
            <v>48483.46632</v>
          </cell>
          <cell r="L31">
            <v>49099.164709999997</v>
          </cell>
          <cell r="M31">
            <v>49729.804170000003</v>
          </cell>
          <cell r="N31">
            <v>50374.70493</v>
          </cell>
          <cell r="O31">
            <v>51033.450980000001</v>
          </cell>
          <cell r="P31">
            <v>51705.744500000001</v>
          </cell>
          <cell r="Q31">
            <v>52391.349159999998</v>
          </cell>
          <cell r="R31">
            <v>53090.077440000001</v>
          </cell>
          <cell r="S31">
            <v>53801.790840000001</v>
          </cell>
          <cell r="T31">
            <v>54526.400309999997</v>
          </cell>
          <cell r="U31">
            <v>55263.863720000001</v>
          </cell>
          <cell r="V31">
            <v>56012.074939999999</v>
          </cell>
          <cell r="W31">
            <v>56771.888500000001</v>
          </cell>
          <cell r="X31">
            <v>57543.917959999999</v>
          </cell>
          <cell r="Y31">
            <v>58328.575149999997</v>
          </cell>
          <cell r="Z31">
            <v>59126.178659999998</v>
          </cell>
          <cell r="AA31">
            <v>59930.906080000001</v>
          </cell>
          <cell r="AB31">
            <v>60742.473209999996</v>
          </cell>
          <cell r="AC31">
            <v>61560.873699999996</v>
          </cell>
          <cell r="AD31">
            <v>62386.160259999997</v>
          </cell>
          <cell r="AE31">
            <v>63218.480880000003</v>
          </cell>
          <cell r="AF31">
            <v>64058.080670000003</v>
          </cell>
          <cell r="AG31">
            <v>64905.27665</v>
          </cell>
          <cell r="AH31">
            <v>65760.425369999997</v>
          </cell>
          <cell r="AI31">
            <v>66623.894199999995</v>
          </cell>
          <cell r="AJ31">
            <v>67496.040519999995</v>
          </cell>
          <cell r="AK31">
            <v>68377.199189999999</v>
          </cell>
          <cell r="AL31">
            <v>69266.197360000006</v>
          </cell>
          <cell r="AM31">
            <v>70162.39804</v>
          </cell>
          <cell r="AN31">
            <v>71065.516369999998</v>
          </cell>
          <cell r="AO31">
            <v>71975.469710000005</v>
          </cell>
          <cell r="AP31">
            <v>72892.307570000004</v>
          </cell>
          <cell r="AQ31">
            <v>73816.175560000003</v>
          </cell>
          <cell r="AR31">
            <v>74747.290739999997</v>
          </cell>
          <cell r="AS31">
            <v>75685.920920000004</v>
          </cell>
          <cell r="AT31">
            <v>76632.366959999999</v>
          </cell>
          <cell r="AU31">
            <v>77586.948449999996</v>
          </cell>
          <cell r="AV31">
            <v>78550.127550000005</v>
          </cell>
          <cell r="AW31">
            <v>79522.317540000004</v>
          </cell>
          <cell r="AX31">
            <v>80503.89589</v>
          </cell>
          <cell r="AY31">
            <v>81495.21312</v>
          </cell>
          <cell r="AZ31">
            <v>82496.598039999997</v>
          </cell>
          <cell r="BA31">
            <v>87653.784390000001</v>
          </cell>
          <cell r="BB31">
            <v>89054.829429999998</v>
          </cell>
          <cell r="BC31">
            <v>90479.130709999998</v>
          </cell>
          <cell r="BD31">
            <v>91926.909010000003</v>
          </cell>
          <cell r="BE31">
            <v>93398.398969999995</v>
          </cell>
        </row>
        <row r="32">
          <cell r="B32">
            <v>25653.479449999999</v>
          </cell>
          <cell r="C32">
            <v>25833.541079999999</v>
          </cell>
          <cell r="D32">
            <v>26019.787079999998</v>
          </cell>
          <cell r="E32">
            <v>26220.539669999998</v>
          </cell>
          <cell r="F32">
            <v>26438.20984</v>
          </cell>
          <cell r="G32">
            <v>26673.023840000002</v>
          </cell>
          <cell r="H32">
            <v>26922.67611</v>
          </cell>
          <cell r="I32">
            <v>27185.684700000002</v>
          </cell>
          <cell r="J32">
            <v>27460.855230000001</v>
          </cell>
          <cell r="K32">
            <v>27747.1109</v>
          </cell>
          <cell r="L32">
            <v>28046.135890000001</v>
          </cell>
          <cell r="M32">
            <v>28354.651720000002</v>
          </cell>
          <cell r="N32">
            <v>28671.058730000001</v>
          </cell>
          <cell r="O32">
            <v>28994.4277</v>
          </cell>
          <cell r="P32">
            <v>29324.113440000001</v>
          </cell>
          <cell r="Q32">
            <v>29659.634989999999</v>
          </cell>
          <cell r="R32">
            <v>30000.218860000001</v>
          </cell>
          <cell r="S32">
            <v>30345.521550000001</v>
          </cell>
          <cell r="T32">
            <v>30695.410660000001</v>
          </cell>
          <cell r="U32">
            <v>31049.879389999998</v>
          </cell>
          <cell r="V32">
            <v>31407.07877</v>
          </cell>
          <cell r="W32">
            <v>31768.594450000001</v>
          </cell>
          <cell r="X32">
            <v>32135.13665</v>
          </cell>
          <cell r="Y32">
            <v>32507.123810000001</v>
          </cell>
          <cell r="Z32">
            <v>32884.903030000001</v>
          </cell>
          <cell r="AA32">
            <v>33263.303979999997</v>
          </cell>
          <cell r="AB32">
            <v>33644.281450000002</v>
          </cell>
          <cell r="AC32">
            <v>34028.886610000001</v>
          </cell>
          <cell r="AD32">
            <v>34417.813049999997</v>
          </cell>
          <cell r="AE32">
            <v>34811.632810000003</v>
          </cell>
          <cell r="AF32">
            <v>35210.863570000001</v>
          </cell>
          <cell r="AG32">
            <v>35616.07836</v>
          </cell>
          <cell r="AH32">
            <v>36027.742599999998</v>
          </cell>
          <cell r="AI32">
            <v>36446.258000000002</v>
          </cell>
          <cell r="AJ32">
            <v>36871.977350000001</v>
          </cell>
          <cell r="AK32">
            <v>37305.2091</v>
          </cell>
          <cell r="AL32">
            <v>37745.735849999997</v>
          </cell>
          <cell r="AM32">
            <v>38193.621469999998</v>
          </cell>
          <cell r="AN32">
            <v>38649.008540000003</v>
          </cell>
          <cell r="AO32">
            <v>39112.047550000003</v>
          </cell>
          <cell r="AP32">
            <v>39582.877200000003</v>
          </cell>
          <cell r="AQ32">
            <v>40061.752220000002</v>
          </cell>
          <cell r="AR32">
            <v>40548.811679999999</v>
          </cell>
          <cell r="AS32">
            <v>41044.144180000003</v>
          </cell>
          <cell r="AT32">
            <v>41547.812579999998</v>
          </cell>
          <cell r="AU32">
            <v>42059.862970000002</v>
          </cell>
          <cell r="AV32">
            <v>42580.898139999998</v>
          </cell>
          <cell r="AW32">
            <v>43111.092530000002</v>
          </cell>
          <cell r="AX32">
            <v>43650.4683</v>
          </cell>
          <cell r="AY32">
            <v>44198.997920000002</v>
          </cell>
          <cell r="AZ32">
            <v>44756.638659999997</v>
          </cell>
          <cell r="BA32">
            <v>56467.149570000001</v>
          </cell>
          <cell r="BB32">
            <v>57483.405100000004</v>
          </cell>
          <cell r="BC32">
            <v>58520.538999999997</v>
          </cell>
          <cell r="BD32">
            <v>59578.896569999997</v>
          </cell>
          <cell r="BE32">
            <v>60658.817750000002</v>
          </cell>
        </row>
        <row r="33">
          <cell r="B33">
            <v>25752.231769999999</v>
          </cell>
          <cell r="C33">
            <v>26062.791539999998</v>
          </cell>
          <cell r="D33">
            <v>26388.554980000001</v>
          </cell>
          <cell r="E33">
            <v>26730.611260000001</v>
          </cell>
          <cell r="F33">
            <v>27089.140770000002</v>
          </cell>
          <cell r="G33">
            <v>27463.843120000001</v>
          </cell>
          <cell r="H33">
            <v>27852.457399999999</v>
          </cell>
          <cell r="I33">
            <v>28253.752359999999</v>
          </cell>
          <cell r="J33">
            <v>28666.851719999999</v>
          </cell>
          <cell r="K33">
            <v>29091.015950000001</v>
          </cell>
          <cell r="L33">
            <v>29528.534350000002</v>
          </cell>
          <cell r="M33">
            <v>29976.709220000001</v>
          </cell>
          <cell r="N33">
            <v>30434.306280000001</v>
          </cell>
          <cell r="O33">
            <v>30900.680380000002</v>
          </cell>
          <cell r="P33">
            <v>31375.432000000001</v>
          </cell>
          <cell r="Q33">
            <v>31858.298119999999</v>
          </cell>
          <cell r="R33">
            <v>32349.115229999999</v>
          </cell>
          <cell r="S33">
            <v>32847.804020000003</v>
          </cell>
          <cell r="T33">
            <v>33354.359960000002</v>
          </cell>
          <cell r="U33">
            <v>33868.844969999998</v>
          </cell>
          <cell r="V33">
            <v>34389.178379999998</v>
          </cell>
          <cell r="W33">
            <v>34917.120479999998</v>
          </cell>
          <cell r="X33">
            <v>35453.435570000001</v>
          </cell>
          <cell r="Y33">
            <v>35998.541640000003</v>
          </cell>
          <cell r="Z33">
            <v>36552.759030000001</v>
          </cell>
          <cell r="AA33">
            <v>37110.002009999997</v>
          </cell>
          <cell r="AB33">
            <v>37672.13968</v>
          </cell>
          <cell r="AC33">
            <v>38240.181299999997</v>
          </cell>
          <cell r="AD33">
            <v>38814.786410000001</v>
          </cell>
          <cell r="AE33">
            <v>39396.496099999997</v>
          </cell>
          <cell r="AF33">
            <v>39985.798779999997</v>
          </cell>
          <cell r="AG33">
            <v>40583.145640000002</v>
          </cell>
          <cell r="AH33">
            <v>41188.951560000001</v>
          </cell>
          <cell r="AI33">
            <v>41803.592770000003</v>
          </cell>
          <cell r="AJ33">
            <v>42427.405039999998</v>
          </cell>
          <cell r="AK33">
            <v>43060.683299999997</v>
          </cell>
          <cell r="AL33">
            <v>43702.120389999996</v>
          </cell>
          <cell r="AM33">
            <v>44351.480450000003</v>
          </cell>
          <cell r="AN33">
            <v>45008.882129999998</v>
          </cell>
          <cell r="AO33">
            <v>45674.53959</v>
          </cell>
          <cell r="AP33">
            <v>46348.682249999998</v>
          </cell>
          <cell r="AQ33">
            <v>47031.530129999999</v>
          </cell>
          <cell r="AR33">
            <v>47723.286469999999</v>
          </cell>
          <cell r="AS33">
            <v>48424.13566</v>
          </cell>
          <cell r="AT33">
            <v>49134.243040000001</v>
          </cell>
          <cell r="AU33">
            <v>49853.755369999999</v>
          </cell>
          <cell r="AV33">
            <v>50582.945</v>
          </cell>
          <cell r="AW33">
            <v>51321.966610000003</v>
          </cell>
          <cell r="AX33">
            <v>52070.925029999999</v>
          </cell>
          <cell r="AY33">
            <v>52829.901360000003</v>
          </cell>
          <cell r="AZ33">
            <v>53598.963150000003</v>
          </cell>
          <cell r="BA33">
            <v>56986.638679999996</v>
          </cell>
          <cell r="BB33">
            <v>58034.382850000002</v>
          </cell>
          <cell r="BC33">
            <v>59103.829579999998</v>
          </cell>
          <cell r="BD33">
            <v>60195.3292</v>
          </cell>
          <cell r="BE33">
            <v>61309.229910000002</v>
          </cell>
        </row>
        <row r="34">
          <cell r="B34">
            <v>14887.53982</v>
          </cell>
          <cell r="C34">
            <v>15022.177159999999</v>
          </cell>
          <cell r="D34">
            <v>15159.13723</v>
          </cell>
          <cell r="E34">
            <v>15302.01503</v>
          </cell>
          <cell r="F34">
            <v>15452.65417</v>
          </cell>
          <cell r="G34">
            <v>15612.2636</v>
          </cell>
          <cell r="H34">
            <v>15780.95515</v>
          </cell>
          <cell r="I34">
            <v>15958.983969999999</v>
          </cell>
          <cell r="J34">
            <v>16146.603870000001</v>
          </cell>
          <cell r="K34">
            <v>16343.988219999999</v>
          </cell>
          <cell r="L34">
            <v>16552.555329999999</v>
          </cell>
          <cell r="M34">
            <v>16771.565129999999</v>
          </cell>
          <cell r="N34">
            <v>17000.543989999998</v>
          </cell>
          <cell r="O34">
            <v>17239.130659999999</v>
          </cell>
          <cell r="P34">
            <v>17486.999800000001</v>
          </cell>
          <cell r="Q34">
            <v>17743.846870000001</v>
          </cell>
          <cell r="R34">
            <v>18009.247960000001</v>
          </cell>
          <cell r="S34">
            <v>18282.900399999999</v>
          </cell>
          <cell r="T34">
            <v>18564.57042</v>
          </cell>
          <cell r="U34">
            <v>18854.071400000001</v>
          </cell>
          <cell r="V34">
            <v>19150.235069999999</v>
          </cell>
          <cell r="W34">
            <v>19453.366539999999</v>
          </cell>
          <cell r="X34">
            <v>19763.621080000001</v>
          </cell>
          <cell r="Y34">
            <v>20081.083699999999</v>
          </cell>
          <cell r="Z34">
            <v>20405.819289999999</v>
          </cell>
          <cell r="AA34">
            <v>20734.915199999999</v>
          </cell>
          <cell r="AB34">
            <v>21068.27505</v>
          </cell>
          <cell r="AC34">
            <v>21405.8115</v>
          </cell>
          <cell r="AD34">
            <v>21747.470929999999</v>
          </cell>
          <cell r="AE34">
            <v>22093.269560000001</v>
          </cell>
          <cell r="AF34">
            <v>22443.292850000002</v>
          </cell>
          <cell r="AG34">
            <v>22797.713009999999</v>
          </cell>
          <cell r="AH34">
            <v>23156.71702</v>
          </cell>
          <cell r="AI34">
            <v>23520.502339999999</v>
          </cell>
          <cell r="AJ34">
            <v>23889.269260000001</v>
          </cell>
          <cell r="AK34">
            <v>24263.214120000001</v>
          </cell>
          <cell r="AL34">
            <v>24642.08597</v>
          </cell>
          <cell r="AM34">
            <v>25025.721130000002</v>
          </cell>
          <cell r="AN34">
            <v>25414.0419</v>
          </cell>
          <cell r="AO34">
            <v>25807.038110000001</v>
          </cell>
          <cell r="AP34">
            <v>26204.753959999998</v>
          </cell>
          <cell r="AQ34">
            <v>26607.324379999998</v>
          </cell>
          <cell r="AR34">
            <v>27014.889139999999</v>
          </cell>
          <cell r="AS34">
            <v>27427.6005</v>
          </cell>
          <cell r="AT34">
            <v>27845.62156</v>
          </cell>
          <cell r="AU34">
            <v>28269.12167</v>
          </cell>
          <cell r="AV34">
            <v>28698.500380000001</v>
          </cell>
          <cell r="AW34">
            <v>29134.03541</v>
          </cell>
          <cell r="AX34">
            <v>29575.94888</v>
          </cell>
          <cell r="AY34">
            <v>30024.435030000001</v>
          </cell>
          <cell r="AZ34">
            <v>30479.670399999999</v>
          </cell>
          <cell r="BA34">
            <v>36789.749490000002</v>
          </cell>
          <cell r="BB34">
            <v>37531.980479999998</v>
          </cell>
          <cell r="BC34">
            <v>38288.681449999996</v>
          </cell>
          <cell r="BD34">
            <v>39060.101459999998</v>
          </cell>
          <cell r="BE34">
            <v>39846.50232</v>
          </cell>
        </row>
        <row r="35">
          <cell r="B35">
            <v>14918.317520000001</v>
          </cell>
          <cell r="C35">
            <v>15096.743259999999</v>
          </cell>
          <cell r="D35">
            <v>15284.30702</v>
          </cell>
          <cell r="E35">
            <v>15482.380429999999</v>
          </cell>
          <cell r="F35">
            <v>15691.690759999999</v>
          </cell>
          <cell r="G35">
            <v>15912.643749999999</v>
          </cell>
          <cell r="H35">
            <v>16144.66784</v>
          </cell>
          <cell r="I35">
            <v>16387.437409999999</v>
          </cell>
          <cell r="J35">
            <v>16640.741709999998</v>
          </cell>
          <cell r="K35">
            <v>16904.410909999999</v>
          </cell>
          <cell r="L35">
            <v>17179.731930000002</v>
          </cell>
          <cell r="M35">
            <v>17465.92829</v>
          </cell>
          <cell r="N35">
            <v>17762.491290000002</v>
          </cell>
          <cell r="O35">
            <v>18069.046200000001</v>
          </cell>
          <cell r="P35">
            <v>18385.2749</v>
          </cell>
          <cell r="Q35">
            <v>18710.894179999999</v>
          </cell>
          <cell r="R35">
            <v>19045.653490000001</v>
          </cell>
          <cell r="S35">
            <v>19389.33683</v>
          </cell>
          <cell r="T35">
            <v>19741.763859999999</v>
          </cell>
          <cell r="U35">
            <v>20102.789059999999</v>
          </cell>
          <cell r="V35">
            <v>20471.180919999999</v>
          </cell>
          <cell r="W35">
            <v>20847.315920000001</v>
          </cell>
          <cell r="X35">
            <v>21231.398150000001</v>
          </cell>
          <cell r="Y35">
            <v>21623.551950000001</v>
          </cell>
          <cell r="Z35">
            <v>22023.87746</v>
          </cell>
          <cell r="AA35">
            <v>22429.17382</v>
          </cell>
          <cell r="AB35">
            <v>22839.29636</v>
          </cell>
          <cell r="AC35">
            <v>23254.137859999999</v>
          </cell>
          <cell r="AD35">
            <v>23673.639899999998</v>
          </cell>
          <cell r="AE35">
            <v>24097.825570000001</v>
          </cell>
          <cell r="AF35">
            <v>24526.795880000001</v>
          </cell>
          <cell r="AG35">
            <v>24960.711640000001</v>
          </cell>
          <cell r="AH35">
            <v>25399.77248</v>
          </cell>
          <cell r="AI35">
            <v>25844.198619999999</v>
          </cell>
          <cell r="AJ35">
            <v>26294.217130000001</v>
          </cell>
          <cell r="AK35">
            <v>26750.053049999999</v>
          </cell>
          <cell r="AL35">
            <v>27211.100279999999</v>
          </cell>
          <cell r="AM35">
            <v>27677.061119999998</v>
          </cell>
          <cell r="AN35">
            <v>28147.813900000001</v>
          </cell>
          <cell r="AO35">
            <v>28623.344099999998</v>
          </cell>
          <cell r="AP35">
            <v>29103.715329999999</v>
          </cell>
          <cell r="AQ35">
            <v>29589.0527</v>
          </cell>
          <cell r="AR35">
            <v>30079.529340000001</v>
          </cell>
          <cell r="AS35">
            <v>30575.353810000001</v>
          </cell>
          <cell r="AT35">
            <v>31076.75878</v>
          </cell>
          <cell r="AU35">
            <v>31583.99164</v>
          </cell>
          <cell r="AV35">
            <v>32097.383689999999</v>
          </cell>
          <cell r="AW35">
            <v>32617.23979</v>
          </cell>
          <cell r="AX35">
            <v>33143.847159999998</v>
          </cell>
          <cell r="AY35">
            <v>33677.479489999998</v>
          </cell>
          <cell r="AZ35">
            <v>34218.398800000003</v>
          </cell>
          <cell r="BA35">
            <v>37058.8364</v>
          </cell>
          <cell r="BB35">
            <v>37816.079420000002</v>
          </cell>
          <cell r="BC35">
            <v>38588.090199999999</v>
          </cell>
          <cell r="BD35">
            <v>39375.126380000002</v>
          </cell>
          <cell r="BE35">
            <v>40177.462160000003</v>
          </cell>
        </row>
        <row r="36">
          <cell r="B36">
            <v>1987043.2350000001</v>
          </cell>
          <cell r="C36">
            <v>2006862.115</v>
          </cell>
          <cell r="D36">
            <v>2026420.85</v>
          </cell>
          <cell r="E36">
            <v>2046124.791</v>
          </cell>
          <cell r="F36">
            <v>2066246.5390000001</v>
          </cell>
          <cell r="G36">
            <v>2086984.4410000001</v>
          </cell>
          <cell r="H36">
            <v>2108413.2620000001</v>
          </cell>
          <cell r="I36">
            <v>2130596.7910000002</v>
          </cell>
          <cell r="J36">
            <v>2153591.7030000002</v>
          </cell>
          <cell r="K36">
            <v>2177444.7579999999</v>
          </cell>
          <cell r="L36">
            <v>2202321.1680000001</v>
          </cell>
          <cell r="M36">
            <v>2228201.199</v>
          </cell>
          <cell r="N36">
            <v>2255063.7850000001</v>
          </cell>
          <cell r="O36">
            <v>2282892.4109999998</v>
          </cell>
          <cell r="P36">
            <v>2311672.1</v>
          </cell>
          <cell r="Q36">
            <v>2341388.4700000002</v>
          </cell>
          <cell r="R36">
            <v>2372018.9610000001</v>
          </cell>
          <cell r="S36">
            <v>2403546.426</v>
          </cell>
          <cell r="T36">
            <v>2435957.6140000001</v>
          </cell>
          <cell r="U36">
            <v>2469241.835</v>
          </cell>
          <cell r="V36">
            <v>2503294.284</v>
          </cell>
          <cell r="W36">
            <v>2538133.2540000002</v>
          </cell>
          <cell r="X36">
            <v>2573775.4670000002</v>
          </cell>
          <cell r="Y36">
            <v>2610231.4270000001</v>
          </cell>
          <cell r="Z36">
            <v>2647507.7310000001</v>
          </cell>
          <cell r="AA36">
            <v>2685331.287</v>
          </cell>
          <cell r="AB36">
            <v>2723650.4410000001</v>
          </cell>
          <cell r="AC36">
            <v>2762437.0980000002</v>
          </cell>
          <cell r="AD36">
            <v>2801672.375</v>
          </cell>
          <cell r="AE36">
            <v>2841345.8259999999</v>
          </cell>
          <cell r="AF36">
            <v>2881454.443</v>
          </cell>
          <cell r="AG36">
            <v>2922002.9169999999</v>
          </cell>
          <cell r="AH36">
            <v>2962998.72</v>
          </cell>
          <cell r="AI36">
            <v>3004450.78</v>
          </cell>
          <cell r="AJ36">
            <v>3046368.5010000002</v>
          </cell>
          <cell r="AK36">
            <v>3088761.0929999999</v>
          </cell>
          <cell r="AL36">
            <v>3131588.1809999999</v>
          </cell>
          <cell r="AM36">
            <v>3174817.7420000001</v>
          </cell>
          <cell r="AN36">
            <v>3218428.2390000001</v>
          </cell>
          <cell r="AO36">
            <v>3262406.7239999999</v>
          </cell>
          <cell r="AP36">
            <v>3306747.2420000001</v>
          </cell>
          <cell r="AQ36">
            <v>3351452.415</v>
          </cell>
          <cell r="AR36">
            <v>3396528.0469999998</v>
          </cell>
          <cell r="AS36">
            <v>3441982.5150000001</v>
          </cell>
          <cell r="AT36">
            <v>3487826.17</v>
          </cell>
          <cell r="AU36">
            <v>3534070.699</v>
          </cell>
          <cell r="AV36">
            <v>3580744.4870000002</v>
          </cell>
          <cell r="AW36">
            <v>3627870.42</v>
          </cell>
          <cell r="AX36">
            <v>3675467.5189999999</v>
          </cell>
          <cell r="AY36">
            <v>3723552.531</v>
          </cell>
          <cell r="AZ36">
            <v>3772140.733</v>
          </cell>
          <cell r="BA36">
            <v>4389959.9960000003</v>
          </cell>
          <cell r="BB36">
            <v>4466700.5690000001</v>
          </cell>
          <cell r="BC36">
            <v>4544619.5580000002</v>
          </cell>
          <cell r="BD36">
            <v>4623723.8540000003</v>
          </cell>
          <cell r="BE36">
            <v>4704021.2580000004</v>
          </cell>
        </row>
        <row r="37">
          <cell r="B37">
            <v>1989199.2039999999</v>
          </cell>
          <cell r="C37">
            <v>2012525.5989999999</v>
          </cell>
          <cell r="D37">
            <v>2036439.223</v>
          </cell>
          <cell r="E37">
            <v>2061086.014</v>
          </cell>
          <cell r="F37">
            <v>2086593.703</v>
          </cell>
          <cell r="G37">
            <v>2113064.11</v>
          </cell>
          <cell r="H37">
            <v>2140498.0729999999</v>
          </cell>
          <cell r="I37">
            <v>2168898.5600000001</v>
          </cell>
          <cell r="J37">
            <v>2198272.4679999999</v>
          </cell>
          <cell r="K37">
            <v>2228627.358</v>
          </cell>
          <cell r="L37">
            <v>2260105.5630000001</v>
          </cell>
          <cell r="M37">
            <v>2292673.7519999999</v>
          </cell>
          <cell r="N37">
            <v>2326299.29</v>
          </cell>
          <cell r="O37">
            <v>2360955.9980000001</v>
          </cell>
          <cell r="P37">
            <v>2396620.7799999998</v>
          </cell>
          <cell r="Q37">
            <v>2433272.162</v>
          </cell>
          <cell r="R37">
            <v>2470890.1510000001</v>
          </cell>
          <cell r="S37">
            <v>2509456.4730000002</v>
          </cell>
          <cell r="T37">
            <v>2548954.7230000002</v>
          </cell>
          <cell r="U37">
            <v>2589370.3450000002</v>
          </cell>
          <cell r="V37">
            <v>2630587.8679999998</v>
          </cell>
          <cell r="W37">
            <v>2672623.2790000001</v>
          </cell>
          <cell r="X37">
            <v>2715491.2650000001</v>
          </cell>
          <cell r="Y37">
            <v>2759200.534</v>
          </cell>
          <cell r="Z37">
            <v>2803756.2549999999</v>
          </cell>
          <cell r="AA37">
            <v>2848862.5109999999</v>
          </cell>
          <cell r="AB37">
            <v>2894457.94</v>
          </cell>
          <cell r="AC37">
            <v>2940508.3390000002</v>
          </cell>
          <cell r="AD37">
            <v>2986990.98</v>
          </cell>
          <cell r="AE37">
            <v>3033893.3020000001</v>
          </cell>
          <cell r="AF37">
            <v>3081211.5070000002</v>
          </cell>
          <cell r="AG37">
            <v>3128948.415</v>
          </cell>
          <cell r="AH37">
            <v>3177111.2170000002</v>
          </cell>
          <cell r="AI37">
            <v>3225709.5690000001</v>
          </cell>
          <cell r="AJ37">
            <v>3274754.1919999998</v>
          </cell>
          <cell r="AK37">
            <v>3324255.9780000001</v>
          </cell>
          <cell r="AL37">
            <v>3374152.36</v>
          </cell>
          <cell r="AM37">
            <v>3424399.179</v>
          </cell>
          <cell r="AN37">
            <v>3474969.1549999998</v>
          </cell>
          <cell r="AO37">
            <v>3525847.2420000001</v>
          </cell>
          <cell r="AP37">
            <v>3577027.818</v>
          </cell>
          <cell r="AQ37">
            <v>3628512.8130000001</v>
          </cell>
          <cell r="AR37">
            <v>3680310.148</v>
          </cell>
          <cell r="AS37">
            <v>3732432.32</v>
          </cell>
          <cell r="AT37">
            <v>3784895.139</v>
          </cell>
          <cell r="AU37">
            <v>3837716.6889999998</v>
          </cell>
          <cell r="AV37">
            <v>3890923.2519999999</v>
          </cell>
          <cell r="AW37">
            <v>3944540.4750000001</v>
          </cell>
          <cell r="AX37">
            <v>3998593.1359999999</v>
          </cell>
          <cell r="AY37">
            <v>4053104.9610000001</v>
          </cell>
          <cell r="AZ37">
            <v>4108098.66</v>
          </cell>
          <cell r="BA37">
            <v>4416352.4210000001</v>
          </cell>
          <cell r="BB37">
            <v>4494341.6150000002</v>
          </cell>
          <cell r="BC37">
            <v>4573512.3600000003</v>
          </cell>
          <cell r="BD37">
            <v>4653871.7300000004</v>
          </cell>
          <cell r="BE37">
            <v>4735428.1529999999</v>
          </cell>
        </row>
        <row r="38">
          <cell r="B38">
            <v>436546.47379999998</v>
          </cell>
          <cell r="C38">
            <v>441672.20990000002</v>
          </cell>
          <cell r="D38">
            <v>447004.86589999998</v>
          </cell>
          <cell r="E38">
            <v>452563.94579999999</v>
          </cell>
          <cell r="F38">
            <v>458350.64689999999</v>
          </cell>
          <cell r="G38">
            <v>464359.55800000002</v>
          </cell>
          <cell r="H38">
            <v>470558.17109999998</v>
          </cell>
          <cell r="I38">
            <v>476930.89059999998</v>
          </cell>
          <cell r="J38">
            <v>483469.5772</v>
          </cell>
          <cell r="K38">
            <v>490169.58010000002</v>
          </cell>
          <cell r="L38">
            <v>497072.93109999999</v>
          </cell>
          <cell r="M38">
            <v>504149.3504</v>
          </cell>
          <cell r="N38">
            <v>511387.78470000002</v>
          </cell>
          <cell r="O38">
            <v>518785.08840000001</v>
          </cell>
          <cell r="P38">
            <v>526341.11170000001</v>
          </cell>
          <cell r="Q38">
            <v>534057.04859999998</v>
          </cell>
          <cell r="R38">
            <v>541934.56129999994</v>
          </cell>
          <cell r="S38">
            <v>549975.97719999996</v>
          </cell>
          <cell r="T38">
            <v>558184.0048</v>
          </cell>
          <cell r="U38">
            <v>566561.50329999998</v>
          </cell>
          <cell r="V38">
            <v>575077.93370000005</v>
          </cell>
          <cell r="W38">
            <v>583757.40839999996</v>
          </cell>
          <cell r="X38">
            <v>592610.40110000002</v>
          </cell>
          <cell r="Y38">
            <v>601641.92819999997</v>
          </cell>
          <cell r="Z38">
            <v>610855.00450000004</v>
          </cell>
          <cell r="AA38">
            <v>620154.73459999997</v>
          </cell>
          <cell r="AB38">
            <v>629558.88009999995</v>
          </cell>
          <cell r="AC38">
            <v>639074.62309999997</v>
          </cell>
          <cell r="AD38">
            <v>648704.54480000003</v>
          </cell>
          <cell r="AE38">
            <v>658449.88379999995</v>
          </cell>
          <cell r="AF38">
            <v>668311.55759999994</v>
          </cell>
          <cell r="AG38">
            <v>678290.48699999996</v>
          </cell>
          <cell r="AH38">
            <v>688387.5159</v>
          </cell>
          <cell r="AI38">
            <v>698603.40960000001</v>
          </cell>
          <cell r="AJ38">
            <v>708938.85860000004</v>
          </cell>
          <cell r="AK38">
            <v>719394.49849999999</v>
          </cell>
          <cell r="AL38">
            <v>729947.79359999998</v>
          </cell>
          <cell r="AM38">
            <v>740590.83519999997</v>
          </cell>
          <cell r="AN38">
            <v>751321.22259999998</v>
          </cell>
          <cell r="AO38">
            <v>762138.64839999995</v>
          </cell>
          <cell r="AP38">
            <v>773043.82689999999</v>
          </cell>
          <cell r="AQ38">
            <v>784038.22750000004</v>
          </cell>
          <cell r="AR38">
            <v>795123.77619999996</v>
          </cell>
          <cell r="AS38">
            <v>806302.79099999997</v>
          </cell>
          <cell r="AT38">
            <v>817577.93090000004</v>
          </cell>
          <cell r="AU38">
            <v>828952.14199999999</v>
          </cell>
          <cell r="AV38">
            <v>840431.06240000005</v>
          </cell>
          <cell r="AW38">
            <v>852018.96959999995</v>
          </cell>
          <cell r="AX38">
            <v>863719.70889999997</v>
          </cell>
          <cell r="AY38">
            <v>875537.07790000003</v>
          </cell>
          <cell r="AZ38">
            <v>887474.94259999995</v>
          </cell>
          <cell r="BA38">
            <v>969386.38840000005</v>
          </cell>
          <cell r="BB38">
            <v>986705.67310000001</v>
          </cell>
          <cell r="BC38">
            <v>1004324.552</v>
          </cell>
          <cell r="BD38">
            <v>1022245.498</v>
          </cell>
          <cell r="BE38">
            <v>1040471.069</v>
          </cell>
        </row>
        <row r="39">
          <cell r="B39">
            <v>436615.54820000002</v>
          </cell>
          <cell r="C39">
            <v>441840.71139999997</v>
          </cell>
          <cell r="D39">
            <v>447282.36989999999</v>
          </cell>
          <cell r="E39">
            <v>452955.38929999998</v>
          </cell>
          <cell r="F39">
            <v>458863.7709</v>
          </cell>
          <cell r="G39">
            <v>465006.92389999999</v>
          </cell>
          <cell r="H39">
            <v>471356.8958</v>
          </cell>
          <cell r="I39">
            <v>477901.48759999999</v>
          </cell>
          <cell r="J39">
            <v>484634.90960000001</v>
          </cell>
          <cell r="K39">
            <v>491554.07900000003</v>
          </cell>
          <cell r="L39">
            <v>498702.19469999999</v>
          </cell>
          <cell r="M39">
            <v>506049.7978</v>
          </cell>
          <cell r="N39">
            <v>513585.8787</v>
          </cell>
          <cell r="O39">
            <v>521306.7268</v>
          </cell>
          <cell r="P39">
            <v>529211.13500000001</v>
          </cell>
          <cell r="Q39">
            <v>537298.83059999999</v>
          </cell>
          <cell r="R39">
            <v>545569.96219999995</v>
          </cell>
          <cell r="S39">
            <v>554024.91009999998</v>
          </cell>
          <cell r="T39">
            <v>562664.1862</v>
          </cell>
          <cell r="U39">
            <v>571488.35739999998</v>
          </cell>
          <cell r="V39">
            <v>580464.20880000002</v>
          </cell>
          <cell r="W39">
            <v>589613.75309999997</v>
          </cell>
          <cell r="X39">
            <v>598945.46939999994</v>
          </cell>
          <cell r="Y39">
            <v>608462.52529999998</v>
          </cell>
          <cell r="Z39">
            <v>618166.26100000006</v>
          </cell>
          <cell r="AA39">
            <v>627958.91440000001</v>
          </cell>
          <cell r="AB39">
            <v>637856.65659999999</v>
          </cell>
          <cell r="AC39">
            <v>647865.41630000004</v>
          </cell>
          <cell r="AD39">
            <v>657986.82149999996</v>
          </cell>
          <cell r="AE39">
            <v>668221.42630000005</v>
          </cell>
          <cell r="AF39">
            <v>678569.6936</v>
          </cell>
          <cell r="AG39">
            <v>689032.21979999996</v>
          </cell>
          <cell r="AH39">
            <v>699609.72919999994</v>
          </cell>
          <cell r="AI39">
            <v>710303.02549999999</v>
          </cell>
          <cell r="AJ39">
            <v>721112.95900000003</v>
          </cell>
          <cell r="AK39">
            <v>732040.42279999994</v>
          </cell>
          <cell r="AL39">
            <v>743062.25210000004</v>
          </cell>
          <cell r="AM39">
            <v>754170.49639999995</v>
          </cell>
          <cell r="AN39">
            <v>765363.03</v>
          </cell>
          <cell r="AO39">
            <v>776639.95310000004</v>
          </cell>
          <cell r="AP39">
            <v>788002.44240000006</v>
          </cell>
          <cell r="AQ39">
            <v>799452.36399999994</v>
          </cell>
          <cell r="AR39">
            <v>810992.10679999995</v>
          </cell>
          <cell r="AS39">
            <v>822624.47649999999</v>
          </cell>
          <cell r="AT39">
            <v>834352.61010000005</v>
          </cell>
          <cell r="AU39">
            <v>846179.90619999997</v>
          </cell>
          <cell r="AV39">
            <v>858112.16429999995</v>
          </cell>
          <cell r="AW39">
            <v>870153.98219999997</v>
          </cell>
          <cell r="AX39">
            <v>882309.58479999995</v>
          </cell>
          <cell r="AY39">
            <v>894583.11289999995</v>
          </cell>
          <cell r="AZ39">
            <v>906978.71180000005</v>
          </cell>
          <cell r="BA39">
            <v>974839.33270000003</v>
          </cell>
          <cell r="BB39">
            <v>992423.24210000003</v>
          </cell>
          <cell r="BC39">
            <v>1010309.076</v>
          </cell>
          <cell r="BD39">
            <v>1028499.486</v>
          </cell>
          <cell r="BE39">
            <v>1046997.275</v>
          </cell>
        </row>
        <row r="40">
          <cell r="B40">
            <v>5627.3068400000002</v>
          </cell>
          <cell r="C40">
            <v>5678.7482140000002</v>
          </cell>
          <cell r="D40">
            <v>5728.7056050000001</v>
          </cell>
          <cell r="E40">
            <v>5778.8143879999998</v>
          </cell>
          <cell r="F40">
            <v>5830.1119280000003</v>
          </cell>
          <cell r="G40">
            <v>5883.3003470000003</v>
          </cell>
          <cell r="H40">
            <v>5938.6440650000004</v>
          </cell>
          <cell r="I40">
            <v>5996.337399</v>
          </cell>
          <cell r="J40">
            <v>6056.5217979999998</v>
          </cell>
          <cell r="K40">
            <v>6119.2843510000002</v>
          </cell>
          <cell r="L40">
            <v>6185.0384709999998</v>
          </cell>
          <cell r="M40">
            <v>6253.6101699999999</v>
          </cell>
          <cell r="N40">
            <v>6324.844137</v>
          </cell>
          <cell r="O40">
            <v>6398.6167830000004</v>
          </cell>
          <cell r="P40">
            <v>6474.8197609999997</v>
          </cell>
          <cell r="Q40">
            <v>6553.354214</v>
          </cell>
          <cell r="R40">
            <v>6634.0921660000004</v>
          </cell>
          <cell r="S40">
            <v>6716.9391969999997</v>
          </cell>
          <cell r="T40">
            <v>6801.8265259999998</v>
          </cell>
          <cell r="U40">
            <v>6888.7047069999999</v>
          </cell>
          <cell r="V40">
            <v>6977.2642269999997</v>
          </cell>
          <cell r="W40">
            <v>7067.5822470000003</v>
          </cell>
          <cell r="X40">
            <v>7159.7277519999998</v>
          </cell>
          <cell r="Y40">
            <v>7253.75047</v>
          </cell>
          <cell r="Z40">
            <v>7349.6926139999996</v>
          </cell>
          <cell r="AA40">
            <v>7446.8016850000004</v>
          </cell>
          <cell r="AB40">
            <v>7545.0320499999998</v>
          </cell>
          <cell r="AC40">
            <v>7644.3972549999999</v>
          </cell>
          <cell r="AD40">
            <v>7744.9212100000004</v>
          </cell>
          <cell r="AE40">
            <v>7846.6399570000003</v>
          </cell>
          <cell r="AF40">
            <v>7949.6019720000004</v>
          </cell>
          <cell r="AG40">
            <v>8053.8737849999998</v>
          </cell>
          <cell r="AH40">
            <v>8159.5219370000004</v>
          </cell>
          <cell r="AI40">
            <v>8266.6108280000008</v>
          </cell>
          <cell r="AJ40">
            <v>8375.2008760000008</v>
          </cell>
          <cell r="AK40">
            <v>8485.3468890000004</v>
          </cell>
          <cell r="AL40">
            <v>8596.9841550000001</v>
          </cell>
          <cell r="AM40">
            <v>8710.0614619999997</v>
          </cell>
          <cell r="AN40">
            <v>8824.5476099999996</v>
          </cell>
          <cell r="AO40">
            <v>8940.4259299999994</v>
          </cell>
          <cell r="AP40">
            <v>9057.6900679999999</v>
          </cell>
          <cell r="AQ40">
            <v>9176.3536669999994</v>
          </cell>
          <cell r="AR40">
            <v>9296.4289349999999</v>
          </cell>
          <cell r="AS40">
            <v>9417.9276129999998</v>
          </cell>
          <cell r="AT40">
            <v>9540.8614799999996</v>
          </cell>
          <cell r="AU40">
            <v>9665.2420299999994</v>
          </cell>
          <cell r="AV40">
            <v>9791.1397899999993</v>
          </cell>
          <cell r="AW40">
            <v>9918.5959550000007</v>
          </cell>
          <cell r="AX40">
            <v>10047.63314</v>
          </cell>
          <cell r="AY40">
            <v>10178.264440000001</v>
          </cell>
          <cell r="AZ40">
            <v>10310.497890000001</v>
          </cell>
          <cell r="BA40">
            <v>12147.36292</v>
          </cell>
          <cell r="BB40">
            <v>12363.873009999999</v>
          </cell>
          <cell r="BC40">
            <v>12584.15033</v>
          </cell>
          <cell r="BD40">
            <v>12808.216270000001</v>
          </cell>
          <cell r="BE40">
            <v>13036.09304</v>
          </cell>
        </row>
        <row r="41">
          <cell r="B41">
            <v>5636.5006020000001</v>
          </cell>
          <cell r="C41">
            <v>5702.0388599999997</v>
          </cell>
          <cell r="D41">
            <v>5768.499511</v>
          </cell>
          <cell r="E41">
            <v>5836.369232</v>
          </cell>
          <cell r="F41">
            <v>5906.1353049999998</v>
          </cell>
          <cell r="G41">
            <v>5978.203872</v>
          </cell>
          <cell r="H41">
            <v>6052.6539240000002</v>
          </cell>
          <cell r="I41">
            <v>6129.5525870000001</v>
          </cell>
          <cell r="J41">
            <v>6208.9545189999999</v>
          </cell>
          <cell r="K41">
            <v>6290.8936299999996</v>
          </cell>
          <cell r="L41">
            <v>6375.7834469999998</v>
          </cell>
          <cell r="M41">
            <v>6463.4796200000001</v>
          </cell>
          <cell r="N41">
            <v>6553.8566700000001</v>
          </cell>
          <cell r="O41">
            <v>6646.8237090000002</v>
          </cell>
          <cell r="P41">
            <v>6742.3081099999999</v>
          </cell>
          <cell r="Q41">
            <v>6840.2481120000002</v>
          </cell>
          <cell r="R41">
            <v>6940.5913119999996</v>
          </cell>
          <cell r="S41">
            <v>7043.2950959999998</v>
          </cell>
          <cell r="T41">
            <v>7148.3271199999999</v>
          </cell>
          <cell r="U41">
            <v>7255.665285</v>
          </cell>
          <cell r="V41">
            <v>7364.9974739999998</v>
          </cell>
          <cell r="W41">
            <v>7476.4246830000002</v>
          </cell>
          <cell r="X41">
            <v>7590.0323619999999</v>
          </cell>
          <cell r="Y41">
            <v>7705.8804019999998</v>
          </cell>
          <cell r="Z41">
            <v>7824.0165349999997</v>
          </cell>
          <cell r="AA41">
            <v>7943.6126160000003</v>
          </cell>
          <cell r="AB41">
            <v>8064.5965480000004</v>
          </cell>
          <cell r="AC41">
            <v>8186.9646160000002</v>
          </cell>
          <cell r="AD41">
            <v>8310.7264149999992</v>
          </cell>
          <cell r="AE41">
            <v>8435.9050790000001</v>
          </cell>
          <cell r="AF41">
            <v>8562.5369489999994</v>
          </cell>
          <cell r="AG41">
            <v>8690.6679929999991</v>
          </cell>
          <cell r="AH41">
            <v>8820.3490839999995</v>
          </cell>
          <cell r="AI41">
            <v>8951.6316169999991</v>
          </cell>
          <cell r="AJ41">
            <v>9084.5641149999992</v>
          </cell>
          <cell r="AK41">
            <v>9219.1899919999996</v>
          </cell>
          <cell r="AL41">
            <v>9355.3332179999998</v>
          </cell>
          <cell r="AM41">
            <v>9492.8829100000003</v>
          </cell>
          <cell r="AN41">
            <v>9631.7782169999991</v>
          </cell>
          <cell r="AO41">
            <v>9771.9871899999998</v>
          </cell>
          <cell r="AP41">
            <v>9913.4959689999996</v>
          </cell>
          <cell r="AQ41">
            <v>10056.303309999999</v>
          </cell>
          <cell r="AR41">
            <v>10200.41714</v>
          </cell>
          <cell r="AS41">
            <v>10345.85187</v>
          </cell>
          <cell r="AT41">
            <v>10492.626109999999</v>
          </cell>
          <cell r="AU41">
            <v>10640.760840000001</v>
          </cell>
          <cell r="AV41">
            <v>10790.297350000001</v>
          </cell>
          <cell r="AW41">
            <v>10941.271000000001</v>
          </cell>
          <cell r="AX41">
            <v>11093.712009999999</v>
          </cell>
          <cell r="AY41">
            <v>11247.64739</v>
          </cell>
          <cell r="AZ41">
            <v>11403.10202</v>
          </cell>
          <cell r="BA41">
            <v>12237.932129999999</v>
          </cell>
          <cell r="BB41">
            <v>12459.11011</v>
          </cell>
          <cell r="BC41">
            <v>12684.09014</v>
          </cell>
          <cell r="BD41">
            <v>12912.89061</v>
          </cell>
          <cell r="BE41">
            <v>13145.53176</v>
          </cell>
        </row>
        <row r="42">
          <cell r="B42">
            <v>22358.810300000001</v>
          </cell>
          <cell r="C42">
            <v>22557.517810000001</v>
          </cell>
          <cell r="D42">
            <v>22741.46127</v>
          </cell>
          <cell r="E42">
            <v>22914.767940000002</v>
          </cell>
          <cell r="F42">
            <v>23081.17801</v>
          </cell>
          <cell r="G42">
            <v>23244.081579999998</v>
          </cell>
          <cell r="H42">
            <v>23405.66186</v>
          </cell>
          <cell r="I42">
            <v>23567.93923</v>
          </cell>
          <cell r="J42">
            <v>23732.609909999999</v>
          </cell>
          <cell r="K42">
            <v>23900.998589999999</v>
          </cell>
          <cell r="L42">
            <v>24075.401870000002</v>
          </cell>
          <cell r="M42">
            <v>24255.817899999998</v>
          </cell>
          <cell r="N42">
            <v>24442.353760000002</v>
          </cell>
          <cell r="O42">
            <v>24635.157800000001</v>
          </cell>
          <cell r="P42">
            <v>24834.339080000002</v>
          </cell>
          <cell r="Q42">
            <v>25039.948359999999</v>
          </cell>
          <cell r="R42">
            <v>25251.831610000001</v>
          </cell>
          <cell r="S42">
            <v>25469.889810000001</v>
          </cell>
          <cell r="T42">
            <v>25694.043829999999</v>
          </cell>
          <cell r="U42">
            <v>25924.218130000001</v>
          </cell>
          <cell r="V42">
            <v>26159.39947</v>
          </cell>
          <cell r="W42">
            <v>26399.924910000002</v>
          </cell>
          <cell r="X42">
            <v>26645.97033</v>
          </cell>
          <cell r="Y42">
            <v>26897.602159999999</v>
          </cell>
          <cell r="Z42">
            <v>27154.84575</v>
          </cell>
          <cell r="AA42">
            <v>27415.036209999998</v>
          </cell>
          <cell r="AB42">
            <v>27678.135310000001</v>
          </cell>
          <cell r="AC42">
            <v>27944.126530000001</v>
          </cell>
          <cell r="AD42">
            <v>28212.962749999999</v>
          </cell>
          <cell r="AE42">
            <v>28484.615590000001</v>
          </cell>
          <cell r="AF42">
            <v>28759.094260000002</v>
          </cell>
          <cell r="AG42">
            <v>29036.48</v>
          </cell>
          <cell r="AH42">
            <v>29316.864020000001</v>
          </cell>
          <cell r="AI42">
            <v>29600.34895</v>
          </cell>
          <cell r="AJ42">
            <v>29887.046269999999</v>
          </cell>
          <cell r="AK42">
            <v>30177.071629999999</v>
          </cell>
          <cell r="AL42">
            <v>30470.21269</v>
          </cell>
          <cell r="AM42">
            <v>30766.34475</v>
          </cell>
          <cell r="AN42">
            <v>31065.413189999999</v>
          </cell>
          <cell r="AO42">
            <v>31367.40609</v>
          </cell>
          <cell r="AP42">
            <v>31672.33942</v>
          </cell>
          <cell r="AQ42">
            <v>31980.297780000001</v>
          </cell>
          <cell r="AR42">
            <v>32291.35211</v>
          </cell>
          <cell r="AS42">
            <v>32605.56957</v>
          </cell>
          <cell r="AT42">
            <v>32923.017030000003</v>
          </cell>
          <cell r="AU42">
            <v>33243.760540000003</v>
          </cell>
          <cell r="AV42">
            <v>33568.085529999997</v>
          </cell>
          <cell r="AW42">
            <v>33896.156190000002</v>
          </cell>
          <cell r="AX42">
            <v>34228.072910000003</v>
          </cell>
          <cell r="AY42">
            <v>34563.905010000002</v>
          </cell>
          <cell r="AZ42">
            <v>34903.703150000001</v>
          </cell>
          <cell r="BA42">
            <v>42085.823779999999</v>
          </cell>
          <cell r="BB42">
            <v>42720.464610000003</v>
          </cell>
          <cell r="BC42">
            <v>43365.87472</v>
          </cell>
          <cell r="BD42">
            <v>44022.131200000003</v>
          </cell>
          <cell r="BE42">
            <v>44689.325839999998</v>
          </cell>
        </row>
        <row r="43">
          <cell r="B43">
            <v>22396.237659999999</v>
          </cell>
          <cell r="C43">
            <v>22651.085579999999</v>
          </cell>
          <cell r="D43">
            <v>22901.104240000001</v>
          </cell>
          <cell r="E43">
            <v>23146.932649999999</v>
          </cell>
          <cell r="F43">
            <v>23390.655610000002</v>
          </cell>
          <cell r="G43">
            <v>23634.72622</v>
          </cell>
          <cell r="H43">
            <v>23880.57531</v>
          </cell>
          <cell r="I43">
            <v>24129.560649999999</v>
          </cell>
          <cell r="J43">
            <v>24382.798419999999</v>
          </cell>
          <cell r="K43">
            <v>24641.120930000001</v>
          </cell>
          <cell r="L43">
            <v>24906.540550000002</v>
          </cell>
          <cell r="M43">
            <v>25178.835200000001</v>
          </cell>
          <cell r="N43">
            <v>25457.901610000001</v>
          </cell>
          <cell r="O43">
            <v>25743.712390000001</v>
          </cell>
          <cell r="P43">
            <v>26036.24092</v>
          </cell>
          <cell r="Q43">
            <v>26335.439699999999</v>
          </cell>
          <cell r="R43">
            <v>26641.24208</v>
          </cell>
          <cell r="S43">
            <v>26953.56997</v>
          </cell>
          <cell r="T43">
            <v>27272.3416</v>
          </cell>
          <cell r="U43">
            <v>27597.47741</v>
          </cell>
          <cell r="V43">
            <v>27927.847000000002</v>
          </cell>
          <cell r="W43">
            <v>28263.846679999999</v>
          </cell>
          <cell r="X43">
            <v>28605.690569999999</v>
          </cell>
          <cell r="Y43">
            <v>28953.473320000001</v>
          </cell>
          <cell r="Z43">
            <v>29307.246930000001</v>
          </cell>
          <cell r="AA43">
            <v>29663.995650000001</v>
          </cell>
          <cell r="AB43">
            <v>30023.641629999998</v>
          </cell>
          <cell r="AC43">
            <v>30386.161680000001</v>
          </cell>
          <cell r="AD43">
            <v>30751.512139999999</v>
          </cell>
          <cell r="AE43">
            <v>31119.675289999999</v>
          </cell>
          <cell r="AF43">
            <v>31490.677</v>
          </cell>
          <cell r="AG43">
            <v>31864.585879999999</v>
          </cell>
          <cell r="AH43">
            <v>32241.504990000001</v>
          </cell>
          <cell r="AI43">
            <v>32621.561989999998</v>
          </cell>
          <cell r="AJ43">
            <v>33004.900159999997</v>
          </cell>
          <cell r="AK43">
            <v>33391.671110000003</v>
          </cell>
          <cell r="AL43">
            <v>33781.290229999999</v>
          </cell>
          <cell r="AM43">
            <v>34173.48992</v>
          </cell>
          <cell r="AN43">
            <v>34568.183089999999</v>
          </cell>
          <cell r="AO43">
            <v>34965.371610000002</v>
          </cell>
          <cell r="AP43">
            <v>35365.108809999998</v>
          </cell>
          <cell r="AQ43">
            <v>35767.483699999997</v>
          </cell>
          <cell r="AR43">
            <v>36172.612240000002</v>
          </cell>
          <cell r="AS43">
            <v>36580.630669999999</v>
          </cell>
          <cell r="AT43">
            <v>36991.68922</v>
          </cell>
          <cell r="AU43">
            <v>37405.945489999998</v>
          </cell>
          <cell r="AV43">
            <v>37823.619930000001</v>
          </cell>
          <cell r="AW43">
            <v>38244.900560000002</v>
          </cell>
          <cell r="AX43">
            <v>38669.949679999998</v>
          </cell>
          <cell r="AY43">
            <v>39098.935250000002</v>
          </cell>
          <cell r="AZ43">
            <v>39532.037519999998</v>
          </cell>
          <cell r="BA43">
            <v>42263.765290000003</v>
          </cell>
          <cell r="BB43">
            <v>42902.801449999999</v>
          </cell>
          <cell r="BC43">
            <v>43552.226329999998</v>
          </cell>
          <cell r="BD43">
            <v>44212.114000000001</v>
          </cell>
          <cell r="BE43">
            <v>44882.554239999998</v>
          </cell>
        </row>
        <row r="44">
          <cell r="B44">
            <v>1606.090719</v>
          </cell>
          <cell r="C44">
            <v>1620.611373</v>
          </cell>
          <cell r="D44">
            <v>1633.854808</v>
          </cell>
          <cell r="E44">
            <v>1646.0708990000001</v>
          </cell>
          <cell r="F44">
            <v>1657.5523969999999</v>
          </cell>
          <cell r="G44">
            <v>1668.5881460000001</v>
          </cell>
          <cell r="H44">
            <v>1679.381335</v>
          </cell>
          <cell r="I44">
            <v>1690.110617</v>
          </cell>
          <cell r="J44">
            <v>1700.921609</v>
          </cell>
          <cell r="K44">
            <v>1711.92788</v>
          </cell>
          <cell r="L44">
            <v>1723.296998</v>
          </cell>
          <cell r="M44">
            <v>1735.049559</v>
          </cell>
          <cell r="N44">
            <v>1747.2116980000001</v>
          </cell>
          <cell r="O44">
            <v>1759.8077410000001</v>
          </cell>
          <cell r="P44">
            <v>1772.855888</v>
          </cell>
          <cell r="Q44">
            <v>1786.367958</v>
          </cell>
          <cell r="R44">
            <v>1800.3404619999999</v>
          </cell>
          <cell r="S44">
            <v>1814.7716700000001</v>
          </cell>
          <cell r="T44">
            <v>1829.659249</v>
          </cell>
          <cell r="U44">
            <v>1844.9994790000001</v>
          </cell>
          <cell r="V44">
            <v>1860.7291829999999</v>
          </cell>
          <cell r="W44">
            <v>1876.8673389999999</v>
          </cell>
          <cell r="X44">
            <v>1893.4205440000001</v>
          </cell>
          <cell r="Y44">
            <v>1910.3886769999999</v>
          </cell>
          <cell r="Z44">
            <v>1927.769092</v>
          </cell>
          <cell r="AA44">
            <v>1945.3922459999999</v>
          </cell>
          <cell r="AB44">
            <v>1963.250509</v>
          </cell>
          <cell r="AC44">
            <v>1981.3329839999999</v>
          </cell>
          <cell r="AD44">
            <v>1999.6271529999999</v>
          </cell>
          <cell r="AE44">
            <v>2018.1227060000001</v>
          </cell>
          <cell r="AF44">
            <v>2036.8126769999999</v>
          </cell>
          <cell r="AG44">
            <v>2055.695526</v>
          </cell>
          <cell r="AH44">
            <v>2074.7710219999999</v>
          </cell>
          <cell r="AI44">
            <v>2094.0403270000002</v>
          </cell>
          <cell r="AJ44">
            <v>2113.505744</v>
          </cell>
          <cell r="AK44">
            <v>2133.1703520000001</v>
          </cell>
          <cell r="AL44">
            <v>2153.0179859999998</v>
          </cell>
          <cell r="AM44">
            <v>2173.0376609999998</v>
          </cell>
          <cell r="AN44">
            <v>2193.2223049999998</v>
          </cell>
          <cell r="AO44">
            <v>2213.5675179999998</v>
          </cell>
          <cell r="AP44">
            <v>2234.0709609999999</v>
          </cell>
          <cell r="AQ44">
            <v>2254.735107</v>
          </cell>
          <cell r="AR44">
            <v>2275.5619569999999</v>
          </cell>
          <cell r="AS44">
            <v>2296.5537180000001</v>
          </cell>
          <cell r="AT44">
            <v>2317.7129519999999</v>
          </cell>
          <cell r="AU44">
            <v>2339.042434</v>
          </cell>
          <cell r="AV44">
            <v>2360.559049</v>
          </cell>
          <cell r="AW44">
            <v>2382.2719520000001</v>
          </cell>
          <cell r="AX44">
            <v>2404.186561</v>
          </cell>
          <cell r="AY44">
            <v>2426.3064639999998</v>
          </cell>
          <cell r="AZ44">
            <v>2448.634043</v>
          </cell>
          <cell r="BA44">
            <v>2954.5719279999998</v>
          </cell>
          <cell r="BB44">
            <v>2997.2094339999999</v>
          </cell>
          <cell r="BC44">
            <v>3040.5167059999999</v>
          </cell>
          <cell r="BD44">
            <v>3084.4992379999999</v>
          </cell>
          <cell r="BE44">
            <v>3129.163877</v>
          </cell>
        </row>
        <row r="45">
          <cell r="B45">
            <v>1608.491522</v>
          </cell>
          <cell r="C45">
            <v>1626.573637</v>
          </cell>
          <cell r="D45">
            <v>1644.022635</v>
          </cell>
          <cell r="E45">
            <v>1660.9023380000001</v>
          </cell>
          <cell r="F45">
            <v>1677.42345</v>
          </cell>
          <cell r="G45">
            <v>1693.8208159999999</v>
          </cell>
          <cell r="H45">
            <v>1710.24918</v>
          </cell>
          <cell r="I45">
            <v>1726.841426</v>
          </cell>
          <cell r="J45">
            <v>1743.7006839999999</v>
          </cell>
          <cell r="K45">
            <v>1760.9023810000001</v>
          </cell>
          <cell r="L45">
            <v>1778.588675</v>
          </cell>
          <cell r="M45">
            <v>1796.758413</v>
          </cell>
          <cell r="N45">
            <v>1815.416759</v>
          </cell>
          <cell r="O45">
            <v>1834.569659</v>
          </cell>
          <cell r="P45">
            <v>1854.2198800000001</v>
          </cell>
          <cell r="Q45">
            <v>1874.3665169999999</v>
          </cell>
          <cell r="R45">
            <v>1895.005701</v>
          </cell>
          <cell r="S45">
            <v>1916.131478</v>
          </cell>
          <cell r="T45">
            <v>1937.7365669999999</v>
          </cell>
          <cell r="U45">
            <v>1959.8129349999999</v>
          </cell>
          <cell r="V45">
            <v>1982.2863279999999</v>
          </cell>
          <cell r="W45">
            <v>2005.176917</v>
          </cell>
          <cell r="X45">
            <v>2028.4914490000001</v>
          </cell>
          <cell r="Y45">
            <v>2052.2298430000001</v>
          </cell>
          <cell r="Z45">
            <v>2076.3899219999998</v>
          </cell>
          <cell r="AA45">
            <v>2100.7782980000002</v>
          </cell>
          <cell r="AB45">
            <v>2125.3847820000001</v>
          </cell>
          <cell r="AC45">
            <v>2150.197831</v>
          </cell>
          <cell r="AD45">
            <v>2175.205054</v>
          </cell>
          <cell r="AE45">
            <v>2200.3969430000002</v>
          </cell>
          <cell r="AF45">
            <v>2225.767977</v>
          </cell>
          <cell r="AG45">
            <v>2251.3164080000001</v>
          </cell>
          <cell r="AH45">
            <v>2277.0435889999999</v>
          </cell>
          <cell r="AI45">
            <v>2302.9532380000001</v>
          </cell>
          <cell r="AJ45">
            <v>2329.0507670000002</v>
          </cell>
          <cell r="AK45">
            <v>2355.3427529999999</v>
          </cell>
          <cell r="AL45">
            <v>2381.790297</v>
          </cell>
          <cell r="AM45">
            <v>2408.3748860000001</v>
          </cell>
          <cell r="AN45">
            <v>2435.0886399999999</v>
          </cell>
          <cell r="AO45">
            <v>2461.9291360000002</v>
          </cell>
          <cell r="AP45">
            <v>2488.897508</v>
          </cell>
          <cell r="AQ45">
            <v>2515.9976579999998</v>
          </cell>
          <cell r="AR45">
            <v>2543.2357689999999</v>
          </cell>
          <cell r="AS45">
            <v>2570.6198629999999</v>
          </cell>
          <cell r="AT45">
            <v>2598.1593830000002</v>
          </cell>
          <cell r="AU45">
            <v>2625.8647930000002</v>
          </cell>
          <cell r="AV45">
            <v>2653.7514000000001</v>
          </cell>
          <cell r="AW45">
            <v>2681.8330970000002</v>
          </cell>
          <cell r="AX45">
            <v>2710.123036</v>
          </cell>
          <cell r="AY45">
            <v>2738.6339969999999</v>
          </cell>
          <cell r="AZ45">
            <v>2767.3784540000001</v>
          </cell>
          <cell r="BA45">
            <v>2960.7927679999998</v>
          </cell>
          <cell r="BB45">
            <v>3003.4283660000001</v>
          </cell>
          <cell r="BC45">
            <v>3046.7030380000001</v>
          </cell>
          <cell r="BD45">
            <v>3090.6219099999998</v>
          </cell>
          <cell r="BE45">
            <v>3135.1914139999999</v>
          </cell>
        </row>
        <row r="46">
          <cell r="B46">
            <v>533.55448590000003</v>
          </cell>
          <cell r="C46">
            <v>538.39645159999998</v>
          </cell>
          <cell r="D46">
            <v>542.98658250000005</v>
          </cell>
          <cell r="E46">
            <v>547.42456149999998</v>
          </cell>
          <cell r="F46">
            <v>551.78060270000003</v>
          </cell>
          <cell r="G46">
            <v>556.11220590000005</v>
          </cell>
          <cell r="H46">
            <v>560.4499194</v>
          </cell>
          <cell r="I46">
            <v>564.82658590000005</v>
          </cell>
          <cell r="J46">
            <v>569.27237660000003</v>
          </cell>
          <cell r="K46">
            <v>573.8116804</v>
          </cell>
          <cell r="L46">
            <v>578.4992221</v>
          </cell>
          <cell r="M46">
            <v>583.33014030000004</v>
          </cell>
          <cell r="N46">
            <v>588.30104630000005</v>
          </cell>
          <cell r="O46">
            <v>593.4112715</v>
          </cell>
          <cell r="P46">
            <v>598.66064029999995</v>
          </cell>
          <cell r="Q46">
            <v>604.04852559999995</v>
          </cell>
          <cell r="R46">
            <v>609.57025039999996</v>
          </cell>
          <cell r="S46">
            <v>615.22274849999997</v>
          </cell>
          <cell r="T46">
            <v>621.00388740000005</v>
          </cell>
          <cell r="U46">
            <v>626.91203829999995</v>
          </cell>
          <cell r="V46">
            <v>632.91989590000003</v>
          </cell>
          <cell r="W46">
            <v>639.03694700000005</v>
          </cell>
          <cell r="X46">
            <v>645.27035269999999</v>
          </cell>
          <cell r="Y46">
            <v>651.62419360000001</v>
          </cell>
          <cell r="Z46">
            <v>658.10113950000004</v>
          </cell>
          <cell r="AA46">
            <v>664.62926860000005</v>
          </cell>
          <cell r="AB46">
            <v>671.20621300000005</v>
          </cell>
          <cell r="AC46">
            <v>677.83449110000004</v>
          </cell>
          <cell r="AD46">
            <v>684.51633070000003</v>
          </cell>
          <cell r="AE46">
            <v>691.25414539999997</v>
          </cell>
          <cell r="AF46">
            <v>698.05095960000006</v>
          </cell>
          <cell r="AG46">
            <v>704.91125490000002</v>
          </cell>
          <cell r="AH46">
            <v>711.83962469999994</v>
          </cell>
          <cell r="AI46">
            <v>718.84078420000003</v>
          </cell>
          <cell r="AJ46">
            <v>725.91952349999997</v>
          </cell>
          <cell r="AK46">
            <v>733.08060869999997</v>
          </cell>
          <cell r="AL46">
            <v>740.318262</v>
          </cell>
          <cell r="AM46">
            <v>747.62945300000001</v>
          </cell>
          <cell r="AN46">
            <v>755.01382560000002</v>
          </cell>
          <cell r="AO46">
            <v>762.47260649999998</v>
          </cell>
          <cell r="AP46">
            <v>770.00791189999995</v>
          </cell>
          <cell r="AQ46">
            <v>777.62348540000005</v>
          </cell>
          <cell r="AR46">
            <v>785.32278380000002</v>
          </cell>
          <cell r="AS46">
            <v>793.10910939999997</v>
          </cell>
          <cell r="AT46">
            <v>800.98568650000004</v>
          </cell>
          <cell r="AU46">
            <v>808.9556599</v>
          </cell>
          <cell r="AV46">
            <v>817.02737999999999</v>
          </cell>
          <cell r="AW46">
            <v>825.20650950000004</v>
          </cell>
          <cell r="AX46">
            <v>833.49707209999997</v>
          </cell>
          <cell r="AY46">
            <v>841.90226380000001</v>
          </cell>
          <cell r="AZ46">
            <v>850.42480030000002</v>
          </cell>
          <cell r="BA46">
            <v>998.87981119999995</v>
          </cell>
          <cell r="BB46">
            <v>1013.927822</v>
          </cell>
          <cell r="BC46">
            <v>1029.2544969999999</v>
          </cell>
          <cell r="BD46">
            <v>1044.8615030000001</v>
          </cell>
          <cell r="BE46">
            <v>1060.750681</v>
          </cell>
        </row>
        <row r="47">
          <cell r="B47">
            <v>534.41030239999998</v>
          </cell>
          <cell r="C47">
            <v>540.57482130000005</v>
          </cell>
          <cell r="D47">
            <v>546.7387281</v>
          </cell>
          <cell r="E47">
            <v>552.90613210000004</v>
          </cell>
          <cell r="F47">
            <v>559.09678599999995</v>
          </cell>
          <cell r="G47">
            <v>565.33982279999998</v>
          </cell>
          <cell r="H47">
            <v>571.64426070000002</v>
          </cell>
          <cell r="I47">
            <v>578.02510219999999</v>
          </cell>
          <cell r="J47">
            <v>584.49838680000005</v>
          </cell>
          <cell r="K47">
            <v>591.07767909999995</v>
          </cell>
          <cell r="L47">
            <v>597.81247440000004</v>
          </cell>
          <cell r="M47">
            <v>604.69444399999998</v>
          </cell>
          <cell r="N47">
            <v>611.71704829999999</v>
          </cell>
          <cell r="O47">
            <v>618.87722670000005</v>
          </cell>
          <cell r="P47">
            <v>626.17335709999998</v>
          </cell>
          <cell r="Q47">
            <v>633.60424690000002</v>
          </cell>
          <cell r="R47">
            <v>641.1688461</v>
          </cell>
          <cell r="S47">
            <v>648.86624470000004</v>
          </cell>
          <cell r="T47">
            <v>656.69574850000004</v>
          </cell>
          <cell r="U47">
            <v>664.65695229999994</v>
          </cell>
          <cell r="V47">
            <v>672.72096160000001</v>
          </cell>
          <cell r="W47">
            <v>680.89951629999996</v>
          </cell>
          <cell r="X47">
            <v>689.20156770000006</v>
          </cell>
          <cell r="Y47">
            <v>697.63260700000001</v>
          </cell>
          <cell r="Z47">
            <v>706.19653340000002</v>
          </cell>
          <cell r="AA47">
            <v>714.81373989999997</v>
          </cell>
          <cell r="AB47">
            <v>723.48095590000003</v>
          </cell>
          <cell r="AC47">
            <v>732.20076819999997</v>
          </cell>
          <cell r="AD47">
            <v>740.97574220000001</v>
          </cell>
          <cell r="AE47">
            <v>749.80874670000003</v>
          </cell>
          <cell r="AF47">
            <v>758.70334530000002</v>
          </cell>
          <cell r="AG47">
            <v>767.66384240000002</v>
          </cell>
          <cell r="AH47">
            <v>776.69513870000003</v>
          </cell>
          <cell r="AI47">
            <v>785.80252800000005</v>
          </cell>
          <cell r="AJ47">
            <v>794.99150239999994</v>
          </cell>
          <cell r="AK47">
            <v>804.26759140000001</v>
          </cell>
          <cell r="AL47">
            <v>813.61640769999997</v>
          </cell>
          <cell r="AM47">
            <v>823.03114440000002</v>
          </cell>
          <cell r="AN47">
            <v>832.51031899999998</v>
          </cell>
          <cell r="AO47">
            <v>842.05518729999994</v>
          </cell>
          <cell r="AP47">
            <v>851.66847589999998</v>
          </cell>
          <cell r="AQ47">
            <v>861.35380269999996</v>
          </cell>
          <cell r="AR47">
            <v>871.11537399999997</v>
          </cell>
          <cell r="AS47">
            <v>880.95778659999996</v>
          </cell>
          <cell r="AT47">
            <v>890.88586569999995</v>
          </cell>
          <cell r="AU47">
            <v>900.90450080000005</v>
          </cell>
          <cell r="AV47">
            <v>911.02015570000003</v>
          </cell>
          <cell r="AW47">
            <v>921.23739920000003</v>
          </cell>
          <cell r="AX47">
            <v>931.55854160000001</v>
          </cell>
          <cell r="AY47">
            <v>941.98693370000001</v>
          </cell>
          <cell r="AZ47">
            <v>952.5277572</v>
          </cell>
          <cell r="BA47">
            <v>1007.435973</v>
          </cell>
          <cell r="BB47">
            <v>1022.772274</v>
          </cell>
          <cell r="BC47">
            <v>1038.3784450000001</v>
          </cell>
          <cell r="BD47">
            <v>1054.256204</v>
          </cell>
          <cell r="BE47">
            <v>1070.407559</v>
          </cell>
        </row>
        <row r="48">
          <cell r="B48">
            <v>333.15797250000003</v>
          </cell>
          <cell r="C48">
            <v>336.18965859999997</v>
          </cell>
          <cell r="D48">
            <v>339.06973929999998</v>
          </cell>
          <cell r="E48">
            <v>341.85939509999997</v>
          </cell>
          <cell r="F48">
            <v>344.60069579999998</v>
          </cell>
          <cell r="G48">
            <v>347.32764150000003</v>
          </cell>
          <cell r="H48">
            <v>350.05765439999999</v>
          </cell>
          <cell r="I48">
            <v>352.80994950000002</v>
          </cell>
          <cell r="J48">
            <v>355.60241919999999</v>
          </cell>
          <cell r="K48">
            <v>358.4496388</v>
          </cell>
          <cell r="L48">
            <v>361.38528200000002</v>
          </cell>
          <cell r="M48">
            <v>364.40605840000001</v>
          </cell>
          <cell r="N48">
            <v>367.50980950000002</v>
          </cell>
          <cell r="O48">
            <v>370.69622909999998</v>
          </cell>
          <cell r="P48">
            <v>373.96542729999999</v>
          </cell>
          <cell r="Q48">
            <v>377.31731070000001</v>
          </cell>
          <cell r="R48">
            <v>380.749323</v>
          </cell>
          <cell r="S48">
            <v>384.25995599999999</v>
          </cell>
          <cell r="T48">
            <v>387.84830369999997</v>
          </cell>
          <cell r="U48">
            <v>391.51377580000002</v>
          </cell>
          <cell r="V48">
            <v>395.23981479999998</v>
          </cell>
          <cell r="W48">
            <v>399.03275910000002</v>
          </cell>
          <cell r="X48">
            <v>402.89743449999997</v>
          </cell>
          <cell r="Y48">
            <v>406.83669370000001</v>
          </cell>
          <cell r="Z48">
            <v>410.85246519999998</v>
          </cell>
          <cell r="AA48">
            <v>414.90029970000001</v>
          </cell>
          <cell r="AB48">
            <v>418.97907120000002</v>
          </cell>
          <cell r="AC48">
            <v>423.09061659999998</v>
          </cell>
          <cell r="AD48">
            <v>427.2365155</v>
          </cell>
          <cell r="AE48">
            <v>431.41840180000003</v>
          </cell>
          <cell r="AF48">
            <v>435.63823960000002</v>
          </cell>
          <cell r="AG48">
            <v>439.89885779999997</v>
          </cell>
          <cell r="AH48">
            <v>444.20311850000002</v>
          </cell>
          <cell r="AI48">
            <v>448.55393070000002</v>
          </cell>
          <cell r="AJ48">
            <v>452.95422710000003</v>
          </cell>
          <cell r="AK48">
            <v>457.4069093</v>
          </cell>
          <cell r="AL48">
            <v>461.90831809999997</v>
          </cell>
          <cell r="AM48">
            <v>466.45651120000002</v>
          </cell>
          <cell r="AN48">
            <v>471.05121450000001</v>
          </cell>
          <cell r="AO48">
            <v>475.69314279999998</v>
          </cell>
          <cell r="AP48">
            <v>480.38357009999999</v>
          </cell>
          <cell r="AQ48">
            <v>485.1247884</v>
          </cell>
          <cell r="AR48">
            <v>489.9189179</v>
          </cell>
          <cell r="AS48">
            <v>494.76799089999997</v>
          </cell>
          <cell r="AT48">
            <v>499.6740011</v>
          </cell>
          <cell r="AU48">
            <v>504.63890259999999</v>
          </cell>
          <cell r="AV48">
            <v>509.66789210000002</v>
          </cell>
          <cell r="AW48">
            <v>514.76449049999997</v>
          </cell>
          <cell r="AX48">
            <v>519.93120520000002</v>
          </cell>
          <cell r="AY48">
            <v>525.17003780000005</v>
          </cell>
          <cell r="AZ48">
            <v>530.4827014</v>
          </cell>
          <cell r="BA48">
            <v>621.88281159999997</v>
          </cell>
          <cell r="BB48">
            <v>631.22261949999995</v>
          </cell>
          <cell r="BC48">
            <v>640.73759889999997</v>
          </cell>
          <cell r="BD48">
            <v>650.4289172</v>
          </cell>
          <cell r="BE48">
            <v>660.29783580000003</v>
          </cell>
        </row>
        <row r="49">
          <cell r="B49">
            <v>333.6897045</v>
          </cell>
          <cell r="C49">
            <v>337.54032919999997</v>
          </cell>
          <cell r="D49">
            <v>341.39183159999999</v>
          </cell>
          <cell r="E49">
            <v>345.24647379999999</v>
          </cell>
          <cell r="F49">
            <v>349.11592389999998</v>
          </cell>
          <cell r="G49">
            <v>353.017561</v>
          </cell>
          <cell r="H49">
            <v>356.95628740000001</v>
          </cell>
          <cell r="I49">
            <v>360.94089120000001</v>
          </cell>
          <cell r="J49">
            <v>364.98097139999999</v>
          </cell>
          <cell r="K49">
            <v>369.08473409999999</v>
          </cell>
          <cell r="L49">
            <v>373.28284430000002</v>
          </cell>
          <cell r="M49">
            <v>377.57003379999998</v>
          </cell>
          <cell r="N49">
            <v>381.94227949999998</v>
          </cell>
          <cell r="O49">
            <v>386.39781670000002</v>
          </cell>
          <cell r="P49">
            <v>390.93583410000002</v>
          </cell>
          <cell r="Q49">
            <v>395.55582459999999</v>
          </cell>
          <cell r="R49">
            <v>400.25739129999999</v>
          </cell>
          <cell r="S49">
            <v>405.0402363</v>
          </cell>
          <cell r="T49">
            <v>409.90419809999997</v>
          </cell>
          <cell r="U49">
            <v>414.84929030000001</v>
          </cell>
          <cell r="V49">
            <v>419.85781730000002</v>
          </cell>
          <cell r="W49">
            <v>424.93736990000002</v>
          </cell>
          <cell r="X49">
            <v>430.09374839999998</v>
          </cell>
          <cell r="Y49">
            <v>435.33055710000002</v>
          </cell>
          <cell r="Z49">
            <v>440.65037799999999</v>
          </cell>
          <cell r="AA49">
            <v>446.0039003</v>
          </cell>
          <cell r="AB49">
            <v>451.38937290000001</v>
          </cell>
          <cell r="AC49">
            <v>456.80863449999998</v>
          </cell>
          <cell r="AD49">
            <v>462.2634534</v>
          </cell>
          <cell r="AE49">
            <v>467.75574110000002</v>
          </cell>
          <cell r="AF49">
            <v>473.2878048</v>
          </cell>
          <cell r="AG49">
            <v>478.86238300000002</v>
          </cell>
          <cell r="AH49">
            <v>484.48255990000001</v>
          </cell>
          <cell r="AI49">
            <v>490.15164320000002</v>
          </cell>
          <cell r="AJ49">
            <v>495.87304710000001</v>
          </cell>
          <cell r="AK49">
            <v>501.65019690000003</v>
          </cell>
          <cell r="AL49">
            <v>507.47413879999999</v>
          </cell>
          <cell r="AM49">
            <v>513.34066280000002</v>
          </cell>
          <cell r="AN49">
            <v>519.24888060000001</v>
          </cell>
          <cell r="AO49">
            <v>525.19960609999998</v>
          </cell>
          <cell r="AP49">
            <v>531.1945647</v>
          </cell>
          <cell r="AQ49">
            <v>537.23603290000005</v>
          </cell>
          <cell r="AR49">
            <v>543.32665150000003</v>
          </cell>
          <cell r="AS49">
            <v>549.46930299999997</v>
          </cell>
          <cell r="AT49">
            <v>555.66701120000005</v>
          </cell>
          <cell r="AU49">
            <v>561.92283889999999</v>
          </cell>
          <cell r="AV49">
            <v>568.24082539999995</v>
          </cell>
          <cell r="AW49">
            <v>574.62382460000003</v>
          </cell>
          <cell r="AX49">
            <v>581.0732802</v>
          </cell>
          <cell r="AY49">
            <v>587.59128380000004</v>
          </cell>
          <cell r="AZ49">
            <v>594.18106839999996</v>
          </cell>
          <cell r="BA49">
            <v>627.44819989999996</v>
          </cell>
          <cell r="BB49">
            <v>636.98452870000006</v>
          </cell>
          <cell r="BC49">
            <v>646.69128360000002</v>
          </cell>
          <cell r="BD49">
            <v>656.56967480000003</v>
          </cell>
          <cell r="BE49">
            <v>666.62107909999997</v>
          </cell>
        </row>
        <row r="50">
          <cell r="B50">
            <v>27505.152610000001</v>
          </cell>
          <cell r="C50">
            <v>27772.792580000001</v>
          </cell>
          <cell r="D50">
            <v>28022.818599999999</v>
          </cell>
          <cell r="E50">
            <v>28258.343349999999</v>
          </cell>
          <cell r="F50">
            <v>28482.962230000001</v>
          </cell>
          <cell r="G50">
            <v>28700.177830000001</v>
          </cell>
          <cell r="H50">
            <v>28912.646239999998</v>
          </cell>
          <cell r="I50">
            <v>29122.78384</v>
          </cell>
          <cell r="J50">
            <v>29332.558430000001</v>
          </cell>
          <cell r="K50">
            <v>29543.401740000001</v>
          </cell>
          <cell r="L50">
            <v>29757.69932</v>
          </cell>
          <cell r="M50">
            <v>29975.434270000002</v>
          </cell>
          <cell r="N50">
            <v>30196.390909999998</v>
          </cell>
          <cell r="O50">
            <v>30420.363079999999</v>
          </cell>
          <cell r="P50">
            <v>30647.141879999999</v>
          </cell>
          <cell r="Q50">
            <v>30876.512180000002</v>
          </cell>
          <cell r="R50">
            <v>31108.149359999999</v>
          </cell>
          <cell r="S50">
            <v>31341.805130000001</v>
          </cell>
          <cell r="T50">
            <v>31577.304660000002</v>
          </cell>
          <cell r="U50">
            <v>31814.540400000002</v>
          </cell>
          <cell r="V50">
            <v>32052.432540000002</v>
          </cell>
          <cell r="W50">
            <v>32291.33598</v>
          </cell>
          <cell r="X50">
            <v>32531.650239999999</v>
          </cell>
          <cell r="Y50">
            <v>32773.71905</v>
          </cell>
          <cell r="Z50">
            <v>33017.86967</v>
          </cell>
          <cell r="AA50">
            <v>33261.5003</v>
          </cell>
          <cell r="AB50">
            <v>33504.550040000002</v>
          </cell>
          <cell r="AC50">
            <v>33747.323929999999</v>
          </cell>
          <cell r="AD50">
            <v>33990.206050000001</v>
          </cell>
          <cell r="AE50">
            <v>34233.637759999998</v>
          </cell>
          <cell r="AF50">
            <v>34478.112549999998</v>
          </cell>
          <cell r="AG50">
            <v>34724.189420000002</v>
          </cell>
          <cell r="AH50">
            <v>34972.439700000003</v>
          </cell>
          <cell r="AI50">
            <v>35223.434609999997</v>
          </cell>
          <cell r="AJ50">
            <v>35477.734559999997</v>
          </cell>
          <cell r="AK50">
            <v>35735.879150000001</v>
          </cell>
          <cell r="AL50">
            <v>35997.918010000001</v>
          </cell>
          <cell r="AM50">
            <v>36263.972670000003</v>
          </cell>
          <cell r="AN50">
            <v>36534.257919999996</v>
          </cell>
          <cell r="AO50">
            <v>36809.040930000003</v>
          </cell>
          <cell r="AP50">
            <v>37088.612459999997</v>
          </cell>
          <cell r="AQ50">
            <v>37373.306530000002</v>
          </cell>
          <cell r="AR50">
            <v>37663.439729999998</v>
          </cell>
          <cell r="AS50">
            <v>37959.310870000001</v>
          </cell>
          <cell r="AT50">
            <v>38261.201139999997</v>
          </cell>
          <cell r="AU50">
            <v>38569.373939999998</v>
          </cell>
          <cell r="AV50">
            <v>38884.256479999996</v>
          </cell>
          <cell r="AW50">
            <v>39206.186500000003</v>
          </cell>
          <cell r="AX50">
            <v>39535.431530000002</v>
          </cell>
          <cell r="AY50">
            <v>39872.214</v>
          </cell>
          <cell r="AZ50">
            <v>40216.725350000001</v>
          </cell>
          <cell r="BA50">
            <v>47252.618300000002</v>
          </cell>
          <cell r="BB50">
            <v>47942.582459999998</v>
          </cell>
          <cell r="BC50">
            <v>48648.61911</v>
          </cell>
          <cell r="BD50">
            <v>49370.812539999999</v>
          </cell>
          <cell r="BE50">
            <v>50109.243090000004</v>
          </cell>
        </row>
        <row r="51">
          <cell r="B51">
            <v>27532.502860000001</v>
          </cell>
          <cell r="C51">
            <v>27844.58887</v>
          </cell>
          <cell r="D51">
            <v>28148.80546</v>
          </cell>
          <cell r="E51">
            <v>28444.014139999999</v>
          </cell>
          <cell r="F51">
            <v>28730.946619999999</v>
          </cell>
          <cell r="G51">
            <v>29011.463520000001</v>
          </cell>
          <cell r="H51">
            <v>29286.90755</v>
          </cell>
          <cell r="I51">
            <v>29558.713520000001</v>
          </cell>
          <cell r="J51">
            <v>29828.1502</v>
          </cell>
          <cell r="K51">
            <v>30096.190900000001</v>
          </cell>
          <cell r="L51">
            <v>30365.05156</v>
          </cell>
          <cell r="M51">
            <v>30634.734390000001</v>
          </cell>
          <cell r="N51">
            <v>30905.128840000001</v>
          </cell>
          <cell r="O51">
            <v>31176.203850000002</v>
          </cell>
          <cell r="P51">
            <v>31447.979459999999</v>
          </cell>
          <cell r="Q51">
            <v>31720.506239999999</v>
          </cell>
          <cell r="R51">
            <v>31993.862270000001</v>
          </cell>
          <cell r="S51">
            <v>32268.157190000002</v>
          </cell>
          <cell r="T51">
            <v>32543.537179999999</v>
          </cell>
          <cell r="U51">
            <v>32820.188280000002</v>
          </cell>
          <cell r="V51">
            <v>33097.237939999999</v>
          </cell>
          <cell r="W51">
            <v>33375.302029999999</v>
          </cell>
          <cell r="X51">
            <v>33655.008690000002</v>
          </cell>
          <cell r="Y51">
            <v>33936.897270000001</v>
          </cell>
          <cell r="Z51">
            <v>34221.461710000003</v>
          </cell>
          <cell r="AA51">
            <v>34506.045180000001</v>
          </cell>
          <cell r="AB51">
            <v>34790.625480000002</v>
          </cell>
          <cell r="AC51">
            <v>35075.5553</v>
          </cell>
          <cell r="AD51">
            <v>35361.258549999999</v>
          </cell>
          <cell r="AE51">
            <v>35648.206720000002</v>
          </cell>
          <cell r="AF51">
            <v>35936.915000000001</v>
          </cell>
          <cell r="AG51">
            <v>36227.93043</v>
          </cell>
          <cell r="AH51">
            <v>36521.815790000001</v>
          </cell>
          <cell r="AI51">
            <v>36819.13336</v>
          </cell>
          <cell r="AJ51">
            <v>37120.431080000002</v>
          </cell>
          <cell r="AK51">
            <v>37426.231979999997</v>
          </cell>
          <cell r="AL51">
            <v>37736.286370000002</v>
          </cell>
          <cell r="AM51">
            <v>38050.535389999997</v>
          </cell>
          <cell r="AN51">
            <v>38369.092750000003</v>
          </cell>
          <cell r="AO51">
            <v>38692.1659</v>
          </cell>
          <cell r="AP51">
            <v>39020.01066</v>
          </cell>
          <cell r="AQ51">
            <v>39352.907809999997</v>
          </cell>
          <cell r="AR51">
            <v>39691.149460000001</v>
          </cell>
          <cell r="AS51">
            <v>40035.029479999997</v>
          </cell>
          <cell r="AT51">
            <v>40384.834600000002</v>
          </cell>
          <cell r="AU51">
            <v>40740.831989999999</v>
          </cell>
          <cell r="AV51">
            <v>41103.301659999997</v>
          </cell>
          <cell r="AW51">
            <v>41472.45392</v>
          </cell>
          <cell r="AX51">
            <v>41848.424850000003</v>
          </cell>
          <cell r="AY51">
            <v>42231.374389999997</v>
          </cell>
          <cell r="AZ51">
            <v>42621.51253</v>
          </cell>
          <cell r="BA51">
            <v>47019.41704</v>
          </cell>
          <cell r="BB51">
            <v>47659.904040000001</v>
          </cell>
          <cell r="BC51">
            <v>48312.506249999999</v>
          </cell>
          <cell r="BD51">
            <v>48977.29161</v>
          </cell>
          <cell r="BE51">
            <v>49654.336730000003</v>
          </cell>
        </row>
        <row r="52">
          <cell r="B52">
            <v>548.17382959999998</v>
          </cell>
          <cell r="C52">
            <v>553.50785659999997</v>
          </cell>
          <cell r="D52">
            <v>558.49084019999998</v>
          </cell>
          <cell r="E52">
            <v>563.18481529999997</v>
          </cell>
          <cell r="F52">
            <v>567.66143799999998</v>
          </cell>
          <cell r="G52">
            <v>571.99051440000005</v>
          </cell>
          <cell r="H52">
            <v>576.22497999999996</v>
          </cell>
          <cell r="I52">
            <v>580.41299300000003</v>
          </cell>
          <cell r="J52">
            <v>584.59377099999995</v>
          </cell>
          <cell r="K52">
            <v>588.7958486</v>
          </cell>
          <cell r="L52">
            <v>593.0667694</v>
          </cell>
          <cell r="M52">
            <v>597.40619630000003</v>
          </cell>
          <cell r="N52">
            <v>601.8098311</v>
          </cell>
          <cell r="O52">
            <v>606.27356499999996</v>
          </cell>
          <cell r="P52">
            <v>610.79323450000004</v>
          </cell>
          <cell r="Q52">
            <v>615.36455260000002</v>
          </cell>
          <cell r="R52">
            <v>619.98104890000002</v>
          </cell>
          <cell r="S52">
            <v>624.63777570000002</v>
          </cell>
          <cell r="T52">
            <v>629.3312482</v>
          </cell>
          <cell r="U52">
            <v>634.05932319999999</v>
          </cell>
          <cell r="V52">
            <v>638.80048009999996</v>
          </cell>
          <cell r="W52">
            <v>643.56179210000005</v>
          </cell>
          <cell r="X52">
            <v>648.35122160000003</v>
          </cell>
          <cell r="Y52">
            <v>653.17561909999995</v>
          </cell>
          <cell r="Z52">
            <v>658.04150660000005</v>
          </cell>
          <cell r="AA52">
            <v>662.89703080000004</v>
          </cell>
          <cell r="AB52">
            <v>667.74097800000004</v>
          </cell>
          <cell r="AC52">
            <v>672.5794277</v>
          </cell>
          <cell r="AD52">
            <v>677.42003409999995</v>
          </cell>
          <cell r="AE52">
            <v>682.27159389999997</v>
          </cell>
          <cell r="AF52">
            <v>687.14394219999997</v>
          </cell>
          <cell r="AG52">
            <v>692.04821960000004</v>
          </cell>
          <cell r="AH52">
            <v>696.99581290000003</v>
          </cell>
          <cell r="AI52">
            <v>701.99810609999997</v>
          </cell>
          <cell r="AJ52">
            <v>707.06626849999998</v>
          </cell>
          <cell r="AK52">
            <v>712.21105390000002</v>
          </cell>
          <cell r="AL52">
            <v>717.43345160000001</v>
          </cell>
          <cell r="AM52">
            <v>722.73588370000004</v>
          </cell>
          <cell r="AN52">
            <v>728.12263080000002</v>
          </cell>
          <cell r="AO52">
            <v>733.59901749999995</v>
          </cell>
          <cell r="AP52">
            <v>739.17083879999996</v>
          </cell>
          <cell r="AQ52">
            <v>744.84475180000004</v>
          </cell>
          <cell r="AR52">
            <v>750.62706560000004</v>
          </cell>
          <cell r="AS52">
            <v>756.52373599999999</v>
          </cell>
          <cell r="AT52">
            <v>762.54036670000005</v>
          </cell>
          <cell r="AU52">
            <v>768.68220729999996</v>
          </cell>
          <cell r="AV52">
            <v>774.95777199999998</v>
          </cell>
          <cell r="AW52">
            <v>781.37379209999995</v>
          </cell>
          <cell r="AX52">
            <v>787.9355994</v>
          </cell>
          <cell r="AY52">
            <v>794.64762680000001</v>
          </cell>
          <cell r="AZ52">
            <v>801.51368960000002</v>
          </cell>
          <cell r="BA52">
            <v>941.73804810000001</v>
          </cell>
          <cell r="BB52">
            <v>955.48893710000004</v>
          </cell>
          <cell r="BC52">
            <v>969.56014830000004</v>
          </cell>
          <cell r="BD52">
            <v>983.95336199999997</v>
          </cell>
          <cell r="BE52">
            <v>998.67017920000001</v>
          </cell>
        </row>
        <row r="53">
          <cell r="B53">
            <v>548.71891630000005</v>
          </cell>
          <cell r="C53">
            <v>554.93874659999994</v>
          </cell>
          <cell r="D53">
            <v>561.00174049999998</v>
          </cell>
          <cell r="E53">
            <v>566.8852081</v>
          </cell>
          <cell r="F53">
            <v>572.6037321</v>
          </cell>
          <cell r="G53">
            <v>578.19439450000004</v>
          </cell>
          <cell r="H53">
            <v>583.68395550000002</v>
          </cell>
          <cell r="I53">
            <v>589.10101029999998</v>
          </cell>
          <cell r="J53">
            <v>594.47084540000003</v>
          </cell>
          <cell r="K53">
            <v>599.812859</v>
          </cell>
          <cell r="L53">
            <v>605.17121420000001</v>
          </cell>
          <cell r="M53">
            <v>610.54595510000001</v>
          </cell>
          <cell r="N53">
            <v>615.93487849999997</v>
          </cell>
          <cell r="O53">
            <v>621.33736539999995</v>
          </cell>
          <cell r="P53">
            <v>626.7538151</v>
          </cell>
          <cell r="Q53">
            <v>632.18523560000006</v>
          </cell>
          <cell r="R53">
            <v>637.63318279999999</v>
          </cell>
          <cell r="S53">
            <v>643.09984210000005</v>
          </cell>
          <cell r="T53">
            <v>648.58812669999998</v>
          </cell>
          <cell r="U53">
            <v>654.10174440000003</v>
          </cell>
          <cell r="V53">
            <v>659.6233052</v>
          </cell>
          <cell r="W53">
            <v>665.16508339999996</v>
          </cell>
          <cell r="X53">
            <v>670.73959779999996</v>
          </cell>
          <cell r="Y53">
            <v>676.35759770000004</v>
          </cell>
          <cell r="Z53">
            <v>682.02892699999995</v>
          </cell>
          <cell r="AA53">
            <v>687.70063549999998</v>
          </cell>
          <cell r="AB53">
            <v>693.37228100000004</v>
          </cell>
          <cell r="AC53">
            <v>699.05089239999995</v>
          </cell>
          <cell r="AD53">
            <v>704.74491799999998</v>
          </cell>
          <cell r="AE53">
            <v>710.46375469999998</v>
          </cell>
          <cell r="AF53">
            <v>716.21767009999996</v>
          </cell>
          <cell r="AG53">
            <v>722.01756690000002</v>
          </cell>
          <cell r="AH53">
            <v>727.87466089999998</v>
          </cell>
          <cell r="AI53">
            <v>733.80015820000006</v>
          </cell>
          <cell r="AJ53">
            <v>739.80497949999994</v>
          </cell>
          <cell r="AK53">
            <v>745.89954850000004</v>
          </cell>
          <cell r="AL53">
            <v>752.078889</v>
          </cell>
          <cell r="AM53">
            <v>758.3418279</v>
          </cell>
          <cell r="AN53">
            <v>764.69063119999998</v>
          </cell>
          <cell r="AO53">
            <v>771.12943380000002</v>
          </cell>
          <cell r="AP53">
            <v>777.66333380000003</v>
          </cell>
          <cell r="AQ53">
            <v>784.29792729999997</v>
          </cell>
          <cell r="AR53">
            <v>791.03903590000004</v>
          </cell>
          <cell r="AS53">
            <v>797.89251650000006</v>
          </cell>
          <cell r="AT53">
            <v>804.86408340000003</v>
          </cell>
          <cell r="AU53">
            <v>811.95906130000003</v>
          </cell>
          <cell r="AV53">
            <v>819.18303100000003</v>
          </cell>
          <cell r="AW53">
            <v>826.54018359999998</v>
          </cell>
          <cell r="AX53">
            <v>834.03323150000006</v>
          </cell>
          <cell r="AY53">
            <v>841.66536210000004</v>
          </cell>
          <cell r="AZ53">
            <v>849.44076050000001</v>
          </cell>
          <cell r="BA53">
            <v>937.09037980000005</v>
          </cell>
          <cell r="BB53">
            <v>949.85519580000005</v>
          </cell>
          <cell r="BC53">
            <v>962.86146629999996</v>
          </cell>
          <cell r="BD53">
            <v>976.11054520000005</v>
          </cell>
          <cell r="BE53">
            <v>989.60395930000004</v>
          </cell>
        </row>
        <row r="54">
          <cell r="B54">
            <v>796.58866060000003</v>
          </cell>
          <cell r="C54">
            <v>804.33989780000002</v>
          </cell>
          <cell r="D54">
            <v>811.58101009999996</v>
          </cell>
          <cell r="E54">
            <v>818.40214449999996</v>
          </cell>
          <cell r="F54">
            <v>824.90742920000002</v>
          </cell>
          <cell r="G54">
            <v>831.19830449999995</v>
          </cell>
          <cell r="H54">
            <v>837.35169429999996</v>
          </cell>
          <cell r="I54">
            <v>843.43758079999998</v>
          </cell>
          <cell r="J54">
            <v>849.51295349999998</v>
          </cell>
          <cell r="K54">
            <v>855.61927809999997</v>
          </cell>
          <cell r="L54">
            <v>861.82564349999996</v>
          </cell>
          <cell r="M54">
            <v>868.13155979999999</v>
          </cell>
          <cell r="N54">
            <v>874.53078100000005</v>
          </cell>
          <cell r="O54">
            <v>881.01733609999997</v>
          </cell>
          <cell r="P54">
            <v>887.58517519999998</v>
          </cell>
          <cell r="Q54">
            <v>894.22806820000005</v>
          </cell>
          <cell r="R54">
            <v>900.9366129</v>
          </cell>
          <cell r="S54">
            <v>907.70361930000001</v>
          </cell>
          <cell r="T54">
            <v>914.52402319999999</v>
          </cell>
          <cell r="U54">
            <v>921.39471040000001</v>
          </cell>
          <cell r="V54">
            <v>928.28440780000005</v>
          </cell>
          <cell r="W54">
            <v>935.203394</v>
          </cell>
          <cell r="X54">
            <v>942.16323969999996</v>
          </cell>
          <cell r="Y54">
            <v>949.17389969999999</v>
          </cell>
          <cell r="Z54">
            <v>956.24485159999995</v>
          </cell>
          <cell r="AA54">
            <v>963.30074400000001</v>
          </cell>
          <cell r="AB54">
            <v>970.33981300000005</v>
          </cell>
          <cell r="AC54">
            <v>977.37089309999999</v>
          </cell>
          <cell r="AD54">
            <v>984.40510740000002</v>
          </cell>
          <cell r="AE54">
            <v>991.45523879999996</v>
          </cell>
          <cell r="AF54">
            <v>998.53557929999999</v>
          </cell>
          <cell r="AG54">
            <v>1005.662318</v>
          </cell>
          <cell r="AH54">
            <v>1012.852003</v>
          </cell>
          <cell r="AI54">
            <v>1020.121175</v>
          </cell>
          <cell r="AJ54">
            <v>1027.4860659999999</v>
          </cell>
          <cell r="AK54">
            <v>1034.9623039999999</v>
          </cell>
          <cell r="AL54">
            <v>1042.5513249999999</v>
          </cell>
          <cell r="AM54">
            <v>1050.2566489999999</v>
          </cell>
          <cell r="AN54">
            <v>1058.0844979999999</v>
          </cell>
          <cell r="AO54">
            <v>1066.042608</v>
          </cell>
          <cell r="AP54">
            <v>1074.1394</v>
          </cell>
          <cell r="AQ54">
            <v>1082.3845490000001</v>
          </cell>
          <cell r="AR54">
            <v>1090.7872219999999</v>
          </cell>
          <cell r="AS54">
            <v>1099.3560749999999</v>
          </cell>
          <cell r="AT54">
            <v>1108.09925</v>
          </cell>
          <cell r="AU54">
            <v>1117.0243760000001</v>
          </cell>
          <cell r="AV54">
            <v>1126.143826</v>
          </cell>
          <cell r="AW54">
            <v>1135.4673809999999</v>
          </cell>
          <cell r="AX54">
            <v>1145.0027889999999</v>
          </cell>
          <cell r="AY54">
            <v>1154.756492</v>
          </cell>
          <cell r="AZ54">
            <v>1164.7340349999999</v>
          </cell>
          <cell r="BA54">
            <v>1368.503584</v>
          </cell>
          <cell r="BB54">
            <v>1388.4859349999999</v>
          </cell>
          <cell r="BC54">
            <v>1408.933769</v>
          </cell>
          <cell r="BD54">
            <v>1429.8495270000001</v>
          </cell>
          <cell r="BE54">
            <v>1451.2355339999999</v>
          </cell>
        </row>
        <row r="55">
          <cell r="B55">
            <v>797.38076309999997</v>
          </cell>
          <cell r="C55">
            <v>806.41922139999997</v>
          </cell>
          <cell r="D55">
            <v>815.22977000000003</v>
          </cell>
          <cell r="E55">
            <v>823.77943679999998</v>
          </cell>
          <cell r="F55">
            <v>832.08941279999999</v>
          </cell>
          <cell r="G55">
            <v>840.21358450000002</v>
          </cell>
          <cell r="H55">
            <v>848.19083880000005</v>
          </cell>
          <cell r="I55">
            <v>856.0627293</v>
          </cell>
          <cell r="J55">
            <v>863.86600190000001</v>
          </cell>
          <cell r="K55">
            <v>871.62884499999996</v>
          </cell>
          <cell r="L55">
            <v>879.41543530000001</v>
          </cell>
          <cell r="M55">
            <v>887.22583659999998</v>
          </cell>
          <cell r="N55">
            <v>895.05684759999997</v>
          </cell>
          <cell r="O55">
            <v>902.90756859999999</v>
          </cell>
          <cell r="P55">
            <v>910.77857989999995</v>
          </cell>
          <cell r="Q55">
            <v>918.67134629999998</v>
          </cell>
          <cell r="R55">
            <v>926.58812890000002</v>
          </cell>
          <cell r="S55">
            <v>934.53210309999997</v>
          </cell>
          <cell r="T55">
            <v>942.50750259999995</v>
          </cell>
          <cell r="U55">
            <v>950.51971530000003</v>
          </cell>
          <cell r="V55">
            <v>958.54347069999994</v>
          </cell>
          <cell r="W55">
            <v>966.59660540000004</v>
          </cell>
          <cell r="X55">
            <v>974.69731119999994</v>
          </cell>
          <cell r="Y55">
            <v>982.86120879999999</v>
          </cell>
          <cell r="Z55">
            <v>991.10260310000001</v>
          </cell>
          <cell r="AA55">
            <v>999.34454830000004</v>
          </cell>
          <cell r="AB55">
            <v>1007.586402</v>
          </cell>
          <cell r="AC55">
            <v>1015.838378</v>
          </cell>
          <cell r="AD55">
            <v>1024.112754</v>
          </cell>
          <cell r="AE55">
            <v>1032.423184</v>
          </cell>
          <cell r="AF55">
            <v>1040.78459</v>
          </cell>
          <cell r="AG55">
            <v>1049.212814</v>
          </cell>
          <cell r="AH55">
            <v>1057.724156</v>
          </cell>
          <cell r="AI55">
            <v>1066.334899</v>
          </cell>
          <cell r="AJ55">
            <v>1075.060913</v>
          </cell>
          <cell r="AK55">
            <v>1083.917346</v>
          </cell>
          <cell r="AL55">
            <v>1092.8969649999999</v>
          </cell>
          <cell r="AM55">
            <v>1101.9980680000001</v>
          </cell>
          <cell r="AN55">
            <v>1111.223945</v>
          </cell>
          <cell r="AO55">
            <v>1120.5806070000001</v>
          </cell>
          <cell r="AP55">
            <v>1130.0754609999999</v>
          </cell>
          <cell r="AQ55">
            <v>1139.7166400000001</v>
          </cell>
          <cell r="AR55">
            <v>1149.512604</v>
          </cell>
          <cell r="AS55">
            <v>1159.4718620000001</v>
          </cell>
          <cell r="AT55">
            <v>1169.6027200000001</v>
          </cell>
          <cell r="AU55">
            <v>1179.9129150000001</v>
          </cell>
          <cell r="AV55">
            <v>1190.410556</v>
          </cell>
          <cell r="AW55">
            <v>1201.101735</v>
          </cell>
          <cell r="AX55">
            <v>1211.9903919999999</v>
          </cell>
          <cell r="AY55">
            <v>1223.08116</v>
          </cell>
          <cell r="AZ55">
            <v>1234.38012</v>
          </cell>
          <cell r="BA55">
            <v>1361.7497410000001</v>
          </cell>
          <cell r="BB55">
            <v>1380.2991629999999</v>
          </cell>
          <cell r="BC55">
            <v>1399.1994589999999</v>
          </cell>
          <cell r="BD55">
            <v>1418.4525960000001</v>
          </cell>
          <cell r="BE55">
            <v>1438.060794</v>
          </cell>
        </row>
        <row r="56">
          <cell r="B56">
            <v>723.70531080000001</v>
          </cell>
          <cell r="C56">
            <v>730.74735380000004</v>
          </cell>
          <cell r="D56">
            <v>737.32594529999994</v>
          </cell>
          <cell r="E56">
            <v>743.52298450000001</v>
          </cell>
          <cell r="F56">
            <v>749.43307249999998</v>
          </cell>
          <cell r="G56">
            <v>755.14836830000002</v>
          </cell>
          <cell r="H56">
            <v>760.73875780000003</v>
          </cell>
          <cell r="I56">
            <v>766.26782019999996</v>
          </cell>
          <cell r="J56">
            <v>771.78733069999998</v>
          </cell>
          <cell r="K56">
            <v>777.33496119999995</v>
          </cell>
          <cell r="L56">
            <v>782.97347939999997</v>
          </cell>
          <cell r="M56">
            <v>788.70244000000002</v>
          </cell>
          <cell r="N56">
            <v>794.51616869999998</v>
          </cell>
          <cell r="O56">
            <v>800.40924080000002</v>
          </cell>
          <cell r="P56">
            <v>806.37615979999998</v>
          </cell>
          <cell r="Q56">
            <v>812.41126580000002</v>
          </cell>
          <cell r="R56">
            <v>818.50601659999995</v>
          </cell>
          <cell r="S56">
            <v>824.6538802</v>
          </cell>
          <cell r="T56">
            <v>830.85025589999998</v>
          </cell>
          <cell r="U56">
            <v>837.09231399999999</v>
          </cell>
          <cell r="V56">
            <v>843.35164320000001</v>
          </cell>
          <cell r="W56">
            <v>849.63758140000004</v>
          </cell>
          <cell r="X56">
            <v>855.96064060000003</v>
          </cell>
          <cell r="Y56">
            <v>862.32986489999996</v>
          </cell>
          <cell r="Z56">
            <v>868.75386479999997</v>
          </cell>
          <cell r="AA56">
            <v>875.16418299999998</v>
          </cell>
          <cell r="AB56">
            <v>881.55921709999996</v>
          </cell>
          <cell r="AC56">
            <v>887.94699319999995</v>
          </cell>
          <cell r="AD56">
            <v>894.33761670000001</v>
          </cell>
          <cell r="AE56">
            <v>900.74270100000001</v>
          </cell>
          <cell r="AF56">
            <v>907.1752305</v>
          </cell>
          <cell r="AG56">
            <v>913.64991320000001</v>
          </cell>
          <cell r="AH56">
            <v>920.18178209999996</v>
          </cell>
          <cell r="AI56">
            <v>926.78586629999995</v>
          </cell>
          <cell r="AJ56">
            <v>933.47691180000004</v>
          </cell>
          <cell r="AK56">
            <v>940.26911589999997</v>
          </cell>
          <cell r="AL56">
            <v>947.16378459999999</v>
          </cell>
          <cell r="AM56">
            <v>954.16411570000002</v>
          </cell>
          <cell r="AN56">
            <v>961.2757603</v>
          </cell>
          <cell r="AO56">
            <v>968.50574810000001</v>
          </cell>
          <cell r="AP56">
            <v>975.8617299</v>
          </cell>
          <cell r="AQ56">
            <v>983.35249420000002</v>
          </cell>
          <cell r="AR56">
            <v>990.98637050000002</v>
          </cell>
          <cell r="AS56">
            <v>998.77122169999996</v>
          </cell>
          <cell r="AT56">
            <v>1006.714446</v>
          </cell>
          <cell r="AU56">
            <v>1014.822973</v>
          </cell>
          <cell r="AV56">
            <v>1023.1080449999999</v>
          </cell>
          <cell r="AW56">
            <v>1031.578548</v>
          </cell>
          <cell r="AX56">
            <v>1040.24152</v>
          </cell>
          <cell r="AY56">
            <v>1049.102815</v>
          </cell>
          <cell r="AZ56">
            <v>1058.167469</v>
          </cell>
          <cell r="BA56">
            <v>1243.2932579999999</v>
          </cell>
          <cell r="BB56">
            <v>1261.4473379999999</v>
          </cell>
          <cell r="BC56">
            <v>1280.0243109999999</v>
          </cell>
          <cell r="BD56">
            <v>1299.0263950000001</v>
          </cell>
          <cell r="BE56">
            <v>1318.455704</v>
          </cell>
        </row>
        <row r="57">
          <cell r="B57">
            <v>724.42494039999997</v>
          </cell>
          <cell r="C57">
            <v>732.63643100000002</v>
          </cell>
          <cell r="D57">
            <v>740.64086429999998</v>
          </cell>
          <cell r="E57">
            <v>748.40828499999998</v>
          </cell>
          <cell r="F57">
            <v>755.95794530000001</v>
          </cell>
          <cell r="G57">
            <v>763.3388013</v>
          </cell>
          <cell r="H57">
            <v>770.58618200000001</v>
          </cell>
          <cell r="I57">
            <v>777.73783920000005</v>
          </cell>
          <cell r="J57">
            <v>784.8271565</v>
          </cell>
          <cell r="K57">
            <v>791.87974340000005</v>
          </cell>
          <cell r="L57">
            <v>798.95390480000003</v>
          </cell>
          <cell r="M57">
            <v>806.04969860000006</v>
          </cell>
          <cell r="N57">
            <v>813.16421649999995</v>
          </cell>
          <cell r="O57">
            <v>820.29664100000002</v>
          </cell>
          <cell r="P57">
            <v>827.44749939999997</v>
          </cell>
          <cell r="Q57">
            <v>834.61812239999995</v>
          </cell>
          <cell r="R57">
            <v>841.81056420000004</v>
          </cell>
          <cell r="S57">
            <v>849.02770969999995</v>
          </cell>
          <cell r="T57">
            <v>856.2734054</v>
          </cell>
          <cell r="U57">
            <v>863.55254600000001</v>
          </cell>
          <cell r="V57">
            <v>870.84217320000005</v>
          </cell>
          <cell r="W57">
            <v>878.15849179999998</v>
          </cell>
          <cell r="X57">
            <v>885.51802880000002</v>
          </cell>
          <cell r="Y57">
            <v>892.93497609999997</v>
          </cell>
          <cell r="Z57">
            <v>900.42232950000005</v>
          </cell>
          <cell r="AA57">
            <v>907.91018340000005</v>
          </cell>
          <cell r="AB57">
            <v>915.39795409999999</v>
          </cell>
          <cell r="AC57">
            <v>922.89492129999996</v>
          </cell>
          <cell r="AD57">
            <v>930.41223849999994</v>
          </cell>
          <cell r="AE57">
            <v>937.96231169999999</v>
          </cell>
          <cell r="AF57">
            <v>945.55869610000002</v>
          </cell>
          <cell r="AG57">
            <v>953.21578569999997</v>
          </cell>
          <cell r="AH57">
            <v>960.94838760000005</v>
          </cell>
          <cell r="AI57">
            <v>968.77129639999998</v>
          </cell>
          <cell r="AJ57">
            <v>976.69892960000004</v>
          </cell>
          <cell r="AK57">
            <v>984.74504879999995</v>
          </cell>
          <cell r="AL57">
            <v>992.90308419999997</v>
          </cell>
          <cell r="AM57">
            <v>1001.171487</v>
          </cell>
          <cell r="AN57">
            <v>1009.5532490000001</v>
          </cell>
          <cell r="AO57">
            <v>1018.0538299999999</v>
          </cell>
          <cell r="AP57">
            <v>1026.6799590000001</v>
          </cell>
          <cell r="AQ57">
            <v>1035.439024</v>
          </cell>
          <cell r="AR57">
            <v>1044.338712</v>
          </cell>
          <cell r="AS57">
            <v>1053.386755</v>
          </cell>
          <cell r="AT57">
            <v>1062.5906970000001</v>
          </cell>
          <cell r="AU57">
            <v>1071.9575669999999</v>
          </cell>
          <cell r="AV57">
            <v>1081.4947340000001</v>
          </cell>
          <cell r="AW57">
            <v>1091.2077300000001</v>
          </cell>
          <cell r="AX57">
            <v>1101.1001369999999</v>
          </cell>
          <cell r="AY57">
            <v>1111.1761630000001</v>
          </cell>
          <cell r="AZ57">
            <v>1121.4413320000001</v>
          </cell>
          <cell r="BA57">
            <v>1237.1573539999999</v>
          </cell>
          <cell r="BB57">
            <v>1254.009609</v>
          </cell>
          <cell r="BC57">
            <v>1271.1806349999999</v>
          </cell>
          <cell r="BD57">
            <v>1288.672219</v>
          </cell>
          <cell r="BE57">
            <v>1306.4863780000001</v>
          </cell>
        </row>
        <row r="58">
          <cell r="B58">
            <v>1424.2394280000001</v>
          </cell>
          <cell r="C58">
            <v>1438.0979070000001</v>
          </cell>
          <cell r="D58">
            <v>1451.0442820000001</v>
          </cell>
          <cell r="E58">
            <v>1463.2397619999999</v>
          </cell>
          <cell r="F58">
            <v>1474.870529</v>
          </cell>
          <cell r="G58">
            <v>1486.1179540000001</v>
          </cell>
          <cell r="H58">
            <v>1497.1195720000001</v>
          </cell>
          <cell r="I58">
            <v>1508.0005060000001</v>
          </cell>
          <cell r="J58">
            <v>1518.8626489999999</v>
          </cell>
          <cell r="K58">
            <v>1529.7801380000001</v>
          </cell>
          <cell r="L58">
            <v>1540.8764980000001</v>
          </cell>
          <cell r="M58">
            <v>1552.150854</v>
          </cell>
          <cell r="N58">
            <v>1563.592038</v>
          </cell>
          <cell r="O58">
            <v>1575.1893749999999</v>
          </cell>
          <cell r="P58">
            <v>1586.9320479999999</v>
          </cell>
          <cell r="Q58">
            <v>1598.8089170000001</v>
          </cell>
          <cell r="R58">
            <v>1610.803173</v>
          </cell>
          <cell r="S58">
            <v>1622.901959</v>
          </cell>
          <cell r="T58">
            <v>1635.0962219999999</v>
          </cell>
          <cell r="U58">
            <v>1647.380394</v>
          </cell>
          <cell r="V58">
            <v>1659.69856</v>
          </cell>
          <cell r="W58">
            <v>1672.0690979999999</v>
          </cell>
          <cell r="X58">
            <v>1684.512694</v>
          </cell>
          <cell r="Y58">
            <v>1697.047147</v>
          </cell>
          <cell r="Z58">
            <v>1709.6894030000001</v>
          </cell>
          <cell r="AA58">
            <v>1722.304738</v>
          </cell>
          <cell r="AB58">
            <v>1734.89</v>
          </cell>
          <cell r="AC58">
            <v>1747.4609820000001</v>
          </cell>
          <cell r="AD58">
            <v>1760.0375710000001</v>
          </cell>
          <cell r="AE58">
            <v>1772.6426240000001</v>
          </cell>
          <cell r="AF58">
            <v>1785.3016909999999</v>
          </cell>
          <cell r="AG58">
            <v>1798.043719</v>
          </cell>
          <cell r="AH58">
            <v>1810.8982920000001</v>
          </cell>
          <cell r="AI58">
            <v>1823.894986</v>
          </cell>
          <cell r="AJ58">
            <v>1837.0628200000001</v>
          </cell>
          <cell r="AK58">
            <v>1850.429736</v>
          </cell>
          <cell r="AL58">
            <v>1863.998302</v>
          </cell>
          <cell r="AM58">
            <v>1877.7748120000001</v>
          </cell>
          <cell r="AN58">
            <v>1891.770387</v>
          </cell>
          <cell r="AO58">
            <v>1905.998861</v>
          </cell>
          <cell r="AP58">
            <v>1920.475291</v>
          </cell>
          <cell r="AQ58">
            <v>1935.2169710000001</v>
          </cell>
          <cell r="AR58">
            <v>1950.2402939999999</v>
          </cell>
          <cell r="AS58">
            <v>1965.5607339999999</v>
          </cell>
          <cell r="AT58">
            <v>1981.1928499999999</v>
          </cell>
          <cell r="AU58">
            <v>1997.1502809999999</v>
          </cell>
          <cell r="AV58">
            <v>2013.455148</v>
          </cell>
          <cell r="AW58">
            <v>2030.1249399999999</v>
          </cell>
          <cell r="AX58">
            <v>2047.1735100000001</v>
          </cell>
          <cell r="AY58">
            <v>2064.6123739999998</v>
          </cell>
          <cell r="AZ58">
            <v>2082.4514450000001</v>
          </cell>
          <cell r="BA58">
            <v>2311.4076319999999</v>
          </cell>
          <cell r="BB58">
            <v>2341.1783350000001</v>
          </cell>
          <cell r="BC58">
            <v>2371.645669</v>
          </cell>
          <cell r="BD58">
            <v>2402.8138439999998</v>
          </cell>
          <cell r="BE58">
            <v>2434.686631</v>
          </cell>
        </row>
        <row r="59">
          <cell r="B59">
            <v>1425.655647</v>
          </cell>
          <cell r="C59">
            <v>1441.815576</v>
          </cell>
          <cell r="D59">
            <v>1457.567978</v>
          </cell>
          <cell r="E59">
            <v>1472.853936</v>
          </cell>
          <cell r="F59">
            <v>1487.7113469999999</v>
          </cell>
          <cell r="G59">
            <v>1502.2365589999999</v>
          </cell>
          <cell r="H59">
            <v>1516.4991010000001</v>
          </cell>
          <cell r="I59">
            <v>1530.573267</v>
          </cell>
          <cell r="J59">
            <v>1544.524756</v>
          </cell>
          <cell r="K59">
            <v>1558.403967</v>
          </cell>
          <cell r="L59">
            <v>1572.325642</v>
          </cell>
          <cell r="M59">
            <v>1586.289896</v>
          </cell>
          <cell r="N59">
            <v>1600.2910059999999</v>
          </cell>
          <cell r="O59">
            <v>1614.327362</v>
          </cell>
          <cell r="P59">
            <v>1628.4000020000001</v>
          </cell>
          <cell r="Q59">
            <v>1642.511544</v>
          </cell>
          <cell r="R59">
            <v>1656.6660320000001</v>
          </cell>
          <cell r="S59">
            <v>1670.8691429999999</v>
          </cell>
          <cell r="T59">
            <v>1685.1284450000001</v>
          </cell>
          <cell r="U59">
            <v>1699.453573</v>
          </cell>
          <cell r="V59">
            <v>1713.799344</v>
          </cell>
          <cell r="W59">
            <v>1728.1976480000001</v>
          </cell>
          <cell r="X59">
            <v>1742.6810109999999</v>
          </cell>
          <cell r="Y59">
            <v>1757.277362</v>
          </cell>
          <cell r="Z59">
            <v>1772.012275</v>
          </cell>
          <cell r="AA59">
            <v>1786.7481780000001</v>
          </cell>
          <cell r="AB59">
            <v>1801.4839219999999</v>
          </cell>
          <cell r="AC59">
            <v>1816.2377690000001</v>
          </cell>
          <cell r="AD59">
            <v>1831.031669</v>
          </cell>
          <cell r="AE59">
            <v>1845.8900349999999</v>
          </cell>
          <cell r="AF59">
            <v>1860.8395459999999</v>
          </cell>
          <cell r="AG59">
            <v>1875.9085259999999</v>
          </cell>
          <cell r="AH59">
            <v>1891.1261159999999</v>
          </cell>
          <cell r="AI59">
            <v>1906.521432</v>
          </cell>
          <cell r="AJ59">
            <v>1922.122846</v>
          </cell>
          <cell r="AK59">
            <v>1937.957441</v>
          </cell>
          <cell r="AL59">
            <v>1954.012287</v>
          </cell>
          <cell r="AM59">
            <v>1970.2843370000001</v>
          </cell>
          <cell r="AN59">
            <v>1986.7794779999999</v>
          </cell>
          <cell r="AO59">
            <v>2003.508452</v>
          </cell>
          <cell r="AP59">
            <v>2020.4845049999999</v>
          </cell>
          <cell r="AQ59">
            <v>2037.7221770000001</v>
          </cell>
          <cell r="AR59">
            <v>2055.2365920000002</v>
          </cell>
          <cell r="AS59">
            <v>2073.0429680000002</v>
          </cell>
          <cell r="AT59">
            <v>2091.1561510000001</v>
          </cell>
          <cell r="AU59">
            <v>2109.5899749999999</v>
          </cell>
          <cell r="AV59">
            <v>2128.3589400000001</v>
          </cell>
          <cell r="AW59">
            <v>2147.473935</v>
          </cell>
          <cell r="AX59">
            <v>2166.9420070000001</v>
          </cell>
          <cell r="AY59">
            <v>2186.7714369999999</v>
          </cell>
          <cell r="AZ59">
            <v>2206.9730979999999</v>
          </cell>
          <cell r="BA59">
            <v>2348.0538369999999</v>
          </cell>
          <cell r="BB59">
            <v>2379.1126669999999</v>
          </cell>
          <cell r="BC59">
            <v>2410.8315600000001</v>
          </cell>
          <cell r="BD59">
            <v>2443.2137870000001</v>
          </cell>
          <cell r="BE59">
            <v>2476.2628920000002</v>
          </cell>
        </row>
        <row r="60">
          <cell r="B60">
            <v>517.76542919999997</v>
          </cell>
          <cell r="C60">
            <v>522.80356600000005</v>
          </cell>
          <cell r="D60">
            <v>527.51013260000002</v>
          </cell>
          <cell r="E60">
            <v>531.94372269999997</v>
          </cell>
          <cell r="F60">
            <v>536.17201729999999</v>
          </cell>
          <cell r="G60">
            <v>540.26095039999996</v>
          </cell>
          <cell r="H60">
            <v>544.26052089999996</v>
          </cell>
          <cell r="I60">
            <v>548.21621570000002</v>
          </cell>
          <cell r="J60">
            <v>552.16507679999995</v>
          </cell>
          <cell r="K60">
            <v>556.13405599999999</v>
          </cell>
          <cell r="L60">
            <v>560.16805950000003</v>
          </cell>
          <cell r="M60">
            <v>564.26676889999999</v>
          </cell>
          <cell r="N60">
            <v>568.42612450000001</v>
          </cell>
          <cell r="O60">
            <v>572.64224530000001</v>
          </cell>
          <cell r="P60">
            <v>576.91119890000004</v>
          </cell>
          <cell r="Q60">
            <v>581.22893590000001</v>
          </cell>
          <cell r="R60">
            <v>585.58934509999995</v>
          </cell>
          <cell r="S60">
            <v>589.98775309999996</v>
          </cell>
          <cell r="T60">
            <v>594.42086840000002</v>
          </cell>
          <cell r="U60">
            <v>598.88666669999998</v>
          </cell>
          <cell r="V60">
            <v>603.36482130000002</v>
          </cell>
          <cell r="W60">
            <v>607.86201289999997</v>
          </cell>
          <cell r="X60">
            <v>612.38576230000001</v>
          </cell>
          <cell r="Y60">
            <v>616.94253990000004</v>
          </cell>
          <cell r="Z60">
            <v>621.53850599999998</v>
          </cell>
          <cell r="AA60">
            <v>626.12468369999999</v>
          </cell>
          <cell r="AB60">
            <v>630.69992649999995</v>
          </cell>
          <cell r="AC60">
            <v>635.26997679999999</v>
          </cell>
          <cell r="AD60">
            <v>639.84206419999998</v>
          </cell>
          <cell r="AE60">
            <v>644.42449739999995</v>
          </cell>
          <cell r="AF60">
            <v>649.02656579999996</v>
          </cell>
          <cell r="AG60">
            <v>653.65879229999996</v>
          </cell>
          <cell r="AH60">
            <v>658.33193180000001</v>
          </cell>
          <cell r="AI60">
            <v>663.05673690000003</v>
          </cell>
          <cell r="AJ60">
            <v>667.84375720000003</v>
          </cell>
          <cell r="AK60">
            <v>672.70315010000002</v>
          </cell>
          <cell r="AL60">
            <v>677.63585</v>
          </cell>
          <cell r="AM60">
            <v>682.6441446</v>
          </cell>
          <cell r="AN60">
            <v>687.732077</v>
          </cell>
          <cell r="AO60">
            <v>692.90467660000002</v>
          </cell>
          <cell r="AP60">
            <v>698.16741679999996</v>
          </cell>
          <cell r="AQ60">
            <v>703.52658540000004</v>
          </cell>
          <cell r="AR60">
            <v>708.98814170000003</v>
          </cell>
          <cell r="AS60">
            <v>714.55771089999996</v>
          </cell>
          <cell r="AT60">
            <v>720.24058590000004</v>
          </cell>
          <cell r="AU60">
            <v>726.04172519999997</v>
          </cell>
          <cell r="AV60">
            <v>731.96917059999998</v>
          </cell>
          <cell r="AW60">
            <v>738.02927999999997</v>
          </cell>
          <cell r="AX60">
            <v>744.22708950000003</v>
          </cell>
          <cell r="AY60">
            <v>750.56678609999994</v>
          </cell>
          <cell r="AZ60">
            <v>757.05197350000003</v>
          </cell>
          <cell r="BA60">
            <v>826.75095950000002</v>
          </cell>
          <cell r="BB60">
            <v>837.11272180000003</v>
          </cell>
          <cell r="BC60">
            <v>847.72050979999995</v>
          </cell>
          <cell r="BD60">
            <v>858.57579580000004</v>
          </cell>
          <cell r="BE60">
            <v>869.67987830000004</v>
          </cell>
        </row>
        <row r="61">
          <cell r="B61">
            <v>518.28027870000005</v>
          </cell>
          <cell r="C61">
            <v>524.15508139999997</v>
          </cell>
          <cell r="D61">
            <v>529.88174779999997</v>
          </cell>
          <cell r="E61">
            <v>535.43884660000003</v>
          </cell>
          <cell r="F61">
            <v>540.84015160000001</v>
          </cell>
          <cell r="G61">
            <v>546.12068769999996</v>
          </cell>
          <cell r="H61">
            <v>551.30573079999999</v>
          </cell>
          <cell r="I61">
            <v>556.42228969999996</v>
          </cell>
          <cell r="J61">
            <v>561.49424829999998</v>
          </cell>
          <cell r="K61">
            <v>566.53992870000002</v>
          </cell>
          <cell r="L61">
            <v>571.60104430000001</v>
          </cell>
          <cell r="M61">
            <v>576.67763649999995</v>
          </cell>
          <cell r="N61">
            <v>581.76762459999998</v>
          </cell>
          <cell r="O61">
            <v>586.87042369999995</v>
          </cell>
          <cell r="P61">
            <v>591.98641110000005</v>
          </cell>
          <cell r="Q61">
            <v>597.11653879999994</v>
          </cell>
          <cell r="R61">
            <v>602.26227659999995</v>
          </cell>
          <cell r="S61">
            <v>607.42568830000005</v>
          </cell>
          <cell r="T61">
            <v>612.60952580000003</v>
          </cell>
          <cell r="U61">
            <v>617.81729099999995</v>
          </cell>
          <cell r="V61">
            <v>623.03255879999995</v>
          </cell>
          <cell r="W61">
            <v>628.26692249999996</v>
          </cell>
          <cell r="X61">
            <v>633.53220629999998</v>
          </cell>
          <cell r="Y61">
            <v>638.83856349999996</v>
          </cell>
          <cell r="Z61">
            <v>644.19529179999995</v>
          </cell>
          <cell r="AA61">
            <v>649.55237820000002</v>
          </cell>
          <cell r="AB61">
            <v>654.90940509999996</v>
          </cell>
          <cell r="AC61">
            <v>660.27301150000005</v>
          </cell>
          <cell r="AD61">
            <v>665.65117710000004</v>
          </cell>
          <cell r="AE61">
            <v>671.05277739999997</v>
          </cell>
          <cell r="AF61">
            <v>676.48751059999995</v>
          </cell>
          <cell r="AG61">
            <v>681.96567440000001</v>
          </cell>
          <cell r="AH61">
            <v>687.49786259999996</v>
          </cell>
          <cell r="AI61">
            <v>693.0946596</v>
          </cell>
          <cell r="AJ61">
            <v>698.7663804</v>
          </cell>
          <cell r="AK61">
            <v>704.52287030000002</v>
          </cell>
          <cell r="AL61">
            <v>710.35942929999999</v>
          </cell>
          <cell r="AM61">
            <v>716.27494920000004</v>
          </cell>
          <cell r="AN61">
            <v>722.27157060000002</v>
          </cell>
          <cell r="AO61">
            <v>728.35319870000001</v>
          </cell>
          <cell r="AP61">
            <v>734.52464899999995</v>
          </cell>
          <cell r="AQ61">
            <v>740.79120709999995</v>
          </cell>
          <cell r="AR61">
            <v>747.15837169999998</v>
          </cell>
          <cell r="AS61">
            <v>753.63167469999996</v>
          </cell>
          <cell r="AT61">
            <v>760.21651350000002</v>
          </cell>
          <cell r="AU61">
            <v>766.91791750000004</v>
          </cell>
          <cell r="AV61">
            <v>773.7411578</v>
          </cell>
          <cell r="AW61">
            <v>780.69019309999999</v>
          </cell>
          <cell r="AX61">
            <v>787.76758519999998</v>
          </cell>
          <cell r="AY61">
            <v>794.97634489999996</v>
          </cell>
          <cell r="AZ61">
            <v>802.32042490000003</v>
          </cell>
          <cell r="BA61">
            <v>843.12812159999999</v>
          </cell>
          <cell r="BB61">
            <v>854.19711310000002</v>
          </cell>
          <cell r="BC61">
            <v>865.50899930000003</v>
          </cell>
          <cell r="BD61">
            <v>877.06487609999999</v>
          </cell>
          <cell r="BE61">
            <v>888.86592389999998</v>
          </cell>
        </row>
        <row r="62">
          <cell r="B62">
            <v>3985.836605</v>
          </cell>
          <cell r="C62">
            <v>4024.6209450000001</v>
          </cell>
          <cell r="D62">
            <v>4060.8528070000002</v>
          </cell>
          <cell r="E62">
            <v>4094.9832540000002</v>
          </cell>
          <cell r="F62">
            <v>4127.5333049999999</v>
          </cell>
          <cell r="G62">
            <v>4159.0105309999999</v>
          </cell>
          <cell r="H62">
            <v>4189.7998299999999</v>
          </cell>
          <cell r="I62">
            <v>4220.2513669999998</v>
          </cell>
          <cell r="J62">
            <v>4250.6502970000001</v>
          </cell>
          <cell r="K62">
            <v>4281.2040989999996</v>
          </cell>
          <cell r="L62">
            <v>4312.258468</v>
          </cell>
          <cell r="M62">
            <v>4343.8109530000002</v>
          </cell>
          <cell r="N62">
            <v>4375.8303020000003</v>
          </cell>
          <cell r="O62">
            <v>4408.2866379999996</v>
          </cell>
          <cell r="P62">
            <v>4441.1496880000004</v>
          </cell>
          <cell r="Q62">
            <v>4474.3882809999996</v>
          </cell>
          <cell r="R62">
            <v>4507.9553699999997</v>
          </cell>
          <cell r="S62">
            <v>4541.8149810000004</v>
          </cell>
          <cell r="T62">
            <v>4575.9417729999996</v>
          </cell>
          <cell r="U62">
            <v>4610.3201639999997</v>
          </cell>
          <cell r="V62">
            <v>4644.7936760000002</v>
          </cell>
          <cell r="W62">
            <v>4679.4137369999999</v>
          </cell>
          <cell r="X62">
            <v>4714.2382440000001</v>
          </cell>
          <cell r="Y62">
            <v>4749.317008</v>
          </cell>
          <cell r="Z62">
            <v>4784.6974499999997</v>
          </cell>
          <cell r="AA62">
            <v>4820.0025400000004</v>
          </cell>
          <cell r="AB62">
            <v>4855.2234509999998</v>
          </cell>
          <cell r="AC62">
            <v>4890.4043899999997</v>
          </cell>
          <cell r="AD62">
            <v>4925.6010100000003</v>
          </cell>
          <cell r="AE62">
            <v>4960.8772740000004</v>
          </cell>
          <cell r="AF62">
            <v>4996.304693</v>
          </cell>
          <cell r="AG62">
            <v>5031.9642729999996</v>
          </cell>
          <cell r="AH62">
            <v>5067.9388079999999</v>
          </cell>
          <cell r="AI62">
            <v>5104.3110720000004</v>
          </cell>
          <cell r="AJ62">
            <v>5141.1622790000001</v>
          </cell>
          <cell r="AK62">
            <v>5178.5706209999998</v>
          </cell>
          <cell r="AL62">
            <v>5216.543291</v>
          </cell>
          <cell r="AM62">
            <v>5255.0979010000001</v>
          </cell>
          <cell r="AN62">
            <v>5294.265574</v>
          </cell>
          <cell r="AO62">
            <v>5334.0850280000004</v>
          </cell>
          <cell r="AP62">
            <v>5374.5983990000004</v>
          </cell>
          <cell r="AQ62">
            <v>5415.8540890000004</v>
          </cell>
          <cell r="AR62">
            <v>5457.8979760000002</v>
          </cell>
          <cell r="AS62">
            <v>5500.7733619999999</v>
          </cell>
          <cell r="AT62">
            <v>5544.5209940000004</v>
          </cell>
          <cell r="AU62">
            <v>5589.1790410000003</v>
          </cell>
          <cell r="AV62">
            <v>5634.8094129999999</v>
          </cell>
          <cell r="AW62">
            <v>5681.4610519999997</v>
          </cell>
          <cell r="AX62">
            <v>5729.1727270000001</v>
          </cell>
          <cell r="AY62">
            <v>5777.9766710000004</v>
          </cell>
          <cell r="AZ62">
            <v>5827.9006239999999</v>
          </cell>
          <cell r="BA62">
            <v>6279.5823499999997</v>
          </cell>
          <cell r="BB62">
            <v>6367.1195879999996</v>
          </cell>
          <cell r="BC62">
            <v>6456.9473399999997</v>
          </cell>
          <cell r="BD62">
            <v>6549.0697090000003</v>
          </cell>
          <cell r="BE62">
            <v>6643.4899400000004</v>
          </cell>
        </row>
        <row r="63">
          <cell r="B63">
            <v>3989.7999949999999</v>
          </cell>
          <cell r="C63">
            <v>4035.0251149999999</v>
          </cell>
          <cell r="D63">
            <v>4079.1098590000001</v>
          </cell>
          <cell r="E63">
            <v>4121.8892459999997</v>
          </cell>
          <cell r="F63">
            <v>4163.4693090000001</v>
          </cell>
          <cell r="G63">
            <v>4204.1196749999999</v>
          </cell>
          <cell r="H63">
            <v>4244.0349210000004</v>
          </cell>
          <cell r="I63">
            <v>4283.4229649999997</v>
          </cell>
          <cell r="J63">
            <v>4322.4676710000003</v>
          </cell>
          <cell r="K63">
            <v>4361.310082</v>
          </cell>
          <cell r="L63">
            <v>4400.271315</v>
          </cell>
          <cell r="M63">
            <v>4439.3516900000004</v>
          </cell>
          <cell r="N63">
            <v>4478.5351879999998</v>
          </cell>
          <cell r="O63">
            <v>4517.8173079999997</v>
          </cell>
          <cell r="P63">
            <v>4557.2009529999996</v>
          </cell>
          <cell r="Q63">
            <v>4596.6934520000004</v>
          </cell>
          <cell r="R63">
            <v>4636.3061200000002</v>
          </cell>
          <cell r="S63">
            <v>4676.0548440000002</v>
          </cell>
          <cell r="T63">
            <v>4715.9608090000002</v>
          </cell>
          <cell r="U63">
            <v>4756.0509739999998</v>
          </cell>
          <cell r="V63">
            <v>4796.1988940000001</v>
          </cell>
          <cell r="W63">
            <v>4836.4938179999999</v>
          </cell>
          <cell r="X63">
            <v>4877.0267690000001</v>
          </cell>
          <cell r="Y63">
            <v>4917.8759099999997</v>
          </cell>
          <cell r="Z63">
            <v>4959.1128150000004</v>
          </cell>
          <cell r="AA63">
            <v>5000.352476</v>
          </cell>
          <cell r="AB63">
            <v>5041.5916800000005</v>
          </cell>
          <cell r="AC63">
            <v>5082.8815340000001</v>
          </cell>
          <cell r="AD63">
            <v>5124.2834659999999</v>
          </cell>
          <cell r="AE63">
            <v>5165.8658020000003</v>
          </cell>
          <cell r="AF63">
            <v>5207.7031999999999</v>
          </cell>
          <cell r="AG63">
            <v>5249.8749349999998</v>
          </cell>
          <cell r="AH63">
            <v>5292.4625560000004</v>
          </cell>
          <cell r="AI63">
            <v>5335.5475459999998</v>
          </cell>
          <cell r="AJ63">
            <v>5379.2093100000002</v>
          </cell>
          <cell r="AK63">
            <v>5423.5236409999998</v>
          </cell>
          <cell r="AL63">
            <v>5468.4543549999999</v>
          </cell>
          <cell r="AM63">
            <v>5513.9929220000004</v>
          </cell>
          <cell r="AN63">
            <v>5560.1558210000003</v>
          </cell>
          <cell r="AO63">
            <v>5606.9731140000004</v>
          </cell>
          <cell r="AP63">
            <v>5654.4818720000003</v>
          </cell>
          <cell r="AQ63">
            <v>5702.7227839999996</v>
          </cell>
          <cell r="AR63">
            <v>5751.7381809999997</v>
          </cell>
          <cell r="AS63">
            <v>5801.5706469999996</v>
          </cell>
          <cell r="AT63">
            <v>5852.2617319999999</v>
          </cell>
          <cell r="AU63">
            <v>5903.8501539999997</v>
          </cell>
          <cell r="AV63">
            <v>5956.3764899999996</v>
          </cell>
          <cell r="AW63">
            <v>6009.8712150000001</v>
          </cell>
          <cell r="AX63">
            <v>6064.3540499999999</v>
          </cell>
          <cell r="AY63">
            <v>6119.8481730000003</v>
          </cell>
          <cell r="AZ63">
            <v>6176.3840120000004</v>
          </cell>
          <cell r="BA63">
            <v>6275.9039229999998</v>
          </cell>
          <cell r="BB63">
            <v>6358.980654</v>
          </cell>
          <cell r="BC63">
            <v>6443.9139329999998</v>
          </cell>
          <cell r="BD63">
            <v>6530.7056890000003</v>
          </cell>
          <cell r="BE63">
            <v>6619.3587230000003</v>
          </cell>
        </row>
        <row r="64">
          <cell r="B64">
            <v>4697.2778250000001</v>
          </cell>
          <cell r="C64">
            <v>4746.3301140000003</v>
          </cell>
          <cell r="D64">
            <v>4794.0829720000002</v>
          </cell>
          <cell r="E64">
            <v>4840.9800310000001</v>
          </cell>
          <cell r="F64">
            <v>4887.4526299999998</v>
          </cell>
          <cell r="G64">
            <v>4933.9206940000004</v>
          </cell>
          <cell r="H64">
            <v>4980.4296860000004</v>
          </cell>
          <cell r="I64">
            <v>5026.919363</v>
          </cell>
          <cell r="J64">
            <v>5073.3441300000004</v>
          </cell>
          <cell r="K64">
            <v>5119.6949029999996</v>
          </cell>
          <cell r="L64">
            <v>5166.3637070000004</v>
          </cell>
          <cell r="M64">
            <v>5213.2466290000002</v>
          </cell>
          <cell r="N64">
            <v>5260.230767</v>
          </cell>
          <cell r="O64">
            <v>5307.2508159999998</v>
          </cell>
          <cell r="P64">
            <v>5354.2732589999996</v>
          </cell>
          <cell r="Q64">
            <v>5401.2803299999996</v>
          </cell>
          <cell r="R64">
            <v>5448.2487920000003</v>
          </cell>
          <cell r="S64">
            <v>5495.1643110000005</v>
          </cell>
          <cell r="T64">
            <v>5542.0196770000002</v>
          </cell>
          <cell r="U64">
            <v>5588.8138159999999</v>
          </cell>
          <cell r="V64">
            <v>5635.2931339999996</v>
          </cell>
          <cell r="W64">
            <v>5681.5491110000003</v>
          </cell>
          <cell r="X64">
            <v>5727.6879220000001</v>
          </cell>
          <cell r="Y64">
            <v>5773.7882559999998</v>
          </cell>
          <cell r="Z64">
            <v>5819.9098379999996</v>
          </cell>
          <cell r="AA64">
            <v>5865.3864599999997</v>
          </cell>
          <cell r="AB64">
            <v>5910.1556200000005</v>
          </cell>
          <cell r="AC64">
            <v>5954.2775499999998</v>
          </cell>
          <cell r="AD64">
            <v>5997.8329599999997</v>
          </cell>
          <cell r="AE64">
            <v>6040.9052339999998</v>
          </cell>
          <cell r="AF64">
            <v>6083.5783389999997</v>
          </cell>
          <cell r="AG64">
            <v>6125.9397259999996</v>
          </cell>
          <cell r="AH64">
            <v>6168.0761810000004</v>
          </cell>
          <cell r="AI64">
            <v>6210.0733339999997</v>
          </cell>
          <cell r="AJ64">
            <v>6252.0150000000003</v>
          </cell>
          <cell r="AK64">
            <v>6293.9823500000002</v>
          </cell>
          <cell r="AL64">
            <v>6335.9182010000004</v>
          </cell>
          <cell r="AM64">
            <v>6377.799849</v>
          </cell>
          <cell r="AN64">
            <v>6419.6463869999998</v>
          </cell>
          <cell r="AO64">
            <v>6461.5016489999998</v>
          </cell>
          <cell r="AP64">
            <v>6503.4211850000002</v>
          </cell>
          <cell r="AQ64">
            <v>6545.4687119999999</v>
          </cell>
          <cell r="AR64">
            <v>6587.7070830000002</v>
          </cell>
          <cell r="AS64">
            <v>6630.1970959999999</v>
          </cell>
          <cell r="AT64">
            <v>6672.9966059999997</v>
          </cell>
          <cell r="AU64">
            <v>6716.1604189999998</v>
          </cell>
          <cell r="AV64">
            <v>6759.7663759999996</v>
          </cell>
          <cell r="AW64">
            <v>6803.8799829999998</v>
          </cell>
          <cell r="AX64">
            <v>6848.5557369999997</v>
          </cell>
          <cell r="AY64">
            <v>6893.8406859999996</v>
          </cell>
          <cell r="AZ64">
            <v>6939.7766659999998</v>
          </cell>
          <cell r="BA64">
            <v>7835.2333630000003</v>
          </cell>
          <cell r="BB64">
            <v>7924.841547</v>
          </cell>
          <cell r="BC64">
            <v>8016.2188239999996</v>
          </cell>
          <cell r="BD64">
            <v>8109.3837100000001</v>
          </cell>
          <cell r="BE64">
            <v>8204.3534830000008</v>
          </cell>
        </row>
        <row r="65">
          <cell r="B65">
            <v>4700.1599189999997</v>
          </cell>
          <cell r="C65">
            <v>4754.0195130000002</v>
          </cell>
          <cell r="D65">
            <v>4807.8055999999997</v>
          </cell>
          <cell r="E65">
            <v>4861.5796360000004</v>
          </cell>
          <cell r="F65">
            <v>4915.5323200000003</v>
          </cell>
          <cell r="G65">
            <v>4969.6303180000004</v>
          </cell>
          <cell r="H65">
            <v>5023.5403480000004</v>
          </cell>
          <cell r="I65">
            <v>5077.0364040000004</v>
          </cell>
          <cell r="J65">
            <v>5130.0244300000004</v>
          </cell>
          <cell r="K65">
            <v>5182.492577</v>
          </cell>
          <cell r="L65">
            <v>5234.8548929999997</v>
          </cell>
          <cell r="M65">
            <v>5287.0341689999996</v>
          </cell>
          <cell r="N65">
            <v>5338.9419989999997</v>
          </cell>
          <cell r="O65">
            <v>5390.5378890000002</v>
          </cell>
          <cell r="P65">
            <v>5441.8152360000004</v>
          </cell>
          <cell r="Q65">
            <v>5492.7858399999996</v>
          </cell>
          <cell r="R65">
            <v>5543.4712410000002</v>
          </cell>
          <cell r="S65">
            <v>5593.8988849999996</v>
          </cell>
          <cell r="T65">
            <v>5644.1007250000002</v>
          </cell>
          <cell r="U65">
            <v>5694.1128200000003</v>
          </cell>
          <cell r="V65">
            <v>5743.7092789999997</v>
          </cell>
          <cell r="W65">
            <v>5793.0166019999997</v>
          </cell>
          <cell r="X65">
            <v>5842.1729379999997</v>
          </cell>
          <cell r="Y65">
            <v>5891.285374</v>
          </cell>
          <cell r="Z65">
            <v>5940.4387239999996</v>
          </cell>
          <cell r="AA65">
            <v>5988.9660290000002</v>
          </cell>
          <cell r="AB65">
            <v>6036.8156669999998</v>
          </cell>
          <cell r="AC65">
            <v>6084.0603959999999</v>
          </cell>
          <cell r="AD65">
            <v>6130.7928190000002</v>
          </cell>
          <cell r="AE65">
            <v>6177.1071229999998</v>
          </cell>
          <cell r="AF65">
            <v>6223.097385</v>
          </cell>
          <cell r="AG65">
            <v>6268.8576489999996</v>
          </cell>
          <cell r="AH65">
            <v>6314.4814319999996</v>
          </cell>
          <cell r="AI65">
            <v>6360.0607879999998</v>
          </cell>
          <cell r="AJ65">
            <v>6405.685289</v>
          </cell>
          <cell r="AK65">
            <v>6451.4411710000004</v>
          </cell>
          <cell r="AL65">
            <v>6497.2459120000003</v>
          </cell>
          <cell r="AM65">
            <v>6543.063639</v>
          </cell>
          <cell r="AN65">
            <v>6588.9092719999999</v>
          </cell>
          <cell r="AO65">
            <v>6634.8279929999999</v>
          </cell>
          <cell r="AP65">
            <v>6680.8808939999999</v>
          </cell>
          <cell r="AQ65">
            <v>6727.1374169999999</v>
          </cell>
          <cell r="AR65">
            <v>6773.671883</v>
          </cell>
          <cell r="AS65">
            <v>6820.5624749999997</v>
          </cell>
          <cell r="AT65">
            <v>6867.8921410000003</v>
          </cell>
          <cell r="AU65">
            <v>6915.7525930000002</v>
          </cell>
          <cell r="AV65">
            <v>6964.2721170000004</v>
          </cell>
          <cell r="AW65">
            <v>7013.4746679999998</v>
          </cell>
          <cell r="AX65">
            <v>7063.3324400000001</v>
          </cell>
          <cell r="AY65">
            <v>7113.8158990000002</v>
          </cell>
          <cell r="AZ65">
            <v>7164.9158390000002</v>
          </cell>
          <cell r="BA65">
            <v>7874.7870460000004</v>
          </cell>
          <cell r="BB65">
            <v>7959.7424099999998</v>
          </cell>
          <cell r="BC65">
            <v>8045.8550219999997</v>
          </cell>
          <cell r="BD65">
            <v>8133.1440060000004</v>
          </cell>
          <cell r="BE65">
            <v>8221.6304949999994</v>
          </cell>
        </row>
        <row r="66">
          <cell r="B66">
            <v>65.10883407</v>
          </cell>
          <cell r="C66">
            <v>65.74237814</v>
          </cell>
          <cell r="D66">
            <v>66.33422736</v>
          </cell>
          <cell r="E66">
            <v>66.891749860000004</v>
          </cell>
          <cell r="F66">
            <v>67.423456529999996</v>
          </cell>
          <cell r="G66">
            <v>67.937638530000001</v>
          </cell>
          <cell r="H66">
            <v>68.440583230000001</v>
          </cell>
          <cell r="I66">
            <v>68.938010559999995</v>
          </cell>
          <cell r="J66">
            <v>69.434578549999998</v>
          </cell>
          <cell r="K66">
            <v>69.933676390000002</v>
          </cell>
          <cell r="L66">
            <v>70.44095102</v>
          </cell>
          <cell r="M66">
            <v>70.956362389999995</v>
          </cell>
          <cell r="N66">
            <v>71.479399999999998</v>
          </cell>
          <cell r="O66">
            <v>72.009575819999995</v>
          </cell>
          <cell r="P66">
            <v>72.546395340000004</v>
          </cell>
          <cell r="Q66">
            <v>73.089349369999994</v>
          </cell>
          <cell r="R66">
            <v>73.637669399999993</v>
          </cell>
          <cell r="S66">
            <v>74.190767769999994</v>
          </cell>
          <cell r="T66">
            <v>74.748230579999998</v>
          </cell>
          <cell r="U66">
            <v>75.309803259999995</v>
          </cell>
          <cell r="V66">
            <v>75.872929740000004</v>
          </cell>
          <cell r="W66">
            <v>76.438450119999999</v>
          </cell>
          <cell r="X66">
            <v>77.007310140000001</v>
          </cell>
          <cell r="Y66">
            <v>77.580323440000001</v>
          </cell>
          <cell r="Z66">
            <v>78.158264669999994</v>
          </cell>
          <cell r="AA66">
            <v>78.734975019999993</v>
          </cell>
          <cell r="AB66">
            <v>79.310310329999993</v>
          </cell>
          <cell r="AC66">
            <v>79.884992659999995</v>
          </cell>
          <cell r="AD66">
            <v>80.459931159999996</v>
          </cell>
          <cell r="AE66">
            <v>81.036170639999995</v>
          </cell>
          <cell r="AF66">
            <v>81.614879250000001</v>
          </cell>
          <cell r="AG66">
            <v>82.197380210000006</v>
          </cell>
          <cell r="AH66">
            <v>82.785025989999994</v>
          </cell>
          <cell r="AI66">
            <v>83.379168680000006</v>
          </cell>
          <cell r="AJ66">
            <v>83.981134929999996</v>
          </cell>
          <cell r="AK66">
            <v>84.592202009999994</v>
          </cell>
          <cell r="AL66">
            <v>85.212487409999994</v>
          </cell>
          <cell r="AM66">
            <v>85.842278829999998</v>
          </cell>
          <cell r="AN66">
            <v>86.482084670000006</v>
          </cell>
          <cell r="AO66">
            <v>87.132537389999996</v>
          </cell>
          <cell r="AP66">
            <v>87.79432525</v>
          </cell>
          <cell r="AQ66">
            <v>88.468238959999994</v>
          </cell>
          <cell r="AR66">
            <v>89.155027880000006</v>
          </cell>
          <cell r="AS66">
            <v>89.855399390000002</v>
          </cell>
          <cell r="AT66">
            <v>90.570019079999994</v>
          </cell>
          <cell r="AU66">
            <v>91.29951045</v>
          </cell>
          <cell r="AV66">
            <v>92.044884780000004</v>
          </cell>
          <cell r="AW66">
            <v>92.806941570000006</v>
          </cell>
          <cell r="AX66">
            <v>93.586314090000002</v>
          </cell>
          <cell r="AY66">
            <v>94.383528870000006</v>
          </cell>
          <cell r="AZ66">
            <v>95.199039069999998</v>
          </cell>
          <cell r="BA66">
            <v>111.85405609999999</v>
          </cell>
          <cell r="BB66">
            <v>113.4873051</v>
          </cell>
          <cell r="BC66">
            <v>115.1586001</v>
          </cell>
          <cell r="BD66">
            <v>116.8681406</v>
          </cell>
          <cell r="BE66">
            <v>118.6161168</v>
          </cell>
        </row>
        <row r="67">
          <cell r="B67">
            <v>65.173576229999995</v>
          </cell>
          <cell r="C67">
            <v>65.912330760000003</v>
          </cell>
          <cell r="D67">
            <v>66.632457189999997</v>
          </cell>
          <cell r="E67">
            <v>67.331260549999996</v>
          </cell>
          <cell r="F67">
            <v>68.010472890000003</v>
          </cell>
          <cell r="G67">
            <v>68.674498600000007</v>
          </cell>
          <cell r="H67">
            <v>69.326516069999997</v>
          </cell>
          <cell r="I67">
            <v>69.969921679999999</v>
          </cell>
          <cell r="J67">
            <v>70.607718840000004</v>
          </cell>
          <cell r="K67">
            <v>71.242211499999996</v>
          </cell>
          <cell r="L67">
            <v>71.878645140000003</v>
          </cell>
          <cell r="M67">
            <v>72.517024950000007</v>
          </cell>
          <cell r="N67">
            <v>73.157089290000002</v>
          </cell>
          <cell r="O67">
            <v>73.79876462</v>
          </cell>
          <cell r="P67">
            <v>74.442098369999997</v>
          </cell>
          <cell r="Q67">
            <v>75.087210260000006</v>
          </cell>
          <cell r="R67">
            <v>75.734285099999994</v>
          </cell>
          <cell r="S67">
            <v>76.383582439999998</v>
          </cell>
          <cell r="T67">
            <v>77.03544832</v>
          </cell>
          <cell r="U67">
            <v>77.690323100000001</v>
          </cell>
          <cell r="V67">
            <v>78.346141320000001</v>
          </cell>
          <cell r="W67">
            <v>79.004360849999998</v>
          </cell>
          <cell r="X67">
            <v>79.66646858</v>
          </cell>
          <cell r="Y67">
            <v>80.333741270000004</v>
          </cell>
          <cell r="Z67">
            <v>81.007348109999995</v>
          </cell>
          <cell r="AA67">
            <v>81.680999979999996</v>
          </cell>
          <cell r="AB67">
            <v>82.354644370000003</v>
          </cell>
          <cell r="AC67">
            <v>83.029116130000006</v>
          </cell>
          <cell r="AD67">
            <v>83.705418699999996</v>
          </cell>
          <cell r="AE67">
            <v>84.384668180000006</v>
          </cell>
          <cell r="AF67">
            <v>85.068084099999993</v>
          </cell>
          <cell r="AG67">
            <v>85.756961419999996</v>
          </cell>
          <cell r="AH67">
            <v>86.452632280000003</v>
          </cell>
          <cell r="AI67">
            <v>87.156427679999993</v>
          </cell>
          <cell r="AJ67">
            <v>87.869644719999997</v>
          </cell>
          <cell r="AK67">
            <v>88.593521460000005</v>
          </cell>
          <cell r="AL67">
            <v>89.327466849999993</v>
          </cell>
          <cell r="AM67">
            <v>90.07134155</v>
          </cell>
          <cell r="AN67">
            <v>90.825414739999999</v>
          </cell>
          <cell r="AO67">
            <v>91.590177490000002</v>
          </cell>
          <cell r="AP67">
            <v>92.366235349999997</v>
          </cell>
          <cell r="AQ67">
            <v>93.154252990000003</v>
          </cell>
          <cell r="AR67">
            <v>93.954921870000007</v>
          </cell>
          <cell r="AS67">
            <v>94.768937609999995</v>
          </cell>
          <cell r="AT67">
            <v>95.596978949999993</v>
          </cell>
          <cell r="AU67">
            <v>96.439678330000007</v>
          </cell>
          <cell r="AV67">
            <v>97.297698560000001</v>
          </cell>
          <cell r="AW67">
            <v>98.171537490000006</v>
          </cell>
          <cell r="AX67">
            <v>99.061517240000001</v>
          </cell>
          <cell r="AY67">
            <v>99.968016419999998</v>
          </cell>
          <cell r="AZ67">
            <v>100.89153210000001</v>
          </cell>
          <cell r="BA67">
            <v>111.3020337</v>
          </cell>
          <cell r="BB67">
            <v>112.8181628</v>
          </cell>
          <cell r="BC67">
            <v>114.36297039999999</v>
          </cell>
          <cell r="BD67">
            <v>115.93661729999999</v>
          </cell>
          <cell r="BE67">
            <v>117.53928500000001</v>
          </cell>
        </row>
      </sheetData>
      <sheetData sheetId="6">
        <row r="3">
          <cell r="F3">
            <v>32317.940999999999</v>
          </cell>
          <cell r="G3">
            <v>31906.269199999999</v>
          </cell>
          <cell r="H3">
            <v>31677.008519999999</v>
          </cell>
          <cell r="I3">
            <v>31575.1152</v>
          </cell>
          <cell r="J3">
            <v>31564.669170000001</v>
          </cell>
          <cell r="K3">
            <v>31622.528129999999</v>
          </cell>
          <cell r="L3">
            <v>31729.578140000001</v>
          </cell>
          <cell r="M3">
            <v>31875.450390000002</v>
          </cell>
          <cell r="N3">
            <v>32052.675739999999</v>
          </cell>
          <cell r="O3">
            <v>32255.603149999999</v>
          </cell>
          <cell r="P3">
            <v>32486.445540000001</v>
          </cell>
          <cell r="Q3">
            <v>32734.26872</v>
          </cell>
          <cell r="R3">
            <v>32995.833859999999</v>
          </cell>
          <cell r="S3">
            <v>33268.344879999997</v>
          </cell>
          <cell r="T3">
            <v>33549.465129999997</v>
          </cell>
          <cell r="U3">
            <v>33837.258159999998</v>
          </cell>
          <cell r="V3">
            <v>34129.922019999998</v>
          </cell>
          <cell r="W3">
            <v>34426.029580000002</v>
          </cell>
          <cell r="X3">
            <v>34724.40193</v>
          </cell>
          <cell r="Y3">
            <v>35024.046009999998</v>
          </cell>
          <cell r="Z3">
            <v>35319.307840000001</v>
          </cell>
          <cell r="AA3">
            <v>35614.674769999998</v>
          </cell>
          <cell r="AB3">
            <v>35909.640520000001</v>
          </cell>
          <cell r="AC3">
            <v>36203.855049999998</v>
          </cell>
          <cell r="AD3">
            <v>36497.020839999997</v>
          </cell>
          <cell r="AE3">
            <v>36775.32359</v>
          </cell>
          <cell r="AF3">
            <v>37046.884859999998</v>
          </cell>
          <cell r="AG3">
            <v>37312.249790000002</v>
          </cell>
          <cell r="AH3">
            <v>37572.220580000001</v>
          </cell>
          <cell r="AI3">
            <v>37827.653729999998</v>
          </cell>
          <cell r="AJ3">
            <v>38079.358059999999</v>
          </cell>
          <cell r="AK3">
            <v>38328.08915</v>
          </cell>
          <cell r="AL3">
            <v>38574.472950000003</v>
          </cell>
          <cell r="AM3">
            <v>38819.030789999997</v>
          </cell>
          <cell r="AN3">
            <v>39062.201670000002</v>
          </cell>
          <cell r="AO3">
            <v>39304.36204</v>
          </cell>
          <cell r="AP3">
            <v>39543.119489999997</v>
          </cell>
          <cell r="AQ3">
            <v>39779.128040000003</v>
          </cell>
          <cell r="AR3">
            <v>40012.967550000001</v>
          </cell>
          <cell r="AS3">
            <v>40245.218959999998</v>
          </cell>
          <cell r="AT3">
            <v>40476.44915</v>
          </cell>
          <cell r="AU3">
            <v>40707.233639999999</v>
          </cell>
          <cell r="AV3">
            <v>40938.048390000004</v>
          </cell>
          <cell r="AW3">
            <v>41169.282090000001</v>
          </cell>
          <cell r="AX3">
            <v>41401.244120000003</v>
          </cell>
          <cell r="AY3">
            <v>41634.174010000002</v>
          </cell>
          <cell r="AZ3">
            <v>41868.682070000003</v>
          </cell>
          <cell r="BA3">
            <v>42104.938560000002</v>
          </cell>
          <cell r="BB3">
            <v>42343.030220000001</v>
          </cell>
          <cell r="BC3">
            <v>42582.990279999998</v>
          </cell>
          <cell r="BD3">
            <v>42824.816870000002</v>
          </cell>
          <cell r="BE3">
            <v>46008.79161</v>
          </cell>
          <cell r="BF3">
            <v>46338.604979999996</v>
          </cell>
          <cell r="BG3">
            <v>46669.607629999999</v>
          </cell>
          <cell r="BH3">
            <v>47001.910230000001</v>
          </cell>
          <cell r="BI3">
            <v>47335.641969999997</v>
          </cell>
        </row>
        <row r="4">
          <cell r="F4">
            <v>32271.24</v>
          </cell>
          <cell r="G4">
            <v>31842.04335</v>
          </cell>
          <cell r="H4">
            <v>31594.523740000001</v>
          </cell>
          <cell r="I4">
            <v>31474.004509999999</v>
          </cell>
          <cell r="J4">
            <v>31444.780739999998</v>
          </cell>
          <cell r="K4">
            <v>31483.827700000002</v>
          </cell>
          <cell r="L4">
            <v>31572.12905</v>
          </cell>
          <cell r="M4">
            <v>31699.3462</v>
          </cell>
          <cell r="N4">
            <v>31858.02274</v>
          </cell>
          <cell r="O4">
            <v>32042.510490000001</v>
          </cell>
          <cell r="P4">
            <v>32254.953259999998</v>
          </cell>
          <cell r="Q4">
            <v>32484.478859999999</v>
          </cell>
          <cell r="R4">
            <v>32727.84114</v>
          </cell>
          <cell r="S4">
            <v>32982.234490000003</v>
          </cell>
          <cell r="T4">
            <v>33245.309480000004</v>
          </cell>
          <cell r="U4">
            <v>33515.113579999997</v>
          </cell>
          <cell r="V4">
            <v>33789.827570000001</v>
          </cell>
          <cell r="W4">
            <v>34068.002869999997</v>
          </cell>
          <cell r="X4">
            <v>34348.435649999999</v>
          </cell>
          <cell r="Y4">
            <v>34630.104679999997</v>
          </cell>
          <cell r="Z4">
            <v>34907.378709999997</v>
          </cell>
          <cell r="AA4">
            <v>35184.654490000001</v>
          </cell>
          <cell r="AB4">
            <v>35461.385750000001</v>
          </cell>
          <cell r="AC4">
            <v>35737.177909999999</v>
          </cell>
          <cell r="AD4">
            <v>36011.685389999999</v>
          </cell>
          <cell r="AE4">
            <v>36271.209569999999</v>
          </cell>
          <cell r="AF4">
            <v>36523.724499999997</v>
          </cell>
          <cell r="AG4">
            <v>36769.711000000003</v>
          </cell>
          <cell r="AH4">
            <v>37009.898520000002</v>
          </cell>
          <cell r="AI4">
            <v>37245.064509999997</v>
          </cell>
          <cell r="AJ4">
            <v>37475.933360000003</v>
          </cell>
          <cell r="AK4">
            <v>37703.170639999997</v>
          </cell>
          <cell r="AL4">
            <v>37927.307500000003</v>
          </cell>
          <cell r="AM4">
            <v>38148.765140000003</v>
          </cell>
          <cell r="AN4">
            <v>38367.876490000002</v>
          </cell>
          <cell r="AO4">
            <v>38584.905339999998</v>
          </cell>
          <cell r="AP4">
            <v>38797.385219999996</v>
          </cell>
          <cell r="AQ4">
            <v>39005.84117</v>
          </cell>
          <cell r="AR4">
            <v>39210.715709999997</v>
          </cell>
          <cell r="AS4">
            <v>39412.442089999997</v>
          </cell>
          <cell r="AT4">
            <v>39611.428460000003</v>
          </cell>
          <cell r="AU4">
            <v>39808.079230000003</v>
          </cell>
          <cell r="AV4">
            <v>40002.688130000002</v>
          </cell>
          <cell r="AW4">
            <v>40195.449540000001</v>
          </cell>
          <cell r="AX4">
            <v>40386.465550000001</v>
          </cell>
          <cell r="AY4">
            <v>40575.75447</v>
          </cell>
          <cell r="AZ4">
            <v>40763.679179999999</v>
          </cell>
          <cell r="BA4">
            <v>40950.154900000001</v>
          </cell>
          <cell r="BB4">
            <v>41134.996870000003</v>
          </cell>
          <cell r="BC4">
            <v>41317.948729999996</v>
          </cell>
          <cell r="BD4">
            <v>41498.699359999999</v>
          </cell>
          <cell r="BE4">
            <v>45733.742980000003</v>
          </cell>
          <cell r="BF4">
            <v>46096.605170000003</v>
          </cell>
          <cell r="BG4">
            <v>46464.389629999998</v>
          </cell>
          <cell r="BH4">
            <v>46837.523480000003</v>
          </cell>
          <cell r="BI4">
            <v>47216.482490000002</v>
          </cell>
        </row>
        <row r="12">
          <cell r="F12">
            <v>44.765000000000001</v>
          </cell>
          <cell r="G12">
            <v>62.235921310000002</v>
          </cell>
          <cell r="H12">
            <v>80.431830959999999</v>
          </cell>
          <cell r="I12">
            <v>98.989627519999999</v>
          </cell>
          <cell r="J12">
            <v>117.6966221</v>
          </cell>
          <cell r="K12">
            <v>136.43674179999999</v>
          </cell>
          <cell r="L12">
            <v>155.11362579999999</v>
          </cell>
          <cell r="M12">
            <v>173.69759959999999</v>
          </cell>
          <cell r="N12">
            <v>192.17624380000001</v>
          </cell>
          <cell r="O12">
            <v>210.5469272</v>
          </cell>
          <cell r="P12">
            <v>228.87831370000001</v>
          </cell>
          <cell r="Q12">
            <v>247.1091059</v>
          </cell>
          <cell r="R12">
            <v>265.24668910000003</v>
          </cell>
          <cell r="S12">
            <v>283.30065409999997</v>
          </cell>
          <cell r="T12">
            <v>301.28378939999999</v>
          </cell>
          <cell r="U12">
            <v>319.21219819999999</v>
          </cell>
          <cell r="V12">
            <v>337.10314779999999</v>
          </cell>
          <cell r="W12">
            <v>354.97808379999998</v>
          </cell>
          <cell r="X12">
            <v>372.86190310000001</v>
          </cell>
          <cell r="Y12">
            <v>390.78275339999999</v>
          </cell>
          <cell r="Z12">
            <v>408.71827189999999</v>
          </cell>
          <cell r="AA12">
            <v>426.75858260000001</v>
          </cell>
          <cell r="AB12">
            <v>444.94366109999999</v>
          </cell>
          <cell r="AC12">
            <v>463.3179647</v>
          </cell>
          <cell r="AD12">
            <v>481.92952659999997</v>
          </cell>
          <cell r="AE12">
            <v>500.6637283</v>
          </cell>
          <cell r="AF12">
            <v>519.66736119999996</v>
          </cell>
          <cell r="AG12">
            <v>539.00466059999997</v>
          </cell>
          <cell r="AH12">
            <v>558.74824120000005</v>
          </cell>
          <cell r="AI12">
            <v>578.97704880000003</v>
          </cell>
          <cell r="AJ12">
            <v>599.77539579999996</v>
          </cell>
          <cell r="AK12">
            <v>621.23319179999999</v>
          </cell>
          <cell r="AL12">
            <v>643.44514049999998</v>
          </cell>
          <cell r="AM12">
            <v>666.51129330000003</v>
          </cell>
          <cell r="AN12">
            <v>690.53765150000004</v>
          </cell>
          <cell r="AO12">
            <v>715.63682449999999</v>
          </cell>
          <cell r="AP12">
            <v>741.88302910000004</v>
          </cell>
          <cell r="AQ12">
            <v>769.40517299999999</v>
          </cell>
          <cell r="AR12">
            <v>798.34052050000003</v>
          </cell>
          <cell r="AS12">
            <v>828.83671860000004</v>
          </cell>
          <cell r="AT12">
            <v>861.05241679999995</v>
          </cell>
          <cell r="AU12">
            <v>895.15865770000005</v>
          </cell>
          <cell r="AV12">
            <v>931.33763680000004</v>
          </cell>
          <cell r="AW12">
            <v>969.78362579999998</v>
          </cell>
          <cell r="AX12">
            <v>1010.7038700000001</v>
          </cell>
          <cell r="AY12">
            <v>1054.3195780000001</v>
          </cell>
          <cell r="AZ12">
            <v>1100.878113</v>
          </cell>
          <cell r="BA12">
            <v>1150.634515</v>
          </cell>
          <cell r="BB12">
            <v>1203.8602760000001</v>
          </cell>
          <cell r="BC12">
            <v>1260.845</v>
          </cell>
          <cell r="BD12">
            <v>1321.897929</v>
          </cell>
          <cell r="BE12">
            <v>270.4199448</v>
          </cell>
          <cell r="BF12">
            <v>237.33092400000001</v>
          </cell>
          <cell r="BG12">
            <v>200.5086518</v>
          </cell>
          <cell r="BH12">
            <v>159.6366142</v>
          </cell>
          <cell r="BI12">
            <v>114.3681741</v>
          </cell>
        </row>
        <row r="20">
          <cell r="F20">
            <v>1.9359999999999999</v>
          </cell>
          <cell r="G20">
            <v>1.989926342</v>
          </cell>
          <cell r="H20">
            <v>2.0529391449999999</v>
          </cell>
          <cell r="I20">
            <v>2.121064837</v>
          </cell>
          <cell r="J20">
            <v>2.1918145629999999</v>
          </cell>
          <cell r="K20">
            <v>2.2636868639999999</v>
          </cell>
          <cell r="L20">
            <v>2.3354603379999999</v>
          </cell>
          <cell r="M20">
            <v>2.4065946230000002</v>
          </cell>
          <cell r="N20">
            <v>2.4767576729999998</v>
          </cell>
          <cell r="O20">
            <v>2.5457413560000002</v>
          </cell>
          <cell r="P20">
            <v>2.6139682369999999</v>
          </cell>
          <cell r="Q20">
            <v>2.6807549960000001</v>
          </cell>
          <cell r="R20">
            <v>2.7460306120000002</v>
          </cell>
          <cell r="S20">
            <v>2.8097442930000001</v>
          </cell>
          <cell r="T20">
            <v>2.8718683999999999</v>
          </cell>
          <cell r="U20">
            <v>2.9323950060000001</v>
          </cell>
          <cell r="V20">
            <v>2.991315116</v>
          </cell>
          <cell r="W20">
            <v>3.0486395370000001</v>
          </cell>
          <cell r="X20">
            <v>3.104389496</v>
          </cell>
          <cell r="Y20">
            <v>3.1585923600000001</v>
          </cell>
          <cell r="Z20">
            <v>3.2108798169999999</v>
          </cell>
          <cell r="AA20">
            <v>3.261712224</v>
          </cell>
          <cell r="AB20">
            <v>3.311134639</v>
          </cell>
          <cell r="AC20">
            <v>3.3591984780000002</v>
          </cell>
          <cell r="AD20">
            <v>3.4059534789999999</v>
          </cell>
          <cell r="AE20">
            <v>3.450322211</v>
          </cell>
          <cell r="AF20">
            <v>3.4930257669999998</v>
          </cell>
          <cell r="AG20">
            <v>3.534162786</v>
          </cell>
          <cell r="AH20">
            <v>3.5738497809999998</v>
          </cell>
          <cell r="AI20">
            <v>3.6122047770000001</v>
          </cell>
          <cell r="AJ20">
            <v>3.6493390520000002</v>
          </cell>
          <cell r="AK20">
            <v>3.6853567219999999</v>
          </cell>
          <cell r="AL20">
            <v>3.7203484549999999</v>
          </cell>
          <cell r="AM20">
            <v>3.7543934870000002</v>
          </cell>
          <cell r="AN20">
            <v>3.7875614409999998</v>
          </cell>
          <cell r="AO20">
            <v>3.8199139550000001</v>
          </cell>
          <cell r="AP20">
            <v>3.8512811710000001</v>
          </cell>
          <cell r="AQ20">
            <v>3.8817390349999998</v>
          </cell>
          <cell r="AR20">
            <v>3.911355253</v>
          </cell>
          <cell r="AS20">
            <v>3.9401954099999998</v>
          </cell>
          <cell r="AT20">
            <v>3.9683217179999999</v>
          </cell>
          <cell r="AU20">
            <v>3.995794852</v>
          </cell>
          <cell r="AV20">
            <v>4.0226650429999999</v>
          </cell>
          <cell r="AW20">
            <v>4.0489729570000002</v>
          </cell>
          <cell r="AX20">
            <v>4.0747502310000003</v>
          </cell>
          <cell r="AY20">
            <v>4.1000201599999997</v>
          </cell>
          <cell r="AZ20">
            <v>4.124833647</v>
          </cell>
          <cell r="BA20">
            <v>4.1492031789999997</v>
          </cell>
          <cell r="BB20">
            <v>4.1731315059999998</v>
          </cell>
          <cell r="BC20">
            <v>4.196613986</v>
          </cell>
          <cell r="BD20">
            <v>4.2196399910000002</v>
          </cell>
          <cell r="BE20">
            <v>4.6286853649999999</v>
          </cell>
          <cell r="BF20">
            <v>4.6688759529999997</v>
          </cell>
          <cell r="BG20">
            <v>4.7093404809999999</v>
          </cell>
          <cell r="BH20">
            <v>4.7501298930000004</v>
          </cell>
          <cell r="BI20">
            <v>4.7912988260000002</v>
          </cell>
        </row>
        <row r="28">
          <cell r="F28">
            <v>32317.940999999999</v>
          </cell>
          <cell r="G28">
            <v>31939.281370000001</v>
          </cell>
          <cell r="H28">
            <v>31767.455880000001</v>
          </cell>
          <cell r="I28">
            <v>31736.000919999999</v>
          </cell>
          <cell r="J28">
            <v>31800.97495</v>
          </cell>
          <cell r="K28">
            <v>31933.821240000001</v>
          </cell>
          <cell r="L28">
            <v>32112.091710000001</v>
          </cell>
          <cell r="M28">
            <v>32323.605950000001</v>
          </cell>
          <cell r="N28">
            <v>32560.151430000002</v>
          </cell>
          <cell r="O28">
            <v>32815.996420000003</v>
          </cell>
          <cell r="P28">
            <v>33093.72565</v>
          </cell>
          <cell r="Q28">
            <v>33382.973189999997</v>
          </cell>
          <cell r="R28">
            <v>33680.999819999997</v>
          </cell>
          <cell r="S28">
            <v>33985.469550000002</v>
          </cell>
          <cell r="T28">
            <v>34294.477429999999</v>
          </cell>
          <cell r="U28">
            <v>34606.498870000003</v>
          </cell>
          <cell r="V28">
            <v>34920.321929999998</v>
          </cell>
          <cell r="W28">
            <v>35234.98373</v>
          </cell>
          <cell r="X28">
            <v>35549.718569999997</v>
          </cell>
          <cell r="Y28">
            <v>35863.918810000003</v>
          </cell>
          <cell r="Z28">
            <v>36172.23345</v>
          </cell>
          <cell r="AA28">
            <v>36479.502630000003</v>
          </cell>
          <cell r="AB28">
            <v>36785.560649999999</v>
          </cell>
          <cell r="AC28">
            <v>37090.35901</v>
          </cell>
          <cell r="AD28">
            <v>37393.860939999999</v>
          </cell>
          <cell r="AE28">
            <v>37682.300179999998</v>
          </cell>
          <cell r="AF28">
            <v>37963.857730000003</v>
          </cell>
          <cell r="AG28">
            <v>38239.223639999997</v>
          </cell>
          <cell r="AH28">
            <v>38509.34448</v>
          </cell>
          <cell r="AI28">
            <v>38775.19846</v>
          </cell>
          <cell r="AJ28">
            <v>39037.689019999998</v>
          </cell>
          <cell r="AK28">
            <v>39297.60138</v>
          </cell>
          <cell r="AL28">
            <v>39555.59562</v>
          </cell>
          <cell r="AM28">
            <v>39812.219230000002</v>
          </cell>
          <cell r="AN28">
            <v>40067.927439999999</v>
          </cell>
          <cell r="AO28">
            <v>40323.104209999998</v>
          </cell>
          <cell r="AP28">
            <v>40574.969539999998</v>
          </cell>
          <cell r="AQ28">
            <v>40824.0268</v>
          </cell>
          <cell r="AR28">
            <v>41070.813580000002</v>
          </cell>
          <cell r="AS28">
            <v>41315.9251</v>
          </cell>
          <cell r="AT28">
            <v>41559.975079999997</v>
          </cell>
          <cell r="AU28">
            <v>41803.551679999997</v>
          </cell>
          <cell r="AV28">
            <v>42047.185859999998</v>
          </cell>
          <cell r="AW28">
            <v>42291.335079999997</v>
          </cell>
          <cell r="AX28">
            <v>42536.379719999997</v>
          </cell>
          <cell r="AY28">
            <v>42782.628239999998</v>
          </cell>
          <cell r="AZ28">
            <v>43030.591079999998</v>
          </cell>
          <cell r="BA28">
            <v>43280.445979999997</v>
          </cell>
          <cell r="BB28">
            <v>43532.325429999997</v>
          </cell>
          <cell r="BC28">
            <v>43786.320939999998</v>
          </cell>
          <cell r="BD28">
            <v>44042.493300000002</v>
          </cell>
          <cell r="BE28">
            <v>45939.1077</v>
          </cell>
          <cell r="BF28">
            <v>46264.987730000001</v>
          </cell>
          <cell r="BG28">
            <v>46592.00649</v>
          </cell>
          <cell r="BH28">
            <v>46920.289089999998</v>
          </cell>
          <cell r="BI28">
            <v>47249.974520000003</v>
          </cell>
        </row>
        <row r="29">
          <cell r="F29">
            <v>32271.24</v>
          </cell>
          <cell r="G29">
            <v>31874.761320000001</v>
          </cell>
          <cell r="H29">
            <v>31684.176340000002</v>
          </cell>
          <cell r="I29">
            <v>31633.507590000001</v>
          </cell>
          <cell r="J29">
            <v>31679.119419999999</v>
          </cell>
          <cell r="K29">
            <v>31792.640299999999</v>
          </cell>
          <cell r="L29">
            <v>31951.767879999999</v>
          </cell>
          <cell r="M29">
            <v>32144.386190000001</v>
          </cell>
          <cell r="N29">
            <v>32362.319500000001</v>
          </cell>
          <cell r="O29">
            <v>32599.856250000001</v>
          </cell>
          <cell r="P29">
            <v>32859.527300000002</v>
          </cell>
          <cell r="Q29">
            <v>33131.036670000001</v>
          </cell>
          <cell r="R29">
            <v>33411.648289999997</v>
          </cell>
          <cell r="S29">
            <v>33699.027430000002</v>
          </cell>
          <cell r="T29">
            <v>33991.267699999997</v>
          </cell>
          <cell r="U29">
            <v>34286.840470000003</v>
          </cell>
          <cell r="V29">
            <v>34584.527479999997</v>
          </cell>
          <cell r="W29">
            <v>34883.357620000002</v>
          </cell>
          <cell r="X29">
            <v>35182.555229999998</v>
          </cell>
          <cell r="Y29">
            <v>35481.501300000004</v>
          </cell>
          <cell r="Z29">
            <v>35774.879959999998</v>
          </cell>
          <cell r="AA29">
            <v>36067.46789</v>
          </cell>
          <cell r="AB29">
            <v>36359.082419999999</v>
          </cell>
          <cell r="AC29">
            <v>36649.656450000002</v>
          </cell>
          <cell r="AD29">
            <v>36939.133880000001</v>
          </cell>
          <cell r="AE29">
            <v>37213.866650000004</v>
          </cell>
          <cell r="AF29">
            <v>37481.938439999998</v>
          </cell>
          <cell r="AG29">
            <v>37744.01225</v>
          </cell>
          <cell r="AH29">
            <v>38001.003340000003</v>
          </cell>
          <cell r="AI29">
            <v>38253.85656</v>
          </cell>
          <cell r="AJ29">
            <v>38503.441050000001</v>
          </cell>
          <cell r="AK29">
            <v>38750.5072</v>
          </cell>
          <cell r="AL29">
            <v>38995.679929999998</v>
          </cell>
          <cell r="AM29">
            <v>39239.471109999999</v>
          </cell>
          <cell r="AN29">
            <v>39482.299700000003</v>
          </cell>
          <cell r="AO29">
            <v>39724.512499999997</v>
          </cell>
          <cell r="AP29">
            <v>39963.32548</v>
          </cell>
          <cell r="AQ29">
            <v>40199.201959999999</v>
          </cell>
          <cell r="AR29">
            <v>40432.636839999999</v>
          </cell>
          <cell r="AS29">
            <v>40664.17942</v>
          </cell>
          <cell r="AT29">
            <v>40894.394439999996</v>
          </cell>
          <cell r="AU29">
            <v>41123.818299999999</v>
          </cell>
          <cell r="AV29">
            <v>41352.927530000001</v>
          </cell>
          <cell r="AW29">
            <v>41582.122450000003</v>
          </cell>
          <cell r="AX29">
            <v>41811.7235</v>
          </cell>
          <cell r="AY29">
            <v>42041.976029999998</v>
          </cell>
          <cell r="AZ29">
            <v>42273.320419999996</v>
          </cell>
          <cell r="BA29">
            <v>42505.86376</v>
          </cell>
          <cell r="BB29">
            <v>42739.663589999996</v>
          </cell>
          <cell r="BC29">
            <v>42974.731599999999</v>
          </cell>
          <cell r="BD29">
            <v>43211.043579999998</v>
          </cell>
          <cell r="BE29">
            <v>45601.084470000002</v>
          </cell>
          <cell r="BF29">
            <v>45952.474289999998</v>
          </cell>
          <cell r="BG29">
            <v>46307.97365</v>
          </cell>
          <cell r="BH29">
            <v>46667.953820000002</v>
          </cell>
          <cell r="BI29">
            <v>47032.82314</v>
          </cell>
        </row>
        <row r="37">
          <cell r="F37">
            <v>44.765000000000001</v>
          </cell>
          <cell r="G37">
            <v>62.527370980000001</v>
          </cell>
          <cell r="H37">
            <v>81.219025630000004</v>
          </cell>
          <cell r="I37">
            <v>100.3587052</v>
          </cell>
          <cell r="J37">
            <v>119.64367470000001</v>
          </cell>
          <cell r="K37">
            <v>138.89067969999999</v>
          </cell>
          <cell r="L37">
            <v>157.95549109999999</v>
          </cell>
          <cell r="M37">
            <v>176.77435120000001</v>
          </cell>
          <cell r="N37">
            <v>195.31090409999999</v>
          </cell>
          <cell r="O37">
            <v>213.54517619999999</v>
          </cell>
          <cell r="P37">
            <v>231.5305907</v>
          </cell>
          <cell r="Q37">
            <v>249.1978628</v>
          </cell>
          <cell r="R37">
            <v>266.5438633</v>
          </cell>
          <cell r="S37">
            <v>283.56735700000002</v>
          </cell>
          <cell r="T37">
            <v>300.26977579999999</v>
          </cell>
          <cell r="U37">
            <v>316.6551351</v>
          </cell>
          <cell r="V37">
            <v>332.729714</v>
          </cell>
          <cell r="W37">
            <v>348.50171940000001</v>
          </cell>
          <cell r="X37">
            <v>363.98101880000002</v>
          </cell>
          <cell r="Y37">
            <v>379.17895659999999</v>
          </cell>
          <cell r="Z37">
            <v>394.06073880000002</v>
          </cell>
          <cell r="AA37">
            <v>408.68932030000002</v>
          </cell>
          <cell r="AB37">
            <v>423.08158709999998</v>
          </cell>
          <cell r="AC37">
            <v>437.25609639999999</v>
          </cell>
          <cell r="AD37">
            <v>451.23207680000002</v>
          </cell>
          <cell r="AE37">
            <v>464.89240619999998</v>
          </cell>
          <cell r="AF37">
            <v>478.33366919999997</v>
          </cell>
          <cell r="AG37">
            <v>491.58280869999999</v>
          </cell>
          <cell r="AH37">
            <v>504.67099719999999</v>
          </cell>
          <cell r="AI37">
            <v>517.63145340000005</v>
          </cell>
          <cell r="AJ37">
            <v>530.49837190000005</v>
          </cell>
          <cell r="AK37">
            <v>543.30644689999997</v>
          </cell>
          <cell r="AL37">
            <v>556.09074899999996</v>
          </cell>
          <cell r="AM37">
            <v>568.88681129999998</v>
          </cell>
          <cell r="AN37">
            <v>581.73082420000003</v>
          </cell>
          <cell r="AO37">
            <v>594.65987849999999</v>
          </cell>
          <cell r="AP37">
            <v>607.67820749999998</v>
          </cell>
          <cell r="AQ37">
            <v>620.8257638</v>
          </cell>
          <cell r="AR37">
            <v>634.14518090000001</v>
          </cell>
          <cell r="AS37">
            <v>647.68230389999997</v>
          </cell>
          <cell r="AT37">
            <v>661.48602819999996</v>
          </cell>
          <cell r="AU37">
            <v>675.6080528</v>
          </cell>
          <cell r="AV37">
            <v>690.10274370000002</v>
          </cell>
          <cell r="AW37">
            <v>705.02715569999998</v>
          </cell>
          <cell r="AX37">
            <v>720.44120050000004</v>
          </cell>
          <cell r="AY37">
            <v>736.40793440000004</v>
          </cell>
          <cell r="AZ37">
            <v>752.99736380000002</v>
          </cell>
          <cell r="BA37">
            <v>770.28008720000003</v>
          </cell>
          <cell r="BB37">
            <v>788.33107399999994</v>
          </cell>
          <cell r="BC37">
            <v>807.23007240000004</v>
          </cell>
          <cell r="BD37">
            <v>827.0621046</v>
          </cell>
          <cell r="BE37">
            <v>333.40671650000002</v>
          </cell>
          <cell r="BF37">
            <v>307.85780840000001</v>
          </cell>
          <cell r="BG37">
            <v>279.3378955</v>
          </cell>
          <cell r="BH37">
            <v>247.6007549</v>
          </cell>
          <cell r="BI37">
            <v>212.3770069</v>
          </cell>
        </row>
        <row r="45">
          <cell r="F45">
            <v>1.9359999999999999</v>
          </cell>
          <cell r="G45">
            <v>1.992675011</v>
          </cell>
          <cell r="H45">
            <v>2.060513061</v>
          </cell>
          <cell r="I45">
            <v>2.1346197249999999</v>
          </cell>
          <cell r="J45">
            <v>2.2118520859999999</v>
          </cell>
          <cell r="K45">
            <v>2.2902607330000002</v>
          </cell>
          <cell r="L45">
            <v>2.3683424839999998</v>
          </cell>
          <cell r="M45">
            <v>2.4453980629999998</v>
          </cell>
          <cell r="N45">
            <v>2.5210237090000001</v>
          </cell>
          <cell r="O45">
            <v>2.5949944669999998</v>
          </cell>
          <cell r="P45">
            <v>2.6677545500000002</v>
          </cell>
          <cell r="Q45">
            <v>2.738659358</v>
          </cell>
          <cell r="R45">
            <v>2.8076723860000001</v>
          </cell>
          <cell r="S45">
            <v>2.8747752329999998</v>
          </cell>
          <cell r="T45">
            <v>2.9399713740000002</v>
          </cell>
          <cell r="U45">
            <v>3.0032833370000001</v>
          </cell>
          <cell r="V45">
            <v>3.064748324</v>
          </cell>
          <cell r="W45">
            <v>3.1244140090000001</v>
          </cell>
          <cell r="X45">
            <v>3.182335159</v>
          </cell>
          <cell r="Y45">
            <v>3.2385712039999999</v>
          </cell>
          <cell r="Z45">
            <v>3.2927792280000001</v>
          </cell>
          <cell r="AA45">
            <v>3.3454508779999999</v>
          </cell>
          <cell r="AB45">
            <v>3.3966616620000001</v>
          </cell>
          <cell r="AC45">
            <v>3.4464908809999999</v>
          </cell>
          <cell r="AD45">
            <v>3.495013368</v>
          </cell>
          <cell r="AE45">
            <v>3.5411570380000001</v>
          </cell>
          <cell r="AF45">
            <v>3.585653287</v>
          </cell>
          <cell r="AG45">
            <v>3.6286172290000001</v>
          </cell>
          <cell r="AH45">
            <v>3.670182311</v>
          </cell>
          <cell r="AI45">
            <v>3.7104821129999999</v>
          </cell>
          <cell r="AJ45">
            <v>3.7496416739999998</v>
          </cell>
          <cell r="AK45">
            <v>3.7877739350000001</v>
          </cell>
          <cell r="AL45">
            <v>3.824979135</v>
          </cell>
          <cell r="AM45">
            <v>3.8613458399999998</v>
          </cell>
          <cell r="AN45">
            <v>3.8969526210000001</v>
          </cell>
          <cell r="AO45">
            <v>3.9318698150000002</v>
          </cell>
          <cell r="AP45">
            <v>3.9659026050000001</v>
          </cell>
          <cell r="AQ45">
            <v>3.9991229640000001</v>
          </cell>
          <cell r="AR45">
            <v>4.0316040490000002</v>
          </cell>
          <cell r="AS45">
            <v>4.063422246</v>
          </cell>
          <cell r="AT45">
            <v>4.0946540599999999</v>
          </cell>
          <cell r="AU45">
            <v>4.1253725240000003</v>
          </cell>
          <cell r="AV45">
            <v>4.155644584</v>
          </cell>
          <cell r="AW45">
            <v>4.1855297140000003</v>
          </cell>
          <cell r="AX45">
            <v>4.2150795780000001</v>
          </cell>
          <cell r="AY45">
            <v>4.244338398</v>
          </cell>
          <cell r="AZ45">
            <v>4.2733656189999998</v>
          </cell>
          <cell r="BA45">
            <v>4.3021918530000001</v>
          </cell>
          <cell r="BB45">
            <v>4.3308423310000004</v>
          </cell>
          <cell r="BC45">
            <v>4.3593372380000002</v>
          </cell>
          <cell r="BD45">
            <v>4.3876925529999999</v>
          </cell>
          <cell r="BE45">
            <v>4.6165073259999998</v>
          </cell>
          <cell r="BF45">
            <v>4.6556279380000003</v>
          </cell>
          <cell r="BG45">
            <v>4.6949460810000003</v>
          </cell>
          <cell r="BH45">
            <v>4.7345074699999996</v>
          </cell>
          <cell r="BI45">
            <v>4.7743605000000002</v>
          </cell>
        </row>
        <row r="104">
          <cell r="F104">
            <v>3.476542051</v>
          </cell>
          <cell r="G104">
            <v>6.3451275340000004</v>
          </cell>
          <cell r="H104">
            <v>9.5842776010000001</v>
          </cell>
          <cell r="I104">
            <v>12.779686549999999</v>
          </cell>
          <cell r="J104">
            <v>15.68033726</v>
          </cell>
          <cell r="K104">
            <v>18.113468430000001</v>
          </cell>
          <cell r="L104">
            <v>19.743126</v>
          </cell>
          <cell r="M104">
            <v>23.68215665</v>
          </cell>
          <cell r="N104">
            <v>28.251945030000002</v>
          </cell>
          <cell r="O104">
            <v>32.995377130000001</v>
          </cell>
          <cell r="P104">
            <v>37.826405960000002</v>
          </cell>
          <cell r="Q104">
            <v>42.629478659999997</v>
          </cell>
          <cell r="R104">
            <v>47.433909030000002</v>
          </cell>
          <cell r="S104">
            <v>52.236600719999998</v>
          </cell>
          <cell r="T104">
            <v>57.0366839</v>
          </cell>
          <cell r="U104">
            <v>61.833955070000002</v>
          </cell>
          <cell r="V104">
            <v>66.628389940000005</v>
          </cell>
          <cell r="W104">
            <v>71.419995029999995</v>
          </cell>
          <cell r="X104">
            <v>76.208755999999994</v>
          </cell>
          <cell r="Y104">
            <v>80.994622739999997</v>
          </cell>
          <cell r="Z104">
            <v>85.751096669999995</v>
          </cell>
          <cell r="AA104">
            <v>90.530861999999999</v>
          </cell>
          <cell r="AB104">
            <v>95.307441999999995</v>
          </cell>
          <cell r="AC104">
            <v>100.08067819999999</v>
          </cell>
          <cell r="AD104">
            <v>104.85039519999999</v>
          </cell>
          <cell r="AE104">
            <v>109.54430670000001</v>
          </cell>
          <cell r="AF104">
            <v>114.2724879</v>
          </cell>
          <cell r="AG104">
            <v>118.99660660000001</v>
          </cell>
          <cell r="AH104">
            <v>123.7165301</v>
          </cell>
          <cell r="AI104">
            <v>128.4321099</v>
          </cell>
          <cell r="AJ104">
            <v>133.14318739999999</v>
          </cell>
          <cell r="AK104">
            <v>137.84960340000001</v>
          </cell>
          <cell r="AL104">
            <v>142.55120489999999</v>
          </cell>
          <cell r="AM104">
            <v>147.24785019999999</v>
          </cell>
          <cell r="AN104">
            <v>151.9394092</v>
          </cell>
          <cell r="AO104">
            <v>156.62576250000001</v>
          </cell>
          <cell r="AP104">
            <v>161.29140409999999</v>
          </cell>
          <cell r="AQ104">
            <v>165.95157589999999</v>
          </cell>
          <cell r="AR104">
            <v>170.6061747</v>
          </cell>
          <cell r="AS104">
            <v>175.2550827</v>
          </cell>
          <cell r="AT104">
            <v>179.8981363</v>
          </cell>
          <cell r="AU104">
            <v>184.53503599999999</v>
          </cell>
          <cell r="AV104">
            <v>189.16494130000001</v>
          </cell>
          <cell r="AW104">
            <v>193.7804807</v>
          </cell>
          <cell r="AX104">
            <v>198.39617670000001</v>
          </cell>
          <cell r="AY104">
            <v>203.00911389999999</v>
          </cell>
          <cell r="AZ104">
            <v>207.61896379999999</v>
          </cell>
          <cell r="BA104">
            <v>212.22366210000001</v>
          </cell>
          <cell r="BB104">
            <v>216.82276250000001</v>
          </cell>
          <cell r="BC104">
            <v>221.41601230000001</v>
          </cell>
          <cell r="BD104">
            <v>226.0032563</v>
          </cell>
          <cell r="BE104">
            <v>22.97561808</v>
          </cell>
          <cell r="BF104">
            <v>23.049233709999999</v>
          </cell>
          <cell r="BG104">
            <v>23.122476450000001</v>
          </cell>
          <cell r="BH104">
            <v>23.195350779999998</v>
          </cell>
          <cell r="BI104">
            <v>23.267860880000001</v>
          </cell>
        </row>
        <row r="105">
          <cell r="F105">
            <v>68.80476281</v>
          </cell>
          <cell r="G105">
            <v>76.41206244</v>
          </cell>
          <cell r="H105">
            <v>83.885999749999996</v>
          </cell>
          <cell r="I105">
            <v>91.027650829999999</v>
          </cell>
          <cell r="J105">
            <v>98.253095419999994</v>
          </cell>
          <cell r="K105">
            <v>106.01400529999999</v>
          </cell>
          <cell r="L105">
            <v>112.8109145</v>
          </cell>
          <cell r="M105">
            <v>117.1257421</v>
          </cell>
          <cell r="N105">
            <v>120.4876227</v>
          </cell>
          <cell r="O105">
            <v>123.45754700000001</v>
          </cell>
          <cell r="P105">
            <v>127.2933152</v>
          </cell>
          <cell r="Q105">
            <v>130.0158993</v>
          </cell>
          <cell r="R105">
            <v>132.70271640000001</v>
          </cell>
          <cell r="S105">
            <v>135.3740531</v>
          </cell>
          <cell r="T105">
            <v>138.0398175</v>
          </cell>
          <cell r="U105">
            <v>140.70493070000001</v>
          </cell>
          <cell r="V105">
            <v>143.37186729999999</v>
          </cell>
          <cell r="W105">
            <v>146.04188590000001</v>
          </cell>
          <cell r="X105">
            <v>148.71563269999999</v>
          </cell>
          <cell r="Y105">
            <v>151.39344220000001</v>
          </cell>
          <cell r="Z105">
            <v>153.3884137</v>
          </cell>
          <cell r="AA105">
            <v>156.0726631</v>
          </cell>
          <cell r="AB105">
            <v>158.76129829999999</v>
          </cell>
          <cell r="AC105">
            <v>161.4543472</v>
          </cell>
          <cell r="AD105">
            <v>164.15182820000001</v>
          </cell>
          <cell r="AE105">
            <v>164.978218</v>
          </cell>
          <cell r="AF105">
            <v>166.7979699</v>
          </cell>
          <cell r="AG105">
            <v>168.6176011</v>
          </cell>
          <cell r="AH105">
            <v>170.43713070000001</v>
          </cell>
          <cell r="AI105">
            <v>172.25657820000001</v>
          </cell>
          <cell r="AJ105">
            <v>174.0759639</v>
          </cell>
          <cell r="AK105">
            <v>175.89530909999999</v>
          </cell>
          <cell r="AL105">
            <v>177.7146372</v>
          </cell>
          <cell r="AM105">
            <v>179.53397530000001</v>
          </cell>
          <cell r="AN105">
            <v>181.35335649999999</v>
          </cell>
          <cell r="AO105">
            <v>183.17282019999999</v>
          </cell>
          <cell r="AP105">
            <v>184.59211759999999</v>
          </cell>
          <cell r="AQ105">
            <v>186.01022699999999</v>
          </cell>
          <cell r="AR105">
            <v>187.42721689999999</v>
          </cell>
          <cell r="AS105">
            <v>188.84317100000001</v>
          </cell>
          <cell r="AT105">
            <v>190.2582012</v>
          </cell>
          <cell r="AU105">
            <v>191.67248979999999</v>
          </cell>
          <cell r="AV105">
            <v>193.08649589999999</v>
          </cell>
          <cell r="AW105">
            <v>194.50404309999999</v>
          </cell>
          <cell r="AX105">
            <v>195.91770740000001</v>
          </cell>
          <cell r="AY105">
            <v>197.32895740000001</v>
          </cell>
          <cell r="AZ105">
            <v>198.77086610000001</v>
          </cell>
          <cell r="BA105">
            <v>200.2116982</v>
          </cell>
          <cell r="BB105">
            <v>201.6516929</v>
          </cell>
          <cell r="BC105">
            <v>203.0909887</v>
          </cell>
          <cell r="BD105">
            <v>204.529673</v>
          </cell>
          <cell r="BE105">
            <v>476.70896579999999</v>
          </cell>
          <cell r="BF105">
            <v>481.95657119999998</v>
          </cell>
          <cell r="BG105">
            <v>487.1573343</v>
          </cell>
          <cell r="BH105">
            <v>492.3115464</v>
          </cell>
          <cell r="BI105">
            <v>497.41941509999998</v>
          </cell>
        </row>
        <row r="106">
          <cell r="F106">
            <v>408.28039699999999</v>
          </cell>
          <cell r="G106">
            <v>424.35277919999999</v>
          </cell>
          <cell r="H106">
            <v>441.09975539999999</v>
          </cell>
          <cell r="I106">
            <v>457.4155748</v>
          </cell>
          <cell r="J106">
            <v>474.03083429999998</v>
          </cell>
          <cell r="K106">
            <v>491.7817991</v>
          </cell>
          <cell r="L106">
            <v>504.93077929999998</v>
          </cell>
          <cell r="M106">
            <v>514.65934419999996</v>
          </cell>
          <cell r="N106">
            <v>523.07314729999996</v>
          </cell>
          <cell r="O106">
            <v>530.9513958</v>
          </cell>
          <cell r="P106">
            <v>541.51330329999996</v>
          </cell>
          <cell r="Q106">
            <v>549.06884430000002</v>
          </cell>
          <cell r="R106">
            <v>556.58140390000005</v>
          </cell>
          <cell r="S106">
            <v>564.07873129999996</v>
          </cell>
          <cell r="T106">
            <v>571.57439509999995</v>
          </cell>
          <cell r="U106">
            <v>579.0751712</v>
          </cell>
          <cell r="V106">
            <v>586.58450400000004</v>
          </cell>
          <cell r="W106">
            <v>594.10417399999994</v>
          </cell>
          <cell r="X106">
            <v>601.63511459999995</v>
          </cell>
          <cell r="Y106">
            <v>609.17782060000002</v>
          </cell>
          <cell r="Z106">
            <v>614.80345869999996</v>
          </cell>
          <cell r="AA106">
            <v>622.36413270000003</v>
          </cell>
          <cell r="AB106">
            <v>629.93706959999997</v>
          </cell>
          <cell r="AC106">
            <v>637.52231740000002</v>
          </cell>
          <cell r="AD106">
            <v>645.11991369999998</v>
          </cell>
          <cell r="AE106">
            <v>647.46395810000001</v>
          </cell>
          <cell r="AF106">
            <v>652.59623859999999</v>
          </cell>
          <cell r="AG106">
            <v>657.72771620000003</v>
          </cell>
          <cell r="AH106">
            <v>662.85843020000004</v>
          </cell>
          <cell r="AI106">
            <v>667.988426</v>
          </cell>
          <cell r="AJ106">
            <v>673.11775850000004</v>
          </cell>
          <cell r="AK106">
            <v>678.24649250000004</v>
          </cell>
          <cell r="AL106">
            <v>683.37470570000005</v>
          </cell>
          <cell r="AM106">
            <v>688.50249040000006</v>
          </cell>
          <cell r="AN106">
            <v>693.62995520000004</v>
          </cell>
          <cell r="AO106">
            <v>698.7572242</v>
          </cell>
          <cell r="AP106">
            <v>702.76052719999996</v>
          </cell>
          <cell r="AQ106">
            <v>706.75991429999999</v>
          </cell>
          <cell r="AR106">
            <v>710.75554990000001</v>
          </cell>
          <cell r="AS106">
            <v>714.74761509999996</v>
          </cell>
          <cell r="AT106">
            <v>718.73631669999997</v>
          </cell>
          <cell r="AU106">
            <v>722.72192770000004</v>
          </cell>
          <cell r="AV106">
            <v>726.70498799999996</v>
          </cell>
          <cell r="AW106">
            <v>730.68931959999998</v>
          </cell>
          <cell r="AX106">
            <v>734.66775459999997</v>
          </cell>
          <cell r="AY106">
            <v>738.64180829999998</v>
          </cell>
          <cell r="AZ106">
            <v>742.70293519999996</v>
          </cell>
          <cell r="BA106">
            <v>746.76132229999996</v>
          </cell>
          <cell r="BB106">
            <v>750.81727430000001</v>
          </cell>
          <cell r="BC106">
            <v>754.87099579999995</v>
          </cell>
          <cell r="BD106">
            <v>758.92263860000003</v>
          </cell>
          <cell r="BE106">
            <v>1081.1689630000001</v>
          </cell>
          <cell r="BF106">
            <v>1090.184426</v>
          </cell>
          <cell r="BG106">
            <v>1099.142771</v>
          </cell>
          <cell r="BH106">
            <v>1108.044478</v>
          </cell>
          <cell r="BI106">
            <v>1116.890073</v>
          </cell>
        </row>
        <row r="107">
          <cell r="F107">
            <v>954.38155940000001</v>
          </cell>
          <cell r="G107">
            <v>948.73785129999999</v>
          </cell>
          <cell r="H107">
            <v>944.12706630000002</v>
          </cell>
          <cell r="I107">
            <v>939.95266619999995</v>
          </cell>
          <cell r="J107">
            <v>935.65342269999996</v>
          </cell>
          <cell r="K107">
            <v>930.59731369999997</v>
          </cell>
          <cell r="L107">
            <v>927.6545304</v>
          </cell>
          <cell r="M107">
            <v>926.73878239999999</v>
          </cell>
          <cell r="N107">
            <v>926.47858689999998</v>
          </cell>
          <cell r="O107">
            <v>926.40606360000004</v>
          </cell>
          <cell r="P107">
            <v>926.37021040000002</v>
          </cell>
          <cell r="Q107">
            <v>926.32373089999999</v>
          </cell>
          <cell r="R107">
            <v>926.25251709999998</v>
          </cell>
          <cell r="S107">
            <v>926.15392210000005</v>
          </cell>
          <cell r="T107">
            <v>926.02867370000001</v>
          </cell>
          <cell r="U107">
            <v>925.87828839999997</v>
          </cell>
          <cell r="V107">
            <v>925.70423219999998</v>
          </cell>
          <cell r="W107">
            <v>925.5077192</v>
          </cell>
          <cell r="X107">
            <v>925.28964759999997</v>
          </cell>
          <cell r="Y107">
            <v>925.05058959999997</v>
          </cell>
          <cell r="Z107">
            <v>924.79090329999997</v>
          </cell>
          <cell r="AA107">
            <v>924.51053230000002</v>
          </cell>
          <cell r="AB107">
            <v>924.2096636</v>
          </cell>
          <cell r="AC107">
            <v>923.88801149999995</v>
          </cell>
          <cell r="AD107">
            <v>923.54517499999997</v>
          </cell>
          <cell r="AE107">
            <v>923.18088620000003</v>
          </cell>
          <cell r="AF107">
            <v>922.79444779999994</v>
          </cell>
          <cell r="AG107">
            <v>922.38618540000004</v>
          </cell>
          <cell r="AH107">
            <v>921.95592020000004</v>
          </cell>
          <cell r="AI107">
            <v>921.50339039999994</v>
          </cell>
          <cell r="AJ107">
            <v>921.02831149999997</v>
          </cell>
          <cell r="AK107">
            <v>920.5304304</v>
          </cell>
          <cell r="AL107">
            <v>920.00956429999997</v>
          </cell>
          <cell r="AM107">
            <v>919.4656268</v>
          </cell>
          <cell r="AN107">
            <v>918.89864060000002</v>
          </cell>
          <cell r="AO107">
            <v>918.30873550000001</v>
          </cell>
          <cell r="AP107">
            <v>917.69615669999996</v>
          </cell>
          <cell r="AQ107">
            <v>917.06112129999997</v>
          </cell>
          <cell r="AR107">
            <v>916.40408239999999</v>
          </cell>
          <cell r="AS107">
            <v>915.7255371</v>
          </cell>
          <cell r="AT107">
            <v>915.02599699999996</v>
          </cell>
          <cell r="AU107">
            <v>914.30596439999999</v>
          </cell>
          <cell r="AV107">
            <v>913.56591130000004</v>
          </cell>
          <cell r="AW107">
            <v>912.80616469999995</v>
          </cell>
          <cell r="AX107">
            <v>912.02736789999994</v>
          </cell>
          <cell r="AY107">
            <v>911.23000009999998</v>
          </cell>
          <cell r="AZ107">
            <v>910.41446659999997</v>
          </cell>
          <cell r="BA107">
            <v>909.58114290000003</v>
          </cell>
          <cell r="BB107">
            <v>908.73037720000002</v>
          </cell>
          <cell r="BC107">
            <v>907.86251449999997</v>
          </cell>
          <cell r="BD107">
            <v>906.97789720000003</v>
          </cell>
          <cell r="BE107">
            <v>524.96822689999999</v>
          </cell>
          <cell r="BF107">
            <v>519.65419159999999</v>
          </cell>
          <cell r="BG107">
            <v>514.41976720000002</v>
          </cell>
          <cell r="BH107">
            <v>509.26440919999999</v>
          </cell>
          <cell r="BI107">
            <v>504.18760109999999</v>
          </cell>
        </row>
        <row r="108">
          <cell r="F108">
            <v>878.79999729999997</v>
          </cell>
          <cell r="G108">
            <v>868.20469969999999</v>
          </cell>
          <cell r="H108">
            <v>858.15598309999996</v>
          </cell>
          <cell r="I108">
            <v>848.48270349999996</v>
          </cell>
          <cell r="J108">
            <v>838.84516359999998</v>
          </cell>
          <cell r="K108">
            <v>828.75951320000001</v>
          </cell>
          <cell r="L108">
            <v>820.52994690000003</v>
          </cell>
          <cell r="M108">
            <v>813.85439199999996</v>
          </cell>
          <cell r="N108">
            <v>808.15353990000006</v>
          </cell>
          <cell r="O108">
            <v>803.01716499999998</v>
          </cell>
          <cell r="P108">
            <v>798.20154769999999</v>
          </cell>
          <cell r="Q108">
            <v>793.57071580000002</v>
          </cell>
          <cell r="R108">
            <v>789.0495985</v>
          </cell>
          <cell r="S108">
            <v>784.59762679999994</v>
          </cell>
          <cell r="T108">
            <v>780.19273320000002</v>
          </cell>
          <cell r="U108">
            <v>775.82282139999995</v>
          </cell>
          <cell r="V108">
            <v>771.48117630000002</v>
          </cell>
          <cell r="W108">
            <v>767.16396259999999</v>
          </cell>
          <cell r="X108">
            <v>762.86894729999995</v>
          </cell>
          <cell r="Y108">
            <v>758.59484980000002</v>
          </cell>
          <cell r="Z108">
            <v>754.34091650000005</v>
          </cell>
          <cell r="AA108">
            <v>750.10642689999997</v>
          </cell>
          <cell r="AB108">
            <v>745.89153950000002</v>
          </cell>
          <cell r="AC108">
            <v>741.69641390000004</v>
          </cell>
          <cell r="AD108">
            <v>737.52137570000002</v>
          </cell>
          <cell r="AE108">
            <v>733.36667799999998</v>
          </cell>
          <cell r="AF108">
            <v>729.23158799999999</v>
          </cell>
          <cell r="AG108">
            <v>725.11655280000002</v>
          </cell>
          <cell r="AH108">
            <v>721.02178040000001</v>
          </cell>
          <cell r="AI108">
            <v>716.94760459999998</v>
          </cell>
          <cell r="AJ108">
            <v>712.89442980000001</v>
          </cell>
          <cell r="AK108">
            <v>708.86266790000002</v>
          </cell>
          <cell r="AL108">
            <v>704.85269730000005</v>
          </cell>
          <cell r="AM108">
            <v>700.86483150000004</v>
          </cell>
          <cell r="AN108">
            <v>696.89930059999995</v>
          </cell>
          <cell r="AO108">
            <v>692.9562459</v>
          </cell>
          <cell r="AP108">
            <v>689.0357047</v>
          </cell>
          <cell r="AQ108">
            <v>685.13743969999996</v>
          </cell>
          <cell r="AR108">
            <v>681.26128219999998</v>
          </cell>
          <cell r="AS108">
            <v>677.40700979999997</v>
          </cell>
          <cell r="AT108">
            <v>673.5743741</v>
          </cell>
          <cell r="AU108">
            <v>669.76312129999997</v>
          </cell>
          <cell r="AV108">
            <v>665.9730055</v>
          </cell>
          <cell r="AW108">
            <v>662.20379100000002</v>
          </cell>
          <cell r="AX108">
            <v>658.45525080000004</v>
          </cell>
          <cell r="AY108">
            <v>654.72716579999997</v>
          </cell>
          <cell r="AZ108">
            <v>651.01933180000003</v>
          </cell>
          <cell r="BA108">
            <v>647.33158160000005</v>
          </cell>
          <cell r="BB108">
            <v>643.66374619999999</v>
          </cell>
          <cell r="BC108">
            <v>640.01565689999995</v>
          </cell>
          <cell r="BD108">
            <v>636.38714230000005</v>
          </cell>
          <cell r="BE108">
            <v>630.2942673</v>
          </cell>
          <cell r="BF108">
            <v>626.75182099999995</v>
          </cell>
          <cell r="BG108">
            <v>623.22951149999994</v>
          </cell>
          <cell r="BH108">
            <v>619.72726850000004</v>
          </cell>
          <cell r="BI108">
            <v>616.24502619999998</v>
          </cell>
        </row>
        <row r="109">
          <cell r="F109">
            <v>139.85209269999999</v>
          </cell>
          <cell r="G109">
            <v>137.95012790000001</v>
          </cell>
          <cell r="H109">
            <v>136.07585399999999</v>
          </cell>
          <cell r="I109">
            <v>134.2374533</v>
          </cell>
          <cell r="J109">
            <v>132.44026270000001</v>
          </cell>
          <cell r="K109">
            <v>130.68535900000001</v>
          </cell>
          <cell r="L109">
            <v>128.97032540000001</v>
          </cell>
          <cell r="M109">
            <v>127.29099100000001</v>
          </cell>
          <cell r="N109">
            <v>125.64262119999999</v>
          </cell>
          <cell r="O109">
            <v>124.0208282</v>
          </cell>
          <cell r="P109">
            <v>122.42210679999999</v>
          </cell>
          <cell r="Q109">
            <v>120.8439111</v>
          </cell>
          <cell r="R109">
            <v>119.2843142</v>
          </cell>
          <cell r="S109">
            <v>117.74190780000001</v>
          </cell>
          <cell r="T109">
            <v>116.21570560000001</v>
          </cell>
          <cell r="U109">
            <v>114.7050462</v>
          </cell>
          <cell r="V109">
            <v>113.20951599999999</v>
          </cell>
          <cell r="W109">
            <v>111.72890630000001</v>
          </cell>
          <cell r="X109">
            <v>110.2631892</v>
          </cell>
          <cell r="Y109">
            <v>108.81248600000001</v>
          </cell>
          <cell r="Z109">
            <v>107.3769977</v>
          </cell>
          <cell r="AA109">
            <v>105.95698280000001</v>
          </cell>
          <cell r="AB109">
            <v>104.5527948</v>
          </cell>
          <cell r="AC109">
            <v>103.1648172</v>
          </cell>
          <cell r="AD109">
            <v>101.7934181</v>
          </cell>
          <cell r="AE109">
            <v>100.4388458</v>
          </cell>
          <cell r="AF109">
            <v>99.101222590000006</v>
          </cell>
          <cell r="AG109">
            <v>97.780694659999995</v>
          </cell>
          <cell r="AH109">
            <v>96.477404399999998</v>
          </cell>
          <cell r="AI109">
            <v>95.191459550000005</v>
          </cell>
          <cell r="AJ109">
            <v>93.922919039999996</v>
          </cell>
          <cell r="AK109">
            <v>92.671791740000003</v>
          </cell>
          <cell r="AL109">
            <v>91.438028259999996</v>
          </cell>
          <cell r="AM109">
            <v>90.22151728</v>
          </cell>
          <cell r="AN109">
            <v>89.022087880000001</v>
          </cell>
          <cell r="AO109">
            <v>87.839517479999998</v>
          </cell>
          <cell r="AP109">
            <v>86.6735355</v>
          </cell>
          <cell r="AQ109">
            <v>85.523826760000006</v>
          </cell>
          <cell r="AR109">
            <v>84.390049919999996</v>
          </cell>
          <cell r="AS109">
            <v>83.271852710000005</v>
          </cell>
          <cell r="AT109">
            <v>82.168884410000004</v>
          </cell>
          <cell r="AU109">
            <v>81.080805560000002</v>
          </cell>
          <cell r="AV109">
            <v>80.007293099999998</v>
          </cell>
          <cell r="AW109">
            <v>78.948040629999994</v>
          </cell>
          <cell r="AX109">
            <v>77.902758009999999</v>
          </cell>
          <cell r="AY109">
            <v>76.871170919999997</v>
          </cell>
          <cell r="AZ109">
            <v>75.853023339999993</v>
          </cell>
          <cell r="BA109">
            <v>74.848076969999994</v>
          </cell>
          <cell r="BB109">
            <v>73.856103790000006</v>
          </cell>
          <cell r="BC109">
            <v>72.876884200000006</v>
          </cell>
          <cell r="BD109">
            <v>71.910208670000003</v>
          </cell>
          <cell r="BE109">
            <v>73.136080030000002</v>
          </cell>
          <cell r="BF109">
            <v>72.266466910000005</v>
          </cell>
          <cell r="BG109">
            <v>71.408305409999997</v>
          </cell>
          <cell r="BH109">
            <v>70.561469470000006</v>
          </cell>
          <cell r="BI109">
            <v>69.725838089999996</v>
          </cell>
        </row>
        <row r="110">
          <cell r="F110">
            <v>3.874567114</v>
          </cell>
          <cell r="G110">
            <v>3.7237254019999999</v>
          </cell>
          <cell r="H110">
            <v>3.579170661</v>
          </cell>
          <cell r="I110">
            <v>3.4412495000000001</v>
          </cell>
          <cell r="J110">
            <v>3.310097608</v>
          </cell>
          <cell r="K110">
            <v>3.1855412909999998</v>
          </cell>
          <cell r="L110">
            <v>3.067167253</v>
          </cell>
          <cell r="M110">
            <v>2.9544403620000002</v>
          </cell>
          <cell r="N110">
            <v>2.8468144839999998</v>
          </cell>
          <cell r="O110">
            <v>2.7437993189999998</v>
          </cell>
          <cell r="P110">
            <v>2.6449924679999999</v>
          </cell>
          <cell r="Q110">
            <v>2.5500771919999998</v>
          </cell>
          <cell r="R110">
            <v>2.4587933940000002</v>
          </cell>
          <cell r="S110">
            <v>2.3709267779999998</v>
          </cell>
          <cell r="T110">
            <v>2.2862993540000001</v>
          </cell>
          <cell r="U110">
            <v>2.2047609709999998</v>
          </cell>
          <cell r="V110">
            <v>2.1261826159999999</v>
          </cell>
          <cell r="W110">
            <v>2.0504519000000001</v>
          </cell>
          <cell r="X110">
            <v>1.9774699069999999</v>
          </cell>
          <cell r="Y110">
            <v>1.9071481960000001</v>
          </cell>
          <cell r="Z110">
            <v>1.8394042530000001</v>
          </cell>
          <cell r="AA110">
            <v>1.774159971</v>
          </cell>
          <cell r="AB110">
            <v>1.7113434679999999</v>
          </cell>
          <cell r="AC110">
            <v>1.650885766</v>
          </cell>
          <cell r="AD110">
            <v>1.592718614</v>
          </cell>
          <cell r="AE110">
            <v>1.5367696230000001</v>
          </cell>
          <cell r="AF110">
            <v>1.4829623409999999</v>
          </cell>
          <cell r="AG110">
            <v>1.431223661</v>
          </cell>
          <cell r="AH110">
            <v>1.381482887</v>
          </cell>
          <cell r="AI110">
            <v>1.3336706380000001</v>
          </cell>
          <cell r="AJ110">
            <v>1.2877184230000001</v>
          </cell>
          <cell r="AK110">
            <v>1.2435585090000001</v>
          </cell>
          <cell r="AL110">
            <v>1.2011236439999999</v>
          </cell>
          <cell r="AM110">
            <v>1.1603469769999999</v>
          </cell>
          <cell r="AN110">
            <v>1.121162236</v>
          </cell>
          <cell r="AO110">
            <v>1.083504075</v>
          </cell>
          <cell r="AP110">
            <v>1.0473082250000001</v>
          </cell>
          <cell r="AQ110">
            <v>1.012511613</v>
          </cell>
          <cell r="AR110">
            <v>0.97905297769999999</v>
          </cell>
          <cell r="AS110">
            <v>0.94687333799999995</v>
          </cell>
          <cell r="AT110">
            <v>0.91591632649999999</v>
          </cell>
          <cell r="AU110">
            <v>0.88612839089999995</v>
          </cell>
          <cell r="AV110">
            <v>0.85745882679999996</v>
          </cell>
          <cell r="AW110">
            <v>0.82985962790000001</v>
          </cell>
          <cell r="AX110">
            <v>0.80328532669999997</v>
          </cell>
          <cell r="AY110">
            <v>0.77769284220000001</v>
          </cell>
          <cell r="AZ110">
            <v>0.75304143059999995</v>
          </cell>
          <cell r="BA110">
            <v>0.72929256080000004</v>
          </cell>
          <cell r="BB110">
            <v>0.70640956359999996</v>
          </cell>
          <cell r="BC110">
            <v>0.68435746819999999</v>
          </cell>
          <cell r="BD110">
            <v>0.66310294810000003</v>
          </cell>
          <cell r="BE110">
            <v>0.72578483000000005</v>
          </cell>
          <cell r="BF110">
            <v>0.70667312709999996</v>
          </cell>
          <cell r="BG110">
            <v>0.68819737540000003</v>
          </cell>
          <cell r="BH110">
            <v>0.67033503049999998</v>
          </cell>
          <cell r="BI110">
            <v>0.65306457139999996</v>
          </cell>
        </row>
        <row r="112">
          <cell r="F112">
            <v>3.476542051</v>
          </cell>
          <cell r="G112">
            <v>5.7227179189999999</v>
          </cell>
          <cell r="H112">
            <v>7.9150348949999998</v>
          </cell>
          <cell r="I112">
            <v>9.8028889160000006</v>
          </cell>
          <cell r="J112">
            <v>11.155958780000001</v>
          </cell>
          <cell r="K112">
            <v>16.28488037</v>
          </cell>
          <cell r="L112">
            <v>22.964094190000001</v>
          </cell>
          <cell r="M112">
            <v>30.05221834</v>
          </cell>
          <cell r="N112">
            <v>37.200833660000001</v>
          </cell>
          <cell r="O112">
            <v>44.335329530000003</v>
          </cell>
          <cell r="P112">
            <v>51.492984210000003</v>
          </cell>
          <cell r="Q112">
            <v>58.603430709999998</v>
          </cell>
          <cell r="R112">
            <v>65.708606869999997</v>
          </cell>
          <cell r="S112">
            <v>72.804877169999997</v>
          </cell>
          <cell r="T112">
            <v>79.885812259999994</v>
          </cell>
          <cell r="U112">
            <v>86.944139849999999</v>
          </cell>
          <cell r="V112">
            <v>93.972842810000003</v>
          </cell>
          <cell r="W112">
            <v>100.9657754</v>
          </cell>
          <cell r="X112">
            <v>107.9180073</v>
          </cell>
          <cell r="Y112">
            <v>114.8259831</v>
          </cell>
          <cell r="Z112">
            <v>121.6595921</v>
          </cell>
          <cell r="AA112">
            <v>128.46736949999999</v>
          </cell>
          <cell r="AB112">
            <v>135.2216493</v>
          </cell>
          <cell r="AC112">
            <v>141.92367049999999</v>
          </cell>
          <cell r="AD112">
            <v>148.5762311</v>
          </cell>
          <cell r="AE112">
            <v>155.1062891</v>
          </cell>
          <cell r="AF112">
            <v>161.615756</v>
          </cell>
          <cell r="AG112">
            <v>168.05795739999999</v>
          </cell>
          <cell r="AH112">
            <v>174.4260285</v>
          </cell>
          <cell r="AI112">
            <v>180.71520179999999</v>
          </cell>
          <cell r="AJ112">
            <v>186.9231709</v>
          </cell>
          <cell r="AK112">
            <v>193.04932539999999</v>
          </cell>
          <cell r="AL112">
            <v>199.09376209999999</v>
          </cell>
          <cell r="AM112">
            <v>205.0564287</v>
          </cell>
          <cell r="AN112">
            <v>210.93638999999999</v>
          </cell>
          <cell r="AO112">
            <v>216.73123380000001</v>
          </cell>
          <cell r="AP112">
            <v>222.41973250000001</v>
          </cell>
          <cell r="AQ112">
            <v>228.00548140000001</v>
          </cell>
          <cell r="AR112">
            <v>233.47151579999999</v>
          </cell>
          <cell r="AS112">
            <v>238.7962038</v>
          </cell>
          <cell r="AT112">
            <v>243.9529723</v>
          </cell>
          <cell r="AU112">
            <v>248.9090544</v>
          </cell>
          <cell r="AV112">
            <v>253.62301289999999</v>
          </cell>
          <cell r="AW112">
            <v>258.04007109999998</v>
          </cell>
          <cell r="AX112">
            <v>262.08295290000001</v>
          </cell>
          <cell r="AY112">
            <v>265.63298700000001</v>
          </cell>
          <cell r="AZ112">
            <v>268.48912819999998</v>
          </cell>
          <cell r="BA112">
            <v>272.33553769999997</v>
          </cell>
          <cell r="BB112">
            <v>276.30533029999998</v>
          </cell>
          <cell r="BC112">
            <v>280.86258479999998</v>
          </cell>
          <cell r="BD112">
            <v>285.93878819999998</v>
          </cell>
          <cell r="BE112">
            <v>23.02165338</v>
          </cell>
          <cell r="BF112">
            <v>23.098603359999998</v>
          </cell>
          <cell r="BG112">
            <v>23.175166600000001</v>
          </cell>
          <cell r="BH112">
            <v>23.251348539999999</v>
          </cell>
          <cell r="BI112">
            <v>23.327155260000001</v>
          </cell>
        </row>
        <row r="113">
          <cell r="F113">
            <v>68.80476281</v>
          </cell>
          <cell r="G113">
            <v>77.184615289999996</v>
          </cell>
          <cell r="H113">
            <v>86.226499009999998</v>
          </cell>
          <cell r="I113">
            <v>95.792889770000002</v>
          </cell>
          <cell r="J113">
            <v>106.74449850000001</v>
          </cell>
          <cell r="K113">
            <v>114.8133308</v>
          </cell>
          <cell r="L113">
            <v>120.3171086</v>
          </cell>
          <cell r="M113">
            <v>124.82554810000001</v>
          </cell>
          <cell r="N113">
            <v>128.83010440000001</v>
          </cell>
          <cell r="O113">
            <v>132.56910780000001</v>
          </cell>
          <cell r="P113">
            <v>137.19732300000001</v>
          </cell>
          <cell r="Q113">
            <v>140.70094019999999</v>
          </cell>
          <cell r="R113">
            <v>144.14778269999999</v>
          </cell>
          <cell r="S113">
            <v>147.55784109999999</v>
          </cell>
          <cell r="T113">
            <v>150.94401210000001</v>
          </cell>
          <cell r="U113">
            <v>154.31513039999999</v>
          </cell>
          <cell r="V113">
            <v>157.67754410000001</v>
          </cell>
          <cell r="W113">
            <v>161.03592990000001</v>
          </cell>
          <cell r="X113">
            <v>164.3937172</v>
          </cell>
          <cell r="Y113">
            <v>167.75332460000001</v>
          </cell>
          <cell r="Z113">
            <v>170.42992169999999</v>
          </cell>
          <cell r="AA113">
            <v>173.7978956</v>
          </cell>
          <cell r="AB113">
            <v>177.17332780000001</v>
          </cell>
          <cell r="AC113">
            <v>180.55605299999999</v>
          </cell>
          <cell r="AD113">
            <v>183.94515100000001</v>
          </cell>
          <cell r="AE113">
            <v>185.4657254</v>
          </cell>
          <cell r="AF113">
            <v>187.98608540000001</v>
          </cell>
          <cell r="AG113">
            <v>190.5168242</v>
          </cell>
          <cell r="AH113">
            <v>193.06143370000001</v>
          </cell>
          <cell r="AI113">
            <v>195.62251459999999</v>
          </cell>
          <cell r="AJ113">
            <v>198.20156560000001</v>
          </cell>
          <cell r="AK113">
            <v>200.79930089999999</v>
          </cell>
          <cell r="AL113">
            <v>203.4160756</v>
          </cell>
          <cell r="AM113">
            <v>206.052269</v>
          </cell>
          <cell r="AN113">
            <v>208.70862410000001</v>
          </cell>
          <cell r="AO113">
            <v>211.38653360000001</v>
          </cell>
          <cell r="AP113">
            <v>213.68862110000001</v>
          </cell>
          <cell r="AQ113">
            <v>216.01940959999999</v>
          </cell>
          <cell r="AR113">
            <v>218.38701760000001</v>
          </cell>
          <cell r="AS113">
            <v>220.80196570000001</v>
          </cell>
          <cell r="AT113">
            <v>223.2774555</v>
          </cell>
          <cell r="AU113">
            <v>225.83021360000001</v>
          </cell>
          <cell r="AV113">
            <v>228.48220240000001</v>
          </cell>
          <cell r="AW113">
            <v>231.2640869</v>
          </cell>
          <cell r="AX113">
            <v>234.222894</v>
          </cell>
          <cell r="AY113">
            <v>237.4416028</v>
          </cell>
          <cell r="AZ113">
            <v>241.1377549</v>
          </cell>
          <cell r="BA113">
            <v>244.86308460000001</v>
          </cell>
          <cell r="BB113">
            <v>249.31742120000001</v>
          </cell>
          <cell r="BC113">
            <v>253.31775619999999</v>
          </cell>
          <cell r="BD113">
            <v>256.6196415</v>
          </cell>
          <cell r="BE113">
            <v>505.70694400000002</v>
          </cell>
          <cell r="BF113">
            <v>512.00260160000005</v>
          </cell>
          <cell r="BG113">
            <v>518.24737849999997</v>
          </cell>
          <cell r="BH113">
            <v>524.44232790000001</v>
          </cell>
          <cell r="BI113">
            <v>530.58864100000005</v>
          </cell>
        </row>
        <row r="114">
          <cell r="F114">
            <v>408.28039699999999</v>
          </cell>
          <cell r="G114">
            <v>425.47099200000002</v>
          </cell>
          <cell r="H114">
            <v>444.58496880000001</v>
          </cell>
          <cell r="I114">
            <v>464.5860394</v>
          </cell>
          <cell r="J114">
            <v>486.66936989999999</v>
          </cell>
          <cell r="K114">
            <v>503.40873290000002</v>
          </cell>
          <cell r="L114">
            <v>515.14712380000003</v>
          </cell>
          <cell r="M114">
            <v>525.29702680000003</v>
          </cell>
          <cell r="N114">
            <v>534.66997389999995</v>
          </cell>
          <cell r="O114">
            <v>543.64620609999997</v>
          </cell>
          <cell r="P114">
            <v>555.32225259999996</v>
          </cell>
          <cell r="Q114">
            <v>563.96919720000005</v>
          </cell>
          <cell r="R114">
            <v>572.54171029999998</v>
          </cell>
          <cell r="S114">
            <v>581.06943550000005</v>
          </cell>
          <cell r="T114">
            <v>589.57126430000005</v>
          </cell>
          <cell r="U114">
            <v>598.06002439999997</v>
          </cell>
          <cell r="V114">
            <v>606.54488200000003</v>
          </cell>
          <cell r="W114">
            <v>615.03256439999996</v>
          </cell>
          <cell r="X114">
            <v>623.52797769999995</v>
          </cell>
          <cell r="Y114">
            <v>632.03453739999998</v>
          </cell>
          <cell r="Z114">
            <v>638.62632050000002</v>
          </cell>
          <cell r="AA114">
            <v>647.15867600000001</v>
          </cell>
          <cell r="AB114">
            <v>655.71004900000003</v>
          </cell>
          <cell r="AC114">
            <v>664.27985469999999</v>
          </cell>
          <cell r="AD114">
            <v>672.86631350000005</v>
          </cell>
          <cell r="AE114">
            <v>676.20416169999999</v>
          </cell>
          <cell r="AF114">
            <v>682.34097229999998</v>
          </cell>
          <cell r="AG114">
            <v>688.49381659999995</v>
          </cell>
          <cell r="AH114">
            <v>694.6678445</v>
          </cell>
          <cell r="AI114">
            <v>700.8667931</v>
          </cell>
          <cell r="AJ114">
            <v>707.09270519999995</v>
          </cell>
          <cell r="AK114">
            <v>713.34640239999999</v>
          </cell>
          <cell r="AL114">
            <v>719.62816569999995</v>
          </cell>
          <cell r="AM114">
            <v>725.93835739999997</v>
          </cell>
          <cell r="AN114">
            <v>732.27798150000001</v>
          </cell>
          <cell r="AO114">
            <v>738.64915829999995</v>
          </cell>
          <cell r="AP114">
            <v>743.93266989999995</v>
          </cell>
          <cell r="AQ114">
            <v>749.25763459999996</v>
          </cell>
          <cell r="AR114">
            <v>754.63760860000002</v>
          </cell>
          <cell r="AS114">
            <v>760.0904554</v>
          </cell>
          <cell r="AT114">
            <v>765.63909909999995</v>
          </cell>
          <cell r="AU114">
            <v>771.31344769999998</v>
          </cell>
          <cell r="AV114">
            <v>777.15420830000005</v>
          </cell>
          <cell r="AW114">
            <v>783.22068119999994</v>
          </cell>
          <cell r="AX114">
            <v>789.60844069999996</v>
          </cell>
          <cell r="AY114">
            <v>796.49702230000003</v>
          </cell>
          <cell r="AZ114">
            <v>804.41562699999997</v>
          </cell>
          <cell r="BA114">
            <v>811.47407699999997</v>
          </cell>
          <cell r="BB114">
            <v>818.84510160000002</v>
          </cell>
          <cell r="BC114">
            <v>825.58329990000004</v>
          </cell>
          <cell r="BD114">
            <v>831.54675859999998</v>
          </cell>
          <cell r="BE114">
            <v>1097.5222470000001</v>
          </cell>
          <cell r="BF114">
            <v>1106.9728580000001</v>
          </cell>
          <cell r="BG114">
            <v>1116.3591220000001</v>
          </cell>
          <cell r="BH114">
            <v>1125.682438</v>
          </cell>
          <cell r="BI114">
            <v>1134.9443100000001</v>
          </cell>
        </row>
        <row r="115">
          <cell r="F115">
            <v>954.38155940000001</v>
          </cell>
          <cell r="G115">
            <v>947.6977723</v>
          </cell>
          <cell r="H115">
            <v>940.93763730000001</v>
          </cell>
          <cell r="I115">
            <v>933.32371909999995</v>
          </cell>
          <cell r="J115">
            <v>923.4312261</v>
          </cell>
          <cell r="K115">
            <v>915.1606223</v>
          </cell>
          <cell r="L115">
            <v>908.60446669999999</v>
          </cell>
          <cell r="M115">
            <v>903.13095480000004</v>
          </cell>
          <cell r="N115">
            <v>898.2758407</v>
          </cell>
          <cell r="O115">
            <v>893.7657815</v>
          </cell>
          <cell r="P115">
            <v>889.45007210000006</v>
          </cell>
          <cell r="Q115">
            <v>885.24811350000004</v>
          </cell>
          <cell r="R115">
            <v>881.11614080000004</v>
          </cell>
          <cell r="S115">
            <v>877.03080499999999</v>
          </cell>
          <cell r="T115">
            <v>872.97935970000003</v>
          </cell>
          <cell r="U115">
            <v>868.95468589999996</v>
          </cell>
          <cell r="V115">
            <v>864.95267469999999</v>
          </cell>
          <cell r="W115">
            <v>860.97085479999998</v>
          </cell>
          <cell r="X115">
            <v>857.0076722</v>
          </cell>
          <cell r="Y115">
            <v>853.06211229999997</v>
          </cell>
          <cell r="Z115">
            <v>849.13343499999996</v>
          </cell>
          <cell r="AA115">
            <v>845.22075529999995</v>
          </cell>
          <cell r="AB115">
            <v>841.32390169999996</v>
          </cell>
          <cell r="AC115">
            <v>837.44263599999999</v>
          </cell>
          <cell r="AD115">
            <v>833.57688470000005</v>
          </cell>
          <cell r="AE115">
            <v>829.72650510000005</v>
          </cell>
          <cell r="AF115">
            <v>825.89028929999995</v>
          </cell>
          <cell r="AG115">
            <v>822.06795480000005</v>
          </cell>
          <cell r="AH115">
            <v>818.25879090000001</v>
          </cell>
          <cell r="AI115">
            <v>814.46213360000002</v>
          </cell>
          <cell r="AJ115">
            <v>810.67743819999998</v>
          </cell>
          <cell r="AK115">
            <v>806.90428080000004</v>
          </cell>
          <cell r="AL115">
            <v>803.14232049999998</v>
          </cell>
          <cell r="AM115">
            <v>799.39124379999998</v>
          </cell>
          <cell r="AN115">
            <v>795.65069640000002</v>
          </cell>
          <cell r="AO115">
            <v>791.92020749999995</v>
          </cell>
          <cell r="AP115">
            <v>788.19901749999997</v>
          </cell>
          <cell r="AQ115">
            <v>784.48563249999995</v>
          </cell>
          <cell r="AR115">
            <v>780.77792020000004</v>
          </cell>
          <cell r="AS115">
            <v>777.07271170000001</v>
          </cell>
          <cell r="AT115">
            <v>773.36539800000003</v>
          </cell>
          <cell r="AU115">
            <v>769.64918869999997</v>
          </cell>
          <cell r="AV115">
            <v>765.91371690000005</v>
          </cell>
          <cell r="AW115">
            <v>762.14226829999996</v>
          </cell>
          <cell r="AX115">
            <v>758.30581329999995</v>
          </cell>
          <cell r="AY115">
            <v>754.34881499999995</v>
          </cell>
          <cell r="AZ115">
            <v>750.15083849999996</v>
          </cell>
          <cell r="BA115">
            <v>745.40454669999997</v>
          </cell>
          <cell r="BB115">
            <v>739.19333540000002</v>
          </cell>
          <cell r="BC115">
            <v>733.29079000000002</v>
          </cell>
          <cell r="BD115">
            <v>728.22375050000005</v>
          </cell>
          <cell r="BE115">
            <v>484.04968780000002</v>
          </cell>
          <cell r="BF115">
            <v>477.39374570000001</v>
          </cell>
          <cell r="BG115">
            <v>470.83057000000002</v>
          </cell>
          <cell r="BH115">
            <v>464.35802790000002</v>
          </cell>
          <cell r="BI115">
            <v>457.97382290000002</v>
          </cell>
        </row>
        <row r="116">
          <cell r="F116">
            <v>878.79999729999997</v>
          </cell>
          <cell r="G116">
            <v>867.97061589999998</v>
          </cell>
          <cell r="H116">
            <v>857.1768472</v>
          </cell>
          <cell r="I116">
            <v>846.13862830000005</v>
          </cell>
          <cell r="J116">
            <v>834.45323389999999</v>
          </cell>
          <cell r="K116">
            <v>825.60425850000001</v>
          </cell>
          <cell r="L116">
            <v>818.66440060000002</v>
          </cell>
          <cell r="M116">
            <v>812.81113870000001</v>
          </cell>
          <cell r="N116">
            <v>807.55773569999997</v>
          </cell>
          <cell r="O116">
            <v>802.63670790000003</v>
          </cell>
          <cell r="P116">
            <v>797.90478380000002</v>
          </cell>
          <cell r="Q116">
            <v>793.28649600000006</v>
          </cell>
          <cell r="R116">
            <v>788.74109539999995</v>
          </cell>
          <cell r="S116">
            <v>784.24687610000001</v>
          </cell>
          <cell r="T116">
            <v>779.79192390000003</v>
          </cell>
          <cell r="U116">
            <v>775.3694911</v>
          </cell>
          <cell r="V116">
            <v>770.97558909999998</v>
          </cell>
          <cell r="W116">
            <v>766.60774100000003</v>
          </cell>
          <cell r="X116">
            <v>762.26433959999997</v>
          </cell>
          <cell r="Y116">
            <v>757.94431650000001</v>
          </cell>
          <cell r="Z116">
            <v>753.64685669999994</v>
          </cell>
          <cell r="AA116">
            <v>749.37097089999997</v>
          </cell>
          <cell r="AB116">
            <v>745.11649190000003</v>
          </cell>
          <cell r="AC116">
            <v>740.8832969</v>
          </cell>
          <cell r="AD116">
            <v>736.67150709999999</v>
          </cell>
          <cell r="AE116">
            <v>732.4810665</v>
          </cell>
          <cell r="AF116">
            <v>728.31058259999998</v>
          </cell>
          <cell r="AG116">
            <v>724.15957209999999</v>
          </cell>
          <cell r="AH116">
            <v>720.02720639999995</v>
          </cell>
          <cell r="AI116">
            <v>715.91281370000002</v>
          </cell>
          <cell r="AJ116">
            <v>711.81595089999996</v>
          </cell>
          <cell r="AK116">
            <v>707.73638240000002</v>
          </cell>
          <cell r="AL116">
            <v>703.67400510000004</v>
          </cell>
          <cell r="AM116">
            <v>699.62875780000002</v>
          </cell>
          <cell r="AN116">
            <v>695.60052450000001</v>
          </cell>
          <cell r="AO116">
            <v>691.58904129999996</v>
          </cell>
          <cell r="AP116">
            <v>687.59368519999998</v>
          </cell>
          <cell r="AQ116">
            <v>683.61298910000005</v>
          </cell>
          <cell r="AR116">
            <v>679.64479449999999</v>
          </cell>
          <cell r="AS116">
            <v>675.68592460000002</v>
          </cell>
          <cell r="AT116">
            <v>671.73182150000002</v>
          </cell>
          <cell r="AU116">
            <v>667.77576950000002</v>
          </cell>
          <cell r="AV116">
            <v>663.80723820000003</v>
          </cell>
          <cell r="AW116">
            <v>659.80806229999996</v>
          </cell>
          <cell r="AX116">
            <v>655.7422378</v>
          </cell>
          <cell r="AY116">
            <v>651.5217341</v>
          </cell>
          <cell r="AZ116">
            <v>646.84565020000002</v>
          </cell>
          <cell r="BA116">
            <v>642.55219360000001</v>
          </cell>
          <cell r="BB116">
            <v>638.55247480000003</v>
          </cell>
          <cell r="BC116">
            <v>634.73741500000006</v>
          </cell>
          <cell r="BD116">
            <v>631.0352312</v>
          </cell>
          <cell r="BE116">
            <v>627.43126419999999</v>
          </cell>
          <cell r="BF116">
            <v>623.80247299999996</v>
          </cell>
          <cell r="BG116">
            <v>620.1914491</v>
          </cell>
          <cell r="BH116">
            <v>616.59806479999997</v>
          </cell>
          <cell r="BI116">
            <v>613.02212169999996</v>
          </cell>
        </row>
        <row r="117">
          <cell r="F117">
            <v>139.85209269999999</v>
          </cell>
          <cell r="G117">
            <v>137.95542610000001</v>
          </cell>
          <cell r="H117">
            <v>136.0868151</v>
          </cell>
          <cell r="I117">
            <v>134.2500221</v>
          </cell>
          <cell r="J117">
            <v>132.44730100000001</v>
          </cell>
          <cell r="K117">
            <v>130.6786276</v>
          </cell>
          <cell r="L117">
            <v>128.94239920000001</v>
          </cell>
          <cell r="M117">
            <v>127.23581470000001</v>
          </cell>
          <cell r="N117">
            <v>125.55580550000001</v>
          </cell>
          <cell r="O117">
            <v>123.8997037</v>
          </cell>
          <cell r="P117">
            <v>122.26555</v>
          </cell>
          <cell r="Q117">
            <v>120.6520087</v>
          </cell>
          <cell r="R117">
            <v>119.0581193</v>
          </cell>
          <cell r="S117">
            <v>117.4832194</v>
          </cell>
          <cell r="T117">
            <v>115.9268713</v>
          </cell>
          <cell r="U117">
            <v>114.38879660000001</v>
          </cell>
          <cell r="V117">
            <v>112.8688291</v>
          </cell>
          <cell r="W117">
            <v>111.36688289999999</v>
          </cell>
          <cell r="X117">
            <v>109.88293109999999</v>
          </cell>
          <cell r="Y117">
            <v>108.4169891</v>
          </cell>
          <cell r="Z117">
            <v>106.96906989999999</v>
          </cell>
          <cell r="AA117">
            <v>105.5391838</v>
          </cell>
          <cell r="AB117">
            <v>104.1273893</v>
          </cell>
          <cell r="AC117">
            <v>102.7337536</v>
          </cell>
          <cell r="AD117">
            <v>101.35832480000001</v>
          </cell>
          <cell r="AE117">
            <v>100.00104330000001</v>
          </cell>
          <cell r="AF117">
            <v>98.66173981</v>
          </cell>
          <cell r="AG117">
            <v>97.34026849</v>
          </cell>
          <cell r="AH117">
            <v>96.036500630000006</v>
          </cell>
          <cell r="AI117">
            <v>94.750307100000001</v>
          </cell>
          <cell r="AJ117">
            <v>93.481543139999999</v>
          </cell>
          <cell r="AK117">
            <v>92.230042839999996</v>
          </cell>
          <cell r="AL117">
            <v>90.995615380000004</v>
          </cell>
          <cell r="AM117">
            <v>89.778041900000005</v>
          </cell>
          <cell r="AN117">
            <v>88.577074749999994</v>
          </cell>
          <cell r="AO117">
            <v>87.392439679999995</v>
          </cell>
          <cell r="AP117">
            <v>86.223828100000006</v>
          </cell>
          <cell r="AQ117">
            <v>85.070897919999993</v>
          </cell>
          <cell r="AR117">
            <v>83.93330057</v>
          </cell>
          <cell r="AS117">
            <v>82.810697160000004</v>
          </cell>
          <cell r="AT117">
            <v>81.702766479999994</v>
          </cell>
          <cell r="AU117">
            <v>80.609208899999999</v>
          </cell>
          <cell r="AV117">
            <v>79.529748409999996</v>
          </cell>
          <cell r="AW117">
            <v>78.464131359999996</v>
          </cell>
          <cell r="AX117">
            <v>77.412120950000002</v>
          </cell>
          <cell r="AY117">
            <v>76.373492130000002</v>
          </cell>
          <cell r="AZ117">
            <v>75.348025789999994</v>
          </cell>
          <cell r="BA117">
            <v>74.335488909999995</v>
          </cell>
          <cell r="BB117">
            <v>73.335748530000004</v>
          </cell>
          <cell r="BC117">
            <v>72.348674110000005</v>
          </cell>
          <cell r="BD117">
            <v>71.374126410000002</v>
          </cell>
          <cell r="BE117">
            <v>71.569973329999996</v>
          </cell>
          <cell r="BF117">
            <v>70.642954649999993</v>
          </cell>
          <cell r="BG117">
            <v>69.727825420000002</v>
          </cell>
          <cell r="BH117">
            <v>68.824426950000003</v>
          </cell>
          <cell r="BI117">
            <v>67.932590059999995</v>
          </cell>
        </row>
        <row r="118">
          <cell r="F118">
            <v>3.874567114</v>
          </cell>
          <cell r="G118">
            <v>3.7242339809999998</v>
          </cell>
          <cell r="H118">
            <v>3.5803045739999999</v>
          </cell>
          <cell r="I118">
            <v>3.442797213</v>
          </cell>
          <cell r="J118">
            <v>3.3116253850000001</v>
          </cell>
          <cell r="K118">
            <v>3.186547204</v>
          </cell>
          <cell r="L118">
            <v>3.0671962050000001</v>
          </cell>
          <cell r="M118">
            <v>2.9531470999999998</v>
          </cell>
          <cell r="N118">
            <v>2.843983218</v>
          </cell>
          <cell r="O118">
            <v>2.7393390059999998</v>
          </cell>
          <cell r="P118">
            <v>2.6389157519999999</v>
          </cell>
          <cell r="Q118">
            <v>2.5424707350000002</v>
          </cell>
          <cell r="R118">
            <v>2.4497966799999999</v>
          </cell>
          <cell r="S118">
            <v>2.3607140210000002</v>
          </cell>
          <cell r="T118">
            <v>2.2750643959999999</v>
          </cell>
          <cell r="U118">
            <v>2.1927053089999999</v>
          </cell>
          <cell r="V118">
            <v>2.113506288</v>
          </cell>
          <cell r="W118">
            <v>2.0373462839999998</v>
          </cell>
          <cell r="X118">
            <v>1.9641118689999999</v>
          </cell>
          <cell r="Y118">
            <v>1.893695881</v>
          </cell>
          <cell r="Z118">
            <v>1.8259947059999999</v>
          </cell>
          <cell r="AA118">
            <v>1.7609081680000001</v>
          </cell>
          <cell r="AB118">
            <v>1.698342016</v>
          </cell>
          <cell r="AC118">
            <v>1.638205935</v>
          </cell>
          <cell r="AD118">
            <v>1.5804121010000001</v>
          </cell>
          <cell r="AE118">
            <v>1.5248709760000001</v>
          </cell>
          <cell r="AF118">
            <v>1.471491307</v>
          </cell>
          <cell r="AG118">
            <v>1.420186401</v>
          </cell>
          <cell r="AH118">
            <v>1.3708739379999999</v>
          </cell>
          <cell r="AI118">
            <v>1.323475202</v>
          </cell>
          <cell r="AJ118">
            <v>1.277914422</v>
          </cell>
          <cell r="AK118">
            <v>1.234118461</v>
          </cell>
          <cell r="AL118">
            <v>1.192016446</v>
          </cell>
          <cell r="AM118">
            <v>1.151539528</v>
          </cell>
          <cell r="AN118">
            <v>1.112620774</v>
          </cell>
          <cell r="AO118">
            <v>1.0751951799999999</v>
          </cell>
          <cell r="AP118">
            <v>1.039199301</v>
          </cell>
          <cell r="AQ118">
            <v>1.0045712040000001</v>
          </cell>
          <cell r="AR118">
            <v>0.97125136069999995</v>
          </cell>
          <cell r="AS118">
            <v>0.93918311929999998</v>
          </cell>
          <cell r="AT118">
            <v>0.90831284820000002</v>
          </cell>
          <cell r="AU118">
            <v>0.87858991109999995</v>
          </cell>
          <cell r="AV118">
            <v>0.84996657119999997</v>
          </cell>
          <cell r="AW118">
            <v>0.82239779660000001</v>
          </cell>
          <cell r="AX118">
            <v>0.79584096360000001</v>
          </cell>
          <cell r="AY118">
            <v>0.7702556223</v>
          </cell>
          <cell r="AZ118">
            <v>0.74560335899999997</v>
          </cell>
          <cell r="BA118">
            <v>0.72184771530000003</v>
          </cell>
          <cell r="BB118">
            <v>0.69895407129999998</v>
          </cell>
          <cell r="BC118">
            <v>0.67688945960000002</v>
          </cell>
          <cell r="BD118">
            <v>0.65562223509999995</v>
          </cell>
          <cell r="BE118">
            <v>0.67613615360000001</v>
          </cell>
          <cell r="BF118">
            <v>0.65614706970000003</v>
          </cell>
          <cell r="BG118">
            <v>0.6368516139</v>
          </cell>
          <cell r="BH118">
            <v>0.61822360580000002</v>
          </cell>
          <cell r="BI118">
            <v>0.6002375418</v>
          </cell>
        </row>
        <row r="205">
          <cell r="E205" t="str">
            <v>YG_toe_2</v>
          </cell>
          <cell r="F205">
            <v>145.50606809999999</v>
          </cell>
          <cell r="G205">
            <v>145.95729789999999</v>
          </cell>
          <cell r="H205">
            <v>146.54102359999999</v>
          </cell>
          <cell r="I205">
            <v>147.2830088</v>
          </cell>
          <cell r="J205">
            <v>148.2113205</v>
          </cell>
          <cell r="K205">
            <v>149.31185540000001</v>
          </cell>
          <cell r="L205">
            <v>150.49309120000001</v>
          </cell>
          <cell r="M205">
            <v>151.781858</v>
          </cell>
          <cell r="N205">
            <v>153.15801389999999</v>
          </cell>
          <cell r="O205">
            <v>154.59985649999999</v>
          </cell>
          <cell r="P205">
            <v>156.23039969999999</v>
          </cell>
          <cell r="Q205">
            <v>157.78369129999999</v>
          </cell>
          <cell r="R205">
            <v>159.34089520000001</v>
          </cell>
          <cell r="S205">
            <v>160.90603780000001</v>
          </cell>
          <cell r="T205">
            <v>162.4781122</v>
          </cell>
          <cell r="U205">
            <v>164.05584859999999</v>
          </cell>
          <cell r="V205">
            <v>165.62495379999999</v>
          </cell>
          <cell r="W205">
            <v>167.19786199999999</v>
          </cell>
          <cell r="X205">
            <v>168.77678130000001</v>
          </cell>
          <cell r="Y205">
            <v>170.36372510000001</v>
          </cell>
          <cell r="Z205">
            <v>171.85948389999999</v>
          </cell>
          <cell r="AA205">
            <v>173.43819930000001</v>
          </cell>
          <cell r="AB205">
            <v>175.0449639</v>
          </cell>
          <cell r="AC205">
            <v>176.67520350000001</v>
          </cell>
          <cell r="AD205">
            <v>178.32882699999999</v>
          </cell>
          <cell r="AE205">
            <v>179.71931860000001</v>
          </cell>
          <cell r="AF205">
            <v>181.20432120000001</v>
          </cell>
          <cell r="AG205">
            <v>182.7105238</v>
          </cell>
          <cell r="AH205">
            <v>184.236412</v>
          </cell>
          <cell r="AI205">
            <v>185.78452329999999</v>
          </cell>
          <cell r="AJ205">
            <v>187.35780969999999</v>
          </cell>
          <cell r="AK205">
            <v>188.96187069999999</v>
          </cell>
          <cell r="AL205">
            <v>190.5958966</v>
          </cell>
          <cell r="AM205">
            <v>192.2608425</v>
          </cell>
          <cell r="AN205">
            <v>193.9572775</v>
          </cell>
          <cell r="AO205">
            <v>195.68537430000001</v>
          </cell>
          <cell r="AP205">
            <v>197.40508389999999</v>
          </cell>
          <cell r="AQ205">
            <v>199.1386827</v>
          </cell>
          <cell r="AR205">
            <v>200.8919774</v>
          </cell>
          <cell r="AS205">
            <v>202.66773689999999</v>
          </cell>
          <cell r="AT205">
            <v>204.46759230000001</v>
          </cell>
          <cell r="AU205">
            <v>206.29700489999999</v>
          </cell>
          <cell r="AV205">
            <v>208.1530453</v>
          </cell>
          <cell r="AW205">
            <v>210.03589679999999</v>
          </cell>
          <cell r="AX205">
            <v>211.9456855</v>
          </cell>
          <cell r="AY205">
            <v>213.88245810000001</v>
          </cell>
          <cell r="AZ205">
            <v>215.86691210000001</v>
          </cell>
          <cell r="BA205">
            <v>217.88244649999999</v>
          </cell>
          <cell r="BB205">
            <v>219.92708479999999</v>
          </cell>
          <cell r="BC205">
            <v>221.9999766</v>
          </cell>
          <cell r="BD205">
            <v>224.10060100000001</v>
          </cell>
          <cell r="BE205">
            <v>260.51870730000002</v>
          </cell>
          <cell r="BF205">
            <v>264.01853419999998</v>
          </cell>
          <cell r="BG205">
            <v>267.57925560000001</v>
          </cell>
          <cell r="BH205">
            <v>271.20175319999998</v>
          </cell>
          <cell r="BI205">
            <v>274.88702260000002</v>
          </cell>
        </row>
        <row r="206">
          <cell r="E206" t="str">
            <v>YG_toe_ccoa_2</v>
          </cell>
          <cell r="F206">
            <v>2.315900837</v>
          </cell>
          <cell r="G206">
            <v>2.3190150410000001</v>
          </cell>
          <cell r="H206">
            <v>2.3343114059999999</v>
          </cell>
          <cell r="I206">
            <v>2.354223449</v>
          </cell>
          <cell r="J206">
            <v>2.377269761</v>
          </cell>
          <cell r="K206">
            <v>2.4028730949999999</v>
          </cell>
          <cell r="L206">
            <v>2.429145117</v>
          </cell>
          <cell r="M206">
            <v>2.4568141749999999</v>
          </cell>
          <cell r="N206">
            <v>2.4858140230000001</v>
          </cell>
          <cell r="O206">
            <v>2.5159516690000001</v>
          </cell>
          <cell r="P206">
            <v>2.549482239</v>
          </cell>
          <cell r="Q206">
            <v>2.581806743</v>
          </cell>
          <cell r="R206">
            <v>2.614380497</v>
          </cell>
          <cell r="S206">
            <v>2.647426861</v>
          </cell>
          <cell r="T206">
            <v>2.6809479550000002</v>
          </cell>
          <cell r="U206">
            <v>2.7149221990000001</v>
          </cell>
          <cell r="V206">
            <v>2.7490035650000002</v>
          </cell>
          <cell r="W206">
            <v>2.7834700689999998</v>
          </cell>
          <cell r="X206">
            <v>2.8183896220000002</v>
          </cell>
          <cell r="Y206">
            <v>2.8537928209999999</v>
          </cell>
          <cell r="Z206">
            <v>2.8879345280000002</v>
          </cell>
          <cell r="AA206">
            <v>2.9238281549999998</v>
          </cell>
          <cell r="AB206">
            <v>2.960546146</v>
          </cell>
          <cell r="AC206">
            <v>2.9979216950000001</v>
          </cell>
          <cell r="AD206">
            <v>3.0359368930000001</v>
          </cell>
          <cell r="AE206">
            <v>3.0695423310000001</v>
          </cell>
          <cell r="AF206">
            <v>3.105009033</v>
          </cell>
          <cell r="AG206">
            <v>3.1411395290000002</v>
          </cell>
          <cell r="AH206">
            <v>3.1777371799999998</v>
          </cell>
          <cell r="AI206">
            <v>3.214801697</v>
          </cell>
          <cell r="AJ206">
            <v>3.252364966</v>
          </cell>
          <cell r="AK206">
            <v>3.2905322130000001</v>
          </cell>
          <cell r="AL206">
            <v>3.3292642190000001</v>
          </cell>
          <cell r="AM206">
            <v>3.3685610760000002</v>
          </cell>
          <cell r="AN206">
            <v>3.4084245520000001</v>
          </cell>
          <cell r="AO206">
            <v>3.4488525800000001</v>
          </cell>
          <cell r="AP206">
            <v>3.489299377</v>
          </cell>
          <cell r="AQ206">
            <v>3.5300322679999998</v>
          </cell>
          <cell r="AR206">
            <v>3.571118824</v>
          </cell>
          <cell r="AS206">
            <v>3.6125847850000001</v>
          </cell>
          <cell r="AT206">
            <v>3.6544470769999999</v>
          </cell>
          <cell r="AU206">
            <v>3.6968257960000002</v>
          </cell>
          <cell r="AV206">
            <v>3.7396482170000001</v>
          </cell>
          <cell r="AW206">
            <v>3.7829060330000002</v>
          </cell>
          <cell r="AX206">
            <v>3.8266013349999999</v>
          </cell>
          <cell r="AY206">
            <v>3.8707360550000001</v>
          </cell>
          <cell r="AZ206">
            <v>3.91577858</v>
          </cell>
          <cell r="BA206">
            <v>3.9613731699999999</v>
          </cell>
          <cell r="BB206">
            <v>4.0074472009999997</v>
          </cell>
          <cell r="BC206">
            <v>4.0539833969999997</v>
          </cell>
          <cell r="BD206">
            <v>4.1009755270000001</v>
          </cell>
          <cell r="BE206">
            <v>5.3030612970000002</v>
          </cell>
          <cell r="BF206">
            <v>5.3926175350000003</v>
          </cell>
          <cell r="BG206">
            <v>5.4835762130000001</v>
          </cell>
          <cell r="BH206">
            <v>5.5759606100000001</v>
          </cell>
          <cell r="BI206">
            <v>5.6697948240000002</v>
          </cell>
        </row>
        <row r="209">
          <cell r="E209" t="str">
            <v>YG_toe_ccoi_2</v>
          </cell>
          <cell r="F209">
            <v>1.0709989470000001</v>
          </cell>
          <cell r="G209">
            <v>1.0711659419999999</v>
          </cell>
          <cell r="H209">
            <v>1.0739725790000001</v>
          </cell>
          <cell r="I209">
            <v>1.0783887050000001</v>
          </cell>
          <cell r="J209">
            <v>1.084494012</v>
          </cell>
          <cell r="K209">
            <v>1.092175229</v>
          </cell>
          <cell r="L209">
            <v>1.1007052429999999</v>
          </cell>
          <cell r="M209">
            <v>1.110190161</v>
          </cell>
          <cell r="N209">
            <v>1.12048258</v>
          </cell>
          <cell r="O209">
            <v>1.1314092570000001</v>
          </cell>
          <cell r="P209">
            <v>1.143744968</v>
          </cell>
          <cell r="Q209">
            <v>1.1557790459999999</v>
          </cell>
          <cell r="R209">
            <v>1.1679298769999999</v>
          </cell>
          <cell r="S209">
            <v>1.1802578290000001</v>
          </cell>
          <cell r="T209">
            <v>1.1927474920000001</v>
          </cell>
          <cell r="U209">
            <v>1.20537618</v>
          </cell>
          <cell r="V209">
            <v>1.2180163289999999</v>
          </cell>
          <cell r="W209">
            <v>1.2307465289999999</v>
          </cell>
          <cell r="X209">
            <v>1.2435820870000001</v>
          </cell>
          <cell r="Y209">
            <v>1.2565275149999999</v>
          </cell>
          <cell r="Z209">
            <v>1.2689237520000001</v>
          </cell>
          <cell r="AA209">
            <v>1.2818553640000001</v>
          </cell>
          <cell r="AB209">
            <v>1.2950283380000001</v>
          </cell>
          <cell r="AC209">
            <v>1.3083763829999999</v>
          </cell>
          <cell r="AD209">
            <v>1.321889699</v>
          </cell>
          <cell r="AE209">
            <v>1.333681347</v>
          </cell>
          <cell r="AF209">
            <v>1.345975428</v>
          </cell>
          <cell r="AG209">
            <v>1.358433698</v>
          </cell>
          <cell r="AH209">
            <v>1.3709962250000001</v>
          </cell>
          <cell r="AI209">
            <v>1.3836718990000001</v>
          </cell>
          <cell r="AJ209">
            <v>1.396481241</v>
          </cell>
          <cell r="AK209">
            <v>1.4094681950000001</v>
          </cell>
          <cell r="AL209">
            <v>1.422628142</v>
          </cell>
          <cell r="AM209">
            <v>1.4359673079999999</v>
          </cell>
          <cell r="AN209">
            <v>1.44949146</v>
          </cell>
          <cell r="AO209">
            <v>1.463204159</v>
          </cell>
          <cell r="AP209">
            <v>1.476882247</v>
          </cell>
          <cell r="AQ209">
            <v>1.4906304930000001</v>
          </cell>
          <cell r="AR209">
            <v>1.504488526</v>
          </cell>
          <cell r="AS209">
            <v>1.518475247</v>
          </cell>
          <cell r="AT209">
            <v>1.5326031369999999</v>
          </cell>
          <cell r="AU209">
            <v>1.5469169760000001</v>
          </cell>
          <cell r="AV209">
            <v>1.561397336</v>
          </cell>
          <cell r="AW209">
            <v>1.576043817</v>
          </cell>
          <cell r="AX209">
            <v>1.5908584059999999</v>
          </cell>
          <cell r="AY209">
            <v>1.605842298</v>
          </cell>
          <cell r="AZ209">
            <v>1.621154429</v>
          </cell>
          <cell r="BA209">
            <v>1.6366795430000001</v>
          </cell>
          <cell r="BB209">
            <v>1.6523904890000001</v>
          </cell>
          <cell r="BC209">
            <v>1.668278924</v>
          </cell>
          <cell r="BD209">
            <v>1.684340033</v>
          </cell>
          <cell r="BE209">
            <v>2.0573651060000002</v>
          </cell>
          <cell r="BF209">
            <v>2.086709532</v>
          </cell>
          <cell r="BG209">
            <v>2.1165431620000001</v>
          </cell>
          <cell r="BH209">
            <v>2.146877581</v>
          </cell>
          <cell r="BI209">
            <v>2.1777251980000001</v>
          </cell>
        </row>
        <row r="212">
          <cell r="E212" t="str">
            <v>YG_toe_cfut_2</v>
          </cell>
          <cell r="F212">
            <v>41.44451128</v>
          </cell>
          <cell r="G212">
            <v>41.505194330000002</v>
          </cell>
          <cell r="H212">
            <v>41.58932867</v>
          </cell>
          <cell r="I212">
            <v>41.73445735</v>
          </cell>
          <cell r="J212">
            <v>41.954616889999997</v>
          </cell>
          <cell r="K212">
            <v>42.245034230000002</v>
          </cell>
          <cell r="L212">
            <v>42.573778820000001</v>
          </cell>
          <cell r="M212">
            <v>42.944248450000003</v>
          </cell>
          <cell r="N212">
            <v>43.348354870000001</v>
          </cell>
          <cell r="O212">
            <v>43.779021640000003</v>
          </cell>
          <cell r="P212">
            <v>44.265660169999997</v>
          </cell>
          <cell r="Q212">
            <v>44.740678559999999</v>
          </cell>
          <cell r="R212">
            <v>45.225504620000002</v>
          </cell>
          <cell r="S212">
            <v>45.719263009999999</v>
          </cell>
          <cell r="T212">
            <v>46.220434570000002</v>
          </cell>
          <cell r="U212">
            <v>46.727792530000002</v>
          </cell>
          <cell r="V212">
            <v>47.236380169999997</v>
          </cell>
          <cell r="W212">
            <v>47.749187569999997</v>
          </cell>
          <cell r="X212">
            <v>48.266133060000001</v>
          </cell>
          <cell r="Y212">
            <v>48.787121630000001</v>
          </cell>
          <cell r="Z212">
            <v>49.286749299999997</v>
          </cell>
          <cell r="AA212">
            <v>49.808168129999999</v>
          </cell>
          <cell r="AB212">
            <v>50.336078620000002</v>
          </cell>
          <cell r="AC212">
            <v>50.869638440000003</v>
          </cell>
          <cell r="AD212">
            <v>51.408817990000003</v>
          </cell>
          <cell r="AE212">
            <v>51.8812651</v>
          </cell>
          <cell r="AF212">
            <v>52.37725064</v>
          </cell>
          <cell r="AG212">
            <v>52.874909279999997</v>
          </cell>
          <cell r="AH212">
            <v>53.374341350000002</v>
          </cell>
          <cell r="AI212">
            <v>53.876624390000003</v>
          </cell>
          <cell r="AJ212">
            <v>54.382850509999997</v>
          </cell>
          <cell r="AK212">
            <v>54.894836179999999</v>
          </cell>
          <cell r="AL212">
            <v>55.412476669999997</v>
          </cell>
          <cell r="AM212">
            <v>55.936201109999999</v>
          </cell>
          <cell r="AN212">
            <v>56.466317910000001</v>
          </cell>
          <cell r="AO212">
            <v>57.003021859999997</v>
          </cell>
          <cell r="AP212">
            <v>57.537349069999998</v>
          </cell>
          <cell r="AQ212">
            <v>58.074178799999999</v>
          </cell>
          <cell r="AR212">
            <v>58.614527270000004</v>
          </cell>
          <cell r="AS212">
            <v>59.159035850000002</v>
          </cell>
          <cell r="AT212">
            <v>59.70822416</v>
          </cell>
          <cell r="AU212">
            <v>60.263813050000003</v>
          </cell>
          <cell r="AV212">
            <v>60.825049749999998</v>
          </cell>
          <cell r="AW212">
            <v>61.39210276</v>
          </cell>
          <cell r="AX212">
            <v>61.96510258</v>
          </cell>
          <cell r="AY212">
            <v>62.544111610000002</v>
          </cell>
          <cell r="AZ212">
            <v>63.135014179999999</v>
          </cell>
          <cell r="BA212">
            <v>63.733026389999999</v>
          </cell>
          <cell r="BB212">
            <v>64.337676139999999</v>
          </cell>
          <cell r="BC212">
            <v>64.948710509999998</v>
          </cell>
          <cell r="BD212">
            <v>65.565909680000004</v>
          </cell>
          <cell r="BE212">
            <v>79.759657880000006</v>
          </cell>
          <cell r="BF212">
            <v>80.877687420000001</v>
          </cell>
          <cell r="BG212">
            <v>82.013431510000004</v>
          </cell>
          <cell r="BH212">
            <v>83.167382599999996</v>
          </cell>
          <cell r="BI212">
            <v>84.340058659999997</v>
          </cell>
        </row>
        <row r="215">
          <cell r="E215" t="str">
            <v>YG_toe_cfuh_2</v>
          </cell>
          <cell r="F215">
            <v>7.8280288809999998</v>
          </cell>
          <cell r="G215">
            <v>7.8456076379999997</v>
          </cell>
          <cell r="H215">
            <v>7.8662838239999999</v>
          </cell>
          <cell r="I215">
            <v>7.8923931539999996</v>
          </cell>
          <cell r="J215">
            <v>7.926119323</v>
          </cell>
          <cell r="K215">
            <v>7.9673189930000001</v>
          </cell>
          <cell r="L215">
            <v>8.0140755479999992</v>
          </cell>
          <cell r="M215">
            <v>8.0680751369999992</v>
          </cell>
          <cell r="N215">
            <v>8.1283591309999998</v>
          </cell>
          <cell r="O215">
            <v>8.1935404439999999</v>
          </cell>
          <cell r="P215">
            <v>8.2690196050000004</v>
          </cell>
          <cell r="Q215">
            <v>8.3428047910000007</v>
          </cell>
          <cell r="R215">
            <v>8.4174276070000005</v>
          </cell>
          <cell r="S215">
            <v>8.4930622180000004</v>
          </cell>
          <cell r="T215">
            <v>8.5695845199999994</v>
          </cell>
          <cell r="U215">
            <v>8.6468158989999999</v>
          </cell>
          <cell r="V215">
            <v>8.7241754510000007</v>
          </cell>
          <cell r="W215">
            <v>8.8020044229999996</v>
          </cell>
          <cell r="X215">
            <v>8.880367648</v>
          </cell>
          <cell r="Y215">
            <v>8.9593162159999995</v>
          </cell>
          <cell r="Z215">
            <v>9.0341628759999999</v>
          </cell>
          <cell r="AA215">
            <v>9.1125600989999995</v>
          </cell>
          <cell r="AB215">
            <v>9.1925305789999996</v>
          </cell>
          <cell r="AC215">
            <v>9.2737269680000001</v>
          </cell>
          <cell r="AD215">
            <v>9.3560808120000001</v>
          </cell>
          <cell r="AE215">
            <v>9.4261314990000002</v>
          </cell>
          <cell r="AF215">
            <v>9.4992385170000002</v>
          </cell>
          <cell r="AG215">
            <v>9.5732193100000007</v>
          </cell>
          <cell r="AH215">
            <v>9.6479319920000002</v>
          </cell>
          <cell r="AI215">
            <v>9.723477162</v>
          </cell>
          <cell r="AJ215">
            <v>9.8000032969999999</v>
          </cell>
          <cell r="AK215">
            <v>9.877753663</v>
          </cell>
          <cell r="AL215">
            <v>9.9567503130000006</v>
          </cell>
          <cell r="AM215">
            <v>10.0370553</v>
          </cell>
          <cell r="AN215">
            <v>10.118714110000001</v>
          </cell>
          <cell r="AO215">
            <v>10.201754940000001</v>
          </cell>
          <cell r="AP215">
            <v>10.284015370000001</v>
          </cell>
          <cell r="AQ215">
            <v>10.36662181</v>
          </cell>
          <cell r="AR215">
            <v>10.449968520000001</v>
          </cell>
          <cell r="AS215">
            <v>10.534250139999999</v>
          </cell>
          <cell r="AT215">
            <v>10.61958621</v>
          </cell>
          <cell r="AU215">
            <v>10.70621431</v>
          </cell>
          <cell r="AV215">
            <v>10.79407926</v>
          </cell>
          <cell r="AW215">
            <v>10.88320534</v>
          </cell>
          <cell r="AX215">
            <v>10.973609679999999</v>
          </cell>
          <cell r="AY215">
            <v>11.065303070000001</v>
          </cell>
          <cell r="AZ215">
            <v>11.15909252</v>
          </cell>
          <cell r="BA215">
            <v>11.25443241</v>
          </cell>
          <cell r="BB215">
            <v>11.35121818</v>
          </cell>
          <cell r="BC215">
            <v>11.44940547</v>
          </cell>
          <cell r="BD215">
            <v>11.548966180000001</v>
          </cell>
          <cell r="BE215">
            <v>13.19740314</v>
          </cell>
          <cell r="BF215">
            <v>13.36274448</v>
          </cell>
          <cell r="BG215">
            <v>13.530779470000001</v>
          </cell>
          <cell r="BH215">
            <v>13.7015577</v>
          </cell>
          <cell r="BI215">
            <v>13.87513983</v>
          </cell>
        </row>
        <row r="217">
          <cell r="E217" t="str">
            <v>YG_toe_cgas_2</v>
          </cell>
          <cell r="F217">
            <v>6.3853632830000002</v>
          </cell>
          <cell r="G217">
            <v>6.4462182370000001</v>
          </cell>
          <cell r="H217">
            <v>6.4698489759999998</v>
          </cell>
          <cell r="I217">
            <v>6.4772640199999998</v>
          </cell>
          <cell r="J217">
            <v>6.4752624780000003</v>
          </cell>
          <cell r="K217">
            <v>6.4655531210000001</v>
          </cell>
          <cell r="L217">
            <v>6.4501588019999998</v>
          </cell>
          <cell r="M217">
            <v>6.4370144810000003</v>
          </cell>
          <cell r="N217">
            <v>6.425623517</v>
          </cell>
          <cell r="O217">
            <v>6.415215291</v>
          </cell>
          <cell r="P217">
            <v>6.4125762000000002</v>
          </cell>
          <cell r="Q217">
            <v>6.4015517339999999</v>
          </cell>
          <cell r="R217">
            <v>6.3912039729999996</v>
          </cell>
          <cell r="S217">
            <v>6.3815680700000001</v>
          </cell>
          <cell r="T217">
            <v>6.3728165629999998</v>
          </cell>
          <cell r="U217">
            <v>6.3650090669999999</v>
          </cell>
          <cell r="V217">
            <v>6.3572869760000001</v>
          </cell>
          <cell r="W217">
            <v>6.3507706050000001</v>
          </cell>
          <cell r="X217">
            <v>6.3453427040000001</v>
          </cell>
          <cell r="Y217">
            <v>6.3409225850000004</v>
          </cell>
          <cell r="Z217">
            <v>6.3325772330000003</v>
          </cell>
          <cell r="AA217">
            <v>6.3305577089999998</v>
          </cell>
          <cell r="AB217">
            <v>6.3291544699999998</v>
          </cell>
          <cell r="AC217">
            <v>6.3283038820000002</v>
          </cell>
          <cell r="AD217">
            <v>6.3277978370000003</v>
          </cell>
          <cell r="AE217">
            <v>6.3140848040000002</v>
          </cell>
          <cell r="AF217">
            <v>6.3099998209999999</v>
          </cell>
          <cell r="AG217">
            <v>6.3064824589999997</v>
          </cell>
          <cell r="AH217">
            <v>6.3035339290000003</v>
          </cell>
          <cell r="AI217">
            <v>6.3007619000000004</v>
          </cell>
          <cell r="AJ217">
            <v>6.2978519799999999</v>
          </cell>
          <cell r="AK217">
            <v>6.2947950390000003</v>
          </cell>
          <cell r="AL217">
            <v>6.2912113190000003</v>
          </cell>
          <cell r="AM217">
            <v>6.2870472580000003</v>
          </cell>
          <cell r="AN217">
            <v>6.2822778289999999</v>
          </cell>
          <cell r="AO217">
            <v>6.2769066950000001</v>
          </cell>
          <cell r="AP217">
            <v>6.2697836389999999</v>
          </cell>
          <cell r="AQ217">
            <v>6.2623118729999998</v>
          </cell>
          <cell r="AR217">
            <v>6.2546182300000002</v>
          </cell>
          <cell r="AS217">
            <v>6.2467679829999998</v>
          </cell>
          <cell r="AT217">
            <v>6.2387610880000004</v>
          </cell>
          <cell r="AU217">
            <v>6.2308601589999997</v>
          </cell>
          <cell r="AV217">
            <v>6.2226968290000002</v>
          </cell>
          <cell r="AW217">
            <v>6.2142830599999996</v>
          </cell>
          <cell r="AX217">
            <v>6.2056214489999997</v>
          </cell>
          <cell r="AY217">
            <v>6.1967236540000004</v>
          </cell>
          <cell r="AZ217">
            <v>6.1888348180000001</v>
          </cell>
          <cell r="BA217">
            <v>6.1805307850000002</v>
          </cell>
          <cell r="BB217">
            <v>6.1719537779999998</v>
          </cell>
          <cell r="BC217">
            <v>6.1631646089999998</v>
          </cell>
          <cell r="BD217">
            <v>6.1542144350000001</v>
          </cell>
          <cell r="BE217">
            <v>6.2656216210000002</v>
          </cell>
          <cell r="BF217">
            <v>6.2765990770000002</v>
          </cell>
          <cell r="BG217">
            <v>6.2882836400000004</v>
          </cell>
          <cell r="BH217">
            <v>6.3006207659999998</v>
          </cell>
          <cell r="BI217">
            <v>6.3135823980000003</v>
          </cell>
        </row>
        <row r="223">
          <cell r="E223" t="str">
            <v>YG_toe_cele_2</v>
          </cell>
          <cell r="F223">
            <v>56.369064600000002</v>
          </cell>
          <cell r="G223">
            <v>56.540370129999999</v>
          </cell>
          <cell r="H223">
            <v>56.791563590000003</v>
          </cell>
          <cell r="I223">
            <v>57.117847589999997</v>
          </cell>
          <cell r="J223">
            <v>57.525315720000002</v>
          </cell>
          <cell r="K223">
            <v>58.005351589999997</v>
          </cell>
          <cell r="L223">
            <v>58.52493999</v>
          </cell>
          <cell r="M223">
            <v>59.089568280000002</v>
          </cell>
          <cell r="N223">
            <v>59.688446239999998</v>
          </cell>
          <cell r="O223">
            <v>60.310478199999999</v>
          </cell>
          <cell r="P223">
            <v>61.000397749999998</v>
          </cell>
          <cell r="Q223">
            <v>61.657897589999997</v>
          </cell>
          <cell r="R223">
            <v>62.309680659999998</v>
          </cell>
          <cell r="S223">
            <v>62.957436289999997</v>
          </cell>
          <cell r="T223">
            <v>63.600984330000003</v>
          </cell>
          <cell r="U223">
            <v>64.240270570000007</v>
          </cell>
          <cell r="V223">
            <v>64.870684400000002</v>
          </cell>
          <cell r="W223">
            <v>65.497172860000006</v>
          </cell>
          <cell r="X223">
            <v>66.121510659999998</v>
          </cell>
          <cell r="Y223">
            <v>66.745404219999998</v>
          </cell>
          <cell r="Z223">
            <v>67.331501779999996</v>
          </cell>
          <cell r="AA223">
            <v>67.946358570000001</v>
          </cell>
          <cell r="AB223">
            <v>68.571945830000004</v>
          </cell>
          <cell r="AC223">
            <v>69.207079719999996</v>
          </cell>
          <cell r="AD223">
            <v>69.852423529999996</v>
          </cell>
          <cell r="AE223">
            <v>70.397740589999998</v>
          </cell>
          <cell r="AF223">
            <v>70.97719884</v>
          </cell>
          <cell r="AG223">
            <v>71.567557050000005</v>
          </cell>
          <cell r="AH223">
            <v>72.168790920000006</v>
          </cell>
          <cell r="AI223">
            <v>72.782602330000003</v>
          </cell>
          <cell r="AJ223">
            <v>73.410684779999997</v>
          </cell>
          <cell r="AK223">
            <v>74.055502840000003</v>
          </cell>
          <cell r="AL223">
            <v>74.717096260000005</v>
          </cell>
          <cell r="AM223">
            <v>75.395904830000006</v>
          </cell>
          <cell r="AN223">
            <v>76.092124029999994</v>
          </cell>
          <cell r="AO223">
            <v>76.805713760000003</v>
          </cell>
          <cell r="AP223">
            <v>77.520118289999999</v>
          </cell>
          <cell r="AQ223">
            <v>78.24384044</v>
          </cell>
          <cell r="AR223">
            <v>78.979173790000004</v>
          </cell>
          <cell r="AS223">
            <v>79.727143369999993</v>
          </cell>
          <cell r="AT223">
            <v>80.488336309999994</v>
          </cell>
          <cell r="AU223">
            <v>81.264717840000003</v>
          </cell>
          <cell r="AV223">
            <v>82.055296490000003</v>
          </cell>
          <cell r="AW223">
            <v>82.860073529999994</v>
          </cell>
          <cell r="AX223">
            <v>83.679037660000006</v>
          </cell>
          <cell r="AY223">
            <v>84.512158600000006</v>
          </cell>
          <cell r="AZ223">
            <v>85.367079489999995</v>
          </cell>
          <cell r="BA223">
            <v>86.238025100000002</v>
          </cell>
          <cell r="BB223">
            <v>87.124062559999999</v>
          </cell>
          <cell r="BC223">
            <v>88.024782329999994</v>
          </cell>
          <cell r="BD223">
            <v>88.939959369999997</v>
          </cell>
          <cell r="BE223">
            <v>100.3150411</v>
          </cell>
          <cell r="BF223">
            <v>101.6970796</v>
          </cell>
          <cell r="BG223">
            <v>103.1047011</v>
          </cell>
          <cell r="BH223">
            <v>104.53813890000001</v>
          </cell>
          <cell r="BI223">
            <v>105.99762610000001</v>
          </cell>
        </row>
        <row r="233">
          <cell r="E233" t="str">
            <v>YG_toe_chea_2</v>
          </cell>
          <cell r="F233">
            <v>5.6530148420000002</v>
          </cell>
          <cell r="G233">
            <v>5.6987997469999998</v>
          </cell>
          <cell r="H233">
            <v>5.7588791410000004</v>
          </cell>
          <cell r="I233">
            <v>5.8257180770000003</v>
          </cell>
          <cell r="J233">
            <v>5.897936166</v>
          </cell>
          <cell r="K233">
            <v>5.9755737900000003</v>
          </cell>
          <cell r="L233">
            <v>6.0486430020000004</v>
          </cell>
          <cell r="M233">
            <v>6.1174975280000004</v>
          </cell>
          <cell r="N233">
            <v>6.1839532459999997</v>
          </cell>
          <cell r="O233">
            <v>6.2494608710000001</v>
          </cell>
          <cell r="P233">
            <v>6.3238092779999997</v>
          </cell>
          <cell r="Q233">
            <v>6.3928160189999996</v>
          </cell>
          <cell r="R233">
            <v>6.4601066960000004</v>
          </cell>
          <cell r="S233">
            <v>6.5268971340000004</v>
          </cell>
          <cell r="T233">
            <v>6.5936171950000002</v>
          </cell>
          <cell r="U233">
            <v>6.6604092850000001</v>
          </cell>
          <cell r="V233">
            <v>6.7270400690000001</v>
          </cell>
          <cell r="W233">
            <v>6.79369727</v>
          </cell>
          <cell r="X233">
            <v>6.8604365209999996</v>
          </cell>
          <cell r="Y233">
            <v>6.927304565</v>
          </cell>
          <cell r="Z233">
            <v>6.9882217229999997</v>
          </cell>
          <cell r="AA233">
            <v>7.05307598</v>
          </cell>
          <cell r="AB233">
            <v>7.1196369629999996</v>
          </cell>
          <cell r="AC233">
            <v>7.187172447</v>
          </cell>
          <cell r="AD233">
            <v>7.2554299550000003</v>
          </cell>
          <cell r="AE233">
            <v>7.30730989</v>
          </cell>
          <cell r="AF233">
            <v>7.3621572410000002</v>
          </cell>
          <cell r="AG233">
            <v>7.4182933889999996</v>
          </cell>
          <cell r="AH233">
            <v>7.4753117309999997</v>
          </cell>
          <cell r="AI233">
            <v>7.5331001290000001</v>
          </cell>
          <cell r="AJ233">
            <v>7.5916386740000004</v>
          </cell>
          <cell r="AK233">
            <v>7.6510021899999998</v>
          </cell>
          <cell r="AL233">
            <v>7.7111740129999999</v>
          </cell>
          <cell r="AM233">
            <v>7.7721652209999998</v>
          </cell>
          <cell r="AN233">
            <v>7.8339840069999997</v>
          </cell>
          <cell r="AO233">
            <v>7.8966311820000001</v>
          </cell>
          <cell r="AP233">
            <v>7.9568315399999996</v>
          </cell>
          <cell r="AQ233">
            <v>8.01646635</v>
          </cell>
          <cell r="AR233">
            <v>8.0762761029999997</v>
          </cell>
          <cell r="AS233">
            <v>8.1365669759999992</v>
          </cell>
          <cell r="AT233">
            <v>8.1974656560000003</v>
          </cell>
          <cell r="AU233">
            <v>8.2591044300000007</v>
          </cell>
          <cell r="AV233">
            <v>8.3214453689999992</v>
          </cell>
          <cell r="AW233">
            <v>8.3844862110000005</v>
          </cell>
          <cell r="AX233">
            <v>8.4482127550000001</v>
          </cell>
          <cell r="AY233">
            <v>8.5126157360000008</v>
          </cell>
          <cell r="AZ233">
            <v>8.5782797130000006</v>
          </cell>
          <cell r="BA233">
            <v>8.6448137860000003</v>
          </cell>
          <cell r="BB233">
            <v>8.7121009350000005</v>
          </cell>
          <cell r="BC233">
            <v>8.7800919289999992</v>
          </cell>
          <cell r="BD233">
            <v>8.8487602130000003</v>
          </cell>
          <cell r="BE233">
            <v>9.5287003880000007</v>
          </cell>
          <cell r="BF233">
            <v>9.6281772360000009</v>
          </cell>
          <cell r="BG233">
            <v>9.7291266630000006</v>
          </cell>
          <cell r="BH233">
            <v>9.831553778</v>
          </cell>
          <cell r="BI233">
            <v>9.9354808410000004</v>
          </cell>
        </row>
        <row r="235">
          <cell r="E235" t="str">
            <v>YG_toe_cbio_2</v>
          </cell>
          <cell r="F235">
            <v>11.093295299999999</v>
          </cell>
          <cell r="G235">
            <v>11.115449529999999</v>
          </cell>
          <cell r="H235">
            <v>11.125113649999999</v>
          </cell>
          <cell r="I235">
            <v>11.135640779999999</v>
          </cell>
          <cell r="J235">
            <v>11.15278621</v>
          </cell>
          <cell r="K235">
            <v>11.17703631</v>
          </cell>
          <cell r="L235">
            <v>11.206982549999999</v>
          </cell>
          <cell r="M235">
            <v>11.24355663</v>
          </cell>
          <cell r="N235">
            <v>11.28606443</v>
          </cell>
          <cell r="O235">
            <v>11.33310176</v>
          </cell>
          <cell r="P235">
            <v>11.392075050000001</v>
          </cell>
          <cell r="Q235">
            <v>11.44764831</v>
          </cell>
          <cell r="R235">
            <v>11.50231335</v>
          </cell>
          <cell r="S235">
            <v>11.55670916</v>
          </cell>
          <cell r="T235">
            <v>11.610997859999999</v>
          </cell>
          <cell r="U235">
            <v>11.66521024</v>
          </cell>
          <cell r="V235">
            <v>11.71897354</v>
          </cell>
          <cell r="W235">
            <v>11.77260581</v>
          </cell>
          <cell r="X235">
            <v>11.826186720000001</v>
          </cell>
          <cell r="Y235">
            <v>11.87982418</v>
          </cell>
          <cell r="Z235">
            <v>11.92751949</v>
          </cell>
          <cell r="AA235">
            <v>11.979045299999999</v>
          </cell>
          <cell r="AB235">
            <v>12.032445450000001</v>
          </cell>
          <cell r="AC235">
            <v>12.08711036</v>
          </cell>
          <cell r="AD235">
            <v>12.14286257</v>
          </cell>
          <cell r="AE235">
            <v>12.182585059999999</v>
          </cell>
          <cell r="AF235">
            <v>12.225257750000001</v>
          </cell>
          <cell r="AG235">
            <v>12.26946824</v>
          </cell>
          <cell r="AH235">
            <v>12.314961609999999</v>
          </cell>
          <cell r="AI235">
            <v>12.361733129999999</v>
          </cell>
          <cell r="AJ235">
            <v>12.40985021</v>
          </cell>
          <cell r="AK235">
            <v>12.459474719999999</v>
          </cell>
          <cell r="AL235">
            <v>12.510602110000001</v>
          </cell>
          <cell r="AM235">
            <v>12.563255760000001</v>
          </cell>
          <cell r="AN235">
            <v>12.61744365</v>
          </cell>
          <cell r="AO235">
            <v>12.67315683</v>
          </cell>
          <cell r="AP235">
            <v>12.727285630000001</v>
          </cell>
          <cell r="AQ235">
            <v>12.781400120000001</v>
          </cell>
          <cell r="AR235">
            <v>12.836200160000001</v>
          </cell>
          <cell r="AS235">
            <v>12.891991170000001</v>
          </cell>
          <cell r="AT235">
            <v>12.948906389999999</v>
          </cell>
          <cell r="AU235">
            <v>13.007126</v>
          </cell>
          <cell r="AV235">
            <v>13.066587030000001</v>
          </cell>
          <cell r="AW235">
            <v>13.12728718</v>
          </cell>
          <cell r="AX235">
            <v>13.18920887</v>
          </cell>
          <cell r="AY235">
            <v>13.25233946</v>
          </cell>
          <cell r="AZ235">
            <v>13.317407340000001</v>
          </cell>
          <cell r="BA235">
            <v>13.383918189999999</v>
          </cell>
          <cell r="BB235">
            <v>13.45173482</v>
          </cell>
          <cell r="BC235">
            <v>13.52079444</v>
          </cell>
          <cell r="BD235">
            <v>13.591061639999999</v>
          </cell>
          <cell r="BE235">
            <v>14.15840839</v>
          </cell>
          <cell r="BF235">
            <v>14.268085299999999</v>
          </cell>
          <cell r="BG235">
            <v>14.38012975</v>
          </cell>
          <cell r="BH235">
            <v>14.49452866</v>
          </cell>
          <cell r="BI235">
            <v>14.61129745</v>
          </cell>
        </row>
        <row r="238">
          <cell r="E238" t="str">
            <v>YG_toe_cote_2</v>
          </cell>
          <cell r="F238">
            <v>13.345890150000001</v>
          </cell>
          <cell r="G238">
            <v>13.41547733</v>
          </cell>
          <cell r="H238">
            <v>13.53172174</v>
          </cell>
          <cell r="I238">
            <v>13.66707572</v>
          </cell>
          <cell r="J238">
            <v>13.81751993</v>
          </cell>
          <cell r="K238">
            <v>13.980939019999999</v>
          </cell>
          <cell r="L238">
            <v>14.1446621</v>
          </cell>
          <cell r="M238">
            <v>14.31489315</v>
          </cell>
          <cell r="N238">
            <v>14.49091582</v>
          </cell>
          <cell r="O238">
            <v>14.67167733</v>
          </cell>
          <cell r="P238">
            <v>14.8736344</v>
          </cell>
          <cell r="Q238">
            <v>15.062708539999999</v>
          </cell>
          <cell r="R238">
            <v>15.25234794</v>
          </cell>
          <cell r="S238">
            <v>15.443417180000001</v>
          </cell>
          <cell r="T238">
            <v>15.63598176</v>
          </cell>
          <cell r="U238">
            <v>15.830042629999999</v>
          </cell>
          <cell r="V238">
            <v>16.023393250000002</v>
          </cell>
          <cell r="W238">
            <v>16.218206909999999</v>
          </cell>
          <cell r="X238">
            <v>16.41483229</v>
          </cell>
          <cell r="Y238">
            <v>16.613511379999998</v>
          </cell>
          <cell r="Z238">
            <v>16.801893209999999</v>
          </cell>
          <cell r="AA238">
            <v>17.002749980000001</v>
          </cell>
          <cell r="AB238">
            <v>17.207597530000001</v>
          </cell>
          <cell r="AC238">
            <v>17.415873609999998</v>
          </cell>
          <cell r="AD238">
            <v>17.627587699999999</v>
          </cell>
          <cell r="AE238">
            <v>17.80697799</v>
          </cell>
          <cell r="AF238">
            <v>18.002233929999999</v>
          </cell>
          <cell r="AG238">
            <v>18.20102086</v>
          </cell>
          <cell r="AH238">
            <v>18.40280709</v>
          </cell>
          <cell r="AI238">
            <v>18.607750660000001</v>
          </cell>
          <cell r="AJ238">
            <v>18.816084069999999</v>
          </cell>
          <cell r="AK238">
            <v>19.02850561</v>
          </cell>
          <cell r="AL238">
            <v>19.244693550000001</v>
          </cell>
          <cell r="AM238">
            <v>19.464684599999998</v>
          </cell>
          <cell r="AN238">
            <v>19.6884999</v>
          </cell>
          <cell r="AO238">
            <v>19.91613233</v>
          </cell>
          <cell r="AP238">
            <v>20.143518780000001</v>
          </cell>
          <cell r="AQ238">
            <v>20.37320055</v>
          </cell>
          <cell r="AR238">
            <v>20.605605990000001</v>
          </cell>
          <cell r="AS238">
            <v>20.840921340000001</v>
          </cell>
          <cell r="AT238">
            <v>21.07926226</v>
          </cell>
          <cell r="AU238">
            <v>21.321426370000001</v>
          </cell>
          <cell r="AV238">
            <v>21.56684503</v>
          </cell>
          <cell r="AW238">
            <v>21.815508860000001</v>
          </cell>
          <cell r="AX238">
            <v>22.067432759999999</v>
          </cell>
          <cell r="AY238">
            <v>22.322627600000001</v>
          </cell>
          <cell r="AZ238">
            <v>22.58427107</v>
          </cell>
          <cell r="BA238">
            <v>22.849647149999999</v>
          </cell>
          <cell r="BB238">
            <v>23.11850068</v>
          </cell>
          <cell r="BC238">
            <v>23.390764950000001</v>
          </cell>
          <cell r="BD238">
            <v>23.66641396</v>
          </cell>
          <cell r="BE238">
            <v>29.933448439999999</v>
          </cell>
          <cell r="BF238">
            <v>30.42883411</v>
          </cell>
          <cell r="BG238">
            <v>30.932684080000001</v>
          </cell>
          <cell r="BH238">
            <v>31.445132619999999</v>
          </cell>
          <cell r="BI238">
            <v>31.966317310000001</v>
          </cell>
        </row>
        <row r="241">
          <cell r="E241" t="str">
            <v>YG_toe_0</v>
          </cell>
          <cell r="F241">
            <v>148.75390949999999</v>
          </cell>
          <cell r="G241">
            <v>149.9412346</v>
          </cell>
          <cell r="H241">
            <v>151.04358999999999</v>
          </cell>
          <cell r="I241">
            <v>152.2154621</v>
          </cell>
          <cell r="J241">
            <v>153.5049544</v>
          </cell>
          <cell r="K241">
            <v>154.9279942</v>
          </cell>
          <cell r="L241">
            <v>156.3904393</v>
          </cell>
          <cell r="M241">
            <v>157.9308772</v>
          </cell>
          <cell r="N241">
            <v>159.53738480000001</v>
          </cell>
          <cell r="O241">
            <v>161.19526310000001</v>
          </cell>
          <cell r="P241">
            <v>163.04248150000001</v>
          </cell>
          <cell r="Q241">
            <v>164.81736559999999</v>
          </cell>
          <cell r="R241">
            <v>166.5995609</v>
          </cell>
          <cell r="S241">
            <v>168.39561699999999</v>
          </cell>
          <cell r="T241">
            <v>170.2067758</v>
          </cell>
          <cell r="U241">
            <v>172.0335115</v>
          </cell>
          <cell r="V241">
            <v>173.87654810000001</v>
          </cell>
          <cell r="W241">
            <v>175.73701130000001</v>
          </cell>
          <cell r="X241">
            <v>177.61636469999999</v>
          </cell>
          <cell r="Y241">
            <v>179.51629829999999</v>
          </cell>
          <cell r="Z241">
            <v>181.3294439</v>
          </cell>
          <cell r="AA241">
            <v>183.2430434</v>
          </cell>
          <cell r="AB241">
            <v>185.1962566</v>
          </cell>
          <cell r="AC241">
            <v>187.18375700000001</v>
          </cell>
          <cell r="AD241">
            <v>189.20489929999999</v>
          </cell>
          <cell r="AE241">
            <v>190.94736349999999</v>
          </cell>
          <cell r="AF241">
            <v>192.79503209999999</v>
          </cell>
          <cell r="AG241">
            <v>194.67021009999999</v>
          </cell>
          <cell r="AH241">
            <v>196.57115469999999</v>
          </cell>
          <cell r="AI241">
            <v>198.50022580000001</v>
          </cell>
          <cell r="AJ241">
            <v>200.46025069999999</v>
          </cell>
          <cell r="AK241">
            <v>202.4535951</v>
          </cell>
          <cell r="AL241">
            <v>204.4819536</v>
          </cell>
          <cell r="AM241">
            <v>206.54637840000001</v>
          </cell>
          <cell r="AN241">
            <v>208.647391</v>
          </cell>
          <cell r="AO241">
            <v>210.7851177</v>
          </cell>
          <cell r="AP241">
            <v>212.8848844</v>
          </cell>
          <cell r="AQ241">
            <v>214.99802779999999</v>
          </cell>
          <cell r="AR241">
            <v>217.13295020000001</v>
          </cell>
          <cell r="AS241">
            <v>219.29347609999999</v>
          </cell>
          <cell r="AT241">
            <v>221.4820483</v>
          </cell>
          <cell r="AU241">
            <v>223.70051230000001</v>
          </cell>
          <cell r="AV241">
            <v>225.95031499999999</v>
          </cell>
          <cell r="AW241">
            <v>228.23256960000001</v>
          </cell>
          <cell r="AX241">
            <v>230.5480508</v>
          </cell>
          <cell r="AY241">
            <v>232.89707430000001</v>
          </cell>
          <cell r="AZ241">
            <v>235.285338</v>
          </cell>
          <cell r="BA241">
            <v>237.7037047</v>
          </cell>
          <cell r="BB241">
            <v>240.1489459</v>
          </cell>
          <cell r="BC241">
            <v>242.62557570000001</v>
          </cell>
          <cell r="BD241">
            <v>245.13779400000001</v>
          </cell>
          <cell r="BE241">
            <v>263.32302049999998</v>
          </cell>
          <cell r="BF241">
            <v>266.90438410000002</v>
          </cell>
          <cell r="BG241">
            <v>270.54608409999997</v>
          </cell>
          <cell r="BH241">
            <v>274.249459</v>
          </cell>
          <cell r="BI241">
            <v>278.01577370000001</v>
          </cell>
        </row>
        <row r="242">
          <cell r="E242" t="str">
            <v>YG_toe_ccoa_0</v>
          </cell>
          <cell r="F242">
            <v>2.3953103800000002</v>
          </cell>
          <cell r="G242">
            <v>2.420634588</v>
          </cell>
          <cell r="H242">
            <v>2.447536323</v>
          </cell>
          <cell r="I242">
            <v>2.4770827469999999</v>
          </cell>
          <cell r="J242">
            <v>2.5093666809999999</v>
          </cell>
          <cell r="K242">
            <v>2.544174033</v>
          </cell>
          <cell r="L242">
            <v>2.5796162549999999</v>
          </cell>
          <cell r="M242">
            <v>2.6163531610000001</v>
          </cell>
          <cell r="N242">
            <v>2.6543178219999999</v>
          </cell>
          <cell r="O242">
            <v>2.6933564489999999</v>
          </cell>
          <cell r="P242">
            <v>2.7359851489999998</v>
          </cell>
          <cell r="Q242">
            <v>2.7776421330000001</v>
          </cell>
          <cell r="R242">
            <v>2.8196814450000001</v>
          </cell>
          <cell r="S242">
            <v>2.8623338139999999</v>
          </cell>
          <cell r="T242">
            <v>2.905622143</v>
          </cell>
          <cell r="U242">
            <v>2.9495423449999998</v>
          </cell>
          <cell r="V242">
            <v>2.9940955370000002</v>
          </cell>
          <cell r="W242">
            <v>3.0392911659999999</v>
          </cell>
          <cell r="X242">
            <v>3.0851447959999998</v>
          </cell>
          <cell r="Y242">
            <v>3.1316753679999998</v>
          </cell>
          <cell r="Z242">
            <v>3.176928373</v>
          </cell>
          <cell r="AA242">
            <v>3.2242513669999999</v>
          </cell>
          <cell r="AB242">
            <v>3.2726041060000002</v>
          </cell>
          <cell r="AC242">
            <v>3.3217969909999998</v>
          </cell>
          <cell r="AD242">
            <v>3.3718056760000001</v>
          </cell>
          <cell r="AE242">
            <v>3.416912119</v>
          </cell>
          <cell r="AF242">
            <v>3.464040872</v>
          </cell>
          <cell r="AG242">
            <v>3.5119538659999998</v>
          </cell>
          <cell r="AH242">
            <v>3.5604472010000001</v>
          </cell>
          <cell r="AI242">
            <v>3.609519637</v>
          </cell>
          <cell r="AJ242">
            <v>3.6592028179999998</v>
          </cell>
          <cell r="AK242">
            <v>3.7095267569999999</v>
          </cell>
          <cell r="AL242">
            <v>3.7605126699999998</v>
          </cell>
          <cell r="AM242">
            <v>3.8121724640000001</v>
          </cell>
          <cell r="AN242">
            <v>3.8645102580000001</v>
          </cell>
          <cell r="AO242">
            <v>3.9175245319999998</v>
          </cell>
          <cell r="AP242">
            <v>3.96981407</v>
          </cell>
          <cell r="AQ242">
            <v>4.0223101909999999</v>
          </cell>
          <cell r="AR242">
            <v>4.0752093790000004</v>
          </cell>
          <cell r="AS242">
            <v>4.1285652519999996</v>
          </cell>
          <cell r="AT242">
            <v>4.1824051820000001</v>
          </cell>
          <cell r="AU242">
            <v>4.2367514430000002</v>
          </cell>
          <cell r="AV242">
            <v>4.291623907</v>
          </cell>
          <cell r="AW242">
            <v>4.3470394910000003</v>
          </cell>
          <cell r="AX242">
            <v>4.4030115460000001</v>
          </cell>
          <cell r="AY242">
            <v>4.4595492029999999</v>
          </cell>
          <cell r="AZ242">
            <v>4.5167821180000001</v>
          </cell>
          <cell r="BA242">
            <v>4.5746674479999996</v>
          </cell>
          <cell r="BB242">
            <v>4.633201379</v>
          </cell>
          <cell r="BC242">
            <v>4.6923859119999998</v>
          </cell>
          <cell r="BD242">
            <v>4.7522222789999997</v>
          </cell>
          <cell r="BE242">
            <v>5.2808698180000002</v>
          </cell>
          <cell r="BF242">
            <v>5.3692964270000001</v>
          </cell>
          <cell r="BG242">
            <v>5.4590872729999997</v>
          </cell>
          <cell r="BH242">
            <v>5.5502613419999998</v>
          </cell>
          <cell r="BI242">
            <v>5.6428395079999998</v>
          </cell>
        </row>
        <row r="245">
          <cell r="E245" t="str">
            <v>YG_toe_ccoi_0</v>
          </cell>
          <cell r="F245">
            <v>1.0973689259999999</v>
          </cell>
          <cell r="G245">
            <v>1.1057038960000001</v>
          </cell>
          <cell r="H245">
            <v>1.1130509319999999</v>
          </cell>
          <cell r="I245">
            <v>1.121294832</v>
          </cell>
          <cell r="J245">
            <v>1.1309730769999999</v>
          </cell>
          <cell r="K245">
            <v>1.1421154529999999</v>
          </cell>
          <cell r="L245">
            <v>1.153956024</v>
          </cell>
          <cell r="M245">
            <v>1.166592182</v>
          </cell>
          <cell r="N245">
            <v>1.179891311</v>
          </cell>
          <cell r="O245">
            <v>1.1937072630000001</v>
          </cell>
          <cell r="P245">
            <v>1.2089186700000001</v>
          </cell>
          <cell r="Q245">
            <v>1.223835301</v>
          </cell>
          <cell r="R245">
            <v>1.2388558940000001</v>
          </cell>
          <cell r="S245">
            <v>1.2540528419999999</v>
          </cell>
          <cell r="T245">
            <v>1.2694263589999999</v>
          </cell>
          <cell r="U245">
            <v>1.2849680990000001</v>
          </cell>
          <cell r="V245">
            <v>1.3006731840000001</v>
          </cell>
          <cell r="W245">
            <v>1.3165411579999999</v>
          </cell>
          <cell r="X245">
            <v>1.332574946</v>
          </cell>
          <cell r="Y245">
            <v>1.3487797370000001</v>
          </cell>
          <cell r="Z245">
            <v>1.3644293789999999</v>
          </cell>
          <cell r="AA245">
            <v>1.3807250440000001</v>
          </cell>
          <cell r="AB245">
            <v>1.3973379239999999</v>
          </cell>
          <cell r="AC245">
            <v>1.4141959770000001</v>
          </cell>
          <cell r="AD245">
            <v>1.4312892660000001</v>
          </cell>
          <cell r="AE245">
            <v>1.4465075030000001</v>
          </cell>
          <cell r="AF245">
            <v>1.4622970449999999</v>
          </cell>
          <cell r="AG245">
            <v>1.4783070890000001</v>
          </cell>
          <cell r="AH245">
            <v>1.4944760850000001</v>
          </cell>
          <cell r="AI245">
            <v>1.5108136430000001</v>
          </cell>
          <cell r="AJ245">
            <v>1.5273411649999999</v>
          </cell>
          <cell r="AK245">
            <v>1.544078458</v>
          </cell>
          <cell r="AL245">
            <v>1.561040926</v>
          </cell>
          <cell r="AM245">
            <v>1.5782395250000001</v>
          </cell>
          <cell r="AN245">
            <v>1.5956815150000001</v>
          </cell>
          <cell r="AO245">
            <v>1.613371377</v>
          </cell>
          <cell r="AP245">
            <v>1.63080223</v>
          </cell>
          <cell r="AQ245">
            <v>1.64829322</v>
          </cell>
          <cell r="AR245">
            <v>1.665929505</v>
          </cell>
          <cell r="AS245">
            <v>1.6837411200000001</v>
          </cell>
          <cell r="AT245">
            <v>1.7017460689999999</v>
          </cell>
          <cell r="AU245">
            <v>1.719958807</v>
          </cell>
          <cell r="AV245">
            <v>1.7383914650000001</v>
          </cell>
          <cell r="AW245">
            <v>1.7570538170000001</v>
          </cell>
          <cell r="AX245">
            <v>1.7759530880000001</v>
          </cell>
          <cell r="AY245">
            <v>1.7950933259999999</v>
          </cell>
          <cell r="AZ245">
            <v>1.8145177800000001</v>
          </cell>
          <cell r="BA245">
            <v>1.8341973620000001</v>
          </cell>
          <cell r="BB245">
            <v>1.8541203479999999</v>
          </cell>
          <cell r="BC245">
            <v>1.874299159</v>
          </cell>
          <cell r="BD245">
            <v>1.894746695</v>
          </cell>
          <cell r="BE245">
            <v>2.0594486289999998</v>
          </cell>
          <cell r="BF245">
            <v>2.0887388640000002</v>
          </cell>
          <cell r="BG245">
            <v>2.118508641</v>
          </cell>
          <cell r="BH245">
            <v>2.1487698270000002</v>
          </cell>
          <cell r="BI245">
            <v>2.1795345500000001</v>
          </cell>
        </row>
        <row r="248">
          <cell r="E248" t="str">
            <v>YG_toe_cfut_0</v>
          </cell>
          <cell r="F248">
            <v>42.403763189999999</v>
          </cell>
          <cell r="G248">
            <v>42.671330269999999</v>
          </cell>
          <cell r="H248">
            <v>42.920814290000003</v>
          </cell>
          <cell r="I248">
            <v>43.221645610000003</v>
          </cell>
          <cell r="J248">
            <v>43.59053445</v>
          </cell>
          <cell r="K248">
            <v>44.022083260000002</v>
          </cell>
          <cell r="L248">
            <v>44.483522000000001</v>
          </cell>
          <cell r="M248">
            <v>44.97873319</v>
          </cell>
          <cell r="N248">
            <v>45.500559770000002</v>
          </cell>
          <cell r="O248">
            <v>46.043145780000003</v>
          </cell>
          <cell r="P248">
            <v>46.639897910000002</v>
          </cell>
          <cell r="Q248">
            <v>47.223769050000001</v>
          </cell>
          <cell r="R248">
            <v>47.81572371</v>
          </cell>
          <cell r="S248">
            <v>48.415613700000002</v>
          </cell>
          <cell r="T248">
            <v>49.022576489999999</v>
          </cell>
          <cell r="U248">
            <v>49.635924350000003</v>
          </cell>
          <cell r="V248">
            <v>50.255243350000001</v>
          </cell>
          <cell r="W248">
            <v>50.880344460000003</v>
          </cell>
          <cell r="X248">
            <v>51.511200590000001</v>
          </cell>
          <cell r="Y248">
            <v>52.147895480000003</v>
          </cell>
          <cell r="Z248">
            <v>52.762622999999998</v>
          </cell>
          <cell r="AA248">
            <v>53.403172929999997</v>
          </cell>
          <cell r="AB248">
            <v>54.052528629999998</v>
          </cell>
          <cell r="AC248">
            <v>54.709884340000002</v>
          </cell>
          <cell r="AD248">
            <v>55.375289070000001</v>
          </cell>
          <cell r="AE248">
            <v>55.968175449999997</v>
          </cell>
          <cell r="AF248">
            <v>56.587890250000001</v>
          </cell>
          <cell r="AG248">
            <v>57.211059280000001</v>
          </cell>
          <cell r="AH248">
            <v>57.837820030000003</v>
          </cell>
          <cell r="AI248">
            <v>58.46931927</v>
          </cell>
          <cell r="AJ248">
            <v>59.106717519999997</v>
          </cell>
          <cell r="AK248">
            <v>59.75097177</v>
          </cell>
          <cell r="AL248">
            <v>60.402807989999999</v>
          </cell>
          <cell r="AM248">
            <v>61.062747139999999</v>
          </cell>
          <cell r="AN248">
            <v>61.731146369999998</v>
          </cell>
          <cell r="AO248">
            <v>62.408241519999997</v>
          </cell>
          <cell r="AP248">
            <v>63.074682750000001</v>
          </cell>
          <cell r="AQ248">
            <v>63.744179369999998</v>
          </cell>
          <cell r="AR248">
            <v>64.418396849999993</v>
          </cell>
          <cell r="AS248">
            <v>65.098244010000002</v>
          </cell>
          <cell r="AT248">
            <v>65.784468110000006</v>
          </cell>
          <cell r="AU248">
            <v>66.477733479999998</v>
          </cell>
          <cell r="AV248">
            <v>67.17861207</v>
          </cell>
          <cell r="AW248">
            <v>67.887573009999997</v>
          </cell>
          <cell r="AX248">
            <v>68.60498346</v>
          </cell>
          <cell r="AY248">
            <v>69.331117460000002</v>
          </cell>
          <cell r="AZ248">
            <v>70.067921859999998</v>
          </cell>
          <cell r="BA248">
            <v>70.814276699999994</v>
          </cell>
          <cell r="BB248">
            <v>71.570129710000003</v>
          </cell>
          <cell r="BC248">
            <v>72.33553938</v>
          </cell>
          <cell r="BD248">
            <v>73.110565460000004</v>
          </cell>
          <cell r="BE248">
            <v>79.660940400000001</v>
          </cell>
          <cell r="BF248">
            <v>80.770912499999994</v>
          </cell>
          <cell r="BG248">
            <v>81.898136870000002</v>
          </cell>
          <cell r="BH248">
            <v>83.043075369999997</v>
          </cell>
          <cell r="BI248">
            <v>84.206216670000003</v>
          </cell>
        </row>
        <row r="251">
          <cell r="E251" t="str">
            <v>YG_toe_cfuh_0</v>
          </cell>
          <cell r="F251">
            <v>7.9428238850000001</v>
          </cell>
          <cell r="G251">
            <v>8.0004213390000007</v>
          </cell>
          <cell r="H251">
            <v>8.0493748969999999</v>
          </cell>
          <cell r="I251">
            <v>8.0983180380000004</v>
          </cell>
          <cell r="J251">
            <v>8.1500469340000006</v>
          </cell>
          <cell r="K251">
            <v>8.2086689140000004</v>
          </cell>
          <cell r="L251">
            <v>8.2710929110000002</v>
          </cell>
          <cell r="M251">
            <v>8.3388244910000004</v>
          </cell>
          <cell r="N251">
            <v>8.4111189569999993</v>
          </cell>
          <cell r="O251">
            <v>8.4869429140000001</v>
          </cell>
          <cell r="P251">
            <v>8.5723894519999995</v>
          </cell>
          <cell r="Q251">
            <v>8.6557614679999997</v>
          </cell>
          <cell r="R251">
            <v>8.7396671119999993</v>
          </cell>
          <cell r="S251">
            <v>8.8244490199999994</v>
          </cell>
          <cell r="T251">
            <v>8.9101403339999994</v>
          </cell>
          <cell r="U251">
            <v>8.9967330959999998</v>
          </cell>
          <cell r="V251">
            <v>9.0842335060000003</v>
          </cell>
          <cell r="W251">
            <v>9.1726677799999994</v>
          </cell>
          <cell r="X251">
            <v>9.2620776770000006</v>
          </cell>
          <cell r="Y251">
            <v>9.3525150959999994</v>
          </cell>
          <cell r="Z251">
            <v>9.4389963980000005</v>
          </cell>
          <cell r="AA251">
            <v>9.5296474930000006</v>
          </cell>
          <cell r="AB251">
            <v>9.6223273070000008</v>
          </cell>
          <cell r="AC251">
            <v>9.7166659719999995</v>
          </cell>
          <cell r="AD251">
            <v>9.8125826689999993</v>
          </cell>
          <cell r="AE251">
            <v>9.8956498810000006</v>
          </cell>
          <cell r="AF251">
            <v>9.982113214</v>
          </cell>
          <cell r="AG251">
            <v>10.069692740000001</v>
          </cell>
          <cell r="AH251">
            <v>10.15825954</v>
          </cell>
          <cell r="AI251">
            <v>10.24791939</v>
          </cell>
          <cell r="AJ251">
            <v>10.33881111</v>
          </cell>
          <cell r="AK251">
            <v>10.43106197</v>
          </cell>
          <cell r="AL251">
            <v>10.52477041</v>
          </cell>
          <cell r="AM251">
            <v>10.620005430000001</v>
          </cell>
          <cell r="AN251">
            <v>10.7168113</v>
          </cell>
          <cell r="AO251">
            <v>10.81521364</v>
          </cell>
          <cell r="AP251">
            <v>10.911805640000001</v>
          </cell>
          <cell r="AQ251">
            <v>11.00861244</v>
          </cell>
          <cell r="AR251">
            <v>11.1061654</v>
          </cell>
          <cell r="AS251">
            <v>11.204715070000001</v>
          </cell>
          <cell r="AT251">
            <v>11.304423999999999</v>
          </cell>
          <cell r="AU251">
            <v>11.40541357</v>
          </cell>
          <cell r="AV251">
            <v>11.50777549</v>
          </cell>
          <cell r="AW251">
            <v>11.61157326</v>
          </cell>
          <cell r="AX251">
            <v>11.71683597</v>
          </cell>
          <cell r="AY251">
            <v>11.823528339999999</v>
          </cell>
          <cell r="AZ251">
            <v>11.93170211</v>
          </cell>
          <cell r="BA251">
            <v>12.041198079999999</v>
          </cell>
          <cell r="BB251">
            <v>12.15182274</v>
          </cell>
          <cell r="BC251">
            <v>12.26401364</v>
          </cell>
          <cell r="BD251">
            <v>12.37811952</v>
          </cell>
          <cell r="BE251">
            <v>13.2800452</v>
          </cell>
          <cell r="BF251">
            <v>13.446028159999999</v>
          </cell>
          <cell r="BG251">
            <v>13.61463571</v>
          </cell>
          <cell r="BH251">
            <v>13.785939519999999</v>
          </cell>
          <cell r="BI251">
            <v>13.96000641</v>
          </cell>
        </row>
        <row r="253">
          <cell r="E253" t="str">
            <v>YG_toe_cgas_0</v>
          </cell>
          <cell r="F253">
            <v>6.6062603260000001</v>
          </cell>
          <cell r="G253">
            <v>6.6480353189999999</v>
          </cell>
          <cell r="H253">
            <v>6.6704480979999996</v>
          </cell>
          <cell r="I253">
            <v>6.6792893150000001</v>
          </cell>
          <cell r="J253">
            <v>6.6778001150000001</v>
          </cell>
          <cell r="K253">
            <v>6.6752582450000002</v>
          </cell>
          <cell r="L253">
            <v>6.6708197340000002</v>
          </cell>
          <cell r="M253">
            <v>6.6697477059999999</v>
          </cell>
          <cell r="N253">
            <v>6.6711558799999997</v>
          </cell>
          <cell r="O253">
            <v>6.6741640569999996</v>
          </cell>
          <cell r="P253">
            <v>6.6860734559999999</v>
          </cell>
          <cell r="Q253">
            <v>6.6900411289999999</v>
          </cell>
          <cell r="R253">
            <v>6.6946568720000004</v>
          </cell>
          <cell r="S253">
            <v>6.6998823529999996</v>
          </cell>
          <cell r="T253">
            <v>6.7059279050000002</v>
          </cell>
          <cell r="U253">
            <v>6.7129277869999999</v>
          </cell>
          <cell r="V253">
            <v>6.720933252</v>
          </cell>
          <cell r="W253">
            <v>6.7299378929999998</v>
          </cell>
          <cell r="X253">
            <v>6.7398985749999998</v>
          </cell>
          <cell r="Y253">
            <v>6.7507501169999999</v>
          </cell>
          <cell r="Z253">
            <v>6.7568753900000003</v>
          </cell>
          <cell r="AA253">
            <v>6.7699867730000003</v>
          </cell>
          <cell r="AB253">
            <v>6.7836347879999996</v>
          </cell>
          <cell r="AC253">
            <v>6.7978218259999998</v>
          </cell>
          <cell r="AD253">
            <v>6.812380611</v>
          </cell>
          <cell r="AE253">
            <v>6.8115621979999998</v>
          </cell>
          <cell r="AF253">
            <v>6.8214315350000003</v>
          </cell>
          <cell r="AG253">
            <v>6.8320570370000002</v>
          </cell>
          <cell r="AH253">
            <v>6.8435382169999999</v>
          </cell>
          <cell r="AI253">
            <v>6.8554908770000003</v>
          </cell>
          <cell r="AJ253">
            <v>6.8675970270000004</v>
          </cell>
          <cell r="AK253">
            <v>6.8796483149999998</v>
          </cell>
          <cell r="AL253">
            <v>6.8915221229999997</v>
          </cell>
          <cell r="AM253">
            <v>6.9031589440000003</v>
          </cell>
          <cell r="AN253">
            <v>6.9145443159999997</v>
          </cell>
          <cell r="AO253">
            <v>6.9256946399999997</v>
          </cell>
          <cell r="AP253">
            <v>6.9330358920000004</v>
          </cell>
          <cell r="AQ253">
            <v>6.9408048469999999</v>
          </cell>
          <cell r="AR253">
            <v>6.9489015380000003</v>
          </cell>
          <cell r="AS253">
            <v>6.9573271029999999</v>
          </cell>
          <cell r="AT253">
            <v>6.9660338380000004</v>
          </cell>
          <cell r="AU253">
            <v>6.9749454350000004</v>
          </cell>
          <cell r="AV253">
            <v>6.9839788680000003</v>
          </cell>
          <cell r="AW253">
            <v>6.9930499340000001</v>
          </cell>
          <cell r="AX253">
            <v>7.0020593829999997</v>
          </cell>
          <cell r="AY253">
            <v>7.0108417090000001</v>
          </cell>
          <cell r="AZ253">
            <v>7.0192825220000001</v>
          </cell>
          <cell r="BA253">
            <v>7.0268420169999999</v>
          </cell>
          <cell r="BB253">
            <v>7.032341239</v>
          </cell>
          <cell r="BC253">
            <v>7.0376309619999997</v>
          </cell>
          <cell r="BD253">
            <v>7.0441851570000003</v>
          </cell>
          <cell r="BE253">
            <v>6.5550224909999999</v>
          </cell>
          <cell r="BF253">
            <v>6.5727831459999999</v>
          </cell>
          <cell r="BG253">
            <v>6.5912239770000003</v>
          </cell>
          <cell r="BH253">
            <v>6.6103602400000003</v>
          </cell>
          <cell r="BI253">
            <v>6.6301887920000002</v>
          </cell>
        </row>
        <row r="259">
          <cell r="E259" t="str">
            <v>YG_toe_cele_0</v>
          </cell>
          <cell r="F259">
            <v>57.52966223</v>
          </cell>
          <cell r="G259">
            <v>58.0247107</v>
          </cell>
          <cell r="H259">
            <v>58.486192180000003</v>
          </cell>
          <cell r="I259">
            <v>58.965917279999999</v>
          </cell>
          <cell r="J259">
            <v>59.482010870000003</v>
          </cell>
          <cell r="K259">
            <v>60.047209129999999</v>
          </cell>
          <cell r="L259">
            <v>60.628122189999999</v>
          </cell>
          <cell r="M259">
            <v>61.237200250000001</v>
          </cell>
          <cell r="N259">
            <v>61.869040750000003</v>
          </cell>
          <cell r="O259">
            <v>62.517182910000002</v>
          </cell>
          <cell r="P259">
            <v>63.233221030000003</v>
          </cell>
          <cell r="Q259">
            <v>63.920640890000001</v>
          </cell>
          <cell r="R259">
            <v>64.606280659999996</v>
          </cell>
          <cell r="S259">
            <v>65.293250020000002</v>
          </cell>
          <cell r="T259">
            <v>65.982451900000001</v>
          </cell>
          <cell r="U259">
            <v>66.674545210000005</v>
          </cell>
          <cell r="V259">
            <v>67.37034731</v>
          </cell>
          <cell r="W259">
            <v>68.070875450000003</v>
          </cell>
          <cell r="X259">
            <v>68.777303239999995</v>
          </cell>
          <cell r="Y259">
            <v>69.490899450000001</v>
          </cell>
          <cell r="Z259">
            <v>70.171593900000005</v>
          </cell>
          <cell r="AA259">
            <v>70.889139999999998</v>
          </cell>
          <cell r="AB259">
            <v>71.623619770000005</v>
          </cell>
          <cell r="AC259">
            <v>72.373230019999994</v>
          </cell>
          <cell r="AD259">
            <v>73.138100800000004</v>
          </cell>
          <cell r="AE259">
            <v>73.800083869999995</v>
          </cell>
          <cell r="AF259">
            <v>74.499691580000004</v>
          </cell>
          <cell r="AG259">
            <v>75.212718010000003</v>
          </cell>
          <cell r="AH259">
            <v>75.938829749999996</v>
          </cell>
          <cell r="AI259">
            <v>76.679497530000006</v>
          </cell>
          <cell r="AJ259">
            <v>77.436238970000005</v>
          </cell>
          <cell r="AK259">
            <v>78.210222200000004</v>
          </cell>
          <cell r="AL259">
            <v>79.002206790000002</v>
          </cell>
          <cell r="AM259">
            <v>79.812581269999995</v>
          </cell>
          <cell r="AN259">
            <v>80.641432679999994</v>
          </cell>
          <cell r="AO259">
            <v>81.488624189999996</v>
          </cell>
          <cell r="AP259">
            <v>82.325474700000001</v>
          </cell>
          <cell r="AQ259">
            <v>83.169913640000004</v>
          </cell>
          <cell r="AR259">
            <v>84.02541746</v>
          </cell>
          <cell r="AS259">
            <v>84.893519920000003</v>
          </cell>
          <cell r="AT259">
            <v>85.775187860000003</v>
          </cell>
          <cell r="AU259">
            <v>86.671130129999995</v>
          </cell>
          <cell r="AV259">
            <v>87.581865919999998</v>
          </cell>
          <cell r="AW259">
            <v>88.507749279999999</v>
          </cell>
          <cell r="AX259">
            <v>89.4489497</v>
          </cell>
          <cell r="AY259">
            <v>90.405353590000004</v>
          </cell>
          <cell r="AZ259">
            <v>91.378582249999994</v>
          </cell>
          <cell r="BA259">
            <v>92.366399369999996</v>
          </cell>
          <cell r="BB259">
            <v>93.367647460000001</v>
          </cell>
          <cell r="BC259">
            <v>94.383784930000004</v>
          </cell>
          <cell r="BD259">
            <v>95.416139959999995</v>
          </cell>
          <cell r="BE259">
            <v>102.0538025</v>
          </cell>
          <cell r="BF259">
            <v>103.4970831</v>
          </cell>
          <cell r="BG259">
            <v>104.966171</v>
          </cell>
          <cell r="BH259">
            <v>106.46154749999999</v>
          </cell>
          <cell r="BI259">
            <v>107.9836487</v>
          </cell>
        </row>
        <row r="269">
          <cell r="E269" t="str">
            <v>YG_toe_chea_0</v>
          </cell>
          <cell r="F269">
            <v>5.7131595600000002</v>
          </cell>
          <cell r="G269">
            <v>5.7821035429999998</v>
          </cell>
          <cell r="H269">
            <v>5.8586526780000003</v>
          </cell>
          <cell r="I269">
            <v>5.9404580539999996</v>
          </cell>
          <cell r="J269">
            <v>6.027049957</v>
          </cell>
          <cell r="K269">
            <v>6.1094408859999998</v>
          </cell>
          <cell r="L269">
            <v>6.1818491590000004</v>
          </cell>
          <cell r="M269">
            <v>6.2494612409999997</v>
          </cell>
          <cell r="N269">
            <v>6.3152039750000002</v>
          </cell>
          <cell r="O269">
            <v>6.3805788830000001</v>
          </cell>
          <cell r="P269">
            <v>6.4553793429999997</v>
          </cell>
          <cell r="Q269">
            <v>6.525266587</v>
          </cell>
          <cell r="R269">
            <v>6.5936935859999997</v>
          </cell>
          <cell r="S269">
            <v>6.661839724</v>
          </cell>
          <cell r="T269">
            <v>6.7301480900000001</v>
          </cell>
          <cell r="U269">
            <v>6.798792089</v>
          </cell>
          <cell r="V269">
            <v>6.867846288</v>
          </cell>
          <cell r="W269">
            <v>6.9373541850000002</v>
          </cell>
          <cell r="X269">
            <v>7.007354243</v>
          </cell>
          <cell r="Y269">
            <v>7.0778881690000004</v>
          </cell>
          <cell r="Z269">
            <v>7.1427266649999996</v>
          </cell>
          <cell r="AA269">
            <v>7.2119710550000002</v>
          </cell>
          <cell r="AB269">
            <v>7.2833055629999999</v>
          </cell>
          <cell r="AC269">
            <v>7.3559664229999999</v>
          </cell>
          <cell r="AD269">
            <v>7.4296767790000002</v>
          </cell>
          <cell r="AE269">
            <v>7.4868601129999997</v>
          </cell>
          <cell r="AF269">
            <v>7.5472610749999998</v>
          </cell>
          <cell r="AG269">
            <v>7.6091735659999999</v>
          </cell>
          <cell r="AH269">
            <v>7.6721818879999999</v>
          </cell>
          <cell r="AI269">
            <v>7.7361679820000004</v>
          </cell>
          <cell r="AJ269">
            <v>7.8011190109999999</v>
          </cell>
          <cell r="AK269">
            <v>7.8670531410000004</v>
          </cell>
          <cell r="AL269">
            <v>7.9339919480000001</v>
          </cell>
          <cell r="AM269">
            <v>8.0019505310000003</v>
          </cell>
          <cell r="AN269">
            <v>8.0709356069999991</v>
          </cell>
          <cell r="AO269">
            <v>8.1409471870000001</v>
          </cell>
          <cell r="AP269">
            <v>8.2080746369999993</v>
          </cell>
          <cell r="AQ269">
            <v>8.2746577610000003</v>
          </cell>
          <cell r="AR269">
            <v>8.3415510479999995</v>
          </cell>
          <cell r="AS269">
            <v>8.4091244100000004</v>
          </cell>
          <cell r="AT269">
            <v>8.4775690630000007</v>
          </cell>
          <cell r="AU269">
            <v>8.5470111430000006</v>
          </cell>
          <cell r="AV269">
            <v>8.617561534</v>
          </cell>
          <cell r="AW269">
            <v>8.6893462719999999</v>
          </cell>
          <cell r="AX269">
            <v>8.7625432659999998</v>
          </cell>
          <cell r="AY269">
            <v>8.8374677629999994</v>
          </cell>
          <cell r="AZ269">
            <v>8.9152236309999999</v>
          </cell>
          <cell r="BA269">
            <v>8.9925960749999998</v>
          </cell>
          <cell r="BB269">
            <v>9.0691663560000002</v>
          </cell>
          <cell r="BC269">
            <v>9.1452060589999995</v>
          </cell>
          <cell r="BD269">
            <v>9.2211944670000001</v>
          </cell>
          <cell r="BE269">
            <v>9.8041921369999994</v>
          </cell>
          <cell r="BF269">
            <v>9.9115410859999997</v>
          </cell>
          <cell r="BG269">
            <v>10.020335210000001</v>
          </cell>
          <cell r="BH269">
            <v>10.130629770000001</v>
          </cell>
          <cell r="BI269">
            <v>10.24246739</v>
          </cell>
        </row>
        <row r="271">
          <cell r="E271" t="str">
            <v>YG_toe_cbio_0</v>
          </cell>
          <cell r="F271">
            <v>11.18379972</v>
          </cell>
          <cell r="G271">
            <v>11.237025879999999</v>
          </cell>
          <cell r="H271">
            <v>11.265660370000001</v>
          </cell>
          <cell r="I271">
            <v>11.28854005</v>
          </cell>
          <cell r="J271">
            <v>11.31207498</v>
          </cell>
          <cell r="K271">
            <v>11.341818249999999</v>
          </cell>
          <cell r="L271">
            <v>11.37427126</v>
          </cell>
          <cell r="M271">
            <v>11.41184642</v>
          </cell>
          <cell r="N271">
            <v>11.45415465</v>
          </cell>
          <cell r="O271">
            <v>11.50004683</v>
          </cell>
          <cell r="P271">
            <v>11.557557989999999</v>
          </cell>
          <cell r="Q271">
            <v>11.611723749999999</v>
          </cell>
          <cell r="R271">
            <v>11.665166380000001</v>
          </cell>
          <cell r="S271">
            <v>11.7186916</v>
          </cell>
          <cell r="T271">
            <v>11.77258333</v>
          </cell>
          <cell r="U271">
            <v>11.826953120000001</v>
          </cell>
          <cell r="V271">
            <v>11.88187031</v>
          </cell>
          <cell r="W271">
            <v>11.93740584</v>
          </cell>
          <cell r="X271">
            <v>11.993643390000001</v>
          </cell>
          <cell r="Y271">
            <v>12.050678250000001</v>
          </cell>
          <cell r="Z271">
            <v>12.10229183</v>
          </cell>
          <cell r="AA271">
            <v>12.158528090000001</v>
          </cell>
          <cell r="AB271">
            <v>12.21727688</v>
          </cell>
          <cell r="AC271">
            <v>12.277871149999999</v>
          </cell>
          <cell r="AD271">
            <v>12.340083460000001</v>
          </cell>
          <cell r="AE271">
            <v>12.38612932</v>
          </cell>
          <cell r="AF271">
            <v>12.435522750000001</v>
          </cell>
          <cell r="AG271">
            <v>12.48676899</v>
          </cell>
          <cell r="AH271">
            <v>12.53959175</v>
          </cell>
          <cell r="AI271">
            <v>12.593969980000001</v>
          </cell>
          <cell r="AJ271">
            <v>12.649960099999999</v>
          </cell>
          <cell r="AK271">
            <v>12.70762498</v>
          </cell>
          <cell r="AL271">
            <v>12.767009720000001</v>
          </cell>
          <cell r="AM271">
            <v>12.82813621</v>
          </cell>
          <cell r="AN271">
            <v>12.8910056</v>
          </cell>
          <cell r="AO271">
            <v>12.955603719999999</v>
          </cell>
          <cell r="AP271">
            <v>13.017877220000001</v>
          </cell>
          <cell r="AQ271">
            <v>13.08009189</v>
          </cell>
          <cell r="AR271">
            <v>13.1430849</v>
          </cell>
          <cell r="AS271">
            <v>13.207231159999999</v>
          </cell>
          <cell r="AT271">
            <v>13.272723940000001</v>
          </cell>
          <cell r="AU271">
            <v>13.33968089</v>
          </cell>
          <cell r="AV271">
            <v>13.40818368</v>
          </cell>
          <cell r="AW271">
            <v>13.478289029999999</v>
          </cell>
          <cell r="AX271">
            <v>13.550023680000001</v>
          </cell>
          <cell r="AY271">
            <v>13.62334499</v>
          </cell>
          <cell r="AZ271">
            <v>13.698215080000001</v>
          </cell>
          <cell r="BA271">
            <v>13.77371407</v>
          </cell>
          <cell r="BB271">
            <v>13.84975032</v>
          </cell>
          <cell r="BC271">
            <v>13.92667922</v>
          </cell>
          <cell r="BD271">
            <v>14.00489537</v>
          </cell>
          <cell r="BE271">
            <v>14.610772430000001</v>
          </cell>
          <cell r="BF271">
            <v>14.73188167</v>
          </cell>
          <cell r="BG271">
            <v>14.855241469999999</v>
          </cell>
          <cell r="BH271">
            <v>14.98092958</v>
          </cell>
          <cell r="BI271">
            <v>15.109000999999999</v>
          </cell>
        </row>
        <row r="274">
          <cell r="E274" t="str">
            <v>YG_toe_cote_0</v>
          </cell>
          <cell r="F274">
            <v>13.881761259999999</v>
          </cell>
          <cell r="G274">
            <v>14.051269080000001</v>
          </cell>
          <cell r="H274">
            <v>14.231860230000001</v>
          </cell>
          <cell r="I274">
            <v>14.42291623</v>
          </cell>
          <cell r="J274">
            <v>14.625097370000001</v>
          </cell>
          <cell r="K274">
            <v>14.837226060000001</v>
          </cell>
          <cell r="L274">
            <v>15.047189769999999</v>
          </cell>
          <cell r="M274">
            <v>15.26211855</v>
          </cell>
          <cell r="N274">
            <v>15.481941689999999</v>
          </cell>
          <cell r="O274">
            <v>15.706138060000001</v>
          </cell>
          <cell r="P274">
            <v>15.953058459999999</v>
          </cell>
          <cell r="Q274">
            <v>16.188685270000001</v>
          </cell>
          <cell r="R274">
            <v>16.425835249999999</v>
          </cell>
          <cell r="S274">
            <v>16.665503940000001</v>
          </cell>
          <cell r="T274">
            <v>16.907899199999999</v>
          </cell>
          <cell r="U274">
            <v>17.153125429999999</v>
          </cell>
          <cell r="V274">
            <v>17.401305369999999</v>
          </cell>
          <cell r="W274">
            <v>17.652593400000001</v>
          </cell>
          <cell r="X274">
            <v>17.907167220000002</v>
          </cell>
          <cell r="Y274">
            <v>18.165216610000002</v>
          </cell>
          <cell r="Z274">
            <v>18.412978979999998</v>
          </cell>
          <cell r="AA274">
            <v>18.675620689999999</v>
          </cell>
          <cell r="AB274">
            <v>18.9436216</v>
          </cell>
          <cell r="AC274">
            <v>19.216324319999998</v>
          </cell>
          <cell r="AD274">
            <v>19.49369098</v>
          </cell>
          <cell r="AE274">
            <v>19.735483080000002</v>
          </cell>
          <cell r="AF274">
            <v>19.994783760000001</v>
          </cell>
          <cell r="AG274">
            <v>20.2584795</v>
          </cell>
          <cell r="AH274">
            <v>20.526010240000002</v>
          </cell>
          <cell r="AI274">
            <v>20.797527540000001</v>
          </cell>
          <cell r="AJ274">
            <v>21.073263010000002</v>
          </cell>
          <cell r="AK274">
            <v>21.353407539999999</v>
          </cell>
          <cell r="AL274">
            <v>21.638091060000001</v>
          </cell>
          <cell r="AM274">
            <v>21.927386890000001</v>
          </cell>
          <cell r="AN274">
            <v>22.22132336</v>
          </cell>
          <cell r="AO274">
            <v>22.519896849999999</v>
          </cell>
          <cell r="AP274">
            <v>22.813317269999999</v>
          </cell>
          <cell r="AQ274">
            <v>23.109164450000002</v>
          </cell>
          <cell r="AR274">
            <v>23.408294160000001</v>
          </cell>
          <cell r="AS274">
            <v>23.711008029999999</v>
          </cell>
          <cell r="AT274">
            <v>24.017490219999999</v>
          </cell>
          <cell r="AU274">
            <v>24.327887359999998</v>
          </cell>
          <cell r="AV274">
            <v>24.642322020000002</v>
          </cell>
          <cell r="AW274">
            <v>24.96089551</v>
          </cell>
          <cell r="AX274">
            <v>25.283690750000002</v>
          </cell>
          <cell r="AY274">
            <v>25.610777909999999</v>
          </cell>
          <cell r="AZ274">
            <v>25.94311063</v>
          </cell>
          <cell r="BA274">
            <v>26.279813610000001</v>
          </cell>
          <cell r="BB274">
            <v>26.620766339999999</v>
          </cell>
          <cell r="BC274">
            <v>26.966036410000001</v>
          </cell>
          <cell r="BD274">
            <v>27.315725100000002</v>
          </cell>
          <cell r="BE274">
            <v>30.017926889999998</v>
          </cell>
          <cell r="BF274">
            <v>30.51611922</v>
          </cell>
          <cell r="BG274">
            <v>31.022743940000002</v>
          </cell>
          <cell r="BH274">
            <v>31.53794589</v>
          </cell>
          <cell r="BI274">
            <v>32.061870679999998</v>
          </cell>
        </row>
        <row r="281">
          <cell r="F281">
            <v>159.96963149999999</v>
          </cell>
          <cell r="G281">
            <v>160.1493155</v>
          </cell>
          <cell r="H281">
            <v>160.50317319999999</v>
          </cell>
          <cell r="I281">
            <v>161.07301509999999</v>
          </cell>
          <cell r="J281">
            <v>161.89400620000001</v>
          </cell>
          <cell r="K281">
            <v>162.95042559999999</v>
          </cell>
          <cell r="L281">
            <v>164.155663</v>
          </cell>
          <cell r="M281">
            <v>165.51816199999999</v>
          </cell>
          <cell r="N281">
            <v>167.0109052</v>
          </cell>
          <cell r="O281">
            <v>168.60390699999999</v>
          </cell>
          <cell r="P281">
            <v>170.4066564</v>
          </cell>
          <cell r="Q281">
            <v>172.17955470000001</v>
          </cell>
          <cell r="R281">
            <v>173.9675068</v>
          </cell>
          <cell r="S281">
            <v>175.77336349999999</v>
          </cell>
          <cell r="T281">
            <v>177.5933216</v>
          </cell>
          <cell r="U281">
            <v>179.4236492</v>
          </cell>
          <cell r="V281">
            <v>181.25198839999999</v>
          </cell>
          <cell r="W281">
            <v>183.08464530000001</v>
          </cell>
          <cell r="X281">
            <v>184.92318990000001</v>
          </cell>
          <cell r="Y281">
            <v>186.76903830000001</v>
          </cell>
          <cell r="Z281">
            <v>188.52664369999999</v>
          </cell>
          <cell r="AA281">
            <v>190.3499588</v>
          </cell>
          <cell r="AB281">
            <v>192.20324489999999</v>
          </cell>
          <cell r="AC281">
            <v>194.0801951</v>
          </cell>
          <cell r="AD281">
            <v>195.9805207</v>
          </cell>
          <cell r="AE281">
            <v>197.62880200000001</v>
          </cell>
          <cell r="AF281">
            <v>199.33044960000001</v>
          </cell>
          <cell r="AG281">
            <v>201.0478708</v>
          </cell>
          <cell r="AH281">
            <v>202.7790139</v>
          </cell>
          <cell r="AI281">
            <v>204.52782199999999</v>
          </cell>
          <cell r="AJ281">
            <v>206.29876590000001</v>
          </cell>
          <cell r="AK281">
            <v>208.09791240000001</v>
          </cell>
          <cell r="AL281">
            <v>209.92656400000001</v>
          </cell>
          <cell r="AM281">
            <v>211.78641239999999</v>
          </cell>
          <cell r="AN281">
            <v>213.67861389999999</v>
          </cell>
          <cell r="AO281">
            <v>215.6037748</v>
          </cell>
          <cell r="AP281">
            <v>217.51739839999999</v>
          </cell>
          <cell r="AQ281">
            <v>219.44085150000001</v>
          </cell>
          <cell r="AR281">
            <v>221.38167079999999</v>
          </cell>
          <cell r="AS281">
            <v>223.34355650000001</v>
          </cell>
          <cell r="AT281">
            <v>225.32885630000001</v>
          </cell>
          <cell r="AU281">
            <v>227.34244609999999</v>
          </cell>
          <cell r="AV281">
            <v>229.3833381</v>
          </cell>
          <cell r="AW281">
            <v>231.45192950000001</v>
          </cell>
          <cell r="AX281">
            <v>233.54851650000001</v>
          </cell>
          <cell r="AY281">
            <v>235.67321910000001</v>
          </cell>
          <cell r="AZ281">
            <v>237.84257310000001</v>
          </cell>
          <cell r="BA281">
            <v>240.04589970000001</v>
          </cell>
          <cell r="BB281">
            <v>242.2805788</v>
          </cell>
          <cell r="BC281">
            <v>244.54540700000001</v>
          </cell>
          <cell r="BD281">
            <v>246.83952350000001</v>
          </cell>
          <cell r="BE281">
            <v>283.96565909999998</v>
          </cell>
          <cell r="BF281">
            <v>287.72227379999998</v>
          </cell>
          <cell r="BG281">
            <v>291.5392842</v>
          </cell>
          <cell r="BH281">
            <v>295.41791599999999</v>
          </cell>
          <cell r="BI281">
            <v>299.35954529999998</v>
          </cell>
        </row>
        <row r="282">
          <cell r="E282" t="str">
            <v>CF_toe_ccoa_2</v>
          </cell>
          <cell r="F282">
            <v>5.3077262740000002</v>
          </cell>
          <cell r="G282">
            <v>5.3211315199999998</v>
          </cell>
          <cell r="H282">
            <v>5.3653648900000004</v>
          </cell>
          <cell r="I282">
            <v>5.4213121979999999</v>
          </cell>
          <cell r="J282">
            <v>5.4845742670000002</v>
          </cell>
          <cell r="K282">
            <v>5.5535713370000002</v>
          </cell>
          <cell r="L282">
            <v>5.6237462699999998</v>
          </cell>
          <cell r="M282">
            <v>5.6967322490000001</v>
          </cell>
          <cell r="N282">
            <v>5.7724577540000004</v>
          </cell>
          <cell r="O282">
            <v>5.8505398900000003</v>
          </cell>
          <cell r="P282">
            <v>5.9366042700000001</v>
          </cell>
          <cell r="Q282">
            <v>6.019643565</v>
          </cell>
          <cell r="R282">
            <v>6.1028843889999997</v>
          </cell>
          <cell r="S282">
            <v>6.1868472639999998</v>
          </cell>
          <cell r="T282">
            <v>6.2715750029999997</v>
          </cell>
          <cell r="U282">
            <v>6.3570654070000003</v>
          </cell>
          <cell r="V282">
            <v>6.4426011980000002</v>
          </cell>
          <cell r="W282">
            <v>6.5288345019999996</v>
          </cell>
          <cell r="X282">
            <v>6.6159716900000003</v>
          </cell>
          <cell r="Y282">
            <v>6.7041452530000001</v>
          </cell>
          <cell r="Z282">
            <v>6.7890838410000001</v>
          </cell>
          <cell r="AA282">
            <v>6.8781339370000003</v>
          </cell>
          <cell r="AB282">
            <v>6.9692712999999999</v>
          </cell>
          <cell r="AC282">
            <v>7.0621575129999998</v>
          </cell>
          <cell r="AD282">
            <v>7.156782132</v>
          </cell>
          <cell r="AE282">
            <v>7.240638691</v>
          </cell>
          <cell r="AF282">
            <v>7.3287327429999998</v>
          </cell>
          <cell r="AG282">
            <v>7.4185352440000001</v>
          </cell>
          <cell r="AH282">
            <v>7.5097006530000003</v>
          </cell>
          <cell r="AI282">
            <v>7.6022896219999998</v>
          </cell>
          <cell r="AJ282">
            <v>7.6964150939999998</v>
          </cell>
          <cell r="AK282">
            <v>7.7923378799999998</v>
          </cell>
          <cell r="AL282">
            <v>7.88999103</v>
          </cell>
          <cell r="AM282">
            <v>7.9893809339999997</v>
          </cell>
          <cell r="AN282">
            <v>8.0905081810000006</v>
          </cell>
          <cell r="AO282">
            <v>8.1933585040000008</v>
          </cell>
          <cell r="AP282">
            <v>8.2963817130000006</v>
          </cell>
          <cell r="AQ282">
            <v>8.4002680810000001</v>
          </cell>
          <cell r="AR282">
            <v>8.5052185120000008</v>
          </cell>
          <cell r="AS282">
            <v>8.6113163789999998</v>
          </cell>
          <cell r="AT282">
            <v>8.7186136399999992</v>
          </cell>
          <cell r="AU282">
            <v>8.8273840690000007</v>
          </cell>
          <cell r="AV282">
            <v>8.9374763559999995</v>
          </cell>
          <cell r="AW282">
            <v>9.0488750709999994</v>
          </cell>
          <cell r="AX282">
            <v>9.1615840669999997</v>
          </cell>
          <cell r="AY282">
            <v>9.2756064429999991</v>
          </cell>
          <cell r="AZ282">
            <v>9.3920072520000009</v>
          </cell>
          <cell r="BA282">
            <v>9.5100080200000008</v>
          </cell>
          <cell r="BB282">
            <v>9.6294449370000006</v>
          </cell>
          <cell r="BC282">
            <v>9.7502739639999998</v>
          </cell>
          <cell r="BD282">
            <v>9.8724788649999997</v>
          </cell>
          <cell r="BE282">
            <v>12.585566829999999</v>
          </cell>
          <cell r="BF282">
            <v>12.805525859999999</v>
          </cell>
          <cell r="BG282">
            <v>13.02890981</v>
          </cell>
          <cell r="BH282">
            <v>13.25575914</v>
          </cell>
          <cell r="BI282">
            <v>13.48611507</v>
          </cell>
        </row>
        <row r="285">
          <cell r="E285" t="str">
            <v>CF_toe_ccoi_2</v>
          </cell>
          <cell r="F285">
            <v>8.2821051699999995E-2</v>
          </cell>
          <cell r="G285">
            <v>8.2932899899999996E-2</v>
          </cell>
          <cell r="H285">
            <v>8.3348475899999996E-2</v>
          </cell>
          <cell r="I285">
            <v>8.39471366E-2</v>
          </cell>
          <cell r="J285">
            <v>8.4721009700000002E-2</v>
          </cell>
          <cell r="K285">
            <v>8.5661766900000005E-2</v>
          </cell>
          <cell r="L285">
            <v>8.6696133999999994E-2</v>
          </cell>
          <cell r="M285">
            <v>8.7833479199999995E-2</v>
          </cell>
          <cell r="N285">
            <v>8.9060398499999999E-2</v>
          </cell>
          <cell r="O285">
            <v>9.0361310599999994E-2</v>
          </cell>
          <cell r="P285">
            <v>9.1815228600000007E-2</v>
          </cell>
          <cell r="Q285">
            <v>9.3257441799999993E-2</v>
          </cell>
          <cell r="R285">
            <v>9.4722097099999999E-2</v>
          </cell>
          <cell r="S285">
            <v>9.6209223100000005E-2</v>
          </cell>
          <cell r="T285">
            <v>9.77144868E-2</v>
          </cell>
          <cell r="U285">
            <v>9.9234101599999999E-2</v>
          </cell>
          <cell r="V285">
            <v>0.1007565431</v>
          </cell>
          <cell r="W285">
            <v>0.1022861774</v>
          </cell>
          <cell r="X285">
            <v>0.1038233972</v>
          </cell>
          <cell r="Y285">
            <v>0.1053685647</v>
          </cell>
          <cell r="Z285">
            <v>0.1068536412</v>
          </cell>
          <cell r="AA285">
            <v>0.1083863437</v>
          </cell>
          <cell r="AB285">
            <v>0.10994017189999999</v>
          </cell>
          <cell r="AC285">
            <v>0.1115117306</v>
          </cell>
          <cell r="AD285">
            <v>0.1131015653</v>
          </cell>
          <cell r="AE285">
            <v>0.1145130746</v>
          </cell>
          <cell r="AF285">
            <v>0.11596278240000001</v>
          </cell>
          <cell r="AG285">
            <v>0.1174196701</v>
          </cell>
          <cell r="AH285">
            <v>0.11888320199999999</v>
          </cell>
          <cell r="AI285">
            <v>0.1203575477</v>
          </cell>
          <cell r="AJ285">
            <v>0.1218469752</v>
          </cell>
          <cell r="AK285">
            <v>0.1233570279</v>
          </cell>
          <cell r="AL285">
            <v>0.1248891508</v>
          </cell>
          <cell r="AM285">
            <v>0.12644514060000001</v>
          </cell>
          <cell r="AN285">
            <v>0.12802634630000001</v>
          </cell>
          <cell r="AO285">
            <v>0.12963365260000001</v>
          </cell>
          <cell r="AP285">
            <v>0.13123783629999999</v>
          </cell>
          <cell r="AQ285">
            <v>0.1328525689</v>
          </cell>
          <cell r="AR285">
            <v>0.1344821615</v>
          </cell>
          <cell r="AS285">
            <v>0.1361288437</v>
          </cell>
          <cell r="AT285">
            <v>0.13779422290000001</v>
          </cell>
          <cell r="AU285">
            <v>0.1394823731</v>
          </cell>
          <cell r="AV285">
            <v>0.14119245359999999</v>
          </cell>
          <cell r="AW285">
            <v>0.14292483710000001</v>
          </cell>
          <cell r="AX285">
            <v>0.1446798772</v>
          </cell>
          <cell r="AY285">
            <v>0.14645777230000001</v>
          </cell>
          <cell r="AZ285">
            <v>0.14827234040000001</v>
          </cell>
          <cell r="BA285">
            <v>0.15011516320000001</v>
          </cell>
          <cell r="BB285">
            <v>0.15198441979999999</v>
          </cell>
          <cell r="BC285">
            <v>0.1538792916</v>
          </cell>
          <cell r="BD285">
            <v>0.15579916169999999</v>
          </cell>
          <cell r="BE285">
            <v>0.19860557870000001</v>
          </cell>
          <cell r="BF285">
            <v>0.20196968779999999</v>
          </cell>
          <cell r="BG285">
            <v>0.20537931740000001</v>
          </cell>
          <cell r="BH285">
            <v>0.2088358948</v>
          </cell>
          <cell r="BI285">
            <v>0.21234085599999999</v>
          </cell>
        </row>
        <row r="288">
          <cell r="E288" t="str">
            <v>CF_toe_cfut_2</v>
          </cell>
          <cell r="F288">
            <v>46.846668260000001</v>
          </cell>
          <cell r="G288">
            <v>46.796542860000002</v>
          </cell>
          <cell r="H288">
            <v>46.760545319999999</v>
          </cell>
          <cell r="I288">
            <v>46.812158289999999</v>
          </cell>
          <cell r="J288">
            <v>46.972366059999999</v>
          </cell>
          <cell r="K288">
            <v>47.23418736</v>
          </cell>
          <cell r="L288">
            <v>47.564459509999999</v>
          </cell>
          <cell r="M288">
            <v>47.954311019999999</v>
          </cell>
          <cell r="N288">
            <v>48.391631769999996</v>
          </cell>
          <cell r="O288">
            <v>48.865984879999999</v>
          </cell>
          <cell r="P288">
            <v>49.397808910000002</v>
          </cell>
          <cell r="Q288">
            <v>49.936538609999999</v>
          </cell>
          <cell r="R288">
            <v>50.487855709999998</v>
          </cell>
          <cell r="S288">
            <v>51.049902039999999</v>
          </cell>
          <cell r="T288">
            <v>51.620211439999999</v>
          </cell>
          <cell r="U288">
            <v>52.196853959999999</v>
          </cell>
          <cell r="V288">
            <v>52.776019509999998</v>
          </cell>
          <cell r="W288">
            <v>53.358435569999997</v>
          </cell>
          <cell r="X288">
            <v>53.943857149999999</v>
          </cell>
          <cell r="Y288">
            <v>54.532078599999998</v>
          </cell>
          <cell r="Z288">
            <v>55.101984250000001</v>
          </cell>
          <cell r="AA288">
            <v>55.684347870000003</v>
          </cell>
          <cell r="AB288">
            <v>56.272706710000001</v>
          </cell>
          <cell r="AC288">
            <v>56.866079480000003</v>
          </cell>
          <cell r="AD288">
            <v>57.46447233</v>
          </cell>
          <cell r="AE288">
            <v>58.007787090000001</v>
          </cell>
          <cell r="AF288">
            <v>58.556439279999999</v>
          </cell>
          <cell r="AG288">
            <v>59.103774659999999</v>
          </cell>
          <cell r="AH288">
            <v>59.650377020000001</v>
          </cell>
          <cell r="AI288">
            <v>60.198024250000003</v>
          </cell>
          <cell r="AJ288">
            <v>60.748429010000002</v>
          </cell>
          <cell r="AK288">
            <v>61.30352963</v>
          </cell>
          <cell r="AL288">
            <v>61.86401086</v>
          </cell>
          <cell r="AM288">
            <v>62.430539690000003</v>
          </cell>
          <cell r="AN288">
            <v>63.00358095</v>
          </cell>
          <cell r="AO288">
            <v>63.583420179999997</v>
          </cell>
          <cell r="AP288">
            <v>64.160752770000002</v>
          </cell>
          <cell r="AQ288">
            <v>64.738922860000002</v>
          </cell>
          <cell r="AR288">
            <v>65.319343200000006</v>
          </cell>
          <cell r="AS288">
            <v>65.902953519999997</v>
          </cell>
          <cell r="AT288">
            <v>66.490532450000003</v>
          </cell>
          <cell r="AU288">
            <v>67.0835024</v>
          </cell>
          <cell r="AV288">
            <v>67.681871009999995</v>
          </cell>
          <cell r="AW288">
            <v>68.285896969999996</v>
          </cell>
          <cell r="AX288">
            <v>68.895758979999997</v>
          </cell>
          <cell r="AY288">
            <v>69.511523920000002</v>
          </cell>
          <cell r="AZ288">
            <v>70.137060149999996</v>
          </cell>
          <cell r="BA288">
            <v>70.770005319999996</v>
          </cell>
          <cell r="BB288">
            <v>71.409702190000004</v>
          </cell>
          <cell r="BC288">
            <v>72.055742390000006</v>
          </cell>
          <cell r="BD288">
            <v>72.707748190000004</v>
          </cell>
          <cell r="BE288">
            <v>85.552448339999998</v>
          </cell>
          <cell r="BF288">
            <v>86.679266389999995</v>
          </cell>
          <cell r="BG288">
            <v>87.82308707</v>
          </cell>
          <cell r="BH288">
            <v>88.984520930000002</v>
          </cell>
          <cell r="BI288">
            <v>90.16421339</v>
          </cell>
        </row>
        <row r="291">
          <cell r="E291" t="str">
            <v>CF_toe_cfuh_2</v>
          </cell>
          <cell r="F291">
            <v>14.67476503</v>
          </cell>
          <cell r="G291">
            <v>14.693241739999999</v>
          </cell>
          <cell r="H291">
            <v>14.710934399999999</v>
          </cell>
          <cell r="I291">
            <v>14.73744379</v>
          </cell>
          <cell r="J291">
            <v>14.778475050000001</v>
          </cell>
          <cell r="K291">
            <v>14.83406527</v>
          </cell>
          <cell r="L291">
            <v>14.90240058</v>
          </cell>
          <cell r="M291">
            <v>14.9859256</v>
          </cell>
          <cell r="N291">
            <v>15.082535399999999</v>
          </cell>
          <cell r="O291">
            <v>15.18924883</v>
          </cell>
          <cell r="P291">
            <v>15.3148274</v>
          </cell>
          <cell r="Q291">
            <v>15.43906655</v>
          </cell>
          <cell r="R291">
            <v>15.56502996</v>
          </cell>
          <cell r="S291">
            <v>15.692960579999999</v>
          </cell>
          <cell r="T291">
            <v>15.822557740000001</v>
          </cell>
          <cell r="U291">
            <v>15.95340891</v>
          </cell>
          <cell r="V291">
            <v>16.084607819999999</v>
          </cell>
          <cell r="W291">
            <v>16.216510830000001</v>
          </cell>
          <cell r="X291">
            <v>16.349200239999998</v>
          </cell>
          <cell r="Y291">
            <v>16.48274546</v>
          </cell>
          <cell r="Z291">
            <v>16.609122429999999</v>
          </cell>
          <cell r="AA291">
            <v>16.740976969999998</v>
          </cell>
          <cell r="AB291">
            <v>16.875536239999999</v>
          </cell>
          <cell r="AC291">
            <v>17.01212422</v>
          </cell>
          <cell r="AD291">
            <v>17.150597019999999</v>
          </cell>
          <cell r="AE291">
            <v>17.26797921</v>
          </cell>
          <cell r="AF291">
            <v>17.389184369999999</v>
          </cell>
          <cell r="AG291">
            <v>17.511711559999998</v>
          </cell>
          <cell r="AH291">
            <v>17.63529471</v>
          </cell>
          <cell r="AI291">
            <v>17.760108030000001</v>
          </cell>
          <cell r="AJ291">
            <v>17.886425819999999</v>
          </cell>
          <cell r="AK291">
            <v>18.014655919999999</v>
          </cell>
          <cell r="AL291">
            <v>18.144903660000001</v>
          </cell>
          <cell r="AM291">
            <v>18.27729983</v>
          </cell>
          <cell r="AN291">
            <v>18.411943340000001</v>
          </cell>
          <cell r="AO291">
            <v>18.548899309999999</v>
          </cell>
          <cell r="AP291">
            <v>18.68421888</v>
          </cell>
          <cell r="AQ291">
            <v>18.819877330000001</v>
          </cell>
          <cell r="AR291">
            <v>18.956649729999999</v>
          </cell>
          <cell r="AS291">
            <v>19.094914500000002</v>
          </cell>
          <cell r="AT291">
            <v>19.23489777</v>
          </cell>
          <cell r="AU291">
            <v>19.376968349999999</v>
          </cell>
          <cell r="AV291">
            <v>19.5210942</v>
          </cell>
          <cell r="AW291">
            <v>19.667320180000001</v>
          </cell>
          <cell r="AX291">
            <v>19.81567488</v>
          </cell>
          <cell r="AY291">
            <v>19.966175839999998</v>
          </cell>
          <cell r="AZ291">
            <v>20.12003219</v>
          </cell>
          <cell r="BA291">
            <v>20.276528949999999</v>
          </cell>
          <cell r="BB291">
            <v>20.435474370000001</v>
          </cell>
          <cell r="BC291">
            <v>20.596782640000001</v>
          </cell>
          <cell r="BD291">
            <v>20.760396579999998</v>
          </cell>
          <cell r="BE291">
            <v>23.280117629999999</v>
          </cell>
          <cell r="BF291">
            <v>23.549838619999999</v>
          </cell>
          <cell r="BG291">
            <v>23.823821410000001</v>
          </cell>
          <cell r="BH291">
            <v>24.102147460000001</v>
          </cell>
          <cell r="BI291">
            <v>24.384922530000001</v>
          </cell>
        </row>
        <row r="293">
          <cell r="E293" t="str">
            <v>CF_toe_cgas_2</v>
          </cell>
          <cell r="F293">
            <v>33.938259670000001</v>
          </cell>
          <cell r="G293">
            <v>33.998114190000003</v>
          </cell>
          <cell r="H293">
            <v>34.097715569999998</v>
          </cell>
          <cell r="I293">
            <v>34.231605080000001</v>
          </cell>
          <cell r="J293">
            <v>34.406862609999997</v>
          </cell>
          <cell r="K293">
            <v>34.62281265</v>
          </cell>
          <cell r="L293">
            <v>34.865814610000001</v>
          </cell>
          <cell r="M293">
            <v>35.145300540000001</v>
          </cell>
          <cell r="N293">
            <v>35.456133809999997</v>
          </cell>
          <cell r="O293">
            <v>35.791502569999999</v>
          </cell>
          <cell r="P293">
            <v>36.178577679999997</v>
          </cell>
          <cell r="Q293">
            <v>36.558958869999998</v>
          </cell>
          <cell r="R293">
            <v>36.944231760000001</v>
          </cell>
          <cell r="S293">
            <v>37.335386739999997</v>
          </cell>
          <cell r="T293">
            <v>37.7314425</v>
          </cell>
          <cell r="U293">
            <v>38.131273190000002</v>
          </cell>
          <cell r="V293">
            <v>38.531961029999998</v>
          </cell>
          <cell r="W293">
            <v>38.934553630000003</v>
          </cell>
          <cell r="X293">
            <v>39.339125529999997</v>
          </cell>
          <cell r="Y293">
            <v>39.74574312</v>
          </cell>
          <cell r="Z293">
            <v>40.131004150000003</v>
          </cell>
          <cell r="AA293">
            <v>40.53244299</v>
          </cell>
          <cell r="AB293">
            <v>40.940714829999997</v>
          </cell>
          <cell r="AC293">
            <v>41.353956910000001</v>
          </cell>
          <cell r="AD293">
            <v>41.771869840000001</v>
          </cell>
          <cell r="AE293">
            <v>42.127704899999998</v>
          </cell>
          <cell r="AF293">
            <v>42.496523289999999</v>
          </cell>
          <cell r="AG293">
            <v>42.868583719999997</v>
          </cell>
          <cell r="AH293">
            <v>43.24294055</v>
          </cell>
          <cell r="AI293">
            <v>43.620115460000001</v>
          </cell>
          <cell r="AJ293">
            <v>44.000912479999997</v>
          </cell>
          <cell r="AK293">
            <v>44.3865847</v>
          </cell>
          <cell r="AL293">
            <v>44.77744972</v>
          </cell>
          <cell r="AM293">
            <v>45.173955990000003</v>
          </cell>
          <cell r="AN293">
            <v>45.576465779999999</v>
          </cell>
          <cell r="AO293">
            <v>45.98523934</v>
          </cell>
          <cell r="AP293">
            <v>46.389201110000002</v>
          </cell>
          <cell r="AQ293">
            <v>46.794399769999998</v>
          </cell>
          <cell r="AR293">
            <v>47.202878920000003</v>
          </cell>
          <cell r="AS293">
            <v>47.61558187</v>
          </cell>
          <cell r="AT293">
            <v>48.033057489999997</v>
          </cell>
          <cell r="AU293">
            <v>48.45636116</v>
          </cell>
          <cell r="AV293">
            <v>48.885299269999997</v>
          </cell>
          <cell r="AW293">
            <v>49.319968860000003</v>
          </cell>
          <cell r="AX293">
            <v>49.760458720000003</v>
          </cell>
          <cell r="AY293">
            <v>50.206821900000001</v>
          </cell>
          <cell r="AZ293">
            <v>50.66277977</v>
          </cell>
          <cell r="BA293">
            <v>51.126037850000003</v>
          </cell>
          <cell r="BB293">
            <v>51.596077100000002</v>
          </cell>
          <cell r="BC293">
            <v>52.072673719999997</v>
          </cell>
          <cell r="BD293">
            <v>52.5556695</v>
          </cell>
          <cell r="BE293">
            <v>60.448364050000002</v>
          </cell>
          <cell r="BF293">
            <v>61.25071707</v>
          </cell>
          <cell r="BG293">
            <v>62.065198590000001</v>
          </cell>
          <cell r="BH293">
            <v>62.89208069</v>
          </cell>
          <cell r="BI293">
            <v>63.731686179999997</v>
          </cell>
        </row>
        <row r="299">
          <cell r="E299" t="str">
            <v>CF_toe_cele_2</v>
          </cell>
          <cell r="F299">
            <v>37.442984000000003</v>
          </cell>
          <cell r="G299">
            <v>37.50393734</v>
          </cell>
          <cell r="H299">
            <v>37.611563539999999</v>
          </cell>
          <cell r="I299">
            <v>37.770864889999999</v>
          </cell>
          <cell r="J299">
            <v>37.98878809</v>
          </cell>
          <cell r="K299">
            <v>38.260579790000001</v>
          </cell>
          <cell r="L299">
            <v>38.568207899999997</v>
          </cell>
          <cell r="M299">
            <v>38.911365500000002</v>
          </cell>
          <cell r="N299">
            <v>39.28225303</v>
          </cell>
          <cell r="O299">
            <v>39.672677800000002</v>
          </cell>
          <cell r="P299">
            <v>40.107666520000002</v>
          </cell>
          <cell r="Q299">
            <v>40.530272240000002</v>
          </cell>
          <cell r="R299">
            <v>40.950711009999999</v>
          </cell>
          <cell r="S299">
            <v>41.369783400000003</v>
          </cell>
          <cell r="T299">
            <v>41.786943209999997</v>
          </cell>
          <cell r="U299">
            <v>42.20179383</v>
          </cell>
          <cell r="V299">
            <v>42.611942380000002</v>
          </cell>
          <cell r="W299">
            <v>43.019335179999999</v>
          </cell>
          <cell r="X299">
            <v>43.424963269999999</v>
          </cell>
          <cell r="Y299">
            <v>43.829808489999998</v>
          </cell>
          <cell r="Z299">
            <v>44.211701269999999</v>
          </cell>
          <cell r="AA299">
            <v>44.608031169999997</v>
          </cell>
          <cell r="AB299">
            <v>45.011026790000003</v>
          </cell>
          <cell r="AC299">
            <v>45.419745849999998</v>
          </cell>
          <cell r="AD299">
            <v>45.834611170000002</v>
          </cell>
          <cell r="AE299">
            <v>46.190179149999999</v>
          </cell>
          <cell r="AF299">
            <v>46.559802169999998</v>
          </cell>
          <cell r="AG299">
            <v>46.935293850000001</v>
          </cell>
          <cell r="AH299">
            <v>47.316651589999999</v>
          </cell>
          <cell r="AI299">
            <v>47.705202419999999</v>
          </cell>
          <cell r="AJ299">
            <v>48.10225509</v>
          </cell>
          <cell r="AK299">
            <v>48.50939116</v>
          </cell>
          <cell r="AL299">
            <v>48.927013889999998</v>
          </cell>
          <cell r="AM299">
            <v>49.355526900000001</v>
          </cell>
          <cell r="AN299">
            <v>49.795153149999997</v>
          </cell>
          <cell r="AO299">
            <v>50.245939929999999</v>
          </cell>
          <cell r="AP299">
            <v>50.696905460000004</v>
          </cell>
          <cell r="AQ299">
            <v>51.153221989999999</v>
          </cell>
          <cell r="AR299">
            <v>51.616595959999998</v>
          </cell>
          <cell r="AS299">
            <v>52.087807210000001</v>
          </cell>
          <cell r="AT299">
            <v>52.567325840000002</v>
          </cell>
          <cell r="AU299">
            <v>53.056220930000002</v>
          </cell>
          <cell r="AV299">
            <v>53.554226630000002</v>
          </cell>
          <cell r="AW299">
            <v>54.061383829999997</v>
          </cell>
          <cell r="AX299">
            <v>54.577712980000001</v>
          </cell>
          <cell r="AY299">
            <v>55.103213490000002</v>
          </cell>
          <cell r="AZ299">
            <v>55.641777300000001</v>
          </cell>
          <cell r="BA299">
            <v>56.19095746</v>
          </cell>
          <cell r="BB299">
            <v>56.750110210000003</v>
          </cell>
          <cell r="BC299">
            <v>57.318946820000001</v>
          </cell>
          <cell r="BD299">
            <v>57.897295939999999</v>
          </cell>
          <cell r="BE299">
            <v>64.359417219999997</v>
          </cell>
          <cell r="BF299">
            <v>65.209907079999994</v>
          </cell>
          <cell r="BG299">
            <v>66.075298020000005</v>
          </cell>
          <cell r="BH299">
            <v>66.955731420000006</v>
          </cell>
          <cell r="BI299">
            <v>67.851352849999998</v>
          </cell>
        </row>
        <row r="309">
          <cell r="E309" t="str">
            <v>CF_toe_chea_2</v>
          </cell>
          <cell r="F309">
            <v>5.0876439720000004</v>
          </cell>
          <cell r="G309">
            <v>5.1288721669999999</v>
          </cell>
          <cell r="H309">
            <v>5.1829753309999997</v>
          </cell>
          <cell r="I309">
            <v>5.2431637289999999</v>
          </cell>
          <cell r="J309">
            <v>5.3081929370000003</v>
          </cell>
          <cell r="K309">
            <v>5.3780994089999998</v>
          </cell>
          <cell r="L309">
            <v>5.4438883169999999</v>
          </cell>
          <cell r="M309">
            <v>5.5058793489999998</v>
          </cell>
          <cell r="N309">
            <v>5.5657085080000002</v>
          </cell>
          <cell r="O309">
            <v>5.6246827530000001</v>
          </cell>
          <cell r="P309">
            <v>5.6916165100000002</v>
          </cell>
          <cell r="Q309">
            <v>5.7537391690000002</v>
          </cell>
          <cell r="R309">
            <v>5.8143171579999997</v>
          </cell>
          <cell r="S309">
            <v>5.8744450910000001</v>
          </cell>
          <cell r="T309">
            <v>5.934509909</v>
          </cell>
          <cell r="U309">
            <v>5.9946397869999997</v>
          </cell>
          <cell r="V309">
            <v>6.054624639</v>
          </cell>
          <cell r="W309">
            <v>6.1146334629999997</v>
          </cell>
          <cell r="X309">
            <v>6.1747162839999996</v>
          </cell>
          <cell r="Y309">
            <v>6.2349151320000002</v>
          </cell>
          <cell r="Z309">
            <v>6.2897558849999999</v>
          </cell>
          <cell r="AA309">
            <v>6.3481423059999997</v>
          </cell>
          <cell r="AB309">
            <v>6.4080649520000001</v>
          </cell>
          <cell r="AC309">
            <v>6.4688646329999999</v>
          </cell>
          <cell r="AD309">
            <v>6.5303140849999997</v>
          </cell>
          <cell r="AE309">
            <v>6.5770171260000003</v>
          </cell>
          <cell r="AF309">
            <v>6.6263938680000001</v>
          </cell>
          <cell r="AG309">
            <v>6.6769306359999998</v>
          </cell>
          <cell r="AH309">
            <v>6.7282612449999997</v>
          </cell>
          <cell r="AI309">
            <v>6.7802847210000001</v>
          </cell>
          <cell r="AJ309">
            <v>6.8329831150000002</v>
          </cell>
          <cell r="AK309">
            <v>6.8864237590000004</v>
          </cell>
          <cell r="AL309">
            <v>6.9405916269999999</v>
          </cell>
          <cell r="AM309">
            <v>6.9954966819999997</v>
          </cell>
          <cell r="AN309">
            <v>7.0511462959999998</v>
          </cell>
          <cell r="AO309">
            <v>7.1075412</v>
          </cell>
          <cell r="AP309">
            <v>7.1617324250000003</v>
          </cell>
          <cell r="AQ309">
            <v>7.2154143050000004</v>
          </cell>
          <cell r="AR309">
            <v>7.2692533859999999</v>
          </cell>
          <cell r="AS309">
            <v>7.3235252309999996</v>
          </cell>
          <cell r="AT309">
            <v>7.3783438529999996</v>
          </cell>
          <cell r="AU309">
            <v>7.433828321</v>
          </cell>
          <cell r="AV309">
            <v>7.4899444629999996</v>
          </cell>
          <cell r="AW309">
            <v>7.5466902410000003</v>
          </cell>
          <cell r="AX309">
            <v>7.6040528639999998</v>
          </cell>
          <cell r="AY309">
            <v>7.6620239860000003</v>
          </cell>
          <cell r="AZ309">
            <v>7.7211298829999997</v>
          </cell>
          <cell r="BA309">
            <v>7.7810185399999998</v>
          </cell>
          <cell r="BB309">
            <v>7.8415846379999996</v>
          </cell>
          <cell r="BC309">
            <v>7.902783866</v>
          </cell>
          <cell r="BD309">
            <v>7.9645923190000003</v>
          </cell>
          <cell r="BE309">
            <v>8.5768502299999998</v>
          </cell>
          <cell r="BF309">
            <v>8.666396185</v>
          </cell>
          <cell r="BG309">
            <v>8.7572674819999996</v>
          </cell>
          <cell r="BH309">
            <v>8.8494687390000006</v>
          </cell>
          <cell r="BI309">
            <v>8.9430200129999999</v>
          </cell>
        </row>
        <row r="311">
          <cell r="E311" t="str">
            <v>CF_toe_cbio_2</v>
          </cell>
          <cell r="F311">
            <v>8.1640858089999995</v>
          </cell>
          <cell r="G311">
            <v>8.1679804239999996</v>
          </cell>
          <cell r="H311">
            <v>8.1538125820000005</v>
          </cell>
          <cell r="I311">
            <v>8.1369288290000004</v>
          </cell>
          <cell r="J311">
            <v>8.1233812459999992</v>
          </cell>
          <cell r="K311">
            <v>8.1138688830000003</v>
          </cell>
          <cell r="L311">
            <v>8.1104266190000001</v>
          </cell>
          <cell r="M311">
            <v>8.1139601129999992</v>
          </cell>
          <cell r="N311">
            <v>8.1235712529999997</v>
          </cell>
          <cell r="O311">
            <v>8.1376734810000002</v>
          </cell>
          <cell r="P311">
            <v>8.1599939730000006</v>
          </cell>
          <cell r="Q311">
            <v>8.1810612789999997</v>
          </cell>
          <cell r="R311">
            <v>8.2020502260000008</v>
          </cell>
          <cell r="S311">
            <v>8.2231634769999999</v>
          </cell>
          <cell r="T311">
            <v>8.2443907129999996</v>
          </cell>
          <cell r="U311">
            <v>8.2656952889999999</v>
          </cell>
          <cell r="V311">
            <v>8.2868770339999998</v>
          </cell>
          <cell r="W311">
            <v>8.3080607339999997</v>
          </cell>
          <cell r="X311">
            <v>8.3292572180000004</v>
          </cell>
          <cell r="Y311">
            <v>8.3505124039999998</v>
          </cell>
          <cell r="Z311">
            <v>8.3682926480000006</v>
          </cell>
          <cell r="AA311">
            <v>8.3883272420000008</v>
          </cell>
          <cell r="AB311">
            <v>8.4094518899999997</v>
          </cell>
          <cell r="AC311">
            <v>8.4313072120000001</v>
          </cell>
          <cell r="AD311">
            <v>8.4537925069999993</v>
          </cell>
          <cell r="AE311">
            <v>8.4668784969999997</v>
          </cell>
          <cell r="AF311">
            <v>8.4816415700000007</v>
          </cell>
          <cell r="AG311">
            <v>8.4972464559999992</v>
          </cell>
          <cell r="AH311">
            <v>8.5135362820000005</v>
          </cell>
          <cell r="AI311">
            <v>8.5305203790000004</v>
          </cell>
          <cell r="AJ311">
            <v>8.5482464809999996</v>
          </cell>
          <cell r="AK311">
            <v>8.5668030240000004</v>
          </cell>
          <cell r="AL311">
            <v>8.5861981059999994</v>
          </cell>
          <cell r="AM311">
            <v>8.6064462699999993</v>
          </cell>
          <cell r="AN311">
            <v>8.6275520839999995</v>
          </cell>
          <cell r="AO311">
            <v>8.6495101529999996</v>
          </cell>
          <cell r="AP311">
            <v>8.6704259480000001</v>
          </cell>
          <cell r="AQ311">
            <v>8.6912843370000008</v>
          </cell>
          <cell r="AR311">
            <v>8.7124927589999999</v>
          </cell>
          <cell r="AS311">
            <v>8.7342271759999992</v>
          </cell>
          <cell r="AT311">
            <v>8.7565656700000005</v>
          </cell>
          <cell r="AU311">
            <v>8.7796004490000001</v>
          </cell>
          <cell r="AV311">
            <v>8.8033084719999994</v>
          </cell>
          <cell r="AW311">
            <v>8.8276905110000001</v>
          </cell>
          <cell r="AX311">
            <v>8.8527342929999993</v>
          </cell>
          <cell r="AY311">
            <v>8.8784313269999995</v>
          </cell>
          <cell r="AZ311">
            <v>8.9051567760000001</v>
          </cell>
          <cell r="BA311">
            <v>8.9326669289999998</v>
          </cell>
          <cell r="BB311">
            <v>8.9608841439999996</v>
          </cell>
          <cell r="BC311">
            <v>8.9897708860000005</v>
          </cell>
          <cell r="BD311">
            <v>9.0193035219999995</v>
          </cell>
          <cell r="BE311">
            <v>9.1587507319999997</v>
          </cell>
          <cell r="BF311">
            <v>9.2090429220000001</v>
          </cell>
          <cell r="BG311">
            <v>9.2606713220000003</v>
          </cell>
          <cell r="BH311">
            <v>9.3136211660000008</v>
          </cell>
          <cell r="BI311">
            <v>9.3679002540000003</v>
          </cell>
        </row>
        <row r="314">
          <cell r="E314" t="str">
            <v>CF_toe_cote_2</v>
          </cell>
          <cell r="F314">
            <v>8.4246774680000005</v>
          </cell>
          <cell r="G314">
            <v>8.4565623599999995</v>
          </cell>
          <cell r="H314">
            <v>8.5369130789999996</v>
          </cell>
          <cell r="I314">
            <v>8.6355911289999998</v>
          </cell>
          <cell r="J314">
            <v>8.7466449639999997</v>
          </cell>
          <cell r="K314">
            <v>8.8675791069999992</v>
          </cell>
          <cell r="L314">
            <v>8.9900230229999991</v>
          </cell>
          <cell r="M314">
            <v>9.116854129</v>
          </cell>
          <cell r="N314">
            <v>9.2475532319999996</v>
          </cell>
          <cell r="O314">
            <v>9.381235491</v>
          </cell>
          <cell r="P314">
            <v>9.527745951</v>
          </cell>
          <cell r="Q314">
            <v>9.6670169789999996</v>
          </cell>
          <cell r="R314">
            <v>9.8057044930000004</v>
          </cell>
          <cell r="S314">
            <v>9.9446656680000007</v>
          </cell>
          <cell r="T314">
            <v>10.083976639999999</v>
          </cell>
          <cell r="U314">
            <v>10.223684710000001</v>
          </cell>
          <cell r="V314">
            <v>10.362598289999999</v>
          </cell>
          <cell r="W314">
            <v>10.501995170000001</v>
          </cell>
          <cell r="X314">
            <v>10.64227515</v>
          </cell>
          <cell r="Y314">
            <v>10.783721269999999</v>
          </cell>
          <cell r="Z314">
            <v>10.91884554</v>
          </cell>
          <cell r="AA314">
            <v>11.061169980000001</v>
          </cell>
          <cell r="AB314">
            <v>11.20653199</v>
          </cell>
          <cell r="AC314">
            <v>11.354447540000001</v>
          </cell>
          <cell r="AD314">
            <v>11.50498007</v>
          </cell>
          <cell r="AE314">
            <v>11.63610428</v>
          </cell>
          <cell r="AF314">
            <v>11.77576951</v>
          </cell>
          <cell r="AG314">
            <v>11.91837501</v>
          </cell>
          <cell r="AH314">
            <v>12.06336866</v>
          </cell>
          <cell r="AI314">
            <v>12.210919519999999</v>
          </cell>
          <cell r="AJ314">
            <v>12.36125189</v>
          </cell>
          <cell r="AK314">
            <v>12.514829239999999</v>
          </cell>
          <cell r="AL314">
            <v>12.67151595</v>
          </cell>
          <cell r="AM314">
            <v>12.83132095</v>
          </cell>
          <cell r="AN314">
            <v>12.99423781</v>
          </cell>
          <cell r="AO314">
            <v>13.160232499999999</v>
          </cell>
          <cell r="AP314">
            <v>13.32654226</v>
          </cell>
          <cell r="AQ314">
            <v>13.49461022</v>
          </cell>
          <cell r="AR314">
            <v>13.66475612</v>
          </cell>
          <cell r="AS314">
            <v>13.83710175</v>
          </cell>
          <cell r="AT314">
            <v>14.011725350000001</v>
          </cell>
          <cell r="AU314">
            <v>14.189098080000001</v>
          </cell>
          <cell r="AV314">
            <v>14.36892527</v>
          </cell>
          <cell r="AW314">
            <v>14.55117903</v>
          </cell>
          <cell r="AX314">
            <v>14.735859830000001</v>
          </cell>
          <cell r="AY314">
            <v>14.922964439999999</v>
          </cell>
          <cell r="AZ314">
            <v>15.11435743</v>
          </cell>
          <cell r="BA314">
            <v>15.30856144</v>
          </cell>
          <cell r="BB314">
            <v>15.505316799999999</v>
          </cell>
          <cell r="BC314">
            <v>15.704553389999999</v>
          </cell>
          <cell r="BD314">
            <v>15.906239449999999</v>
          </cell>
          <cell r="BE314">
            <v>19.805538519999999</v>
          </cell>
          <cell r="BF314">
            <v>20.149609949999999</v>
          </cell>
          <cell r="BG314">
            <v>20.49965121</v>
          </cell>
          <cell r="BH314">
            <v>20.855750520000001</v>
          </cell>
          <cell r="BI314">
            <v>21.21799416</v>
          </cell>
        </row>
        <row r="317">
          <cell r="E317" t="str">
            <v>CF_toe_0</v>
          </cell>
          <cell r="F317">
            <v>162.32540449999999</v>
          </cell>
          <cell r="G317">
            <v>163.4156279</v>
          </cell>
          <cell r="H317">
            <v>164.401116</v>
          </cell>
          <cell r="I317">
            <v>165.49306659999999</v>
          </cell>
          <cell r="J317">
            <v>166.7450049</v>
          </cell>
          <cell r="K317">
            <v>168.1815799</v>
          </cell>
          <cell r="L317">
            <v>169.71105230000001</v>
          </cell>
          <cell r="M317">
            <v>171.35065489999999</v>
          </cell>
          <cell r="N317">
            <v>173.08313810000001</v>
          </cell>
          <cell r="O317">
            <v>174.88787880000001</v>
          </cell>
          <cell r="P317">
            <v>176.88940719999999</v>
          </cell>
          <cell r="Q317">
            <v>178.85549979999999</v>
          </cell>
          <cell r="R317">
            <v>180.83299880000001</v>
          </cell>
          <cell r="S317">
            <v>182.82848559999999</v>
          </cell>
          <cell r="T317">
            <v>184.8416052</v>
          </cell>
          <cell r="U317">
            <v>186.87145649999999</v>
          </cell>
          <cell r="V317">
            <v>188.9177612</v>
          </cell>
          <cell r="W317">
            <v>190.9809482</v>
          </cell>
          <cell r="X317">
            <v>193.06201369999999</v>
          </cell>
          <cell r="Y317">
            <v>195.16235209999999</v>
          </cell>
          <cell r="Z317">
            <v>197.18068400000001</v>
          </cell>
          <cell r="AA317">
            <v>199.27933429999999</v>
          </cell>
          <cell r="AB317">
            <v>201.4196584</v>
          </cell>
          <cell r="AC317">
            <v>203.59457269999999</v>
          </cell>
          <cell r="AD317">
            <v>205.803291</v>
          </cell>
          <cell r="AE317">
            <v>207.75171499999999</v>
          </cell>
          <cell r="AF317">
            <v>209.76024630000001</v>
          </cell>
          <cell r="AG317">
            <v>211.79003309999999</v>
          </cell>
          <cell r="AH317">
            <v>213.83877219999999</v>
          </cell>
          <cell r="AI317">
            <v>215.91022390000001</v>
          </cell>
          <cell r="AJ317">
            <v>218.00870990000001</v>
          </cell>
          <cell r="AK317">
            <v>220.13788270000001</v>
          </cell>
          <cell r="AL317">
            <v>222.3004622</v>
          </cell>
          <cell r="AM317">
            <v>224.49828110000001</v>
          </cell>
          <cell r="AN317">
            <v>226.73243160000001</v>
          </cell>
          <cell r="AO317">
            <v>229.00343839999999</v>
          </cell>
          <cell r="AP317">
            <v>231.2414564</v>
          </cell>
          <cell r="AQ317">
            <v>233.48483590000001</v>
          </cell>
          <cell r="AR317">
            <v>235.74448129999999</v>
          </cell>
          <cell r="AS317">
            <v>238.02541500000001</v>
          </cell>
          <cell r="AT317">
            <v>240.3310578</v>
          </cell>
          <cell r="AU317">
            <v>242.66410959999999</v>
          </cell>
          <cell r="AV317">
            <v>245.0267279</v>
          </cell>
          <cell r="AW317">
            <v>247.42056729999999</v>
          </cell>
          <cell r="AX317">
            <v>249.8467536</v>
          </cell>
          <cell r="AY317">
            <v>252.30570349999999</v>
          </cell>
          <cell r="AZ317">
            <v>254.8022617</v>
          </cell>
          <cell r="BA317">
            <v>257.32966340000002</v>
          </cell>
          <cell r="BB317">
            <v>259.88363349999997</v>
          </cell>
          <cell r="BC317">
            <v>262.47046760000001</v>
          </cell>
          <cell r="BD317">
            <v>265.0955371</v>
          </cell>
          <cell r="BE317">
            <v>285.81156920000001</v>
          </cell>
          <cell r="BF317">
            <v>289.59841449999999</v>
          </cell>
          <cell r="BG317">
            <v>293.44403879999999</v>
          </cell>
          <cell r="BH317">
            <v>297.34999809999999</v>
          </cell>
          <cell r="BI317">
            <v>301.31780850000001</v>
          </cell>
        </row>
        <row r="318">
          <cell r="E318" t="str">
            <v>CF_toe_ccoa_0</v>
          </cell>
          <cell r="F318">
            <v>5.4830683029999996</v>
          </cell>
          <cell r="G318">
            <v>5.5492793799999998</v>
          </cell>
          <cell r="H318">
            <v>5.6226819600000004</v>
          </cell>
          <cell r="I318">
            <v>5.7019175280000001</v>
          </cell>
          <cell r="J318">
            <v>5.7861248319999996</v>
          </cell>
          <cell r="K318">
            <v>5.8747395659999997</v>
          </cell>
          <cell r="L318">
            <v>5.9635537010000004</v>
          </cell>
          <cell r="M318">
            <v>6.0544641639999996</v>
          </cell>
          <cell r="N318">
            <v>6.1476467250000004</v>
          </cell>
          <cell r="O318">
            <v>6.2429638360000004</v>
          </cell>
          <cell r="P318">
            <v>6.3467157179999996</v>
          </cell>
          <cell r="Q318">
            <v>6.4481039600000001</v>
          </cell>
          <cell r="R318">
            <v>6.5501806460000003</v>
          </cell>
          <cell r="S318">
            <v>6.6535140009999996</v>
          </cell>
          <cell r="T318">
            <v>6.7582072530000001</v>
          </cell>
          <cell r="U318">
            <v>6.8642977370000002</v>
          </cell>
          <cell r="V318">
            <v>6.9718316839999996</v>
          </cell>
          <cell r="W318">
            <v>7.0808734839999996</v>
          </cell>
          <cell r="X318">
            <v>7.1915011849999999</v>
          </cell>
          <cell r="Y318">
            <v>7.3037997629999998</v>
          </cell>
          <cell r="Z318">
            <v>7.4130387679999998</v>
          </cell>
          <cell r="AA318">
            <v>7.5272154479999998</v>
          </cell>
          <cell r="AB318">
            <v>7.6440588519999997</v>
          </cell>
          <cell r="AC318">
            <v>7.7631628270000004</v>
          </cell>
          <cell r="AD318">
            <v>7.8844808649999996</v>
          </cell>
          <cell r="AE318">
            <v>7.9940915869999998</v>
          </cell>
          <cell r="AF318">
            <v>8.1082709439999991</v>
          </cell>
          <cell r="AG318">
            <v>8.2244082330000001</v>
          </cell>
          <cell r="AH318">
            <v>8.3421332610000007</v>
          </cell>
          <cell r="AI318">
            <v>8.4614956259999996</v>
          </cell>
          <cell r="AJ318">
            <v>8.5826001220000006</v>
          </cell>
          <cell r="AK318">
            <v>8.7055333929999996</v>
          </cell>
          <cell r="AL318">
            <v>8.8303500479999997</v>
          </cell>
          <cell r="AM318">
            <v>8.9570736610000008</v>
          </cell>
          <cell r="AN318">
            <v>9.0857025070000006</v>
          </cell>
          <cell r="AO318">
            <v>9.2162167089999993</v>
          </cell>
          <cell r="AP318">
            <v>9.3451920049999995</v>
          </cell>
          <cell r="AQ318">
            <v>9.474724105</v>
          </cell>
          <cell r="AR318">
            <v>9.6052880070000004</v>
          </cell>
          <cell r="AS318">
            <v>9.7370358269999997</v>
          </cell>
          <cell r="AT318">
            <v>9.8700524569999999</v>
          </cell>
          <cell r="AU318">
            <v>10.004404190000001</v>
          </cell>
          <cell r="AV318">
            <v>10.140146639999999</v>
          </cell>
          <cell r="AW318">
            <v>10.277325230000001</v>
          </cell>
          <cell r="AX318">
            <v>10.41597535</v>
          </cell>
          <cell r="AY318">
            <v>10.556122820000001</v>
          </cell>
          <cell r="AZ318">
            <v>10.69809186</v>
          </cell>
          <cell r="BA318">
            <v>10.84172141</v>
          </cell>
          <cell r="BB318">
            <v>10.98698583</v>
          </cell>
          <cell r="BC318">
            <v>11.13388226</v>
          </cell>
          <cell r="BD318">
            <v>11.28241703</v>
          </cell>
          <cell r="BE318">
            <v>12.5681329</v>
          </cell>
          <cell r="BF318">
            <v>12.78677233</v>
          </cell>
          <cell r="BG318">
            <v>13.00876092</v>
          </cell>
          <cell r="BH318">
            <v>13.23413545</v>
          </cell>
          <cell r="BI318">
            <v>13.462935549999999</v>
          </cell>
        </row>
        <row r="321">
          <cell r="E321" t="str">
            <v>CF_toe_ccoi_0</v>
          </cell>
          <cell r="F321">
            <v>8.4917494900000001E-2</v>
          </cell>
          <cell r="G321">
            <v>8.5904173299999997E-2</v>
          </cell>
          <cell r="H321">
            <v>8.6975202500000001E-2</v>
          </cell>
          <cell r="I321">
            <v>8.8142268999999995E-2</v>
          </cell>
          <cell r="J321">
            <v>8.9414280299999996E-2</v>
          </cell>
          <cell r="K321">
            <v>9.0790635600000003E-2</v>
          </cell>
          <cell r="L321">
            <v>9.2207440299999999E-2</v>
          </cell>
          <cell r="M321">
            <v>9.3684891300000003E-2</v>
          </cell>
          <cell r="N321">
            <v>9.5219327399999998E-2</v>
          </cell>
          <cell r="O321">
            <v>9.68034589E-2</v>
          </cell>
          <cell r="P321">
            <v>9.8529666200000005E-2</v>
          </cell>
          <cell r="Q321">
            <v>0.1002378513</v>
          </cell>
          <cell r="R321">
            <v>0.1019637946</v>
          </cell>
          <cell r="S321">
            <v>0.10371059169999999</v>
          </cell>
          <cell r="T321">
            <v>0.10547654469999999</v>
          </cell>
          <cell r="U321">
            <v>0.10725994730000001</v>
          </cell>
          <cell r="V321">
            <v>0.1090597834</v>
          </cell>
          <cell r="W321">
            <v>0.1108757007</v>
          </cell>
          <cell r="X321">
            <v>0.1127078772</v>
          </cell>
          <cell r="Y321">
            <v>0.1145568922</v>
          </cell>
          <cell r="Z321">
            <v>0.11634893709999999</v>
          </cell>
          <cell r="AA321">
            <v>0.1182004707</v>
          </cell>
          <cell r="AB321">
            <v>0.1200823359</v>
          </cell>
          <cell r="AC321">
            <v>0.1219905511</v>
          </cell>
          <cell r="AD321">
            <v>0.1239253453</v>
          </cell>
          <cell r="AE321">
            <v>0.12567097899999999</v>
          </cell>
          <cell r="AF321">
            <v>0.1274595409</v>
          </cell>
          <cell r="AG321">
            <v>0.12925843849999999</v>
          </cell>
          <cell r="AH321">
            <v>0.1310666754</v>
          </cell>
          <cell r="AI321">
            <v>0.1328882679</v>
          </cell>
          <cell r="AJ321">
            <v>0.13472742300000001</v>
          </cell>
          <cell r="AK321">
            <v>0.13658764840000001</v>
          </cell>
          <cell r="AL321">
            <v>0.13847164910000001</v>
          </cell>
          <cell r="AM321">
            <v>0.1403813995</v>
          </cell>
          <cell r="AN321">
            <v>0.1423182573</v>
          </cell>
          <cell r="AO321">
            <v>0.1442830849</v>
          </cell>
          <cell r="AP321">
            <v>0.1462237579</v>
          </cell>
          <cell r="AQ321">
            <v>0.14816847499999999</v>
          </cell>
          <cell r="AR321">
            <v>0.15012431449999999</v>
          </cell>
          <cell r="AS321">
            <v>0.1520946564</v>
          </cell>
          <cell r="AT321">
            <v>0.1540821151</v>
          </cell>
          <cell r="AU321">
            <v>0.15608895980000001</v>
          </cell>
          <cell r="AV321">
            <v>0.15811713669999999</v>
          </cell>
          <cell r="AW321">
            <v>0.1601682639</v>
          </cell>
          <cell r="AX321">
            <v>0.1622436538</v>
          </cell>
          <cell r="AY321">
            <v>0.1643443597</v>
          </cell>
          <cell r="AZ321">
            <v>0.16647602410000001</v>
          </cell>
          <cell r="BA321">
            <v>0.1686368617</v>
          </cell>
          <cell r="BB321">
            <v>0.17082688500000001</v>
          </cell>
          <cell r="BC321">
            <v>0.17304623199999999</v>
          </cell>
          <cell r="BD321">
            <v>0.17529506089999999</v>
          </cell>
          <cell r="BE321">
            <v>0.1973296433</v>
          </cell>
          <cell r="BF321">
            <v>0.2006222366</v>
          </cell>
          <cell r="BG321">
            <v>0.2039584817</v>
          </cell>
          <cell r="BH321">
            <v>0.20733960309999999</v>
          </cell>
          <cell r="BI321">
            <v>0.21076692059999999</v>
          </cell>
        </row>
        <row r="324">
          <cell r="E324" t="str">
            <v>CF_toe_cfut_0</v>
          </cell>
          <cell r="F324">
            <v>47.396219530000003</v>
          </cell>
          <cell r="G324">
            <v>47.572488130000004</v>
          </cell>
          <cell r="H324">
            <v>47.715054289999998</v>
          </cell>
          <cell r="I324">
            <v>47.933097959999998</v>
          </cell>
          <cell r="J324">
            <v>48.248534419999999</v>
          </cell>
          <cell r="K324">
            <v>48.652318780000002</v>
          </cell>
          <cell r="L324">
            <v>49.110529749999998</v>
          </cell>
          <cell r="M324">
            <v>49.614983969999997</v>
          </cell>
          <cell r="N324">
            <v>50.15509342</v>
          </cell>
          <cell r="O324">
            <v>50.722348689999997</v>
          </cell>
          <cell r="P324">
            <v>51.3407099</v>
          </cell>
          <cell r="Q324">
            <v>51.961652729999997</v>
          </cell>
          <cell r="R324">
            <v>52.59153294</v>
          </cell>
          <cell r="S324">
            <v>53.229606779999997</v>
          </cell>
          <cell r="T324">
            <v>53.87438066</v>
          </cell>
          <cell r="U324">
            <v>54.524709280000003</v>
          </cell>
          <cell r="V324">
            <v>55.179880920000002</v>
          </cell>
          <cell r="W324">
            <v>55.839527969999999</v>
          </cell>
          <cell r="X324">
            <v>56.50352857</v>
          </cell>
          <cell r="Y324">
            <v>57.171929089999999</v>
          </cell>
          <cell r="Z324">
            <v>57.822471800000002</v>
          </cell>
          <cell r="AA324">
            <v>58.488130830000003</v>
          </cell>
          <cell r="AB324">
            <v>59.162029029999999</v>
          </cell>
          <cell r="AC324">
            <v>59.843234639999999</v>
          </cell>
          <cell r="AD324">
            <v>60.531841640000003</v>
          </cell>
          <cell r="AE324">
            <v>61.163390649999997</v>
          </cell>
          <cell r="AF324">
            <v>61.801863189999999</v>
          </cell>
          <cell r="AG324">
            <v>62.440449469999997</v>
          </cell>
          <cell r="AH324">
            <v>63.079769519999999</v>
          </cell>
          <cell r="AI324">
            <v>63.721679999999999</v>
          </cell>
          <cell r="AJ324">
            <v>64.367969040000006</v>
          </cell>
          <cell r="AK324">
            <v>65.020083510000006</v>
          </cell>
          <cell r="AL324">
            <v>65.679104260000003</v>
          </cell>
          <cell r="AM324">
            <v>66.345791840000004</v>
          </cell>
          <cell r="AN324">
            <v>67.020651849999993</v>
          </cell>
          <cell r="AO324">
            <v>67.704000809999997</v>
          </cell>
          <cell r="AP324">
            <v>68.380444940000004</v>
          </cell>
          <cell r="AQ324">
            <v>69.05720925</v>
          </cell>
          <cell r="AR324">
            <v>69.73649245</v>
          </cell>
          <cell r="AS324">
            <v>70.419591659999995</v>
          </cell>
          <cell r="AT324">
            <v>71.107616809999996</v>
          </cell>
          <cell r="AU324">
            <v>71.801559749999996</v>
          </cell>
          <cell r="AV324">
            <v>72.502267520000004</v>
          </cell>
          <cell r="AW324">
            <v>73.210424029999999</v>
          </cell>
          <cell r="AX324">
            <v>73.926553350000006</v>
          </cell>
          <cell r="AY324">
            <v>74.651039179999998</v>
          </cell>
          <cell r="AZ324">
            <v>75.38556097</v>
          </cell>
          <cell r="BA324">
            <v>76.129668170000002</v>
          </cell>
          <cell r="BB324">
            <v>76.883308369999995</v>
          </cell>
          <cell r="BC324">
            <v>77.646438570000001</v>
          </cell>
          <cell r="BD324">
            <v>78.419003630000006</v>
          </cell>
          <cell r="BE324">
            <v>85.312169370000007</v>
          </cell>
          <cell r="BF324">
            <v>86.423256069999994</v>
          </cell>
          <cell r="BG324">
            <v>87.550619229999995</v>
          </cell>
          <cell r="BH324">
            <v>88.694809750000005</v>
          </cell>
          <cell r="BI324">
            <v>89.856421949999998</v>
          </cell>
        </row>
        <row r="327">
          <cell r="E327" t="str">
            <v>CF_toe_cfuh_0</v>
          </cell>
          <cell r="F327">
            <v>14.83425304</v>
          </cell>
          <cell r="G327">
            <v>14.924954290000001</v>
          </cell>
          <cell r="H327">
            <v>14.99378463</v>
          </cell>
          <cell r="I327">
            <v>15.06078102</v>
          </cell>
          <cell r="J327">
            <v>15.13222142</v>
          </cell>
          <cell r="K327">
            <v>15.217554229999999</v>
          </cell>
          <cell r="L327">
            <v>15.312203950000001</v>
          </cell>
          <cell r="M327">
            <v>15.41807863</v>
          </cell>
          <cell r="N327">
            <v>15.53343293</v>
          </cell>
          <cell r="O327">
            <v>15.65596317</v>
          </cell>
          <cell r="P327">
            <v>15.79562037</v>
          </cell>
          <cell r="Q327">
            <v>15.93284193</v>
          </cell>
          <cell r="R327">
            <v>16.070971459999999</v>
          </cell>
          <cell r="S327">
            <v>16.210606569999999</v>
          </cell>
          <cell r="T327">
            <v>16.351777429999999</v>
          </cell>
          <cell r="U327">
            <v>16.494440109999999</v>
          </cell>
          <cell r="V327">
            <v>16.638578219999999</v>
          </cell>
          <cell r="W327">
            <v>16.784214479999999</v>
          </cell>
          <cell r="X327">
            <v>16.931403190000001</v>
          </cell>
          <cell r="Y327">
            <v>17.080220799999999</v>
          </cell>
          <cell r="Z327">
            <v>17.222231870000002</v>
          </cell>
          <cell r="AA327">
            <v>17.370690230000001</v>
          </cell>
          <cell r="AB327">
            <v>17.522647500000001</v>
          </cell>
          <cell r="AC327">
            <v>17.677383450000001</v>
          </cell>
          <cell r="AD327">
            <v>17.834727950000001</v>
          </cell>
          <cell r="AE327">
            <v>17.97035189</v>
          </cell>
          <cell r="AF327">
            <v>18.11023088</v>
          </cell>
          <cell r="AG327">
            <v>18.25180035</v>
          </cell>
          <cell r="AH327">
            <v>18.394817459999999</v>
          </cell>
          <cell r="AI327">
            <v>18.539462650000001</v>
          </cell>
          <cell r="AJ327">
            <v>18.685984550000001</v>
          </cell>
          <cell r="AK327">
            <v>18.834621729999999</v>
          </cell>
          <cell r="AL327">
            <v>18.985565659999999</v>
          </cell>
          <cell r="AM327">
            <v>19.13895608</v>
          </cell>
          <cell r="AN327">
            <v>19.29488722</v>
          </cell>
          <cell r="AO327">
            <v>19.453417439999999</v>
          </cell>
          <cell r="AP327">
            <v>19.60885893</v>
          </cell>
          <cell r="AQ327">
            <v>19.76426506</v>
          </cell>
          <cell r="AR327">
            <v>19.92065092</v>
          </cell>
          <cell r="AS327">
            <v>20.078497540000001</v>
          </cell>
          <cell r="AT327">
            <v>20.238114110000001</v>
          </cell>
          <cell r="AU327">
            <v>20.399729130000001</v>
          </cell>
          <cell r="AV327">
            <v>20.563513839999999</v>
          </cell>
          <cell r="AW327">
            <v>20.729584849999998</v>
          </cell>
          <cell r="AX327">
            <v>20.897988890000001</v>
          </cell>
          <cell r="AY327">
            <v>21.06863323</v>
          </cell>
          <cell r="AZ327">
            <v>21.24144274</v>
          </cell>
          <cell r="BA327">
            <v>21.416190709999999</v>
          </cell>
          <cell r="BB327">
            <v>21.592452000000002</v>
          </cell>
          <cell r="BC327">
            <v>21.77122301</v>
          </cell>
          <cell r="BD327">
            <v>21.953295969999999</v>
          </cell>
          <cell r="BE327">
            <v>23.453218750000001</v>
          </cell>
          <cell r="BF327">
            <v>23.723576749999999</v>
          </cell>
          <cell r="BG327">
            <v>23.998018949999999</v>
          </cell>
          <cell r="BH327">
            <v>24.276674310000001</v>
          </cell>
          <cell r="BI327">
            <v>24.559660640000001</v>
          </cell>
        </row>
        <row r="329">
          <cell r="E329" t="str">
            <v>CF_toe_cgas_0</v>
          </cell>
          <cell r="F329">
            <v>34.455909939999998</v>
          </cell>
          <cell r="G329">
            <v>34.735827749999999</v>
          </cell>
          <cell r="H329">
            <v>34.995736549999997</v>
          </cell>
          <cell r="I329">
            <v>35.262800069999997</v>
          </cell>
          <cell r="J329">
            <v>35.54540737</v>
          </cell>
          <cell r="K329">
            <v>35.859706199999998</v>
          </cell>
          <cell r="L329">
            <v>36.189815770000003</v>
          </cell>
          <cell r="M329">
            <v>36.543720440000001</v>
          </cell>
          <cell r="N329">
            <v>36.918846940000002</v>
          </cell>
          <cell r="O329">
            <v>37.310920279999998</v>
          </cell>
          <cell r="P329">
            <v>37.750746530000001</v>
          </cell>
          <cell r="Q329">
            <v>38.181040860000003</v>
          </cell>
          <cell r="R329">
            <v>38.613982219999997</v>
          </cell>
          <cell r="S329">
            <v>39.051442690000002</v>
          </cell>
          <cell r="T329">
            <v>39.493438730000001</v>
          </cell>
          <cell r="U329">
            <v>39.93972935</v>
          </cell>
          <cell r="V329">
            <v>40.390137979999999</v>
          </cell>
          <cell r="W329">
            <v>40.844607289999999</v>
          </cell>
          <cell r="X329">
            <v>41.303192680000002</v>
          </cell>
          <cell r="Y329">
            <v>41.76604184</v>
          </cell>
          <cell r="Z329">
            <v>42.208316959999998</v>
          </cell>
          <cell r="AA329">
            <v>42.669860229999998</v>
          </cell>
          <cell r="AB329">
            <v>43.140639049999997</v>
          </cell>
          <cell r="AC329">
            <v>43.618656639999998</v>
          </cell>
          <cell r="AD329">
            <v>44.103556240000003</v>
          </cell>
          <cell r="AE329">
            <v>44.523800399999999</v>
          </cell>
          <cell r="AF329">
            <v>44.958608720000001</v>
          </cell>
          <cell r="AG329">
            <v>45.397820019999997</v>
          </cell>
          <cell r="AH329">
            <v>45.840496700000003</v>
          </cell>
          <cell r="AI329">
            <v>46.287105820000001</v>
          </cell>
          <cell r="AJ329">
            <v>46.738403820000002</v>
          </cell>
          <cell r="AK329">
            <v>47.195129899999998</v>
          </cell>
          <cell r="AL329">
            <v>47.657907139999999</v>
          </cell>
          <cell r="AM329">
            <v>48.127221820000003</v>
          </cell>
          <cell r="AN329">
            <v>48.603430449999998</v>
          </cell>
          <cell r="AO329">
            <v>49.086777849999997</v>
          </cell>
          <cell r="AP329">
            <v>49.560524710000003</v>
          </cell>
          <cell r="AQ329">
            <v>50.034354540000002</v>
          </cell>
          <cell r="AR329">
            <v>50.510984620000002</v>
          </cell>
          <cell r="AS329">
            <v>50.991610629999997</v>
          </cell>
          <cell r="AT329">
            <v>51.476987450000003</v>
          </cell>
          <cell r="AU329">
            <v>51.967675560000004</v>
          </cell>
          <cell r="AV329">
            <v>52.464103950000002</v>
          </cell>
          <cell r="AW329">
            <v>52.966582649999999</v>
          </cell>
          <cell r="AX329">
            <v>53.475286879999999</v>
          </cell>
          <cell r="AY329">
            <v>53.99018264</v>
          </cell>
          <cell r="AZ329">
            <v>54.512204599999997</v>
          </cell>
          <cell r="BA329">
            <v>55.039883170000003</v>
          </cell>
          <cell r="BB329">
            <v>55.570550920000002</v>
          </cell>
          <cell r="BC329">
            <v>56.107930879999998</v>
          </cell>
          <cell r="BD329">
            <v>56.65502687</v>
          </cell>
          <cell r="BE329">
            <v>60.695917489999999</v>
          </cell>
          <cell r="BF329">
            <v>61.493967240000003</v>
          </cell>
          <cell r="BG329">
            <v>62.303657729999998</v>
          </cell>
          <cell r="BH329">
            <v>63.125339080000003</v>
          </cell>
          <cell r="BI329">
            <v>63.959341160000001</v>
          </cell>
        </row>
        <row r="335">
          <cell r="E335" t="str">
            <v>CF_toe_cele_0</v>
          </cell>
          <cell r="F335">
            <v>37.992390440000001</v>
          </cell>
          <cell r="G335">
            <v>38.276743840000002</v>
          </cell>
          <cell r="H335">
            <v>38.530684649999998</v>
          </cell>
          <cell r="I335">
            <v>38.797107580000002</v>
          </cell>
          <cell r="J335">
            <v>39.089575859999997</v>
          </cell>
          <cell r="K335">
            <v>39.41854953</v>
          </cell>
          <cell r="L335">
            <v>39.764851960000001</v>
          </cell>
          <cell r="M335">
            <v>40.133085770000001</v>
          </cell>
          <cell r="N335">
            <v>40.519239069999998</v>
          </cell>
          <cell r="O335">
            <v>40.918433100000001</v>
          </cell>
          <cell r="P335">
            <v>41.360046449999999</v>
          </cell>
          <cell r="Q335">
            <v>41.789856260000001</v>
          </cell>
          <cell r="R335">
            <v>42.218939659999997</v>
          </cell>
          <cell r="S335">
            <v>42.64919665</v>
          </cell>
          <cell r="T335">
            <v>43.080938570000001</v>
          </cell>
          <cell r="U335">
            <v>43.514363250000002</v>
          </cell>
          <cell r="V335">
            <v>43.949823240000001</v>
          </cell>
          <cell r="W335">
            <v>44.387843019999998</v>
          </cell>
          <cell r="X335">
            <v>44.829082509999999</v>
          </cell>
          <cell r="Y335">
            <v>45.274291179999999</v>
          </cell>
          <cell r="Z335">
            <v>45.700009360000003</v>
          </cell>
          <cell r="AA335">
            <v>46.144843799999997</v>
          </cell>
          <cell r="AB335">
            <v>46.600240569999997</v>
          </cell>
          <cell r="AC335">
            <v>47.064854769999997</v>
          </cell>
          <cell r="AD335">
            <v>47.538761460000003</v>
          </cell>
          <cell r="AE335">
            <v>47.95282057</v>
          </cell>
          <cell r="AF335">
            <v>48.382598170000001</v>
          </cell>
          <cell r="AG335">
            <v>48.81958435</v>
          </cell>
          <cell r="AH335">
            <v>49.26354362</v>
          </cell>
          <cell r="AI335">
            <v>49.715632309999997</v>
          </cell>
          <cell r="AJ335">
            <v>50.177029410000003</v>
          </cell>
          <cell r="AK335">
            <v>50.648656510000002</v>
          </cell>
          <cell r="AL335">
            <v>51.131139990000001</v>
          </cell>
          <cell r="AM335">
            <v>51.624838529999998</v>
          </cell>
          <cell r="AN335">
            <v>52.129891379999997</v>
          </cell>
          <cell r="AO335">
            <v>52.646271949999999</v>
          </cell>
          <cell r="AP335">
            <v>53.157286669999998</v>
          </cell>
          <cell r="AQ335">
            <v>53.671763540000001</v>
          </cell>
          <cell r="AR335">
            <v>54.192208620000002</v>
          </cell>
          <cell r="AS335">
            <v>54.719748150000001</v>
          </cell>
          <cell r="AT335">
            <v>55.255126349999998</v>
          </cell>
          <cell r="AU335">
            <v>55.798907970000002</v>
          </cell>
          <cell r="AV335">
            <v>56.351519140000001</v>
          </cell>
          <cell r="AW335">
            <v>56.91326239</v>
          </cell>
          <cell r="AX335">
            <v>57.484300230000002</v>
          </cell>
          <cell r="AY335">
            <v>58.064578519999998</v>
          </cell>
          <cell r="AZ335">
            <v>58.654897290000001</v>
          </cell>
          <cell r="BA335">
            <v>59.254107679999997</v>
          </cell>
          <cell r="BB335">
            <v>59.861396929999998</v>
          </cell>
          <cell r="BC335">
            <v>60.477902090000001</v>
          </cell>
          <cell r="BD335">
            <v>61.104611689999999</v>
          </cell>
          <cell r="BE335">
            <v>65.412551059999998</v>
          </cell>
          <cell r="BF335">
            <v>66.296898889999994</v>
          </cell>
          <cell r="BG335">
            <v>67.196138849999997</v>
          </cell>
          <cell r="BH335">
            <v>68.110568479999998</v>
          </cell>
          <cell r="BI335">
            <v>69.040456840000004</v>
          </cell>
        </row>
        <row r="345">
          <cell r="E345" t="str">
            <v>CF_toe_chea_0</v>
          </cell>
          <cell r="F345">
            <v>5.1417887630000001</v>
          </cell>
          <cell r="G345">
            <v>5.2038577210000003</v>
          </cell>
          <cell r="H345">
            <v>5.2727847219999999</v>
          </cell>
          <cell r="I345">
            <v>5.3464468920000003</v>
          </cell>
          <cell r="J345">
            <v>5.4244187989999997</v>
          </cell>
          <cell r="K345">
            <v>5.4986044620000003</v>
          </cell>
          <cell r="L345">
            <v>5.5637984300000003</v>
          </cell>
          <cell r="M345">
            <v>5.6246721580000001</v>
          </cell>
          <cell r="N345">
            <v>5.6838614109999996</v>
          </cell>
          <cell r="O345">
            <v>5.7427185610000002</v>
          </cell>
          <cell r="P345">
            <v>5.8100618549999998</v>
          </cell>
          <cell r="Q345">
            <v>5.8729797469999996</v>
          </cell>
          <cell r="R345">
            <v>5.9345831689999997</v>
          </cell>
          <cell r="S345">
            <v>5.995933892</v>
          </cell>
          <cell r="T345">
            <v>6.0574307430000003</v>
          </cell>
          <cell r="U345">
            <v>6.1192297949999999</v>
          </cell>
          <cell r="V345">
            <v>6.1813981480000004</v>
          </cell>
          <cell r="W345">
            <v>6.2439749339999997</v>
          </cell>
          <cell r="X345">
            <v>6.3069947500000003</v>
          </cell>
          <cell r="Y345">
            <v>6.3704951100000002</v>
          </cell>
          <cell r="Z345">
            <v>6.4288671920000002</v>
          </cell>
          <cell r="AA345">
            <v>6.4912068879999998</v>
          </cell>
          <cell r="AB345">
            <v>6.5554278520000002</v>
          </cell>
          <cell r="AC345">
            <v>6.6208425159999997</v>
          </cell>
          <cell r="AD345">
            <v>6.6872016839999997</v>
          </cell>
          <cell r="AE345">
            <v>6.7386797749999996</v>
          </cell>
          <cell r="AF345">
            <v>6.7930568510000002</v>
          </cell>
          <cell r="AG345">
            <v>6.8487944629999999</v>
          </cell>
          <cell r="AH345">
            <v>6.9055182400000001</v>
          </cell>
          <cell r="AI345">
            <v>6.963121889</v>
          </cell>
          <cell r="AJ345">
            <v>7.0215938339999999</v>
          </cell>
          <cell r="AK345">
            <v>7.0809504140000001</v>
          </cell>
          <cell r="AL345">
            <v>7.14121104</v>
          </cell>
          <cell r="AM345">
            <v>7.2023893030000004</v>
          </cell>
          <cell r="AN345">
            <v>7.264491252</v>
          </cell>
          <cell r="AO345">
            <v>7.3275169030000002</v>
          </cell>
          <cell r="AP345">
            <v>7.3879452370000003</v>
          </cell>
          <cell r="AQ345">
            <v>7.4478834899999997</v>
          </cell>
          <cell r="AR345">
            <v>7.5081007919999996</v>
          </cell>
          <cell r="AS345">
            <v>7.568930076</v>
          </cell>
          <cell r="AT345">
            <v>7.6305434449999998</v>
          </cell>
          <cell r="AU345">
            <v>7.6930544430000003</v>
          </cell>
          <cell r="AV345">
            <v>7.7565629009999997</v>
          </cell>
          <cell r="AW345">
            <v>7.8211823039999997</v>
          </cell>
          <cell r="AX345">
            <v>7.8870728669999997</v>
          </cell>
          <cell r="AY345">
            <v>7.9545185099999998</v>
          </cell>
          <cell r="AZ345">
            <v>8.0245133689999992</v>
          </cell>
          <cell r="BA345">
            <v>8.0941621460000004</v>
          </cell>
          <cell r="BB345">
            <v>8.1630881560000006</v>
          </cell>
          <cell r="BC345">
            <v>8.2315359210000008</v>
          </cell>
          <cell r="BD345">
            <v>8.2999369049999991</v>
          </cell>
          <cell r="BE345">
            <v>8.8248155520000005</v>
          </cell>
          <cell r="BF345">
            <v>8.9214467200000005</v>
          </cell>
          <cell r="BG345">
            <v>9.0193785480000006</v>
          </cell>
          <cell r="BH345">
            <v>9.1186607859999995</v>
          </cell>
          <cell r="BI345">
            <v>9.2193318049999995</v>
          </cell>
        </row>
        <row r="347">
          <cell r="E347" t="str">
            <v>CF_toe_cbio_0</v>
          </cell>
          <cell r="F347">
            <v>8.2066322199999995</v>
          </cell>
          <cell r="G347">
            <v>8.2272731690000001</v>
          </cell>
          <cell r="H347">
            <v>8.2228348689999997</v>
          </cell>
          <cell r="I347">
            <v>8.2111086919999998</v>
          </cell>
          <cell r="J347">
            <v>8.1980360680000004</v>
          </cell>
          <cell r="K347">
            <v>8.1912228660000004</v>
          </cell>
          <cell r="L347">
            <v>8.1896895749999992</v>
          </cell>
          <cell r="M347">
            <v>8.1943002299999996</v>
          </cell>
          <cell r="N347">
            <v>8.2038736379999992</v>
          </cell>
          <cell r="O347">
            <v>8.2169014370000006</v>
          </cell>
          <cell r="P347">
            <v>8.2375590929999998</v>
          </cell>
          <cell r="Q347">
            <v>8.2567148289999999</v>
          </cell>
          <cell r="R347">
            <v>8.2757273270000002</v>
          </cell>
          <cell r="S347">
            <v>8.2949545469999997</v>
          </cell>
          <cell r="T347">
            <v>8.3144870740000005</v>
          </cell>
          <cell r="U347">
            <v>8.334349564</v>
          </cell>
          <cell r="V347">
            <v>8.3545609929999998</v>
          </cell>
          <cell r="W347">
            <v>8.3751511399999998</v>
          </cell>
          <cell r="X347">
            <v>8.3961621369999992</v>
          </cell>
          <cell r="Y347">
            <v>8.4176451889999999</v>
          </cell>
          <cell r="Z347">
            <v>8.4359667910000002</v>
          </cell>
          <cell r="AA347">
            <v>8.4569725330000001</v>
          </cell>
          <cell r="AB347">
            <v>8.479433706</v>
          </cell>
          <cell r="AC347">
            <v>8.5029591419999999</v>
          </cell>
          <cell r="AD347">
            <v>8.5274206100000001</v>
          </cell>
          <cell r="AE347">
            <v>8.5424753899999999</v>
          </cell>
          <cell r="AF347">
            <v>8.5594172480000008</v>
          </cell>
          <cell r="AG347">
            <v>8.5773865610000009</v>
          </cell>
          <cell r="AH347">
            <v>8.5962147170000005</v>
          </cell>
          <cell r="AI347">
            <v>8.6159034499999994</v>
          </cell>
          <cell r="AJ347">
            <v>8.6364934289999997</v>
          </cell>
          <cell r="AK347">
            <v>8.6580249330000001</v>
          </cell>
          <cell r="AL347">
            <v>8.6805257709999992</v>
          </cell>
          <cell r="AM347">
            <v>8.7040092619999996</v>
          </cell>
          <cell r="AN347">
            <v>8.7284763030000008</v>
          </cell>
          <cell r="AO347">
            <v>8.7539188289999998</v>
          </cell>
          <cell r="AP347">
            <v>8.7779998159999995</v>
          </cell>
          <cell r="AQ347">
            <v>8.8020078650000002</v>
          </cell>
          <cell r="AR347">
            <v>8.8264247079999993</v>
          </cell>
          <cell r="AS347">
            <v>8.8514646159999995</v>
          </cell>
          <cell r="AT347">
            <v>8.8772397460000008</v>
          </cell>
          <cell r="AU347">
            <v>8.9038173539999992</v>
          </cell>
          <cell r="AV347">
            <v>8.9312394430000008</v>
          </cell>
          <cell r="AW347">
            <v>8.9595228450000004</v>
          </cell>
          <cell r="AX347">
            <v>8.9886438779999995</v>
          </cell>
          <cell r="AY347">
            <v>9.0184776109999998</v>
          </cell>
          <cell r="AZ347">
            <v>9.048646239</v>
          </cell>
          <cell r="BA347">
            <v>9.0791004710000003</v>
          </cell>
          <cell r="BB347">
            <v>9.1099884249999992</v>
          </cell>
          <cell r="BC347">
            <v>9.1415750140000007</v>
          </cell>
          <cell r="BD347">
            <v>9.1740778380000005</v>
          </cell>
          <cell r="BE347">
            <v>9.484807537</v>
          </cell>
          <cell r="BF347">
            <v>9.5424931760000007</v>
          </cell>
          <cell r="BG347">
            <v>9.6013940170000005</v>
          </cell>
          <cell r="BH347">
            <v>9.6615604289999997</v>
          </cell>
          <cell r="BI347">
            <v>9.7230260650000009</v>
          </cell>
        </row>
        <row r="350">
          <cell r="E350" t="str">
            <v>CF_toe_cote_0</v>
          </cell>
          <cell r="F350">
            <v>8.7302247650000009</v>
          </cell>
          <cell r="G350">
            <v>8.8392994760000008</v>
          </cell>
          <cell r="H350">
            <v>8.9605790719999998</v>
          </cell>
          <cell r="I350">
            <v>9.0916645789999997</v>
          </cell>
          <cell r="J350">
            <v>9.2312718950000008</v>
          </cell>
          <cell r="K350">
            <v>9.3780936649999997</v>
          </cell>
          <cell r="L350">
            <v>9.5244017680000006</v>
          </cell>
          <cell r="M350">
            <v>9.6736647009999999</v>
          </cell>
          <cell r="N350">
            <v>9.8259246549999997</v>
          </cell>
          <cell r="O350">
            <v>9.9808262980000002</v>
          </cell>
          <cell r="P350">
            <v>10.14941758</v>
          </cell>
          <cell r="Q350">
            <v>10.312071639999999</v>
          </cell>
          <cell r="R350">
            <v>10.475117559999999</v>
          </cell>
          <cell r="S350">
            <v>10.63951984</v>
          </cell>
          <cell r="T350">
            <v>10.805468149999999</v>
          </cell>
          <cell r="U350">
            <v>10.97307751</v>
          </cell>
          <cell r="V350">
            <v>11.14249027</v>
          </cell>
          <cell r="W350">
            <v>11.313880230000001</v>
          </cell>
          <cell r="X350">
            <v>11.487440769999999</v>
          </cell>
          <cell r="Y350">
            <v>11.66337225</v>
          </cell>
          <cell r="Z350">
            <v>11.83343228</v>
          </cell>
          <cell r="AA350">
            <v>12.012213839999999</v>
          </cell>
          <cell r="AB350">
            <v>12.19509948</v>
          </cell>
          <cell r="AC350">
            <v>12.381488170000001</v>
          </cell>
          <cell r="AD350">
            <v>12.57137518</v>
          </cell>
          <cell r="AE350">
            <v>12.74043378</v>
          </cell>
          <cell r="AF350">
            <v>12.91874074</v>
          </cell>
          <cell r="AG350">
            <v>13.10053126</v>
          </cell>
          <cell r="AH350">
            <v>13.28521198</v>
          </cell>
          <cell r="AI350">
            <v>13.47293387</v>
          </cell>
          <cell r="AJ350">
            <v>13.663908299999999</v>
          </cell>
          <cell r="AK350">
            <v>13.858294689999999</v>
          </cell>
          <cell r="AL350">
            <v>14.056186609999999</v>
          </cell>
          <cell r="AM350">
            <v>14.25761922</v>
          </cell>
          <cell r="AN350">
            <v>14.46258241</v>
          </cell>
          <cell r="AO350">
            <v>14.67103487</v>
          </cell>
          <cell r="AP350">
            <v>14.876980379999999</v>
          </cell>
          <cell r="AQ350">
            <v>15.08445957</v>
          </cell>
          <cell r="AR350">
            <v>15.29420689</v>
          </cell>
          <cell r="AS350">
            <v>15.50644185</v>
          </cell>
          <cell r="AT350">
            <v>15.721295319999999</v>
          </cell>
          <cell r="AU350">
            <v>15.93887222</v>
          </cell>
          <cell r="AV350">
            <v>16.159257360000002</v>
          </cell>
          <cell r="AW350">
            <v>16.382514740000001</v>
          </cell>
          <cell r="AX350">
            <v>16.60868851</v>
          </cell>
          <cell r="AY350">
            <v>16.83780659</v>
          </cell>
          <cell r="AZ350">
            <v>17.070428589999999</v>
          </cell>
          <cell r="BA350">
            <v>17.306192790000001</v>
          </cell>
          <cell r="BB350">
            <v>17.545036020000001</v>
          </cell>
          <cell r="BC350">
            <v>17.786933609999998</v>
          </cell>
          <cell r="BD350">
            <v>18.031872109999998</v>
          </cell>
          <cell r="BE350">
            <v>19.86262687</v>
          </cell>
          <cell r="BF350">
            <v>20.209381090000001</v>
          </cell>
          <cell r="BG350">
            <v>20.562112070000001</v>
          </cell>
          <cell r="BH350">
            <v>20.92091023</v>
          </cell>
          <cell r="BI350">
            <v>21.285867530000001</v>
          </cell>
        </row>
        <row r="353">
          <cell r="F353">
            <v>64.301440170000006</v>
          </cell>
          <cell r="G353">
            <v>64.218759689999999</v>
          </cell>
          <cell r="H353">
            <v>63.918997060000002</v>
          </cell>
          <cell r="I353">
            <v>63.614401460000003</v>
          </cell>
          <cell r="J353">
            <v>63.370542180000001</v>
          </cell>
          <cell r="K353">
            <v>63.192928559999999</v>
          </cell>
          <cell r="L353">
            <v>63.083483870000002</v>
          </cell>
          <cell r="M353">
            <v>63.040344699999999</v>
          </cell>
          <cell r="N353">
            <v>63.050788179999998</v>
          </cell>
          <cell r="O353">
            <v>63.101086389999999</v>
          </cell>
          <cell r="P353">
            <v>63.209201409999999</v>
          </cell>
          <cell r="Q353">
            <v>63.323663029999999</v>
          </cell>
          <cell r="R353">
            <v>63.44672808</v>
          </cell>
          <cell r="S353">
            <v>63.578212350000001</v>
          </cell>
          <cell r="T353">
            <v>63.716810529999997</v>
          </cell>
          <cell r="U353">
            <v>63.860900350000001</v>
          </cell>
          <cell r="V353">
            <v>64.009145790000005</v>
          </cell>
          <cell r="W353">
            <v>64.160483510000006</v>
          </cell>
          <cell r="X353">
            <v>64.314027109999998</v>
          </cell>
          <cell r="Y353">
            <v>64.469077619999993</v>
          </cell>
          <cell r="Z353">
            <v>64.605665639999998</v>
          </cell>
          <cell r="AA353">
            <v>64.752252089999999</v>
          </cell>
          <cell r="AB353">
            <v>64.903401200000005</v>
          </cell>
          <cell r="AC353">
            <v>65.056476149999995</v>
          </cell>
          <cell r="AD353">
            <v>65.210192059999997</v>
          </cell>
          <cell r="AE353">
            <v>65.310780559999998</v>
          </cell>
          <cell r="AF353">
            <v>65.412122330000003</v>
          </cell>
          <cell r="AG353">
            <v>65.512473810000003</v>
          </cell>
          <cell r="AH353">
            <v>65.610996760000006</v>
          </cell>
          <cell r="AI353">
            <v>65.707351290000005</v>
          </cell>
          <cell r="AJ353">
            <v>65.801628879999996</v>
          </cell>
          <cell r="AK353">
            <v>65.894150760000002</v>
          </cell>
          <cell r="AL353">
            <v>65.985296090000006</v>
          </cell>
          <cell r="AM353">
            <v>66.075430949999998</v>
          </cell>
          <cell r="AN353">
            <v>66.164883610000004</v>
          </cell>
          <cell r="AO353">
            <v>66.253930909999994</v>
          </cell>
          <cell r="AP353">
            <v>66.331562939999998</v>
          </cell>
          <cell r="AQ353">
            <v>66.40361394</v>
          </cell>
          <cell r="AR353">
            <v>66.472925189999998</v>
          </cell>
          <cell r="AS353">
            <v>66.54093159</v>
          </cell>
          <cell r="AT353">
            <v>66.608415160000007</v>
          </cell>
          <cell r="AU353">
            <v>66.675875160000004</v>
          </cell>
          <cell r="AV353">
            <v>66.743646699999999</v>
          </cell>
          <cell r="AW353">
            <v>66.811979859999994</v>
          </cell>
          <cell r="AX353">
            <v>66.880992030000002</v>
          </cell>
          <cell r="AY353">
            <v>66.950772029999996</v>
          </cell>
          <cell r="AZ353">
            <v>67.022379419999993</v>
          </cell>
          <cell r="BA353">
            <v>67.095450339999999</v>
          </cell>
          <cell r="BB353">
            <v>67.169789890000004</v>
          </cell>
          <cell r="BC353">
            <v>67.245259899999994</v>
          </cell>
          <cell r="BD353">
            <v>67.32173349</v>
          </cell>
          <cell r="BE353">
            <v>64.419719540000003</v>
          </cell>
          <cell r="BF353">
            <v>64.521376770000003</v>
          </cell>
          <cell r="BG353">
            <v>64.626029189999997</v>
          </cell>
          <cell r="BH353">
            <v>64.733579050000003</v>
          </cell>
          <cell r="BI353">
            <v>64.844110799999996</v>
          </cell>
        </row>
        <row r="354">
          <cell r="F354">
            <v>42.52087745</v>
          </cell>
          <cell r="G354">
            <v>42.737941040000003</v>
          </cell>
          <cell r="H354">
            <v>42.616361670000003</v>
          </cell>
          <cell r="I354">
            <v>42.405363700000002</v>
          </cell>
          <cell r="J354">
            <v>42.19463425</v>
          </cell>
          <cell r="K354">
            <v>42.005210549999994</v>
          </cell>
          <cell r="L354">
            <v>41.851778079999995</v>
          </cell>
          <cell r="M354">
            <v>41.739387110000003</v>
          </cell>
          <cell r="N354">
            <v>41.660268979999998</v>
          </cell>
          <cell r="O354">
            <v>41.604421409999993</v>
          </cell>
          <cell r="P354">
            <v>41.588350810000001</v>
          </cell>
          <cell r="Q354">
            <v>41.567751530000002</v>
          </cell>
          <cell r="R354">
            <v>41.546975859999996</v>
          </cell>
          <cell r="S354">
            <v>41.527636999999999</v>
          </cell>
          <cell r="T354">
            <v>41.509921609999999</v>
          </cell>
          <cell r="U354">
            <v>41.49343545</v>
          </cell>
          <cell r="V354">
            <v>41.47798152</v>
          </cell>
          <cell r="W354">
            <v>41.463391200000004</v>
          </cell>
          <cell r="X354">
            <v>41.449512640000002</v>
          </cell>
          <cell r="Y354">
            <v>41.43626313</v>
          </cell>
          <cell r="Z354">
            <v>41.407318200000006</v>
          </cell>
          <cell r="AA354">
            <v>41.388199060000005</v>
          </cell>
          <cell r="AB354">
            <v>41.373781569999998</v>
          </cell>
          <cell r="AC354">
            <v>41.361644170000005</v>
          </cell>
          <cell r="AD354">
            <v>41.350687860000001</v>
          </cell>
          <cell r="AE354">
            <v>41.296071779999998</v>
          </cell>
          <cell r="AF354">
            <v>41.246412290000002</v>
          </cell>
          <cell r="AG354">
            <v>41.199611619999999</v>
          </cell>
          <cell r="AH354">
            <v>41.154317720000002</v>
          </cell>
          <cell r="AI354">
            <v>41.109647939999995</v>
          </cell>
          <cell r="AJ354">
            <v>41.065187309999999</v>
          </cell>
          <cell r="AK354">
            <v>41.020790040000001</v>
          </cell>
          <cell r="AL354">
            <v>40.976456390000003</v>
          </cell>
          <cell r="AM354">
            <v>40.93224506</v>
          </cell>
          <cell r="AN354">
            <v>40.888233700000001</v>
          </cell>
          <cell r="AO354">
            <v>40.844492240000001</v>
          </cell>
          <cell r="AP354">
            <v>40.791582659999996</v>
          </cell>
          <cell r="AQ354">
            <v>40.734957610000002</v>
          </cell>
          <cell r="AR354">
            <v>40.677127740000003</v>
          </cell>
          <cell r="AS354">
            <v>40.6192001</v>
          </cell>
          <cell r="AT354">
            <v>40.561641420000001</v>
          </cell>
          <cell r="AU354">
            <v>40.504633840000004</v>
          </cell>
          <cell r="AV354">
            <v>40.448262749999998</v>
          </cell>
          <cell r="AW354">
            <v>40.392588000000003</v>
          </cell>
          <cell r="AX354">
            <v>40.33759113</v>
          </cell>
          <cell r="AY354">
            <v>40.283273469999997</v>
          </cell>
          <cell r="AZ354">
            <v>40.23037549</v>
          </cell>
          <cell r="BA354">
            <v>40.178498990000001</v>
          </cell>
          <cell r="BB354">
            <v>40.127472170000004</v>
          </cell>
          <cell r="BC354">
            <v>40.077218359999996</v>
          </cell>
          <cell r="BD354">
            <v>40.027698990000005</v>
          </cell>
          <cell r="BE354">
            <v>34.849368820000002</v>
          </cell>
          <cell r="BF354">
            <v>34.745864249999997</v>
          </cell>
          <cell r="BG354">
            <v>34.643640210000001</v>
          </cell>
          <cell r="BH354">
            <v>34.542457280000001</v>
          </cell>
          <cell r="BI354">
            <v>34.442238750000001</v>
          </cell>
        </row>
        <row r="362">
          <cell r="F362">
            <v>21.78056273</v>
          </cell>
          <cell r="G362">
            <v>21.480818639999999</v>
          </cell>
          <cell r="H362">
            <v>21.302635389999999</v>
          </cell>
          <cell r="I362">
            <v>21.209037760000001</v>
          </cell>
          <cell r="J362">
            <v>21.175907930000001</v>
          </cell>
          <cell r="K362">
            <v>21.187718010000001</v>
          </cell>
          <cell r="L362">
            <v>21.231705780000002</v>
          </cell>
          <cell r="M362">
            <v>21.300957589999999</v>
          </cell>
          <cell r="N362">
            <v>21.3905192</v>
          </cell>
          <cell r="O362">
            <v>21.496664980000002</v>
          </cell>
          <cell r="P362">
            <v>21.620850609999998</v>
          </cell>
          <cell r="Q362">
            <v>21.7559115</v>
          </cell>
          <cell r="R362">
            <v>21.899752210000003</v>
          </cell>
          <cell r="S362">
            <v>22.050575350000003</v>
          </cell>
          <cell r="T362">
            <v>22.206888920000001</v>
          </cell>
          <cell r="U362">
            <v>22.367464909999999</v>
          </cell>
          <cell r="V362">
            <v>22.531164269999998</v>
          </cell>
          <cell r="W362">
            <v>22.697092309999999</v>
          </cell>
          <cell r="X362">
            <v>22.86451447</v>
          </cell>
          <cell r="Y362">
            <v>23.03281449</v>
          </cell>
          <cell r="Z362">
            <v>23.198347429999998</v>
          </cell>
          <cell r="AA362">
            <v>23.364053030000001</v>
          </cell>
          <cell r="AB362">
            <v>23.52961964</v>
          </cell>
          <cell r="AC362">
            <v>23.69483198</v>
          </cell>
          <cell r="AD362">
            <v>23.8595042</v>
          </cell>
          <cell r="AE362">
            <v>24.014708779999999</v>
          </cell>
          <cell r="AF362">
            <v>24.16571004</v>
          </cell>
          <cell r="AG362">
            <v>24.312862190000001</v>
          </cell>
          <cell r="AH362">
            <v>24.456679039999997</v>
          </cell>
          <cell r="AI362">
            <v>24.59770335</v>
          </cell>
          <cell r="AJ362">
            <v>24.73644157</v>
          </cell>
          <cell r="AK362">
            <v>24.873360730000002</v>
          </cell>
          <cell r="AL362">
            <v>25.008839699999999</v>
          </cell>
          <cell r="AM362">
            <v>25.143185890000002</v>
          </cell>
          <cell r="AN362">
            <v>25.27664991</v>
          </cell>
          <cell r="AO362">
            <v>25.409438659999999</v>
          </cell>
          <cell r="AP362">
            <v>25.539980280000002</v>
          </cell>
          <cell r="AQ362">
            <v>25.668656329999997</v>
          </cell>
          <cell r="AR362">
            <v>25.795797449999998</v>
          </cell>
          <cell r="AS362">
            <v>25.921731489999999</v>
          </cell>
          <cell r="AT362">
            <v>26.046773739999999</v>
          </cell>
          <cell r="AU362">
            <v>26.17124132</v>
          </cell>
          <cell r="AV362">
            <v>26.295383949999998</v>
          </cell>
          <cell r="AW362">
            <v>26.419391860000001</v>
          </cell>
          <cell r="AX362">
            <v>26.543400899999998</v>
          </cell>
          <cell r="AY362">
            <v>26.667498559999999</v>
          </cell>
          <cell r="AZ362">
            <v>26.79200393</v>
          </cell>
          <cell r="BA362">
            <v>26.916951350000001</v>
          </cell>
          <cell r="BB362">
            <v>27.042317710000003</v>
          </cell>
          <cell r="BC362">
            <v>27.168041540000001</v>
          </cell>
          <cell r="BD362">
            <v>27.294034489999998</v>
          </cell>
          <cell r="BE362">
            <v>29.57035072</v>
          </cell>
          <cell r="BF362">
            <v>29.775512519999999</v>
          </cell>
          <cell r="BG362">
            <v>29.98238898</v>
          </cell>
          <cell r="BH362">
            <v>30.191121769999999</v>
          </cell>
          <cell r="BI362">
            <v>30.401872050000001</v>
          </cell>
        </row>
        <row r="366">
          <cell r="F366">
            <v>25.839708649999999</v>
          </cell>
          <cell r="G366">
            <v>25.966597700000001</v>
          </cell>
          <cell r="H366">
            <v>26.18089457</v>
          </cell>
          <cell r="I366">
            <v>26.439404889999999</v>
          </cell>
          <cell r="J366">
            <v>26.733981</v>
          </cell>
          <cell r="K366">
            <v>27.060146069999998</v>
          </cell>
          <cell r="L366">
            <v>27.39753949</v>
          </cell>
          <cell r="M366">
            <v>27.750630080000001</v>
          </cell>
          <cell r="N366">
            <v>28.117676580000001</v>
          </cell>
          <cell r="O366">
            <v>28.49598739</v>
          </cell>
          <cell r="P366">
            <v>28.90935412</v>
          </cell>
          <cell r="Q366">
            <v>29.31168241</v>
          </cell>
          <cell r="R366">
            <v>29.714012369999999</v>
          </cell>
          <cell r="S366">
            <v>30.11790422</v>
          </cell>
          <cell r="T366">
            <v>30.523331840000001</v>
          </cell>
          <cell r="U366">
            <v>30.93021641</v>
          </cell>
          <cell r="V366">
            <v>31.336290160000001</v>
          </cell>
          <cell r="W366">
            <v>31.743612290000002</v>
          </cell>
          <cell r="X366">
            <v>32.152939310000001</v>
          </cell>
          <cell r="Y366">
            <v>32.564840009999998</v>
          </cell>
          <cell r="Z366">
            <v>32.960569219999996</v>
          </cell>
          <cell r="AA366">
            <v>33.37125425</v>
          </cell>
          <cell r="AB366">
            <v>33.78942026</v>
          </cell>
          <cell r="AC366">
            <v>34.213829099999998</v>
          </cell>
          <cell r="AD366">
            <v>34.64447303</v>
          </cell>
          <cell r="AE366">
            <v>35.026298689999997</v>
          </cell>
          <cell r="AF366">
            <v>35.421759049999999</v>
          </cell>
          <cell r="AG366">
            <v>35.822470899999999</v>
          </cell>
          <cell r="AH366">
            <v>36.227889650000002</v>
          </cell>
          <cell r="AI366">
            <v>36.638864849999997</v>
          </cell>
          <cell r="AJ366">
            <v>37.056300419999999</v>
          </cell>
          <cell r="AK366">
            <v>37.481419099999997</v>
          </cell>
          <cell r="AL366">
            <v>37.914287379999998</v>
          </cell>
          <cell r="AM366">
            <v>38.355086669999999</v>
          </cell>
          <cell r="AN366">
            <v>38.803905999999998</v>
          </cell>
          <cell r="AO366">
            <v>39.260745550000003</v>
          </cell>
          <cell r="AP366">
            <v>39.717025360000001</v>
          </cell>
          <cell r="AQ366">
            <v>40.176709109999997</v>
          </cell>
          <cell r="AR366">
            <v>40.641186740000002</v>
          </cell>
          <cell r="AS366">
            <v>41.111176610000001</v>
          </cell>
          <cell r="AT366">
            <v>41.587187399999998</v>
          </cell>
          <cell r="AU366">
            <v>42.070358830000004</v>
          </cell>
          <cell r="AV366">
            <v>42.560435249999998</v>
          </cell>
          <cell r="AW366">
            <v>43.05750407</v>
          </cell>
          <cell r="AX366">
            <v>43.561651609999998</v>
          </cell>
          <cell r="AY366">
            <v>44.072920529999998</v>
          </cell>
          <cell r="AZ366">
            <v>44.595041989999999</v>
          </cell>
          <cell r="BA366">
            <v>45.125478049999998</v>
          </cell>
          <cell r="BB366">
            <v>45.663631940000002</v>
          </cell>
          <cell r="BC366">
            <v>46.209273260000003</v>
          </cell>
          <cell r="BD366">
            <v>46.762264829999999</v>
          </cell>
          <cell r="BE366">
            <v>55.400333269999997</v>
          </cell>
          <cell r="BF366">
            <v>56.275190469999998</v>
          </cell>
          <cell r="BG366">
            <v>57.165000159999998</v>
          </cell>
          <cell r="BH366">
            <v>58.070065749999998</v>
          </cell>
          <cell r="BI366">
            <v>58.990694609999998</v>
          </cell>
        </row>
        <row r="378">
          <cell r="F378">
            <v>4.7917902489999999</v>
          </cell>
          <cell r="G378">
            <v>4.7850285719999999</v>
          </cell>
          <cell r="H378">
            <v>4.7957778910000002</v>
          </cell>
          <cell r="I378">
            <v>4.8207997679999997</v>
          </cell>
          <cell r="J378">
            <v>4.8590954770000003</v>
          </cell>
          <cell r="K378">
            <v>4.909177594</v>
          </cell>
          <cell r="L378">
            <v>4.9664412530000002</v>
          </cell>
          <cell r="M378">
            <v>5.0302930870000004</v>
          </cell>
          <cell r="N378">
            <v>5.0995741270000003</v>
          </cell>
          <cell r="O378">
            <v>5.1731758680000004</v>
          </cell>
          <cell r="P378">
            <v>5.2548467959999998</v>
          </cell>
          <cell r="Q378">
            <v>5.3367056259999996</v>
          </cell>
          <cell r="R378">
            <v>5.4196421800000003</v>
          </cell>
          <cell r="S378">
            <v>5.5035397799999997</v>
          </cell>
          <cell r="T378">
            <v>5.5881633989999999</v>
          </cell>
          <cell r="U378">
            <v>5.6733371559999997</v>
          </cell>
          <cell r="V378">
            <v>5.7585222939999996</v>
          </cell>
          <cell r="W378">
            <v>5.8439568550000001</v>
          </cell>
          <cell r="X378">
            <v>5.9297011900000003</v>
          </cell>
          <cell r="Y378">
            <v>6.0158090839999998</v>
          </cell>
          <cell r="Z378">
            <v>6.0988946320000004</v>
          </cell>
          <cell r="AA378">
            <v>6.1839602720000002</v>
          </cell>
          <cell r="AB378">
            <v>6.2702119349999998</v>
          </cell>
          <cell r="AC378">
            <v>6.3575275729999996</v>
          </cell>
          <cell r="AD378">
            <v>6.4459247580000003</v>
          </cell>
          <cell r="AE378">
            <v>6.525538128</v>
          </cell>
          <cell r="AF378">
            <v>6.6059704190000001</v>
          </cell>
          <cell r="AG378">
            <v>6.686581726</v>
          </cell>
          <cell r="AH378">
            <v>6.7675671450000001</v>
          </cell>
          <cell r="AI378">
            <v>6.8492577020000001</v>
          </cell>
          <cell r="AJ378">
            <v>6.9319496120000004</v>
          </cell>
          <cell r="AK378">
            <v>7.0159683199999998</v>
          </cell>
          <cell r="AL378">
            <v>7.1014136099999998</v>
          </cell>
          <cell r="AM378">
            <v>7.1883790190000001</v>
          </cell>
          <cell r="AN378">
            <v>7.276924288</v>
          </cell>
          <cell r="AO378">
            <v>7.3670807329999999</v>
          </cell>
          <cell r="AP378">
            <v>7.4573596950000001</v>
          </cell>
          <cell r="AQ378">
            <v>7.5481774440000002</v>
          </cell>
          <cell r="AR378">
            <v>7.639797562</v>
          </cell>
          <cell r="AS378">
            <v>7.7324103129999999</v>
          </cell>
          <cell r="AT378">
            <v>7.8261683680000003</v>
          </cell>
          <cell r="AU378">
            <v>7.9213324539999999</v>
          </cell>
          <cell r="AV378">
            <v>8.0179108610000007</v>
          </cell>
          <cell r="AW378">
            <v>8.1159519679999992</v>
          </cell>
          <cell r="AX378">
            <v>8.2154913999999994</v>
          </cell>
          <cell r="AY378">
            <v>8.3165479829999995</v>
          </cell>
          <cell r="AZ378">
            <v>8.4198067919999993</v>
          </cell>
          <cell r="BA378">
            <v>8.5248888590000007</v>
          </cell>
          <cell r="BB378">
            <v>8.6316886529999994</v>
          </cell>
          <cell r="BC378">
            <v>8.7401479690000006</v>
          </cell>
          <cell r="BD378">
            <v>8.8502201599999992</v>
          </cell>
          <cell r="BE378">
            <v>10.89254086</v>
          </cell>
          <cell r="BF378">
            <v>11.071818240000001</v>
          </cell>
          <cell r="BG378">
            <v>11.25394421</v>
          </cell>
          <cell r="BH378">
            <v>11.439009499999999</v>
          </cell>
          <cell r="BI378">
            <v>11.62710313</v>
          </cell>
        </row>
        <row r="390">
          <cell r="F390">
            <v>42.865370769999998</v>
          </cell>
          <cell r="G390">
            <v>42.936233510000001</v>
          </cell>
          <cell r="H390">
            <v>43.229639939999998</v>
          </cell>
          <cell r="I390">
            <v>43.632441929999999</v>
          </cell>
          <cell r="J390">
            <v>44.123765939999998</v>
          </cell>
          <cell r="K390">
            <v>44.691881520000003</v>
          </cell>
          <cell r="L390">
            <v>45.294380539999999</v>
          </cell>
          <cell r="M390">
            <v>45.937460399999999</v>
          </cell>
          <cell r="N390">
            <v>46.61447424</v>
          </cell>
          <cell r="O390">
            <v>47.317831230000003</v>
          </cell>
          <cell r="P390">
            <v>48.090719350000001</v>
          </cell>
          <cell r="Q390">
            <v>48.841704210000003</v>
          </cell>
          <cell r="R390">
            <v>49.594218939999998</v>
          </cell>
          <cell r="S390">
            <v>50.350034110000003</v>
          </cell>
          <cell r="T390">
            <v>51.108018710000003</v>
          </cell>
          <cell r="U390">
            <v>51.86721781</v>
          </cell>
          <cell r="V390">
            <v>52.621370679999998</v>
          </cell>
          <cell r="W390">
            <v>53.375136150000003</v>
          </cell>
          <cell r="X390">
            <v>54.129955799999998</v>
          </cell>
          <cell r="Y390">
            <v>54.887021230000002</v>
          </cell>
          <cell r="Z390">
            <v>55.611076400000002</v>
          </cell>
          <cell r="AA390">
            <v>56.36258437</v>
          </cell>
          <cell r="AB390">
            <v>57.12590719</v>
          </cell>
          <cell r="AC390">
            <v>57.899440939999998</v>
          </cell>
          <cell r="AD390">
            <v>58.683891819999999</v>
          </cell>
          <cell r="AE390">
            <v>59.375729290000002</v>
          </cell>
          <cell r="AF390">
            <v>60.097121610000002</v>
          </cell>
          <cell r="AG390">
            <v>60.828146830000001</v>
          </cell>
          <cell r="AH390">
            <v>61.567671220000001</v>
          </cell>
          <cell r="AI390">
            <v>62.317425219999997</v>
          </cell>
          <cell r="AJ390">
            <v>63.07925582</v>
          </cell>
          <cell r="AK390">
            <v>63.85596314</v>
          </cell>
          <cell r="AL390">
            <v>64.647627439999994</v>
          </cell>
          <cell r="AM390">
            <v>65.454751150000007</v>
          </cell>
          <cell r="AN390">
            <v>66.277637630000001</v>
          </cell>
          <cell r="AO390">
            <v>67.116355060000004</v>
          </cell>
          <cell r="AP390">
            <v>67.957487599999993</v>
          </cell>
          <cell r="AQ390">
            <v>68.806852070000005</v>
          </cell>
          <cell r="AR390">
            <v>69.66606136</v>
          </cell>
          <cell r="AS390">
            <v>70.535793769999998</v>
          </cell>
          <cell r="AT390">
            <v>71.416472249999998</v>
          </cell>
          <cell r="AU390">
            <v>72.310252899999995</v>
          </cell>
          <cell r="AV390">
            <v>73.215969209999997</v>
          </cell>
          <cell r="AW390">
            <v>74.133484229999993</v>
          </cell>
          <cell r="AX390">
            <v>75.062754130000002</v>
          </cell>
          <cell r="AY390">
            <v>76.003702000000004</v>
          </cell>
          <cell r="AZ390">
            <v>76.964736500000001</v>
          </cell>
          <cell r="BA390">
            <v>77.939765679999994</v>
          </cell>
          <cell r="BB390">
            <v>78.927489859999994</v>
          </cell>
          <cell r="BC390">
            <v>79.927394100000001</v>
          </cell>
          <cell r="BD390">
            <v>80.939142059999995</v>
          </cell>
          <cell r="BE390">
            <v>101.8741746</v>
          </cell>
          <cell r="BF390">
            <v>103.62538499999999</v>
          </cell>
          <cell r="BG390">
            <v>105.40327739999999</v>
          </cell>
          <cell r="BH390">
            <v>107.20839049999999</v>
          </cell>
          <cell r="BI390">
            <v>109.0412402</v>
          </cell>
        </row>
        <row r="402">
          <cell r="F402">
            <v>22.171321689999999</v>
          </cell>
          <cell r="G402">
            <v>22.242696039999998</v>
          </cell>
          <cell r="H402">
            <v>22.377863730000001</v>
          </cell>
          <cell r="I402">
            <v>22.565967019999999</v>
          </cell>
          <cell r="J402">
            <v>22.806621629999999</v>
          </cell>
          <cell r="K402">
            <v>23.096291829999998</v>
          </cell>
          <cell r="L402">
            <v>23.413817810000001</v>
          </cell>
          <cell r="M402">
            <v>23.759433699999999</v>
          </cell>
          <cell r="N402">
            <v>24.128392030000001</v>
          </cell>
          <cell r="O402">
            <v>24.51582612</v>
          </cell>
          <cell r="P402">
            <v>24.942534770000002</v>
          </cell>
          <cell r="Q402">
            <v>25.365799419999998</v>
          </cell>
          <cell r="R402">
            <v>25.792905220000002</v>
          </cell>
          <cell r="S402">
            <v>26.22367302</v>
          </cell>
          <cell r="T402">
            <v>26.65699717</v>
          </cell>
          <cell r="U402">
            <v>27.091977459999999</v>
          </cell>
          <cell r="V402">
            <v>27.526659510000002</v>
          </cell>
          <cell r="W402">
            <v>27.961456460000001</v>
          </cell>
          <cell r="X402">
            <v>28.396566530000001</v>
          </cell>
          <cell r="Y402">
            <v>28.83229034</v>
          </cell>
          <cell r="Z402">
            <v>29.250437779999999</v>
          </cell>
          <cell r="AA402">
            <v>29.679907839999998</v>
          </cell>
          <cell r="AB402">
            <v>30.11430429</v>
          </cell>
          <cell r="AC402">
            <v>30.552921319999999</v>
          </cell>
          <cell r="AD402">
            <v>30.996039039999999</v>
          </cell>
          <cell r="AE402">
            <v>31.39045535</v>
          </cell>
          <cell r="AF402">
            <v>31.79347619</v>
          </cell>
          <cell r="AG402">
            <v>32.198197540000002</v>
          </cell>
          <cell r="AH402">
            <v>32.604889129999997</v>
          </cell>
          <cell r="AI402">
            <v>33.014922890000001</v>
          </cell>
          <cell r="AJ402">
            <v>33.429631209999997</v>
          </cell>
          <cell r="AK402">
            <v>33.850411029999997</v>
          </cell>
          <cell r="AL402">
            <v>34.277939480000001</v>
          </cell>
          <cell r="AM402">
            <v>34.712764589999999</v>
          </cell>
          <cell r="AN402">
            <v>35.155262409999999</v>
          </cell>
          <cell r="AO402">
            <v>35.605662520000003</v>
          </cell>
          <cell r="AP402">
            <v>36.053962800000001</v>
          </cell>
          <cell r="AQ402">
            <v>36.505498889999998</v>
          </cell>
          <cell r="AR402">
            <v>36.961699899999999</v>
          </cell>
          <cell r="AS402">
            <v>37.423244189999998</v>
          </cell>
          <cell r="AT402">
            <v>37.890613129999998</v>
          </cell>
          <cell r="AU402">
            <v>38.364626780000002</v>
          </cell>
          <cell r="AV402">
            <v>38.845376119999997</v>
          </cell>
          <cell r="AW402">
            <v>39.333009400000002</v>
          </cell>
          <cell r="AX402">
            <v>39.827627319999998</v>
          </cell>
          <cell r="AY402">
            <v>40.329276569999998</v>
          </cell>
          <cell r="AZ402">
            <v>40.840608369999998</v>
          </cell>
          <cell r="BA402">
            <v>41.360316740000002</v>
          </cell>
          <cell r="BB402">
            <v>41.88797847</v>
          </cell>
          <cell r="BC402">
            <v>42.423331740000002</v>
          </cell>
          <cell r="BD402">
            <v>42.96616298</v>
          </cell>
          <cell r="BE402">
            <v>51.378890849999998</v>
          </cell>
          <cell r="BF402">
            <v>52.228503259999997</v>
          </cell>
          <cell r="BG402">
            <v>53.091033299999999</v>
          </cell>
          <cell r="BH402">
            <v>53.966871159999997</v>
          </cell>
          <cell r="BI402">
            <v>54.856396529999998</v>
          </cell>
        </row>
        <row r="414">
          <cell r="F414">
            <v>64.301440170000006</v>
          </cell>
          <cell r="G414">
            <v>64.244438380000005</v>
          </cell>
          <cell r="H414">
            <v>63.979054079999997</v>
          </cell>
          <cell r="I414">
            <v>63.707653299999997</v>
          </cell>
          <cell r="J414">
            <v>63.482470319999997</v>
          </cell>
          <cell r="K414">
            <v>63.336263119999998</v>
          </cell>
          <cell r="L414">
            <v>63.253989830000002</v>
          </cell>
          <cell r="M414">
            <v>63.23066687</v>
          </cell>
          <cell r="N414">
            <v>63.252706629999999</v>
          </cell>
          <cell r="O414">
            <v>63.306551339999999</v>
          </cell>
          <cell r="P414">
            <v>63.411263269999999</v>
          </cell>
          <cell r="Q414">
            <v>63.516182149999999</v>
          </cell>
          <cell r="R414">
            <v>63.624458740000001</v>
          </cell>
          <cell r="S414">
            <v>63.736656259999997</v>
          </cell>
          <cell r="T414">
            <v>63.85238107</v>
          </cell>
          <cell r="U414">
            <v>63.97097728</v>
          </cell>
          <cell r="V414">
            <v>64.091795730000001</v>
          </cell>
          <cell r="W414">
            <v>64.214279070000003</v>
          </cell>
          <cell r="X414">
            <v>64.337974360000004</v>
          </cell>
          <cell r="Y414">
            <v>64.462521850000002</v>
          </cell>
          <cell r="Z414">
            <v>64.568139939999995</v>
          </cell>
          <cell r="AA414">
            <v>64.683684330000006</v>
          </cell>
          <cell r="AB414">
            <v>64.803931129999995</v>
          </cell>
          <cell r="AC414">
            <v>64.926449739999995</v>
          </cell>
          <cell r="AD414">
            <v>65.05013744</v>
          </cell>
          <cell r="AE414">
            <v>65.121098500000002</v>
          </cell>
          <cell r="AF414">
            <v>65.193554039999995</v>
          </cell>
          <cell r="AG414">
            <v>65.265840990000001</v>
          </cell>
          <cell r="AH414">
            <v>65.337382349999999</v>
          </cell>
          <cell r="AI414">
            <v>65.407923609999997</v>
          </cell>
          <cell r="AJ414">
            <v>65.477597790000004</v>
          </cell>
          <cell r="AK414">
            <v>65.546740810000003</v>
          </cell>
          <cell r="AL414">
            <v>65.615739189999999</v>
          </cell>
          <cell r="AM414">
            <v>65.684963769999996</v>
          </cell>
          <cell r="AN414">
            <v>65.754747510000001</v>
          </cell>
          <cell r="AO414">
            <v>65.825383799999997</v>
          </cell>
          <cell r="AP414">
            <v>65.885649060000006</v>
          </cell>
          <cell r="AQ414">
            <v>65.941299139999998</v>
          </cell>
          <cell r="AR414">
            <v>65.995160060000003</v>
          </cell>
          <cell r="AS414">
            <v>66.048713269999993</v>
          </cell>
          <cell r="AT414">
            <v>66.102832719999995</v>
          </cell>
          <cell r="AU414">
            <v>66.158104600000001</v>
          </cell>
          <cell r="AV414">
            <v>66.214954680000005</v>
          </cell>
          <cell r="AW414">
            <v>66.273685200000003</v>
          </cell>
          <cell r="AX414">
            <v>66.334419530000005</v>
          </cell>
          <cell r="AY414">
            <v>66.396860660000002</v>
          </cell>
          <cell r="AZ414">
            <v>66.460017010000001</v>
          </cell>
          <cell r="BA414">
            <v>66.519689</v>
          </cell>
          <cell r="BB414">
            <v>66.572029330000007</v>
          </cell>
          <cell r="BC414">
            <v>66.623568579999997</v>
          </cell>
          <cell r="BD414">
            <v>66.679880870000005</v>
          </cell>
          <cell r="BE414">
            <v>66.181774820000001</v>
          </cell>
          <cell r="BF414">
            <v>66.315964530000002</v>
          </cell>
          <cell r="BG414">
            <v>66.452371409999998</v>
          </cell>
          <cell r="BH414">
            <v>66.591310300000004</v>
          </cell>
          <cell r="BI414">
            <v>66.732995119999998</v>
          </cell>
        </row>
        <row r="415">
          <cell r="F415">
            <v>42.52087745</v>
          </cell>
          <cell r="G415">
            <v>42.741900170000001</v>
          </cell>
          <cell r="H415">
            <v>42.617083289999997</v>
          </cell>
          <cell r="I415">
            <v>42.393360130000005</v>
          </cell>
          <cell r="J415">
            <v>42.152352630000003</v>
          </cell>
          <cell r="K415">
            <v>41.945862579999996</v>
          </cell>
          <cell r="L415">
            <v>41.773744960000002</v>
          </cell>
          <cell r="M415">
            <v>41.639066759999999</v>
          </cell>
          <cell r="N415">
            <v>41.533635450000006</v>
          </cell>
          <cell r="O415">
            <v>41.447631289999997</v>
          </cell>
          <cell r="P415">
            <v>41.398385929999996</v>
          </cell>
          <cell r="Q415">
            <v>41.341999119999997</v>
          </cell>
          <cell r="R415">
            <v>41.283367030000001</v>
          </cell>
          <cell r="S415">
            <v>41.224530810000005</v>
          </cell>
          <cell r="T415">
            <v>41.166291810000004</v>
          </cell>
          <cell r="U415">
            <v>41.108941479999999</v>
          </cell>
          <cell r="V415">
            <v>41.052575959999999</v>
          </cell>
          <cell r="W415">
            <v>40.997223759999997</v>
          </cell>
          <cell r="X415">
            <v>40.942892860000001</v>
          </cell>
          <cell r="Y415">
            <v>40.889585369999999</v>
          </cell>
          <cell r="Z415">
            <v>40.82096422</v>
          </cell>
          <cell r="AA415">
            <v>40.762714219999999</v>
          </cell>
          <cell r="AB415">
            <v>40.70969925</v>
          </cell>
          <cell r="AC415">
            <v>40.659505270000004</v>
          </cell>
          <cell r="AD415">
            <v>40.611042869999999</v>
          </cell>
          <cell r="AE415">
            <v>40.519311159999994</v>
          </cell>
          <cell r="AF415">
            <v>40.433223229999996</v>
          </cell>
          <cell r="AG415">
            <v>40.350662530000001</v>
          </cell>
          <cell r="AH415">
            <v>40.270438090000006</v>
          </cell>
          <cell r="AI415">
            <v>40.191665890000003</v>
          </cell>
          <cell r="AJ415">
            <v>40.113902039999999</v>
          </cell>
          <cell r="AK415">
            <v>40.036985469999998</v>
          </cell>
          <cell r="AL415">
            <v>39.960889539999997</v>
          </cell>
          <cell r="AM415">
            <v>39.885647130000002</v>
          </cell>
          <cell r="AN415">
            <v>39.811314840000001</v>
          </cell>
          <cell r="AO415">
            <v>39.737957469999998</v>
          </cell>
          <cell r="AP415">
            <v>39.656156590000002</v>
          </cell>
          <cell r="AQ415">
            <v>39.571362289999996</v>
          </cell>
          <cell r="AR415">
            <v>39.486074219999999</v>
          </cell>
          <cell r="AS415">
            <v>39.401411899999999</v>
          </cell>
          <cell r="AT415">
            <v>39.31787705</v>
          </cell>
          <cell r="AU415">
            <v>39.235701409999997</v>
          </cell>
          <cell r="AV415">
            <v>39.154994359999996</v>
          </cell>
          <cell r="AW415">
            <v>39.07579003</v>
          </cell>
          <cell r="AX415">
            <v>38.997994200000001</v>
          </cell>
          <cell r="AY415">
            <v>38.921139270000005</v>
          </cell>
          <cell r="AZ415">
            <v>38.843935180000003</v>
          </cell>
          <cell r="BA415">
            <v>38.762097600000004</v>
          </cell>
          <cell r="BB415">
            <v>38.671724359999999</v>
          </cell>
          <cell r="BC415">
            <v>38.57931834</v>
          </cell>
          <cell r="BD415">
            <v>38.490446509999998</v>
          </cell>
          <cell r="BE415">
            <v>36.670255640000001</v>
          </cell>
          <cell r="BF415">
            <v>36.60359107</v>
          </cell>
          <cell r="BG415">
            <v>36.537648270000005</v>
          </cell>
          <cell r="BH415">
            <v>36.472608630000003</v>
          </cell>
          <cell r="BI415">
            <v>36.408537789999997</v>
          </cell>
        </row>
        <row r="423">
          <cell r="F423">
            <v>21.78056273</v>
          </cell>
          <cell r="G423">
            <v>21.5025382</v>
          </cell>
          <cell r="H423">
            <v>21.361970790000001</v>
          </cell>
          <cell r="I423">
            <v>21.314293170000003</v>
          </cell>
          <cell r="J423">
            <v>21.330117690000002</v>
          </cell>
          <cell r="K423">
            <v>21.390400539999998</v>
          </cell>
          <cell r="L423">
            <v>21.48024487</v>
          </cell>
          <cell r="M423">
            <v>21.591600109999998</v>
          </cell>
          <cell r="N423">
            <v>21.71907118</v>
          </cell>
          <cell r="O423">
            <v>21.858920050000002</v>
          </cell>
          <cell r="P423">
            <v>22.012877339999999</v>
          </cell>
          <cell r="Q423">
            <v>22.174183030000002</v>
          </cell>
          <cell r="R423">
            <v>22.341091710000001</v>
          </cell>
          <cell r="S423">
            <v>22.51212546</v>
          </cell>
          <cell r="T423">
            <v>22.686089260000003</v>
          </cell>
          <cell r="U423">
            <v>22.862035809999998</v>
          </cell>
          <cell r="V423">
            <v>23.039219769999999</v>
          </cell>
          <cell r="W423">
            <v>23.217055300000002</v>
          </cell>
          <cell r="X423">
            <v>23.3950815</v>
          </cell>
          <cell r="Y423">
            <v>23.572936469999998</v>
          </cell>
          <cell r="Z423">
            <v>23.747175719999998</v>
          </cell>
          <cell r="AA423">
            <v>23.920970109999999</v>
          </cell>
          <cell r="AB423">
            <v>24.094231879999999</v>
          </cell>
          <cell r="AC423">
            <v>24.266944479999999</v>
          </cell>
          <cell r="AD423">
            <v>24.439094570000002</v>
          </cell>
          <cell r="AE423">
            <v>24.601787350000002</v>
          </cell>
          <cell r="AF423">
            <v>24.760330809999999</v>
          </cell>
          <cell r="AG423">
            <v>24.91517846</v>
          </cell>
          <cell r="AH423">
            <v>25.066944260000003</v>
          </cell>
          <cell r="AI423">
            <v>25.216257719999998</v>
          </cell>
          <cell r="AJ423">
            <v>25.363695750000002</v>
          </cell>
          <cell r="AK423">
            <v>25.509755329999997</v>
          </cell>
          <cell r="AL423">
            <v>25.654849640000002</v>
          </cell>
          <cell r="AM423">
            <v>25.799316640000001</v>
          </cell>
          <cell r="AN423">
            <v>25.943432670000004</v>
          </cell>
          <cell r="AO423">
            <v>26.087426319999999</v>
          </cell>
          <cell r="AP423">
            <v>26.22949247</v>
          </cell>
          <cell r="AQ423">
            <v>26.369936840000001</v>
          </cell>
          <cell r="AR423">
            <v>26.509085850000002</v>
          </cell>
          <cell r="AS423">
            <v>26.647301370000001</v>
          </cell>
          <cell r="AT423">
            <v>26.784955679999999</v>
          </cell>
          <cell r="AU423">
            <v>26.922403190000001</v>
          </cell>
          <cell r="AV423">
            <v>27.059960320000002</v>
          </cell>
          <cell r="AW423">
            <v>27.197895160000002</v>
          </cell>
          <cell r="AX423">
            <v>27.336425329999997</v>
          </cell>
          <cell r="AY423">
            <v>27.47572139</v>
          </cell>
          <cell r="AZ423">
            <v>27.616081829999999</v>
          </cell>
          <cell r="BA423">
            <v>27.757591399999999</v>
          </cell>
          <cell r="BB423">
            <v>27.90030496</v>
          </cell>
          <cell r="BC423">
            <v>28.044250229999999</v>
          </cell>
          <cell r="BD423">
            <v>28.189434350000003</v>
          </cell>
          <cell r="BE423">
            <v>29.511519180000001</v>
          </cell>
          <cell r="BF423">
            <v>29.712373460000002</v>
          </cell>
          <cell r="BG423">
            <v>29.91472314</v>
          </cell>
          <cell r="BH423">
            <v>30.11870167</v>
          </cell>
          <cell r="BI423">
            <v>30.324457339999999</v>
          </cell>
        </row>
        <row r="427">
          <cell r="F427">
            <v>26.37987115</v>
          </cell>
          <cell r="G427">
            <v>26.68954651</v>
          </cell>
          <cell r="H427">
            <v>27.01817612</v>
          </cell>
          <cell r="I427">
            <v>27.368658140000001</v>
          </cell>
          <cell r="J427">
            <v>27.741209659999999</v>
          </cell>
          <cell r="K427">
            <v>28.134008099999999</v>
          </cell>
          <cell r="L427">
            <v>28.52873383</v>
          </cell>
          <cell r="M427">
            <v>28.931914150000001</v>
          </cell>
          <cell r="N427">
            <v>29.343819929999999</v>
          </cell>
          <cell r="O427">
            <v>29.763610629999999</v>
          </cell>
          <cell r="P427">
            <v>30.217983719999999</v>
          </cell>
          <cell r="Q427">
            <v>30.66237564</v>
          </cell>
          <cell r="R427">
            <v>31.107693279999999</v>
          </cell>
          <cell r="S427">
            <v>31.555929559999999</v>
          </cell>
          <cell r="T427">
            <v>32.007439150000003</v>
          </cell>
          <cell r="U427">
            <v>32.462404919999997</v>
          </cell>
          <cell r="V427">
            <v>32.921099069999997</v>
          </cell>
          <cell r="W427">
            <v>33.383893200000003</v>
          </cell>
          <cell r="X427">
            <v>33.8512226</v>
          </cell>
          <cell r="Y427">
            <v>34.323550640000001</v>
          </cell>
          <cell r="Z427">
            <v>34.780851669999997</v>
          </cell>
          <cell r="AA427">
            <v>35.256059569999998</v>
          </cell>
          <cell r="AB427">
            <v>35.741056260000001</v>
          </cell>
          <cell r="AC427">
            <v>36.234440220000003</v>
          </cell>
          <cell r="AD427">
            <v>36.736105350000003</v>
          </cell>
          <cell r="AE427">
            <v>37.186976510000001</v>
          </cell>
          <cell r="AF427">
            <v>37.652840150000003</v>
          </cell>
          <cell r="AG427">
            <v>38.125171440000003</v>
          </cell>
          <cell r="AH427">
            <v>38.603413750000001</v>
          </cell>
          <cell r="AI427">
            <v>39.088421279999999</v>
          </cell>
          <cell r="AJ427">
            <v>39.581094669999999</v>
          </cell>
          <cell r="AK427">
            <v>40.082111329999996</v>
          </cell>
          <cell r="AL427">
            <v>40.591904800000002</v>
          </cell>
          <cell r="AM427">
            <v>41.110705830000001</v>
          </cell>
          <cell r="AN427">
            <v>41.63859626</v>
          </cell>
          <cell r="AO427">
            <v>42.175559499999999</v>
          </cell>
          <cell r="AP427">
            <v>42.707177549999997</v>
          </cell>
          <cell r="AQ427">
            <v>43.241588360000002</v>
          </cell>
          <cell r="AR427">
            <v>43.781027950000002</v>
          </cell>
          <cell r="AS427">
            <v>44.326505830000002</v>
          </cell>
          <cell r="AT427">
            <v>44.878725410000001</v>
          </cell>
          <cell r="AU427">
            <v>45.438246909999997</v>
          </cell>
          <cell r="AV427">
            <v>46.00550913</v>
          </cell>
          <cell r="AW427">
            <v>46.580835880000002</v>
          </cell>
          <cell r="AX427">
            <v>47.164449439999999</v>
          </cell>
          <cell r="AY427">
            <v>47.756491279999999</v>
          </cell>
          <cell r="AZ427">
            <v>48.358352050000001</v>
          </cell>
          <cell r="BA427">
            <v>48.969339869999999</v>
          </cell>
          <cell r="BB427">
            <v>49.589280049999999</v>
          </cell>
          <cell r="BC427">
            <v>50.218076879999998</v>
          </cell>
          <cell r="BD427">
            <v>50.855660739999998</v>
          </cell>
          <cell r="BE427">
            <v>55.493589890000003</v>
          </cell>
          <cell r="BF427">
            <v>56.373474880000003</v>
          </cell>
          <cell r="BG427">
            <v>57.26841727</v>
          </cell>
          <cell r="BH427">
            <v>58.178734579999997</v>
          </cell>
          <cell r="BI427">
            <v>59.104750869999997</v>
          </cell>
        </row>
        <row r="439">
          <cell r="F439">
            <v>4.8967256030000001</v>
          </cell>
          <cell r="G439">
            <v>4.9371381330000004</v>
          </cell>
          <cell r="H439">
            <v>4.9821183529999997</v>
          </cell>
          <cell r="I439">
            <v>5.0356536409999997</v>
          </cell>
          <cell r="J439">
            <v>5.098033729</v>
          </cell>
          <cell r="K439">
            <v>5.1684125659999998</v>
          </cell>
          <cell r="L439">
            <v>5.2427701229999997</v>
          </cell>
          <cell r="M439">
            <v>5.3211436980000002</v>
          </cell>
          <cell r="N439">
            <v>5.40296237</v>
          </cell>
          <cell r="O439">
            <v>5.4876413079999997</v>
          </cell>
          <cell r="P439">
            <v>5.579664009</v>
          </cell>
          <cell r="Q439">
            <v>5.671520213</v>
          </cell>
          <cell r="R439">
            <v>5.7642180239999998</v>
          </cell>
          <cell r="S439">
            <v>5.8578144620000003</v>
          </cell>
          <cell r="T439">
            <v>5.9522154670000003</v>
          </cell>
          <cell r="U439">
            <v>6.0473505789999997</v>
          </cell>
          <cell r="V439">
            <v>6.1431971130000003</v>
          </cell>
          <cell r="W439">
            <v>6.2397721449999999</v>
          </cell>
          <cell r="X439">
            <v>6.3371204580000002</v>
          </cell>
          <cell r="Y439">
            <v>6.4353045179999997</v>
          </cell>
          <cell r="Z439">
            <v>6.5306901320000001</v>
          </cell>
          <cell r="AA439">
            <v>6.6286546739999999</v>
          </cell>
          <cell r="AB439">
            <v>6.7283058200000001</v>
          </cell>
          <cell r="AC439">
            <v>6.8295040910000004</v>
          </cell>
          <cell r="AD439">
            <v>6.9322594579999999</v>
          </cell>
          <cell r="AE439">
            <v>7.0258803670000001</v>
          </cell>
          <cell r="AF439">
            <v>7.1206103570000003</v>
          </cell>
          <cell r="AG439">
            <v>7.2157772400000004</v>
          </cell>
          <cell r="AH439">
            <v>7.3115759440000003</v>
          </cell>
          <cell r="AI439">
            <v>7.4083459999999999</v>
          </cell>
          <cell r="AJ439">
            <v>7.506391196</v>
          </cell>
          <cell r="AK439">
            <v>7.6059430240000001</v>
          </cell>
          <cell r="AL439">
            <v>7.707162962</v>
          </cell>
          <cell r="AM439">
            <v>7.8101549280000002</v>
          </cell>
          <cell r="AN439">
            <v>7.9149793610000003</v>
          </cell>
          <cell r="AO439">
            <v>8.0216660409999996</v>
          </cell>
          <cell r="AP439">
            <v>8.1276290420000006</v>
          </cell>
          <cell r="AQ439">
            <v>8.2339534580000002</v>
          </cell>
          <cell r="AR439">
            <v>8.3410495640000004</v>
          </cell>
          <cell r="AS439">
            <v>8.4491758620000006</v>
          </cell>
          <cell r="AT439">
            <v>8.5585446760000004</v>
          </cell>
          <cell r="AU439">
            <v>8.6693354639999995</v>
          </cell>
          <cell r="AV439">
            <v>8.7816934189999998</v>
          </cell>
          <cell r="AW439">
            <v>8.8957294640000004</v>
          </cell>
          <cell r="AX439">
            <v>9.0115234809999993</v>
          </cell>
          <cell r="AY439">
            <v>9.1291295209999994</v>
          </cell>
          <cell r="AZ439">
            <v>9.2488160490000002</v>
          </cell>
          <cell r="BA439">
            <v>9.3705138570000006</v>
          </cell>
          <cell r="BB439">
            <v>9.4942086470000007</v>
          </cell>
          <cell r="BC439">
            <v>9.6198788670000006</v>
          </cell>
          <cell r="BD439">
            <v>9.7475017400000006</v>
          </cell>
          <cell r="BE439">
            <v>10.78471672</v>
          </cell>
          <cell r="BF439">
            <v>10.958941790000001</v>
          </cell>
          <cell r="BG439">
            <v>11.13593225</v>
          </cell>
          <cell r="BH439">
            <v>11.315761910000001</v>
          </cell>
          <cell r="BI439">
            <v>11.498509670000001</v>
          </cell>
        </row>
        <row r="451">
          <cell r="F451">
            <v>44.244008669999999</v>
          </cell>
          <cell r="G451">
            <v>44.769815780000002</v>
          </cell>
          <cell r="H451">
            <v>45.353067879999998</v>
          </cell>
          <cell r="I451">
            <v>45.991688310000001</v>
          </cell>
          <cell r="J451">
            <v>46.683978740000001</v>
          </cell>
          <cell r="K451">
            <v>47.42537514</v>
          </cell>
          <cell r="L451">
            <v>48.179204900000002</v>
          </cell>
          <cell r="M451">
            <v>48.95718368</v>
          </cell>
          <cell r="N451">
            <v>49.757438270000002</v>
          </cell>
          <cell r="O451">
            <v>50.576470350000001</v>
          </cell>
          <cell r="P451">
            <v>51.464484419999998</v>
          </cell>
          <cell r="Q451">
            <v>52.333025550000002</v>
          </cell>
          <cell r="R451">
            <v>53.20541807</v>
          </cell>
          <cell r="S451">
            <v>54.084782140000002</v>
          </cell>
          <cell r="T451">
            <v>54.971196980000002</v>
          </cell>
          <cell r="U451">
            <v>55.864593290000002</v>
          </cell>
          <cell r="V451">
            <v>56.765192829999997</v>
          </cell>
          <cell r="W451">
            <v>57.673515639999998</v>
          </cell>
          <cell r="X451">
            <v>58.5903128</v>
          </cell>
          <cell r="Y451">
            <v>59.516491940000002</v>
          </cell>
          <cell r="Z451">
            <v>60.413300239999998</v>
          </cell>
          <cell r="AA451">
            <v>61.345848240000002</v>
          </cell>
          <cell r="AB451">
            <v>62.296504030000001</v>
          </cell>
          <cell r="AC451">
            <v>63.263019219999997</v>
          </cell>
          <cell r="AD451">
            <v>64.24565054</v>
          </cell>
          <cell r="AE451">
            <v>65.130067479999994</v>
          </cell>
          <cell r="AF451">
            <v>66.047222950000005</v>
          </cell>
          <cell r="AG451">
            <v>66.976295669999999</v>
          </cell>
          <cell r="AH451">
            <v>67.915770940000002</v>
          </cell>
          <cell r="AI451">
            <v>68.867155010000005</v>
          </cell>
          <cell r="AJ451">
            <v>69.832134830000001</v>
          </cell>
          <cell r="AK451">
            <v>70.812064410000005</v>
          </cell>
          <cell r="AL451">
            <v>71.807892289999998</v>
          </cell>
          <cell r="AM451">
            <v>72.820190299999993</v>
          </cell>
          <cell r="AN451">
            <v>73.849212980000004</v>
          </cell>
          <cell r="AO451">
            <v>74.894966800000006</v>
          </cell>
          <cell r="AP451">
            <v>75.929390139999995</v>
          </cell>
          <cell r="AQ451">
            <v>76.968864940000003</v>
          </cell>
          <cell r="AR451">
            <v>78.016891310000005</v>
          </cell>
          <cell r="AS451">
            <v>79.074750640000005</v>
          </cell>
          <cell r="AT451">
            <v>80.143301070000007</v>
          </cell>
          <cell r="AU451">
            <v>81.223257180000004</v>
          </cell>
          <cell r="AV451">
            <v>82.315217090000004</v>
          </cell>
          <cell r="AW451">
            <v>83.419659240000001</v>
          </cell>
          <cell r="AX451">
            <v>84.536947380000001</v>
          </cell>
          <cell r="AY451">
            <v>85.667348390000001</v>
          </cell>
          <cell r="AZ451">
            <v>86.813606890000003</v>
          </cell>
          <cell r="BA451">
            <v>87.974380490000001</v>
          </cell>
          <cell r="BB451">
            <v>89.149470109999996</v>
          </cell>
          <cell r="BC451">
            <v>90.338799100000003</v>
          </cell>
          <cell r="BD451">
            <v>91.542314680000004</v>
          </cell>
          <cell r="BE451">
            <v>101.9694488</v>
          </cell>
          <cell r="BF451">
            <v>103.7202384</v>
          </cell>
          <cell r="BG451">
            <v>105.4971243</v>
          </cell>
          <cell r="BH451">
            <v>107.30059749999999</v>
          </cell>
          <cell r="BI451">
            <v>109.13117939999999</v>
          </cell>
        </row>
        <row r="463">
          <cell r="F463">
            <v>22.503358890000001</v>
          </cell>
          <cell r="G463">
            <v>22.774689129999999</v>
          </cell>
          <cell r="H463">
            <v>23.068699509999998</v>
          </cell>
          <cell r="I463">
            <v>23.389413189999999</v>
          </cell>
          <cell r="J463">
            <v>23.73931249</v>
          </cell>
          <cell r="K463">
            <v>24.117521010000001</v>
          </cell>
          <cell r="L463">
            <v>24.506353659999998</v>
          </cell>
          <cell r="M463">
            <v>24.90974654</v>
          </cell>
          <cell r="N463">
            <v>25.32621091</v>
          </cell>
          <cell r="O463">
            <v>25.753605199999999</v>
          </cell>
          <cell r="P463">
            <v>26.216011760000001</v>
          </cell>
          <cell r="Q463">
            <v>26.672396259999999</v>
          </cell>
          <cell r="R463">
            <v>27.13121065</v>
          </cell>
          <cell r="S463">
            <v>27.593303129999999</v>
          </cell>
          <cell r="T463">
            <v>28.05837249</v>
          </cell>
          <cell r="U463">
            <v>28.526130469999998</v>
          </cell>
          <cell r="V463">
            <v>28.996476489999999</v>
          </cell>
          <cell r="W463">
            <v>29.46948819</v>
          </cell>
          <cell r="X463">
            <v>29.945383440000001</v>
          </cell>
          <cell r="Y463">
            <v>30.424483169999998</v>
          </cell>
          <cell r="Z463">
            <v>30.887701979999999</v>
          </cell>
          <cell r="AA463">
            <v>31.365087460000002</v>
          </cell>
          <cell r="AB463">
            <v>31.849861130000001</v>
          </cell>
          <cell r="AC463">
            <v>32.341159419999997</v>
          </cell>
          <cell r="AD463">
            <v>32.839138179999999</v>
          </cell>
          <cell r="AE463">
            <v>33.287692159999999</v>
          </cell>
          <cell r="AF463">
            <v>33.746018800000002</v>
          </cell>
          <cell r="AG463">
            <v>34.206947800000002</v>
          </cell>
          <cell r="AH463">
            <v>34.67062919</v>
          </cell>
          <cell r="AI463">
            <v>35.13837796</v>
          </cell>
          <cell r="AJ463">
            <v>35.611491440000002</v>
          </cell>
          <cell r="AK463">
            <v>36.091023159999999</v>
          </cell>
          <cell r="AL463">
            <v>36.57776294</v>
          </cell>
          <cell r="AM463">
            <v>37.07226627</v>
          </cell>
          <cell r="AN463">
            <v>37.574895519999998</v>
          </cell>
          <cell r="AO463">
            <v>38.085862310000003</v>
          </cell>
          <cell r="AP463">
            <v>38.59161065</v>
          </cell>
          <cell r="AQ463">
            <v>39.099129990000002</v>
          </cell>
          <cell r="AR463">
            <v>39.61035244</v>
          </cell>
          <cell r="AS463">
            <v>40.126269399999998</v>
          </cell>
          <cell r="AT463">
            <v>40.647653920000003</v>
          </cell>
          <cell r="AU463">
            <v>41.175165419999999</v>
          </cell>
          <cell r="AV463">
            <v>41.7093536</v>
          </cell>
          <cell r="AW463">
            <v>42.250657519999997</v>
          </cell>
          <cell r="AX463">
            <v>42.799413770000001</v>
          </cell>
          <cell r="AY463">
            <v>43.355873610000003</v>
          </cell>
          <cell r="AZ463">
            <v>43.921469680000001</v>
          </cell>
          <cell r="BA463">
            <v>44.495740179999999</v>
          </cell>
          <cell r="BB463">
            <v>45.078645389999998</v>
          </cell>
          <cell r="BC463">
            <v>45.670144180000001</v>
          </cell>
          <cell r="BD463">
            <v>46.270179079999998</v>
          </cell>
          <cell r="BE463">
            <v>51.382038950000002</v>
          </cell>
          <cell r="BF463">
            <v>52.22979488</v>
          </cell>
          <cell r="BG463">
            <v>53.09019361</v>
          </cell>
          <cell r="BH463">
            <v>53.963593869999997</v>
          </cell>
          <cell r="BI463">
            <v>54.850373390000001</v>
          </cell>
        </row>
        <row r="1365">
          <cell r="E1365" t="str">
            <v>100*(GDP_2/GDP_0-1)</v>
          </cell>
          <cell r="F1365">
            <v>-1.7105840554810015</v>
          </cell>
          <cell r="G1365">
            <v>-2.098056736359466</v>
          </cell>
          <cell r="H1365">
            <v>-2.4532546055058613</v>
          </cell>
          <cell r="I1365">
            <v>-2.7517937372380175</v>
          </cell>
          <cell r="J1365">
            <v>-2.9990320526349201</v>
          </cell>
          <cell r="K1365">
            <v>-3.2030280950868795</v>
          </cell>
          <cell r="L1365">
            <v>-3.3733930388557543</v>
          </cell>
          <cell r="M1365">
            <v>-3.51562243585547</v>
          </cell>
          <cell r="N1365">
            <v>-3.6361018719246463</v>
          </cell>
          <cell r="O1365">
            <v>-3.7405791429351631</v>
          </cell>
          <cell r="P1365">
            <v>-3.8334394917893921</v>
          </cell>
          <cell r="Q1365">
            <v>-3.925556698553101</v>
          </cell>
          <cell r="R1365">
            <v>-4.0138240489166144</v>
          </cell>
          <cell r="S1365">
            <v>-4.0997975041976105</v>
          </cell>
          <cell r="T1365">
            <v>-4.1844108990118141</v>
          </cell>
          <cell r="U1365">
            <v>-4.2682193718009405</v>
          </cell>
          <cell r="V1365">
            <v>-4.3572346504538011</v>
          </cell>
          <cell r="W1365">
            <v>-4.446581128211669</v>
          </cell>
          <cell r="X1365">
            <v>-4.5362483138397192</v>
          </cell>
          <cell r="Y1365">
            <v>-4.6261021063189967</v>
          </cell>
          <cell r="Z1365">
            <v>-4.7163174260623446</v>
          </cell>
          <cell r="AA1365">
            <v>-4.8060004625971375</v>
          </cell>
          <cell r="AB1365">
            <v>-4.8953489734531725</v>
          </cell>
          <cell r="AC1365">
            <v>-4.9843562098548233</v>
          </cell>
          <cell r="AD1365">
            <v>-5.0729292917466084</v>
          </cell>
          <cell r="AE1365">
            <v>-5.1616312992447515</v>
          </cell>
          <cell r="AF1365">
            <v>-5.2470427631295502</v>
          </cell>
          <cell r="AG1365">
            <v>-5.3309757047204975</v>
          </cell>
          <cell r="AH1365">
            <v>-5.4134537423666913</v>
          </cell>
          <cell r="AI1365">
            <v>-5.4944750354783629</v>
          </cell>
          <cell r="AJ1365">
            <v>-5.5740006203695458</v>
          </cell>
          <cell r="AK1365">
            <v>-5.6509432844425334</v>
          </cell>
          <cell r="AL1365">
            <v>-5.7261280214704442</v>
          </cell>
          <cell r="AM1365">
            <v>-5.7995105060567376</v>
          </cell>
          <cell r="AN1365">
            <v>-5.8710724612016545</v>
          </cell>
          <cell r="AO1365">
            <v>-5.9408064863598842</v>
          </cell>
          <cell r="AP1365">
            <v>-6.0003827900889544</v>
          </cell>
          <cell r="AQ1365">
            <v>-6.0571000103954891</v>
          </cell>
          <cell r="AR1365">
            <v>-6.1110748911116231</v>
          </cell>
          <cell r="AS1365">
            <v>-6.1626563911912129</v>
          </cell>
          <cell r="AT1365">
            <v>-6.2122074676719148</v>
          </cell>
          <cell r="AU1365">
            <v>-6.2587962491754912</v>
          </cell>
          <cell r="AV1365">
            <v>-6.3038097195504577</v>
          </cell>
          <cell r="AW1365">
            <v>-6.3475234557170079</v>
          </cell>
          <cell r="AX1365">
            <v>-6.3901885641366452</v>
          </cell>
          <cell r="AY1365">
            <v>-6.4320132937912504</v>
          </cell>
          <cell r="AZ1365">
            <v>-6.4691410532873412</v>
          </cell>
          <cell r="BA1365">
            <v>-6.5051793926074524</v>
          </cell>
          <cell r="BB1365">
            <v>-6.5403479043005692</v>
          </cell>
          <cell r="BC1365">
            <v>-6.5748713084534671</v>
          </cell>
          <cell r="BD1365">
            <v>-6.6089373105816973</v>
          </cell>
          <cell r="BE1365">
            <v>-0.17309504926293906</v>
          </cell>
          <cell r="BF1365">
            <v>-0.17504737969170625</v>
          </cell>
          <cell r="BG1365">
            <v>-0.17671713472687811</v>
          </cell>
          <cell r="BH1365">
            <v>-0.17817411467598854</v>
          </cell>
          <cell r="BI1365">
            <v>-0.17947550510799548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-2.1405334768959339</v>
          </cell>
          <cell r="G1366">
            <v>-2.5518504370194206</v>
          </cell>
          <cell r="H1366">
            <v>-2.9385443242632814</v>
          </cell>
          <cell r="I1366">
            <v>-3.263601368906377</v>
          </cell>
          <cell r="J1366">
            <v>-3.5331316886843767</v>
          </cell>
          <cell r="K1366">
            <v>-3.7563902482375289</v>
          </cell>
          <cell r="L1366">
            <v>-3.9441558328564108</v>
          </cell>
          <cell r="M1366">
            <v>-4.1024672667341999</v>
          </cell>
          <cell r="N1366">
            <v>-4.2381868040587971</v>
          </cell>
          <cell r="O1366">
            <v>-4.3575189494774014</v>
          </cell>
          <cell r="P1366">
            <v>-4.465620413242311</v>
          </cell>
          <cell r="Q1366">
            <v>-4.5743178685057178</v>
          </cell>
          <cell r="R1366">
            <v>-4.6797807526625101</v>
          </cell>
          <cell r="S1366">
            <v>-4.7836899076079469</v>
          </cell>
          <cell r="T1366">
            <v>-4.8870046780804532</v>
          </cell>
          <cell r="U1366">
            <v>-4.9902426043757391</v>
          </cell>
          <cell r="V1366">
            <v>-5.1007850682228684</v>
          </cell>
          <cell r="W1366">
            <v>-5.2121136826772769</v>
          </cell>
          <cell r="X1366">
            <v>-5.3241416880040919</v>
          </cell>
          <cell r="Y1366">
            <v>-5.4366023257389369</v>
          </cell>
          <cell r="Z1366">
            <v>-5.5492595830345604</v>
          </cell>
          <cell r="AA1366">
            <v>-5.6618111167477503</v>
          </cell>
          <cell r="AB1366">
            <v>-5.7738341832705764</v>
          </cell>
          <cell r="AC1366">
            <v>-5.8852676704225555</v>
          </cell>
          <cell r="AD1366">
            <v>-5.9959419650085994</v>
          </cell>
          <cell r="AE1366">
            <v>-6.1054967498619828</v>
          </cell>
          <cell r="AF1366">
            <v>-6.2117687003274469</v>
          </cell>
          <cell r="AG1366">
            <v>-6.316135459801786</v>
          </cell>
          <cell r="AH1366">
            <v>-6.4185866277842614</v>
          </cell>
          <cell r="AI1366">
            <v>-6.5190767911805008</v>
          </cell>
          <cell r="AJ1366">
            <v>-6.617531331867732</v>
          </cell>
          <cell r="AK1366">
            <v>-6.7125783040744791</v>
          </cell>
          <cell r="AL1366">
            <v>-6.8052980011306445</v>
          </cell>
          <cell r="AM1366">
            <v>-6.8956325499272886</v>
          </cell>
          <cell r="AN1366">
            <v>-6.9835672045527541</v>
          </cell>
          <cell r="AO1366">
            <v>-7.0691050888836093</v>
          </cell>
          <cell r="AP1366">
            <v>-7.1415899817045103</v>
          </cell>
          <cell r="AQ1366">
            <v>-7.2109266294413388</v>
          </cell>
          <cell r="AR1366">
            <v>-7.2771310288196611</v>
          </cell>
          <cell r="AS1366">
            <v>-7.3405627645847122</v>
          </cell>
          <cell r="AT1366">
            <v>-7.4016052670005443</v>
          </cell>
          <cell r="AU1366">
            <v>-7.459027985327749</v>
          </cell>
          <cell r="AV1366">
            <v>-7.5145685650030769</v>
          </cell>
          <cell r="AW1366">
            <v>-7.5685132985651604</v>
          </cell>
          <cell r="AX1366">
            <v>-7.6211347760630659</v>
          </cell>
          <cell r="AY1366">
            <v>-7.6726620283835807</v>
          </cell>
          <cell r="AZ1366">
            <v>-7.7182664004545316</v>
          </cell>
          <cell r="BA1366">
            <v>-7.762579931943792</v>
          </cell>
          <cell r="BB1366">
            <v>-7.8058201564104035</v>
          </cell>
          <cell r="BC1366">
            <v>-7.848218309334321</v>
          </cell>
          <cell r="BD1366">
            <v>-7.8899693274566696</v>
          </cell>
          <cell r="BE1366">
            <v>-0.23572931163051702</v>
          </cell>
          <cell r="BF1366">
            <v>-0.23913277799035848</v>
          </cell>
          <cell r="BG1366">
            <v>-0.24217281316902817</v>
          </cell>
          <cell r="BH1366">
            <v>-0.24492995704027409</v>
          </cell>
          <cell r="BI1366">
            <v>-0.24747210843392153</v>
          </cell>
        </row>
        <row r="1367">
          <cell r="E1367" t="str">
            <v>100*((CH_2-CH_0)/GDP_0)</v>
          </cell>
          <cell r="F1367">
            <v>-0.30899122998868644</v>
          </cell>
          <cell r="G1367">
            <v>-0.67843063363519307</v>
          </cell>
          <cell r="H1367">
            <v>-1.023454648560066</v>
          </cell>
          <cell r="I1367">
            <v>-1.3198783253957922</v>
          </cell>
          <cell r="J1367">
            <v>-1.5633680011959781</v>
          </cell>
          <cell r="K1367">
            <v>-1.7572163151038405</v>
          </cell>
          <cell r="L1367">
            <v>-1.9088240127474814</v>
          </cell>
          <cell r="M1367">
            <v>-2.0246525546116176</v>
          </cell>
          <cell r="N1367">
            <v>-2.1118676084347889</v>
          </cell>
          <cell r="O1367">
            <v>-2.1768909332227517</v>
          </cell>
          <cell r="P1367">
            <v>-2.2237987069431799</v>
          </cell>
          <cell r="Q1367">
            <v>-2.2607773108222697</v>
          </cell>
          <cell r="R1367">
            <v>-2.2890148410505686</v>
          </cell>
          <cell r="S1367">
            <v>-2.3103617410923998</v>
          </cell>
          <cell r="T1367">
            <v>-2.3261374164422479</v>
          </cell>
          <cell r="U1367">
            <v>-2.3373647449013215</v>
          </cell>
          <cell r="V1367">
            <v>-2.345882058409098</v>
          </cell>
          <cell r="W1367">
            <v>-2.3525949260186052</v>
          </cell>
          <cell r="X1367">
            <v>-2.3580933043818479</v>
          </cell>
          <cell r="Y1367">
            <v>-2.362866085705384</v>
          </cell>
          <cell r="Z1367">
            <v>-2.3681899694953907</v>
          </cell>
          <cell r="AA1367">
            <v>-2.3723562712575119</v>
          </cell>
          <cell r="AB1367">
            <v>-2.3769852139272336</v>
          </cell>
          <cell r="AC1367">
            <v>-2.382460769220474</v>
          </cell>
          <cell r="AD1367">
            <v>-2.3890467212166397</v>
          </cell>
          <cell r="AE1367">
            <v>-2.3991071574275833</v>
          </cell>
          <cell r="AF1367">
            <v>-2.4076994001966532</v>
          </cell>
          <cell r="AG1367">
            <v>-2.4166048489395959</v>
          </cell>
          <cell r="AH1367">
            <v>-2.4260742522588177</v>
          </cell>
          <cell r="AI1367">
            <v>-2.4362965564602623</v>
          </cell>
          <cell r="AJ1367">
            <v>-2.4473717909751151</v>
          </cell>
          <cell r="AK1367">
            <v>-2.4591498129133424</v>
          </cell>
          <cell r="AL1367">
            <v>-2.4715868377398684</v>
          </cell>
          <cell r="AM1367">
            <v>-2.4846575808224238</v>
          </cell>
          <cell r="AN1367">
            <v>-2.498331734019605</v>
          </cell>
          <cell r="AO1367">
            <v>-2.5125719476701716</v>
          </cell>
          <cell r="AP1367">
            <v>-2.5263267284946438</v>
          </cell>
          <cell r="AQ1367">
            <v>-2.53860436870601</v>
          </cell>
          <cell r="AR1367">
            <v>-2.5495905095605926</v>
          </cell>
          <cell r="AS1367">
            <v>-2.5596416085313067</v>
          </cell>
          <cell r="AT1367">
            <v>-2.5691452120595581</v>
          </cell>
          <cell r="AU1367">
            <v>-2.5782412361554234</v>
          </cell>
          <cell r="AV1367">
            <v>-2.5872031944582976</v>
          </cell>
          <cell r="AW1367">
            <v>-2.5963024167453286</v>
          </cell>
          <cell r="AX1367">
            <v>-2.6057662208413488</v>
          </cell>
          <cell r="AY1367">
            <v>-2.6157726761826017</v>
          </cell>
          <cell r="AZ1367">
            <v>-2.6257342902320486</v>
          </cell>
          <cell r="BA1367">
            <v>-2.6357253057427048</v>
          </cell>
          <cell r="BB1367">
            <v>-2.6459217363289267</v>
          </cell>
          <cell r="BC1367">
            <v>-2.6565135921695666</v>
          </cell>
          <cell r="BD1367">
            <v>-2.667665109454239</v>
          </cell>
          <cell r="BE1367">
            <v>2.4627260846567238E-2</v>
          </cell>
          <cell r="BF1367">
            <v>2.6598171712759654E-2</v>
          </cell>
          <cell r="BG1367">
            <v>2.8484324639781216E-2</v>
          </cell>
          <cell r="BH1367">
            <v>3.0234981441569546E-2</v>
          </cell>
          <cell r="BI1367">
            <v>3.1819722090826522E-2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-2.7267058168288022E-4</v>
          </cell>
          <cell r="G1368">
            <v>-2.4939200531389132E-2</v>
          </cell>
          <cell r="H1368">
            <v>-5.5571242757491424E-2</v>
          </cell>
          <cell r="I1368">
            <v>-8.1128393944072827E-2</v>
          </cell>
          <cell r="J1368">
            <v>-9.843374151367755E-2</v>
          </cell>
          <cell r="K1368">
            <v>-0.10799987212987423</v>
          </cell>
          <cell r="L1368">
            <v>-0.11180011582397825</v>
          </cell>
          <cell r="M1368">
            <v>-0.1117998297994711</v>
          </cell>
          <cell r="N1368">
            <v>-0.1096365965183189</v>
          </cell>
          <cell r="O1368">
            <v>-0.10644418058886283</v>
          </cell>
          <cell r="P1368">
            <v>-0.10286599069674442</v>
          </cell>
          <cell r="Q1368">
            <v>-9.9505709011536797E-2</v>
          </cell>
          <cell r="R1368">
            <v>-9.6393444038554404E-2</v>
          </cell>
          <cell r="S1368">
            <v>-9.3530027460566906E-2</v>
          </cell>
          <cell r="T1368">
            <v>-9.0887367641863517E-2</v>
          </cell>
          <cell r="U1368">
            <v>-8.8438926615794153E-2</v>
          </cell>
          <cell r="V1368">
            <v>-8.6284654163847438E-2</v>
          </cell>
          <cell r="W1368">
            <v>-8.4402567531059874E-2</v>
          </cell>
          <cell r="X1368">
            <v>-8.2762538729520219E-2</v>
          </cell>
          <cell r="Y1368">
            <v>-8.1346081802264561E-2</v>
          </cell>
          <cell r="Z1368">
            <v>-8.0164559930001114E-2</v>
          </cell>
          <cell r="AA1368">
            <v>-7.9140595742070455E-2</v>
          </cell>
          <cell r="AB1368">
            <v>-7.8325242333266945E-2</v>
          </cell>
          <cell r="AC1368">
            <v>-7.7713308898391162E-2</v>
          </cell>
          <cell r="AD1368">
            <v>-7.7290139764096641E-2</v>
          </cell>
          <cell r="AE1368">
            <v>-7.7087671521230111E-2</v>
          </cell>
          <cell r="AF1368">
            <v>-7.688666735679095E-2</v>
          </cell>
          <cell r="AG1368">
            <v>-7.6769522583796462E-2</v>
          </cell>
          <cell r="AH1368">
            <v>-7.6753653506305961E-2</v>
          </cell>
          <cell r="AI1368">
            <v>-7.6839360857187539E-2</v>
          </cell>
          <cell r="AJ1368">
            <v>-7.7016736299885785E-2</v>
          </cell>
          <cell r="AK1368">
            <v>-7.7252798354457392E-2</v>
          </cell>
          <cell r="AL1368">
            <v>-7.7537538886388535E-2</v>
          </cell>
          <cell r="AM1368">
            <v>-7.7865118354023058E-2</v>
          </cell>
          <cell r="AN1368">
            <v>-7.8230365512664907E-2</v>
          </cell>
          <cell r="AO1368">
            <v>-7.8628683168370975E-2</v>
          </cell>
          <cell r="AP1368">
            <v>-7.8910288748493193E-2</v>
          </cell>
          <cell r="AQ1368">
            <v>-7.9077276426024121E-2</v>
          </cell>
          <cell r="AR1368">
            <v>-7.918743239837224E-2</v>
          </cell>
          <cell r="AS1368">
            <v>-7.9290576730344425E-2</v>
          </cell>
          <cell r="AT1368">
            <v>-7.9422400278582495E-2</v>
          </cell>
          <cell r="AU1368">
            <v>-7.95839840268346E-2</v>
          </cell>
          <cell r="AV1368">
            <v>-7.9793505204475576E-2</v>
          </cell>
          <cell r="AW1368">
            <v>-8.0065446374465984E-2</v>
          </cell>
          <cell r="AX1368">
            <v>-8.0408277195355898E-2</v>
          </cell>
          <cell r="AY1368">
            <v>-8.0826329026103275E-2</v>
          </cell>
          <cell r="AZ1368">
            <v>-8.125344746675052E-2</v>
          </cell>
          <cell r="BA1368">
            <v>-8.1706358965799614E-2</v>
          </cell>
          <cell r="BB1368">
            <v>-8.2208532120714287E-2</v>
          </cell>
          <cell r="BC1368">
            <v>-8.2776985337513431E-2</v>
          </cell>
          <cell r="BD1368">
            <v>-8.3422810536920161E-2</v>
          </cell>
          <cell r="BE1368">
            <v>6.2562576488679683E-3</v>
          </cell>
          <cell r="BF1368">
            <v>6.4977563843595931E-3</v>
          </cell>
          <cell r="BG1368">
            <v>6.7405093711651069E-3</v>
          </cell>
          <cell r="BH1368">
            <v>6.9831096687923509E-3</v>
          </cell>
          <cell r="BI1368">
            <v>7.2267607524996134E-3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</row>
        <row r="1370">
          <cell r="E1370" t="str">
            <v>100*((I_2-I_0)/GDP_0)</v>
          </cell>
          <cell r="F1370">
            <v>-0.2558380047218608</v>
          </cell>
          <cell r="G1370">
            <v>-0.41970444276942509</v>
          </cell>
          <cell r="H1370">
            <v>-0.53420320643368047</v>
          </cell>
          <cell r="I1370">
            <v>-0.62556599333226726</v>
          </cell>
          <cell r="J1370">
            <v>-0.70551465609726671</v>
          </cell>
          <cell r="K1370">
            <v>-0.77906475061173897</v>
          </cell>
          <cell r="L1370">
            <v>-0.84886809013980247</v>
          </cell>
          <cell r="M1370">
            <v>-0.9155071035153215</v>
          </cell>
          <cell r="N1370">
            <v>-0.97949824431553034</v>
          </cell>
          <cell r="O1370">
            <v>-1.0412621969645561</v>
          </cell>
          <cell r="P1370">
            <v>-1.1006476046227964</v>
          </cell>
          <cell r="Q1370">
            <v>-1.1601132509454897</v>
          </cell>
          <cell r="R1370">
            <v>-1.218724444445467</v>
          </cell>
          <cell r="S1370">
            <v>-1.2763884444191003</v>
          </cell>
          <cell r="T1370">
            <v>-1.3330199854238014</v>
          </cell>
          <cell r="U1370">
            <v>-1.3885173450861068</v>
          </cell>
          <cell r="V1370">
            <v>-1.4436109246650481</v>
          </cell>
          <cell r="W1370">
            <v>-1.4977825395587903</v>
          </cell>
          <cell r="X1370">
            <v>-1.5507063203936293</v>
          </cell>
          <cell r="Y1370">
            <v>-1.6021817466983792</v>
          </cell>
          <cell r="Z1370">
            <v>-1.6526032669988917</v>
          </cell>
          <cell r="AA1370">
            <v>-1.7006375633878474</v>
          </cell>
          <cell r="AB1370">
            <v>-1.7469306001913636</v>
          </cell>
          <cell r="AC1370">
            <v>-1.791407020283484</v>
          </cell>
          <cell r="AD1370">
            <v>-1.834023797274196</v>
          </cell>
          <cell r="AE1370">
            <v>-1.8763579845648799</v>
          </cell>
          <cell r="AF1370">
            <v>-1.9151212732914424</v>
          </cell>
          <cell r="AG1370">
            <v>-1.9516358670520144</v>
          </cell>
          <cell r="AH1370">
            <v>-1.9859219816686171</v>
          </cell>
          <cell r="AI1370">
            <v>-2.0179969382107861</v>
          </cell>
          <cell r="AJ1370">
            <v>-2.0478781176131551</v>
          </cell>
          <cell r="AK1370">
            <v>-2.0754315886809769</v>
          </cell>
          <cell r="AL1370">
            <v>-2.1007515224777076</v>
          </cell>
          <cell r="AM1370">
            <v>-2.1239058438571918</v>
          </cell>
          <cell r="AN1370">
            <v>-2.1449495230788682</v>
          </cell>
          <cell r="AO1370">
            <v>-2.1639358479945399</v>
          </cell>
          <cell r="AP1370">
            <v>-2.1800345951435536</v>
          </cell>
          <cell r="AQ1370">
            <v>-2.1933710428537014</v>
          </cell>
          <cell r="AR1370">
            <v>-2.2043393108176299</v>
          </cell>
          <cell r="AS1370">
            <v>-2.2131596091601873</v>
          </cell>
          <cell r="AT1370">
            <v>-2.219987578617876</v>
          </cell>
          <cell r="AU1370">
            <v>-2.2247677713063556</v>
          </cell>
          <cell r="AV1370">
            <v>-2.2277161162246784</v>
          </cell>
          <cell r="AW1370">
            <v>-2.2290099158585859</v>
          </cell>
          <cell r="AX1370">
            <v>-2.2288028293882203</v>
          </cell>
          <cell r="AY1370">
            <v>-2.2272375241572275</v>
          </cell>
          <cell r="AZ1370">
            <v>-2.2238139102750165</v>
          </cell>
          <cell r="BA1370">
            <v>-2.2189746126594461</v>
          </cell>
          <cell r="BB1370">
            <v>-2.2129935690472462</v>
          </cell>
          <cell r="BC1370">
            <v>-2.206061088594518</v>
          </cell>
          <cell r="BD1370">
            <v>-2.1983288102947052</v>
          </cell>
          <cell r="BE1370">
            <v>-4.521236430945175E-3</v>
          </cell>
          <cell r="BF1370">
            <v>7.2949558812879342E-4</v>
          </cell>
          <cell r="BG1370">
            <v>6.3874356486643144E-3</v>
          </cell>
          <cell r="BH1370">
            <v>1.2419202628000638E-2</v>
          </cell>
          <cell r="BI1370">
            <v>1.8789179124359609E-2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</row>
        <row r="1372">
          <cell r="E1372" t="str">
            <v>100*((X_2-X_0)/GDP_0)-100*((M_2-M_0)/GDP_0)</v>
          </cell>
          <cell r="F1372">
            <v>-1.1457548344029187</v>
          </cell>
          <cell r="G1372">
            <v>-0.99992165546744849</v>
          </cell>
          <cell r="H1372">
            <v>-0.89559674608585893</v>
          </cell>
          <cell r="I1372">
            <v>-0.80634940105752051</v>
          </cell>
          <cell r="J1372">
            <v>-0.73014939964011916</v>
          </cell>
          <cell r="K1372">
            <v>-0.66674701244023526</v>
          </cell>
          <cell r="L1372">
            <v>-0.61570094430705047</v>
          </cell>
          <cell r="M1372">
            <v>-0.57546279415342383</v>
          </cell>
          <cell r="N1372">
            <v>-0.54473603130539594</v>
          </cell>
          <cell r="O1372">
            <v>-0.52242602469323929</v>
          </cell>
          <cell r="P1372">
            <v>-0.50899315280895863</v>
          </cell>
          <cell r="Q1372">
            <v>-0.50466610980071924</v>
          </cell>
          <cell r="R1372">
            <v>-0.50608477859931789</v>
          </cell>
          <cell r="S1372">
            <v>-0.5130473298928675</v>
          </cell>
          <cell r="T1372">
            <v>-0.52525349346812611</v>
          </cell>
          <cell r="U1372">
            <v>-0.5423372890551561</v>
          </cell>
          <cell r="V1372">
            <v>-0.56774165311927716</v>
          </cell>
          <cell r="W1372">
            <v>-0.59620366614468168</v>
          </cell>
          <cell r="X1372">
            <v>-0.62744870980441059</v>
          </cell>
          <cell r="Y1372">
            <v>-0.66105425349161706</v>
          </cell>
          <cell r="Z1372">
            <v>-0.69552416944159834</v>
          </cell>
          <cell r="AA1372">
            <v>-0.73300661803980827</v>
          </cell>
          <cell r="AB1372">
            <v>-0.77143313980900485</v>
          </cell>
          <cell r="AC1372">
            <v>-0.81048841073524525</v>
          </cell>
          <cell r="AD1372">
            <v>-0.84985878903985412</v>
          </cell>
          <cell r="AE1372">
            <v>-0.88616612921830251</v>
          </cell>
          <cell r="AF1372">
            <v>-0.92422206506591653</v>
          </cell>
          <cell r="AG1372">
            <v>-0.96273497660919949</v>
          </cell>
          <cell r="AH1372">
            <v>-1.0014575293599188</v>
          </cell>
          <cell r="AI1372">
            <v>-1.0401815201708495</v>
          </cell>
          <cell r="AJ1372">
            <v>-1.0787506943330376</v>
          </cell>
          <cell r="AK1372">
            <v>-1.1163619287449094</v>
          </cell>
          <cell r="AL1372">
            <v>-1.1537896725710475</v>
          </cell>
          <cell r="AM1372">
            <v>-1.190947084168152</v>
          </cell>
          <cell r="AN1372">
            <v>-1.2277911930911936</v>
          </cell>
          <cell r="AO1372">
            <v>-1.2642986988415337</v>
          </cell>
          <cell r="AP1372">
            <v>-1.294021458412459</v>
          </cell>
          <cell r="AQ1372">
            <v>-1.3251246094123843</v>
          </cell>
          <cell r="AR1372">
            <v>-1.3571450629047996</v>
          </cell>
          <cell r="AS1372">
            <v>-1.3898551503200887</v>
          </cell>
          <cell r="AT1372">
            <v>-1.4230746719103946</v>
          </cell>
          <cell r="AU1372">
            <v>-1.4557872492409443</v>
          </cell>
          <cell r="AV1372">
            <v>-1.4888904039143291</v>
          </cell>
          <cell r="AW1372">
            <v>-1.5222111451137321</v>
          </cell>
          <cell r="AX1372">
            <v>-1.5556195283843546</v>
          </cell>
          <cell r="AY1372">
            <v>-1.5890030982147407</v>
          </cell>
          <cell r="AZ1372">
            <v>-1.6195928551310499</v>
          </cell>
          <cell r="BA1372">
            <v>-1.6504794742052913</v>
          </cell>
          <cell r="BB1372">
            <v>-1.6814325599921096</v>
          </cell>
          <cell r="BC1372">
            <v>-1.7122966457724971</v>
          </cell>
          <cell r="BD1372">
            <v>-1.7429433908327581</v>
          </cell>
          <cell r="BE1372">
            <v>-0.19320109391079338</v>
          </cell>
          <cell r="BF1372">
            <v>-0.20237502709255517</v>
          </cell>
          <cell r="BG1372">
            <v>-0.21158891458899307</v>
          </cell>
          <cell r="BH1372">
            <v>-0.22082829874555396</v>
          </cell>
          <cell r="BI1372">
            <v>-0.23008438738529277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-0.30425725013776167</v>
          </cell>
          <cell r="G1373">
            <v>-0.66911311067858747</v>
          </cell>
          <cell r="H1373">
            <v>-1.0103884672185544</v>
          </cell>
          <cell r="I1373">
            <v>-1.3036758765055072</v>
          </cell>
          <cell r="J1373">
            <v>-1.5444137729635086</v>
          </cell>
          <cell r="K1373">
            <v>-1.7358202245685412</v>
          </cell>
          <cell r="L1373">
            <v>-1.885257489873678</v>
          </cell>
          <cell r="M1373">
            <v>-1.9992098926594755</v>
          </cell>
          <cell r="N1373">
            <v>-2.0848411616121658</v>
          </cell>
          <cell r="O1373">
            <v>-2.1485510984370801</v>
          </cell>
          <cell r="P1373">
            <v>-2.1943996818067615</v>
          </cell>
          <cell r="Q1373">
            <v>-2.2304809976370414</v>
          </cell>
          <cell r="R1373">
            <v>-2.257976881043207</v>
          </cell>
          <cell r="S1373">
            <v>-2.2787156587299759</v>
          </cell>
          <cell r="T1373">
            <v>-2.2939972749351387</v>
          </cell>
          <cell r="U1373">
            <v>-2.3048269523396239</v>
          </cell>
          <cell r="V1373">
            <v>-2.3130140191720758</v>
          </cell>
          <cell r="W1373">
            <v>-2.3194480262066679</v>
          </cell>
          <cell r="X1373">
            <v>-2.3247062854174159</v>
          </cell>
          <cell r="Y1373">
            <v>-2.3292654319428814</v>
          </cell>
          <cell r="Z1373">
            <v>-2.3343777164090231</v>
          </cell>
          <cell r="AA1373">
            <v>-2.3383541127188576</v>
          </cell>
          <cell r="AB1373">
            <v>-2.3427867099667861</v>
          </cell>
          <cell r="AC1373">
            <v>-2.3480502980277049</v>
          </cell>
          <cell r="AD1373">
            <v>-2.3544023742834899</v>
          </cell>
          <cell r="AE1373">
            <v>-2.3641695174867969</v>
          </cell>
          <cell r="AF1373">
            <v>-2.3724795679642012</v>
          </cell>
          <cell r="AG1373">
            <v>-2.3810854586383923</v>
          </cell>
          <cell r="AH1373">
            <v>-2.3902329909630957</v>
          </cell>
          <cell r="AI1373">
            <v>-2.4001084871117002</v>
          </cell>
          <cell r="AJ1373">
            <v>-2.4108117222617018</v>
          </cell>
          <cell r="AK1373">
            <v>-2.4221962088574198</v>
          </cell>
          <cell r="AL1373">
            <v>-2.4342204548815727</v>
          </cell>
          <cell r="AM1373">
            <v>-2.4468613333841804</v>
          </cell>
          <cell r="AN1373">
            <v>-2.4600908076027479</v>
          </cell>
          <cell r="AO1373">
            <v>-2.4738738276030983</v>
          </cell>
          <cell r="AP1373">
            <v>-2.4871728357437015</v>
          </cell>
          <cell r="AQ1373">
            <v>-2.4990102147468454</v>
          </cell>
          <cell r="AR1373">
            <v>-2.5095693367972962</v>
          </cell>
          <cell r="AS1373">
            <v>-2.5192035210509016</v>
          </cell>
          <cell r="AT1373">
            <v>-2.5282976428580843</v>
          </cell>
          <cell r="AU1373">
            <v>-2.536992362779928</v>
          </cell>
          <cell r="AV1373">
            <v>-2.5455596662659583</v>
          </cell>
          <cell r="AW1373">
            <v>-2.5542691422137063</v>
          </cell>
          <cell r="AX1373">
            <v>-2.5633467959071572</v>
          </cell>
          <cell r="AY1373">
            <v>-2.5729696751301363</v>
          </cell>
          <cell r="AZ1373">
            <v>-2.5825584782509763</v>
          </cell>
          <cell r="BA1373">
            <v>-2.5921846795048222</v>
          </cell>
          <cell r="BB1373">
            <v>-2.6020213794292739</v>
          </cell>
          <cell r="BC1373">
            <v>-2.6122591111722726</v>
          </cell>
          <cell r="BD1373">
            <v>-2.6230628700455294</v>
          </cell>
          <cell r="BE1373">
            <v>2.6026198978007193E-2</v>
          </cell>
          <cell r="BF1373">
            <v>2.8054577078108104E-2</v>
          </cell>
          <cell r="BG1373">
            <v>2.9998808361020476E-2</v>
          </cell>
          <cell r="BH1373">
            <v>3.1809355117782684E-2</v>
          </cell>
          <cell r="BI1373">
            <v>3.3456583928692905E-2</v>
          </cell>
        </row>
        <row r="1374">
          <cell r="E1374" t="str">
            <v>100*((I_2+CH_ccon_2-(I_0+CH_ccon_0))/GDP_0)</v>
          </cell>
          <cell r="F1374">
            <v>-0.26057198457278824</v>
          </cell>
          <cell r="G1374">
            <v>-0.42902196572603335</v>
          </cell>
          <cell r="H1374">
            <v>-0.54726938777518697</v>
          </cell>
          <cell r="I1374">
            <v>-0.64176844222255491</v>
          </cell>
          <cell r="J1374">
            <v>-0.72446888432972856</v>
          </cell>
          <cell r="K1374">
            <v>-0.80046084114703842</v>
          </cell>
          <cell r="L1374">
            <v>-0.87243461301360314</v>
          </cell>
          <cell r="M1374">
            <v>-0.94094976546746123</v>
          </cell>
          <cell r="N1374">
            <v>-1.0065246911381536</v>
          </cell>
          <cell r="O1374">
            <v>-1.0696020317502277</v>
          </cell>
          <cell r="P1374">
            <v>-1.13004662975921</v>
          </cell>
          <cell r="Q1374">
            <v>-1.1904095641307089</v>
          </cell>
          <cell r="R1374">
            <v>-1.2497624044528286</v>
          </cell>
          <cell r="S1374">
            <v>-1.3080345267815283</v>
          </cell>
          <cell r="T1374">
            <v>-1.3651601269309102</v>
          </cell>
          <cell r="U1374">
            <v>-1.4210551376478042</v>
          </cell>
          <cell r="V1374">
            <v>-1.4764789639020701</v>
          </cell>
          <cell r="W1374">
            <v>-1.5309294393707233</v>
          </cell>
          <cell r="X1374">
            <v>-1.5840933393580614</v>
          </cell>
          <cell r="Y1374">
            <v>-1.6357824004608859</v>
          </cell>
          <cell r="Z1374">
            <v>-1.6864155200852597</v>
          </cell>
          <cell r="AA1374">
            <v>-1.734639721926502</v>
          </cell>
          <cell r="AB1374">
            <v>-1.7811291041518142</v>
          </cell>
          <cell r="AC1374">
            <v>-1.8258174914762453</v>
          </cell>
          <cell r="AD1374">
            <v>-1.8686681442073461</v>
          </cell>
          <cell r="AE1374">
            <v>-1.9112956245056663</v>
          </cell>
          <cell r="AF1374">
            <v>-1.9503411055238908</v>
          </cell>
          <cell r="AG1374">
            <v>-1.9871552573532107</v>
          </cell>
          <cell r="AH1374">
            <v>-2.0217632429643388</v>
          </cell>
          <cell r="AI1374">
            <v>-2.0541850075593482</v>
          </cell>
          <cell r="AJ1374">
            <v>-2.0844381863265684</v>
          </cell>
          <cell r="AK1374">
            <v>-2.1123851927368995</v>
          </cell>
          <cell r="AL1374">
            <v>-2.1381179053360064</v>
          </cell>
          <cell r="AM1374">
            <v>-2.1617020912954348</v>
          </cell>
          <cell r="AN1374">
            <v>-2.1831904494957253</v>
          </cell>
          <cell r="AO1374">
            <v>-2.2026339680616096</v>
          </cell>
          <cell r="AP1374">
            <v>-2.2191884878944959</v>
          </cell>
          <cell r="AQ1374">
            <v>-2.2329651968128692</v>
          </cell>
          <cell r="AR1374">
            <v>-2.244360483580929</v>
          </cell>
          <cell r="AS1374">
            <v>-2.2535976966405893</v>
          </cell>
          <cell r="AT1374">
            <v>-2.2608351478193529</v>
          </cell>
          <cell r="AU1374">
            <v>-2.2660166446818484</v>
          </cell>
          <cell r="AV1374">
            <v>-2.2693596444170208</v>
          </cell>
          <cell r="AW1374">
            <v>-2.2710431903902086</v>
          </cell>
          <cell r="AX1374">
            <v>-2.2712222543224176</v>
          </cell>
          <cell r="AY1374">
            <v>-2.2700405252096902</v>
          </cell>
          <cell r="AZ1374">
            <v>-2.2669897222560782</v>
          </cell>
          <cell r="BA1374">
            <v>-2.2625152388973282</v>
          </cell>
          <cell r="BB1374">
            <v>-2.256893925946899</v>
          </cell>
          <cell r="BC1374">
            <v>-2.2503155695918098</v>
          </cell>
          <cell r="BD1374">
            <v>-2.2429310497034174</v>
          </cell>
          <cell r="BE1374">
            <v>-5.9201745623804168E-3</v>
          </cell>
          <cell r="BF1374">
            <v>-7.2690977721502409E-4</v>
          </cell>
          <cell r="BG1374">
            <v>4.8729519274250564E-3</v>
          </cell>
          <cell r="BH1374">
            <v>1.0844828951787504E-2</v>
          </cell>
          <cell r="BI1374">
            <v>1.7152317286497642E-2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-0.25269915779363783</v>
          </cell>
          <cell r="G1375">
            <v>-0.41499478525656036</v>
          </cell>
          <cell r="H1375">
            <v>-0.52878179761591293</v>
          </cell>
          <cell r="I1375">
            <v>-0.61962606251836472</v>
          </cell>
          <cell r="J1375">
            <v>-0.69893822064029509</v>
          </cell>
          <cell r="K1375">
            <v>-0.77164505836379549</v>
          </cell>
          <cell r="L1375">
            <v>-0.84039826480017554</v>
          </cell>
          <cell r="M1375">
            <v>-0.90582584436401037</v>
          </cell>
          <cell r="N1375">
            <v>-0.96848390930204387</v>
          </cell>
          <cell r="O1375">
            <v>-1.0288233505779989</v>
          </cell>
          <cell r="P1375">
            <v>-1.0867240113969567</v>
          </cell>
          <cell r="Q1375">
            <v>-1.14463467618738</v>
          </cell>
          <cell r="R1375">
            <v>-1.2016604237184632</v>
          </cell>
          <cell r="S1375">
            <v>-1.257733231380493</v>
          </cell>
          <cell r="T1375">
            <v>-1.3127886884032951</v>
          </cell>
          <cell r="U1375">
            <v>-1.366743125401195</v>
          </cell>
          <cell r="V1375">
            <v>-1.4203322396924603</v>
          </cell>
          <cell r="W1375">
            <v>-1.4730565506573532</v>
          </cell>
          <cell r="X1375">
            <v>-1.5246026366931396</v>
          </cell>
          <cell r="Y1375">
            <v>-1.5747770763311904</v>
          </cell>
          <cell r="Z1375">
            <v>-1.6239710665028859</v>
          </cell>
          <cell r="AA1375">
            <v>-1.670869540408441</v>
          </cell>
          <cell r="AB1375">
            <v>-1.7161052065308151</v>
          </cell>
          <cell r="AC1375">
            <v>-1.7596006799050101</v>
          </cell>
          <cell r="AD1375">
            <v>-1.8013094788081618</v>
          </cell>
          <cell r="AE1375">
            <v>-1.8427849898303477</v>
          </cell>
          <cell r="AF1375">
            <v>-1.8807790662953536</v>
          </cell>
          <cell r="AG1375">
            <v>-1.916584554523372</v>
          </cell>
          <cell r="AH1375">
            <v>-1.9502149790466137</v>
          </cell>
          <cell r="AI1375">
            <v>-1.9816812509260595</v>
          </cell>
          <cell r="AJ1375">
            <v>-2.0109949364268234</v>
          </cell>
          <cell r="AK1375">
            <v>-2.0380186803737907</v>
          </cell>
          <cell r="AL1375">
            <v>-2.0628407623740426</v>
          </cell>
          <cell r="AM1375">
            <v>-2.0855241822920862</v>
          </cell>
          <cell r="AN1375">
            <v>-2.1061197696819414</v>
          </cell>
          <cell r="AO1375">
            <v>-2.1246771819576842</v>
          </cell>
          <cell r="AP1375">
            <v>-2.1403734221408279</v>
          </cell>
          <cell r="AQ1375">
            <v>-2.1533291325095782</v>
          </cell>
          <cell r="AR1375">
            <v>-2.1639302284097033</v>
          </cell>
          <cell r="AS1375">
            <v>-2.1723932805482988</v>
          </cell>
          <cell r="AT1375">
            <v>-2.1788721566869618</v>
          </cell>
          <cell r="AU1375">
            <v>-2.183312557767449</v>
          </cell>
          <cell r="AV1375">
            <v>-2.1859282468071983</v>
          </cell>
          <cell r="AW1375">
            <v>-2.1868952778207302</v>
          </cell>
          <cell r="AX1375">
            <v>-2.1863667963508369</v>
          </cell>
          <cell r="AY1375">
            <v>-2.1844853217602744</v>
          </cell>
          <cell r="AZ1375">
            <v>-2.1807581833610925</v>
          </cell>
          <cell r="BA1375">
            <v>-2.1756228798007178</v>
          </cell>
          <cell r="BB1375">
            <v>-2.1693513099830679</v>
          </cell>
          <cell r="BC1375">
            <v>-2.1621338593258437</v>
          </cell>
          <cell r="BD1375">
            <v>-2.1541229342899171</v>
          </cell>
          <cell r="BE1375">
            <v>-3.6374125724455979E-3</v>
          </cell>
          <cell r="BF1375">
            <v>1.4909450650637188E-3</v>
          </cell>
          <cell r="BG1375">
            <v>7.0179858722023399E-3</v>
          </cell>
          <cell r="BH1375">
            <v>1.2911954943280624E-2</v>
          </cell>
          <cell r="BI1375">
            <v>1.9138570094063296E-2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-4.733979850927765E-3</v>
          </cell>
          <cell r="G1376">
            <v>-9.3175229566088147E-3</v>
          </cell>
          <cell r="H1376">
            <v>-1.3066181341508012E-2</v>
          </cell>
          <cell r="I1376">
            <v>-1.6202448890286551E-2</v>
          </cell>
          <cell r="J1376">
            <v>-1.8954228232463139E-2</v>
          </cell>
          <cell r="K1376">
            <v>-2.1396090535299884E-2</v>
          </cell>
          <cell r="L1376">
            <v>-2.3566522873799831E-2</v>
          </cell>
          <cell r="M1376">
            <v>-2.5442661952140882E-2</v>
          </cell>
          <cell r="N1376">
            <v>-2.7026446822618708E-2</v>
          </cell>
          <cell r="O1376">
            <v>-2.833983478567146E-2</v>
          </cell>
          <cell r="P1376">
            <v>-2.9399025136415395E-2</v>
          </cell>
          <cell r="Q1376">
            <v>-3.0296313185221802E-2</v>
          </cell>
          <cell r="R1376">
            <v>-3.1037960007362166E-2</v>
          </cell>
          <cell r="S1376">
            <v>-3.1646082362425935E-2</v>
          </cell>
          <cell r="T1376">
            <v>-3.2140141507108491E-2</v>
          </cell>
          <cell r="U1376">
            <v>-3.2537792561696609E-2</v>
          </cell>
          <cell r="V1376">
            <v>-3.286803923702402E-2</v>
          </cell>
          <cell r="W1376">
            <v>-3.3146899811933861E-2</v>
          </cell>
          <cell r="X1376">
            <v>-3.3387018964434224E-2</v>
          </cell>
          <cell r="Y1376">
            <v>-3.3600653762507829E-2</v>
          </cell>
          <cell r="Z1376">
            <v>-3.381225308636758E-2</v>
          </cell>
          <cell r="AA1376">
            <v>-3.4002158538655611E-2</v>
          </cell>
          <cell r="AB1376">
            <v>-3.4198503960451522E-2</v>
          </cell>
          <cell r="AC1376">
            <v>-3.4410471192761756E-2</v>
          </cell>
          <cell r="AD1376">
            <v>-3.4644346933148357E-2</v>
          </cell>
          <cell r="AE1376">
            <v>-3.4937639940789293E-2</v>
          </cell>
          <cell r="AF1376">
            <v>-3.5219832232450461E-2</v>
          </cell>
          <cell r="AG1376">
            <v>-3.5519390301197953E-2</v>
          </cell>
          <cell r="AH1376">
            <v>-3.5841261295723278E-2</v>
          </cell>
          <cell r="AI1376">
            <v>-3.618806934856187E-2</v>
          </cell>
          <cell r="AJ1376">
            <v>-3.6560068713410804E-2</v>
          </cell>
          <cell r="AK1376">
            <v>-3.6953604055923607E-2</v>
          </cell>
          <cell r="AL1376">
            <v>-3.7366382858298207E-2</v>
          </cell>
          <cell r="AM1376">
            <v>-3.7796247438244682E-2</v>
          </cell>
          <cell r="AN1376">
            <v>-3.8240926416857307E-2</v>
          </cell>
          <cell r="AO1376">
            <v>-3.8698120067070692E-2</v>
          </cell>
          <cell r="AP1376">
            <v>-3.9153892750941478E-2</v>
          </cell>
          <cell r="AQ1376">
            <v>-3.9594153959165629E-2</v>
          </cell>
          <cell r="AR1376">
            <v>-4.0021172763297051E-2</v>
          </cell>
          <cell r="AS1376">
            <v>-4.0438087480403999E-2</v>
          </cell>
          <cell r="AT1376">
            <v>-4.0847569201476391E-2</v>
          </cell>
          <cell r="AU1376">
            <v>-4.1248873375494217E-2</v>
          </cell>
          <cell r="AV1376">
            <v>-4.1643528192341184E-2</v>
          </cell>
          <cell r="AW1376">
            <v>-4.2033274531623643E-2</v>
          </cell>
          <cell r="AX1376">
            <v>-4.2419424934195281E-2</v>
          </cell>
          <cell r="AY1376">
            <v>-4.2803001052461667E-2</v>
          </cell>
          <cell r="AZ1376">
            <v>-4.3175811981062413E-2</v>
          </cell>
          <cell r="BA1376">
            <v>-4.3540626237883136E-2</v>
          </cell>
          <cell r="BB1376">
            <v>-4.3900356899652514E-2</v>
          </cell>
          <cell r="BC1376">
            <v>-4.4254480997291012E-2</v>
          </cell>
          <cell r="BD1376">
            <v>-4.4602239408712101E-2</v>
          </cell>
          <cell r="BE1376">
            <v>-1.3989381314381863E-3</v>
          </cell>
          <cell r="BF1376">
            <v>-1.4564053653442521E-3</v>
          </cell>
          <cell r="BG1376">
            <v>-1.5144837212395438E-3</v>
          </cell>
          <cell r="BH1376">
            <v>-1.5743736762150961E-3</v>
          </cell>
          <cell r="BI1376">
            <v>-1.6368618378615565E-3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-3.1388469282240075E-3</v>
          </cell>
          <cell r="G1377">
            <v>-4.7096575128651357E-3</v>
          </cell>
          <cell r="H1377">
            <v>-5.4214088177665532E-3</v>
          </cell>
          <cell r="I1377">
            <v>-5.9399308139035326E-3</v>
          </cell>
          <cell r="J1377">
            <v>-6.5764354569740596E-3</v>
          </cell>
          <cell r="K1377">
            <v>-7.4196922479429018E-3</v>
          </cell>
          <cell r="L1377">
            <v>-8.4698253396257965E-3</v>
          </cell>
          <cell r="M1377">
            <v>-9.6812591513108365E-3</v>
          </cell>
          <cell r="N1377">
            <v>-1.1014335013486289E-2</v>
          </cell>
          <cell r="O1377">
            <v>-1.2438846386555704E-2</v>
          </cell>
          <cell r="P1377">
            <v>-1.3923593225840178E-2</v>
          </cell>
          <cell r="Q1377">
            <v>-1.5478574758109157E-2</v>
          </cell>
          <cell r="R1377">
            <v>-1.7064020727002523E-2</v>
          </cell>
          <cell r="S1377">
            <v>-1.8655213038604512E-2</v>
          </cell>
          <cell r="T1377">
            <v>-2.0231297020508021E-2</v>
          </cell>
          <cell r="U1377">
            <v>-2.1774219684909557E-2</v>
          </cell>
          <cell r="V1377">
            <v>-2.3278684972588257E-2</v>
          </cell>
          <cell r="W1377">
            <v>-2.4725988901434234E-2</v>
          </cell>
          <cell r="X1377">
            <v>-2.6103683700490699E-2</v>
          </cell>
          <cell r="Y1377">
            <v>-2.7404670367188206E-2</v>
          </cell>
          <cell r="Z1377">
            <v>-2.863220049600592E-2</v>
          </cell>
          <cell r="AA1377">
            <v>-2.9768022979409291E-2</v>
          </cell>
          <cell r="AB1377">
            <v>-3.0825393660549018E-2</v>
          </cell>
          <cell r="AC1377">
            <v>-3.1806340378476565E-2</v>
          </cell>
          <cell r="AD1377">
            <v>-3.2714318466033065E-2</v>
          </cell>
          <cell r="AE1377">
            <v>-3.357299473453533E-2</v>
          </cell>
          <cell r="AF1377">
            <v>-3.4342206996087775E-2</v>
          </cell>
          <cell r="AG1377">
            <v>-3.5051312528643935E-2</v>
          </cell>
          <cell r="AH1377">
            <v>-3.5707002622000668E-2</v>
          </cell>
          <cell r="AI1377">
            <v>-3.6315687284724091E-2</v>
          </cell>
          <cell r="AJ1377">
            <v>-3.6883181186331201E-2</v>
          </cell>
          <cell r="AK1377">
            <v>-3.7412908307186535E-2</v>
          </cell>
          <cell r="AL1377">
            <v>-3.7910760103664565E-2</v>
          </cell>
          <cell r="AM1377">
            <v>-3.8381661565103704E-2</v>
          </cell>
          <cell r="AN1377">
            <v>-3.8829753396926556E-2</v>
          </cell>
          <cell r="AO1377">
            <v>-3.9258666036853421E-2</v>
          </cell>
          <cell r="AP1377">
            <v>-3.9661173002724842E-2</v>
          </cell>
          <cell r="AQ1377">
            <v>-4.004191034412094E-2</v>
          </cell>
          <cell r="AR1377">
            <v>-4.040908240792708E-2</v>
          </cell>
          <cell r="AS1377">
            <v>-4.0766328611887573E-2</v>
          </cell>
          <cell r="AT1377">
            <v>-4.1115421930912499E-2</v>
          </cell>
          <cell r="AU1377">
            <v>-4.1455213538905307E-2</v>
          </cell>
          <cell r="AV1377">
            <v>-4.1787869417480077E-2</v>
          </cell>
          <cell r="AW1377">
            <v>-4.2114638037854889E-2</v>
          </cell>
          <cell r="AX1377">
            <v>-4.2436033037381922E-2</v>
          </cell>
          <cell r="AY1377">
            <v>-4.27522023969528E-2</v>
          </cell>
          <cell r="AZ1377">
            <v>-4.30557269139238E-2</v>
          </cell>
          <cell r="BA1377">
            <v>-4.3351732858729813E-2</v>
          </cell>
          <cell r="BB1377">
            <v>-4.3642259064176805E-2</v>
          </cell>
          <cell r="BC1377">
            <v>-4.3927229268676517E-2</v>
          </cell>
          <cell r="BD1377">
            <v>-4.4205876004787037E-2</v>
          </cell>
          <cell r="BE1377">
            <v>-8.8382385850016597E-4</v>
          </cell>
          <cell r="BF1377">
            <v>-7.614494769360836E-4</v>
          </cell>
          <cell r="BG1377">
            <v>-6.3055022354030314E-4</v>
          </cell>
          <cell r="BH1377">
            <v>-4.9275231527942524E-4</v>
          </cell>
          <cell r="BI1377">
            <v>-3.4939096970396073E-4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-0.56524008348214361</v>
          </cell>
          <cell r="G1378">
            <v>-1.2408259692577528</v>
          </cell>
          <cell r="H1378">
            <v>-1.8722529754462203</v>
          </cell>
          <cell r="I1378">
            <v>-2.4153295038130129</v>
          </cell>
          <cell r="J1378">
            <v>-2.8622114745801897</v>
          </cell>
          <cell r="K1378">
            <v>-3.218645740620274</v>
          </cell>
          <cell r="L1378">
            <v>-3.497064963987162</v>
          </cell>
          <cell r="M1378">
            <v>-3.7101732952950273</v>
          </cell>
          <cell r="N1378">
            <v>-3.8708104313977199</v>
          </cell>
          <cell r="O1378">
            <v>-3.990591826368417</v>
          </cell>
          <cell r="P1378">
            <v>-4.0782618351986377</v>
          </cell>
          <cell r="Q1378">
            <v>-4.1450672823750363</v>
          </cell>
          <cell r="R1378">
            <v>-4.1960255175886303</v>
          </cell>
          <cell r="S1378">
            <v>-4.2345528461933739</v>
          </cell>
          <cell r="T1378">
            <v>-4.2631244771442649</v>
          </cell>
          <cell r="U1378">
            <v>-4.2836588299326124</v>
          </cell>
          <cell r="V1378">
            <v>-4.2995530600616894</v>
          </cell>
          <cell r="W1378">
            <v>-4.3124843951439118</v>
          </cell>
          <cell r="X1378">
            <v>-4.3235455473406459</v>
          </cell>
          <cell r="Y1378">
            <v>-4.3336401869685908</v>
          </cell>
          <cell r="Z1378">
            <v>-4.3442190058666341</v>
          </cell>
          <cell r="AA1378">
            <v>-4.3547185734789773</v>
          </cell>
          <cell r="AB1378">
            <v>-4.3662104012915819</v>
          </cell>
          <cell r="AC1378">
            <v>-4.3794454826234785</v>
          </cell>
          <cell r="AD1378">
            <v>-4.3949276502975092</v>
          </cell>
          <cell r="AE1378">
            <v>-4.4145907573196137</v>
          </cell>
          <cell r="AF1378">
            <v>-4.4352111411503419</v>
          </cell>
          <cell r="AG1378">
            <v>-4.45704539694598</v>
          </cell>
          <cell r="AH1378">
            <v>-4.4804100234389743</v>
          </cell>
          <cell r="AI1378">
            <v>-4.5055018037701515</v>
          </cell>
          <cell r="AJ1378">
            <v>-4.5323869958617919</v>
          </cell>
          <cell r="AK1378">
            <v>-4.5607028210610139</v>
          </cell>
          <cell r="AL1378">
            <v>-4.5903093080292496</v>
          </cell>
          <cell r="AM1378">
            <v>-4.6211191814708013</v>
          </cell>
          <cell r="AN1378">
            <v>-4.6530474764896574</v>
          </cell>
          <cell r="AO1378">
            <v>-4.6860027825315065</v>
          </cell>
          <cell r="AP1378">
            <v>-4.7174619737213375</v>
          </cell>
          <cell r="AQ1378">
            <v>-4.7465659246813452</v>
          </cell>
          <cell r="AR1378">
            <v>-4.7735021035047449</v>
          </cell>
          <cell r="AS1378">
            <v>-4.7988091603177736</v>
          </cell>
          <cell r="AT1378">
            <v>-4.8231041531726522</v>
          </cell>
          <cell r="AU1378">
            <v>-4.8465612300035215</v>
          </cell>
          <cell r="AV1378">
            <v>-4.8696273975094906</v>
          </cell>
          <cell r="AW1378">
            <v>-4.8927669117331707</v>
          </cell>
          <cell r="AX1378">
            <v>-4.9163792328969276</v>
          </cell>
          <cell r="AY1378">
            <v>-4.9407849493656064</v>
          </cell>
          <cell r="AZ1378">
            <v>-4.9649127022272861</v>
          </cell>
          <cell r="BA1378">
            <v>-4.988813406417469</v>
          </cell>
          <cell r="BB1378">
            <v>-5.0128329014119561</v>
          </cell>
          <cell r="BC1378">
            <v>-5.0373444109569787</v>
          </cell>
          <cell r="BD1378">
            <v>-5.0626745218569695</v>
          </cell>
          <cell r="BE1378">
            <v>4.7232767887850358E-2</v>
          </cell>
          <cell r="BF1378">
            <v>5.1108035496394422E-2</v>
          </cell>
          <cell r="BG1378">
            <v>5.4834125176528303E-2</v>
          </cell>
          <cell r="BH1378">
            <v>5.8312033652341277E-2</v>
          </cell>
          <cell r="BI1378">
            <v>6.1481245551497921E-2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-9.6550275038409517E-3</v>
          </cell>
          <cell r="G1379">
            <v>-0.83804668369835689</v>
          </cell>
          <cell r="H1379">
            <v>-1.7719003400243349</v>
          </cell>
          <cell r="I1379">
            <v>-2.4891194214277546</v>
          </cell>
          <cell r="J1379">
            <v>-2.9487092829150963</v>
          </cell>
          <cell r="K1379">
            <v>-3.1943552976596901</v>
          </cell>
          <cell r="L1379">
            <v>-3.2901062062362763</v>
          </cell>
          <cell r="M1379">
            <v>-3.2895966468577953</v>
          </cell>
          <cell r="N1379">
            <v>-3.234563004759905</v>
          </cell>
          <cell r="O1379">
            <v>-3.1537386302692871</v>
          </cell>
          <cell r="P1379">
            <v>-3.0625897923865386</v>
          </cell>
          <cell r="Q1379">
            <v>-2.9783841866707239</v>
          </cell>
          <cell r="R1379">
            <v>-2.9025286457341148</v>
          </cell>
          <cell r="S1379">
            <v>-2.8343292426272204</v>
          </cell>
          <cell r="T1379">
            <v>-2.7726596473528264</v>
          </cell>
          <cell r="U1379">
            <v>-2.7166096170265219</v>
          </cell>
          <cell r="V1379">
            <v>-2.6692530921630264</v>
          </cell>
          <cell r="W1379">
            <v>-2.6300067246674552</v>
          </cell>
          <cell r="X1379">
            <v>-2.5980466431121951</v>
          </cell>
          <cell r="Y1379">
            <v>-2.572910901261749</v>
          </cell>
          <cell r="Z1379">
            <v>-2.5555742689860605</v>
          </cell>
          <cell r="AA1379">
            <v>-2.5432068249022888</v>
          </cell>
          <cell r="AB1379">
            <v>-2.5370131853943434</v>
          </cell>
          <cell r="AC1379">
            <v>-2.537242359844516</v>
          </cell>
          <cell r="AD1379">
            <v>-2.543683024351151</v>
          </cell>
          <cell r="AE1379">
            <v>-2.5589945173510653</v>
          </cell>
          <cell r="AF1379">
            <v>-2.5752914260579907</v>
          </cell>
          <cell r="AG1379">
            <v>-2.593911126319326</v>
          </cell>
          <cell r="AH1379">
            <v>-2.615594112815578</v>
          </cell>
          <cell r="AI1379">
            <v>-2.6404824860165488</v>
          </cell>
          <cell r="AJ1379">
            <v>-2.66837970557251</v>
          </cell>
          <cell r="AK1379">
            <v>-2.6982837160269391</v>
          </cell>
          <cell r="AL1379">
            <v>-2.7299638560638106</v>
          </cell>
          <cell r="AM1379">
            <v>-2.7633160328727202</v>
          </cell>
          <cell r="AN1379">
            <v>-2.7982383457517912</v>
          </cell>
          <cell r="AO1379">
            <v>-2.8346279728763912</v>
          </cell>
          <cell r="AP1379">
            <v>-2.8674469518042867</v>
          </cell>
          <cell r="AQ1379">
            <v>-2.8966626263319695</v>
          </cell>
          <cell r="AR1379">
            <v>-2.9239603860472307</v>
          </cell>
          <cell r="AS1379">
            <v>-2.9509751072452239</v>
          </cell>
          <cell r="AT1379">
            <v>-2.9789633515681646</v>
          </cell>
          <cell r="AU1379">
            <v>-3.0079713361501947</v>
          </cell>
          <cell r="AV1379">
            <v>-3.0387319354520437</v>
          </cell>
          <cell r="AW1379">
            <v>-3.0718758252894163</v>
          </cell>
          <cell r="AX1379">
            <v>-3.1078252157126562</v>
          </cell>
          <cell r="AY1379">
            <v>-3.1468507580158844</v>
          </cell>
          <cell r="AZ1379">
            <v>-3.1864265412741566</v>
          </cell>
          <cell r="BA1379">
            <v>-3.2272541915499331</v>
          </cell>
          <cell r="BB1379">
            <v>-3.2703457920436718</v>
          </cell>
          <cell r="BC1379">
            <v>-3.3164611517318976</v>
          </cell>
          <cell r="BD1379">
            <v>-3.3661292434968515</v>
          </cell>
          <cell r="BE1379">
            <v>0.26267238400008441</v>
          </cell>
          <cell r="BF1379">
            <v>0.27538704170322337</v>
          </cell>
          <cell r="BG1379">
            <v>0.28836276144614814</v>
          </cell>
          <cell r="BH1379">
            <v>0.30153980159357552</v>
          </cell>
          <cell r="BI1379">
            <v>0.31496987515489128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-1.189725934603969</v>
          </cell>
          <cell r="G1381">
            <v>-1.9504207180139121</v>
          </cell>
          <cell r="H1381">
            <v>-2.4812566165249295</v>
          </cell>
          <cell r="I1381">
            <v>-2.9037836013188989</v>
          </cell>
          <cell r="J1381">
            <v>-3.2726757248986882</v>
          </cell>
          <cell r="K1381">
            <v>-3.6113169664027778</v>
          </cell>
          <cell r="L1381">
            <v>-3.9309003433517065</v>
          </cell>
          <cell r="M1381">
            <v>-4.2353995694277895</v>
          </cell>
          <cell r="N1381">
            <v>-4.5269733125572476</v>
          </cell>
          <cell r="O1381">
            <v>-4.8073740246934786</v>
          </cell>
          <cell r="P1381">
            <v>-5.078037222765996</v>
          </cell>
          <cell r="Q1381">
            <v>-5.3446976549288872</v>
          </cell>
          <cell r="R1381">
            <v>-5.6063007178776436</v>
          </cell>
          <cell r="S1381">
            <v>-5.8621393246099274</v>
          </cell>
          <cell r="T1381">
            <v>-6.1116932487305657</v>
          </cell>
          <cell r="U1381">
            <v>-6.3544520676408816</v>
          </cell>
          <cell r="V1381">
            <v>-6.5937567954209904</v>
          </cell>
          <cell r="W1381">
            <v>-6.8272587516382766</v>
          </cell>
          <cell r="X1381">
            <v>-7.0535220621108952</v>
          </cell>
          <cell r="Y1381">
            <v>-7.271707869792488</v>
          </cell>
          <cell r="Z1381">
            <v>-7.481522456330314</v>
          </cell>
          <cell r="AA1381">
            <v>-7.6822121202319789</v>
          </cell>
          <cell r="AB1381">
            <v>-7.8736010346848184</v>
          </cell>
          <cell r="AC1381">
            <v>-8.055663087775212</v>
          </cell>
          <cell r="AD1381">
            <v>-8.2284095863831013</v>
          </cell>
          <cell r="AE1381">
            <v>-8.392485171611618</v>
          </cell>
          <cell r="AF1381">
            <v>-8.5458482164459397</v>
          </cell>
          <cell r="AG1381">
            <v>-8.6890867737160491</v>
          </cell>
          <cell r="AH1381">
            <v>-8.8226762884249688</v>
          </cell>
          <cell r="AI1381">
            <v>-8.9469614866165887</v>
          </cell>
          <cell r="AJ1381">
            <v>-9.0622125564811427</v>
          </cell>
          <cell r="AK1381">
            <v>-9.1679826309177805</v>
          </cell>
          <cell r="AL1381">
            <v>-9.2648035111947298</v>
          </cell>
          <cell r="AM1381">
            <v>-9.3530678181789071</v>
          </cell>
          <cell r="AN1381">
            <v>-9.4330946533930806</v>
          </cell>
          <cell r="AO1381">
            <v>-9.5051825137853374</v>
          </cell>
          <cell r="AP1381">
            <v>-9.5641587875725307</v>
          </cell>
          <cell r="AQ1381">
            <v>-9.6128099089514247</v>
          </cell>
          <cell r="AR1381">
            <v>-9.6527317780964133</v>
          </cell>
          <cell r="AS1381">
            <v>-9.6848633042800447</v>
          </cell>
          <cell r="AT1381">
            <v>-9.7098826503227986</v>
          </cell>
          <cell r="AU1381">
            <v>-9.7275342793035069</v>
          </cell>
          <cell r="AV1381">
            <v>-9.7387292524749096</v>
          </cell>
          <cell r="AW1381">
            <v>-9.7441889666916133</v>
          </cell>
          <cell r="AX1381">
            <v>-9.7445150217787209</v>
          </cell>
          <cell r="AY1381">
            <v>-9.740249153099068</v>
          </cell>
          <cell r="AZ1381">
            <v>-9.7292412395024837</v>
          </cell>
          <cell r="BA1381">
            <v>-9.7131489622362963</v>
          </cell>
          <cell r="BB1381">
            <v>-9.6930846668537569</v>
          </cell>
          <cell r="BC1381">
            <v>-9.6697844497905088</v>
          </cell>
          <cell r="BD1381">
            <v>-9.643813294074711</v>
          </cell>
          <cell r="BE1381">
            <v>-1.8968324761670097E-2</v>
          </cell>
          <cell r="BF1381">
            <v>3.056175197979627E-3</v>
          </cell>
          <cell r="BG1381">
            <v>2.6725331404020558E-2</v>
          </cell>
          <cell r="BH1381">
            <v>5.1902589871888338E-2</v>
          </cell>
          <cell r="BI1381">
            <v>7.8444032673608E-2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-1.2823718319589839</v>
          </cell>
          <cell r="G1382">
            <v>-2.1047802269264282</v>
          </cell>
          <cell r="H1382">
            <v>-2.6808895693088419</v>
          </cell>
          <cell r="I1382">
            <v>-3.1398304005055944</v>
          </cell>
          <cell r="J1382">
            <v>-3.5396153946291697</v>
          </cell>
          <cell r="K1382">
            <v>-3.9052768625487455</v>
          </cell>
          <cell r="L1382">
            <v>-4.2489414902455387</v>
          </cell>
          <cell r="M1382">
            <v>-4.5752318967025696</v>
          </cell>
          <cell r="N1382">
            <v>-4.886726070056735</v>
          </cell>
          <cell r="O1382">
            <v>-5.1854948515487997</v>
          </cell>
          <cell r="P1382">
            <v>-5.4734002688148315</v>
          </cell>
          <cell r="Q1382">
            <v>-5.756373433125872</v>
          </cell>
          <cell r="R1382">
            <v>-6.0335620387886646</v>
          </cell>
          <cell r="S1382">
            <v>-6.3043735119141413</v>
          </cell>
          <cell r="T1382">
            <v>-6.5683649986740811</v>
          </cell>
          <cell r="U1382">
            <v>-6.825079056631111</v>
          </cell>
          <cell r="V1382">
            <v>-7.0781924347367298</v>
          </cell>
          <cell r="W1382">
            <v>-7.3252377613076352</v>
          </cell>
          <cell r="X1382">
            <v>-7.5647113807690296</v>
          </cell>
          <cell r="Y1382">
            <v>-7.7957336059095939</v>
          </cell>
          <cell r="Z1382">
            <v>-8.0178522790256288</v>
          </cell>
          <cell r="AA1382">
            <v>-8.2305752160629737</v>
          </cell>
          <cell r="AB1382">
            <v>-8.4335701426960128</v>
          </cell>
          <cell r="AC1382">
            <v>-8.6267519988062809</v>
          </cell>
          <cell r="AD1382">
            <v>-8.8101044559341872</v>
          </cell>
          <cell r="AE1382">
            <v>-8.9838696267174445</v>
          </cell>
          <cell r="AF1382">
            <v>-9.1465724950206546</v>
          </cell>
          <cell r="AG1382">
            <v>-9.2986677980814729</v>
          </cell>
          <cell r="AH1382">
            <v>-9.4405770894842469</v>
          </cell>
          <cell r="AI1382">
            <v>-9.5726199907091196</v>
          </cell>
          <cell r="AJ1382">
            <v>-9.6950515996818591</v>
          </cell>
          <cell r="AK1382">
            <v>-9.8073636183557475</v>
          </cell>
          <cell r="AL1382">
            <v>-9.9101058624286971</v>
          </cell>
          <cell r="AM1382">
            <v>-10.003683792958352</v>
          </cell>
          <cell r="AN1382">
            <v>-10.088428444655229</v>
          </cell>
          <cell r="AO1382">
            <v>-10.164652103686944</v>
          </cell>
          <cell r="AP1382">
            <v>-10.226679858268739</v>
          </cell>
          <cell r="AQ1382">
            <v>-10.277617778011205</v>
          </cell>
          <cell r="AR1382">
            <v>-10.319204734472265</v>
          </cell>
          <cell r="AS1382">
            <v>-10.352451712555011</v>
          </cell>
          <cell r="AT1382">
            <v>-10.37808543347426</v>
          </cell>
          <cell r="AU1382">
            <v>-10.395827705167926</v>
          </cell>
          <cell r="AV1382">
            <v>-10.406654894834055</v>
          </cell>
          <cell r="AW1382">
            <v>-10.411341649769824</v>
          </cell>
          <cell r="AX1382">
            <v>-10.410536157623007</v>
          </cell>
          <cell r="AY1382">
            <v>-10.404823544390851</v>
          </cell>
          <cell r="AZ1382">
            <v>-10.391899620250268</v>
          </cell>
          <cell r="BA1382">
            <v>-10.373534266089003</v>
          </cell>
          <cell r="BB1382">
            <v>-10.350922300984699</v>
          </cell>
          <cell r="BC1382">
            <v>-10.324861559162601</v>
          </cell>
          <cell r="BD1382">
            <v>-10.29596737285422</v>
          </cell>
          <cell r="BE1382">
            <v>-1.6590830803153711E-2</v>
          </cell>
          <cell r="BF1382">
            <v>6.790661820388344E-3</v>
          </cell>
          <cell r="BG1382">
            <v>3.1922676942941486E-2</v>
          </cell>
          <cell r="BH1382">
            <v>5.8664753424508831E-2</v>
          </cell>
          <cell r="BI1382">
            <v>8.686713636258947E-2</v>
          </cell>
        </row>
        <row r="1383">
          <cell r="E1383" t="str">
            <v>100*(X_2/X_0-1)</v>
          </cell>
          <cell r="F1383">
            <v>-6.1195222917956427</v>
          </cell>
          <cell r="G1383">
            <v>-6.3680390851061031</v>
          </cell>
          <cell r="H1383">
            <v>-6.5610013385818959</v>
          </cell>
          <cell r="I1383">
            <v>-6.7208789922285632</v>
          </cell>
          <cell r="J1383">
            <v>-6.8633445603294652</v>
          </cell>
          <cell r="K1383">
            <v>-6.9982392747727884</v>
          </cell>
          <cell r="L1383">
            <v>-7.1376328158838209</v>
          </cell>
          <cell r="M1383">
            <v>-7.2789403852116408</v>
          </cell>
          <cell r="N1383">
            <v>-7.4249716331636462</v>
          </cell>
          <cell r="O1383">
            <v>-7.5779649391837118</v>
          </cell>
          <cell r="P1383">
            <v>-7.7397505417237671</v>
          </cell>
          <cell r="Q1383">
            <v>-7.9337722969738405</v>
          </cell>
          <cell r="R1383">
            <v>-8.1371406787384757</v>
          </cell>
          <cell r="S1383">
            <v>-8.3499903073787287</v>
          </cell>
          <cell r="T1383">
            <v>-8.5720766940414741</v>
          </cell>
          <cell r="U1383">
            <v>-8.8028214044573403</v>
          </cell>
          <cell r="V1383">
            <v>-9.06186830558282</v>
          </cell>
          <cell r="W1383">
            <v>-9.3263552547763755</v>
          </cell>
          <cell r="X1383">
            <v>-9.5950588177876277</v>
          </cell>
          <cell r="Y1383">
            <v>-9.8667748363825645</v>
          </cell>
          <cell r="Z1383">
            <v>-10.140297778756457</v>
          </cell>
          <cell r="AA1383">
            <v>-10.413660885183463</v>
          </cell>
          <cell r="AB1383">
            <v>-10.686773340930756</v>
          </cell>
          <cell r="AC1383">
            <v>-10.958718093334497</v>
          </cell>
          <cell r="AD1383">
            <v>-11.228666252118824</v>
          </cell>
          <cell r="AE1383">
            <v>-11.495778022244874</v>
          </cell>
          <cell r="AF1383">
            <v>-11.750498475750359</v>
          </cell>
          <cell r="AG1383">
            <v>-12.001742598451715</v>
          </cell>
          <cell r="AH1383">
            <v>-12.24918980870603</v>
          </cell>
          <cell r="AI1383">
            <v>-12.49259658746773</v>
          </cell>
          <cell r="AJ1383">
            <v>-12.731785506487137</v>
          </cell>
          <cell r="AK1383">
            <v>-12.962938513425225</v>
          </cell>
          <cell r="AL1383">
            <v>-13.189894684135094</v>
          </cell>
          <cell r="AM1383">
            <v>-13.412653751434133</v>
          </cell>
          <cell r="AN1383">
            <v>-13.631245618364252</v>
          </cell>
          <cell r="AO1383">
            <v>-13.845730079557638</v>
          </cell>
          <cell r="AP1383">
            <v>-14.025950012455969</v>
          </cell>
          <cell r="AQ1383">
            <v>-14.203719785361301</v>
          </cell>
          <cell r="AR1383">
            <v>-14.379275307484086</v>
          </cell>
          <cell r="AS1383">
            <v>-14.552765029797122</v>
          </cell>
          <cell r="AT1383">
            <v>-14.724284733847204</v>
          </cell>
          <cell r="AU1383">
            <v>-14.889368983377494</v>
          </cell>
          <cell r="AV1383">
            <v>-15.05280068561129</v>
          </cell>
          <cell r="AW1383">
            <v>-15.21462572671739</v>
          </cell>
          <cell r="AX1383">
            <v>-15.374855890343387</v>
          </cell>
          <cell r="AY1383">
            <v>-15.533476629557208</v>
          </cell>
          <cell r="AZ1383">
            <v>-15.676121344219984</v>
          </cell>
          <cell r="BA1383">
            <v>-15.817699903769578</v>
          </cell>
          <cell r="BB1383">
            <v>-15.958215067934756</v>
          </cell>
          <cell r="BC1383">
            <v>-16.097609343020491</v>
          </cell>
          <cell r="BD1383">
            <v>-16.235791393622712</v>
          </cell>
          <cell r="BE1383">
            <v>-0.54398262451842427</v>
          </cell>
          <cell r="BF1383">
            <v>-0.56541867023395254</v>
          </cell>
          <cell r="BG1383">
            <v>-0.5866946144340468</v>
          </cell>
          <cell r="BH1383">
            <v>-0.60781986002279575</v>
          </cell>
          <cell r="BI1383">
            <v>-0.62881021150971161</v>
          </cell>
        </row>
        <row r="1384">
          <cell r="E1384" t="str">
            <v>100*(M_2/M_0-1)</v>
          </cell>
          <cell r="F1384">
            <v>-2.0641381186982444</v>
          </cell>
          <cell r="G1384">
            <v>-2.8154054665453065</v>
          </cell>
          <cell r="H1384">
            <v>-3.374664098804514</v>
          </cell>
          <cell r="I1384">
            <v>-3.8492242418397771</v>
          </cell>
          <cell r="J1384">
            <v>-4.2615073293707724</v>
          </cell>
          <cell r="K1384">
            <v>-4.6216363737105803</v>
          </cell>
          <cell r="L1384">
            <v>-4.9400742551085735</v>
          </cell>
          <cell r="M1384">
            <v>-5.2228186817852018</v>
          </cell>
          <cell r="N1384">
            <v>-5.4762717954750855</v>
          </cell>
          <cell r="O1384">
            <v>-5.7059835356736972</v>
          </cell>
          <cell r="P1384">
            <v>-5.9161478801660339</v>
          </cell>
          <cell r="Q1384">
            <v>-6.1180170108270708</v>
          </cell>
          <cell r="R1384">
            <v>-6.3084403333065424</v>
          </cell>
          <cell r="S1384">
            <v>-6.4881239258056</v>
          </cell>
          <cell r="T1384">
            <v>-6.6579869596444681</v>
          </cell>
          <cell r="U1384">
            <v>-6.8188990435280594</v>
          </cell>
          <cell r="V1384">
            <v>-6.9787093124981547</v>
          </cell>
          <cell r="W1384">
            <v>-7.1329538350269006</v>
          </cell>
          <cell r="X1384">
            <v>-7.2815795067887041</v>
          </cell>
          <cell r="Y1384">
            <v>-7.4250516871931627</v>
          </cell>
          <cell r="Z1384">
            <v>-7.5640865352593734</v>
          </cell>
          <cell r="AA1384">
            <v>-7.6989649508633189</v>
          </cell>
          <cell r="AB1384">
            <v>-7.8302187128631573</v>
          </cell>
          <cell r="AC1384">
            <v>-7.9584458839758838</v>
          </cell>
          <cell r="AD1384">
            <v>-8.0841262424869438</v>
          </cell>
          <cell r="AE1384">
            <v>-8.2078200535321102</v>
          </cell>
          <cell r="AF1384">
            <v>-8.3272443365194011</v>
          </cell>
          <cell r="AG1384">
            <v>-8.4441710862892769</v>
          </cell>
          <cell r="AH1384">
            <v>-8.5590924164636206</v>
          </cell>
          <cell r="AI1384">
            <v>-8.6722517386988223</v>
          </cell>
          <cell r="AJ1384">
            <v>-8.7837793168993645</v>
          </cell>
          <cell r="AK1384">
            <v>-8.8924744126073421</v>
          </cell>
          <cell r="AL1384">
            <v>-8.9993025863057916</v>
          </cell>
          <cell r="AM1384">
            <v>-9.1044260484348989</v>
          </cell>
          <cell r="AN1384">
            <v>-9.2079026685742189</v>
          </cell>
          <cell r="AO1384">
            <v>-9.3097601090039959</v>
          </cell>
          <cell r="AP1384">
            <v>-9.3995479834538376</v>
          </cell>
          <cell r="AQ1384">
            <v>-9.4851310168965863</v>
          </cell>
          <cell r="AR1384">
            <v>-9.5677142930291392</v>
          </cell>
          <cell r="AS1384">
            <v>-9.6478043015871826</v>
          </cell>
          <cell r="AT1384">
            <v>-9.7257638345964121</v>
          </cell>
          <cell r="AU1384">
            <v>-9.8003362900203399</v>
          </cell>
          <cell r="AV1384">
            <v>-9.8729415237802662</v>
          </cell>
          <cell r="AW1384">
            <v>-9.9440109641303778</v>
          </cell>
          <cell r="AX1384">
            <v>-10.013833769584245</v>
          </cell>
          <cell r="AY1384">
            <v>-10.082644104940542</v>
          </cell>
          <cell r="AZ1384">
            <v>-10.145662159755064</v>
          </cell>
          <cell r="BA1384">
            <v>-10.20668851511396</v>
          </cell>
          <cell r="BB1384">
            <v>-10.266477486470748</v>
          </cell>
          <cell r="BC1384">
            <v>-10.325457467520426</v>
          </cell>
          <cell r="BD1384">
            <v>-10.383934470267796</v>
          </cell>
          <cell r="BE1384">
            <v>0.12102451906113032</v>
          </cell>
          <cell r="BF1384">
            <v>0.1305828611516846</v>
          </cell>
          <cell r="BG1384">
            <v>0.14036785952271646</v>
          </cell>
          <cell r="BH1384">
            <v>0.15031976500954336</v>
          </cell>
          <cell r="BI1384">
            <v>0.1603921557421506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-0.56499816433077665</v>
          </cell>
          <cell r="G1385">
            <v>-1.2422591375281566</v>
          </cell>
          <cell r="H1385">
            <v>-1.8762038310166984</v>
          </cell>
          <cell r="I1385">
            <v>-2.4215885633921075</v>
          </cell>
          <cell r="J1385">
            <v>-2.8700444668762426</v>
          </cell>
          <cell r="K1385">
            <v>-3.2272719830156893</v>
          </cell>
          <cell r="L1385">
            <v>-3.5058304547452512</v>
          </cell>
          <cell r="M1385">
            <v>-3.7186437736424049</v>
          </cell>
          <cell r="N1385">
            <v>-3.8787441640670162</v>
          </cell>
          <cell r="O1385">
            <v>-3.9978837860333738</v>
          </cell>
          <cell r="P1385">
            <v>-4.0848900397178589</v>
          </cell>
          <cell r="Q1385">
            <v>-4.1510610672561343</v>
          </cell>
          <cell r="R1385">
            <v>-4.2014396507744305</v>
          </cell>
          <cell r="S1385">
            <v>-4.2394519487068738</v>
          </cell>
          <cell r="T1385">
            <v>-4.2675733463915737</v>
          </cell>
          <cell r="U1385">
            <v>-4.2877173588616309</v>
          </cell>
          <cell r="V1385">
            <v>-4.3032774724198974</v>
          </cell>
          <cell r="W1385">
            <v>-4.3159255772931786</v>
          </cell>
          <cell r="X1385">
            <v>-4.3267465944037635</v>
          </cell>
          <cell r="Y1385">
            <v>-4.3366343576422439</v>
          </cell>
          <cell r="Z1385">
            <v>-4.3470301416395856</v>
          </cell>
          <cell r="AA1385">
            <v>-4.3573588100385807</v>
          </cell>
          <cell r="AB1385">
            <v>-4.3686833897409461</v>
          </cell>
          <cell r="AC1385">
            <v>-4.381747965318894</v>
          </cell>
          <cell r="AD1385">
            <v>-4.3970514298114267</v>
          </cell>
          <cell r="AE1385">
            <v>-4.4165272733043608</v>
          </cell>
          <cell r="AF1385">
            <v>-4.4369442363475624</v>
          </cell>
          <cell r="AG1385">
            <v>-4.4585552181936166</v>
          </cell>
          <cell r="AH1385">
            <v>-4.4816742051127623</v>
          </cell>
          <cell r="AI1385">
            <v>-4.506497556420463</v>
          </cell>
          <cell r="AJ1385">
            <v>-4.5330929848190209</v>
          </cell>
          <cell r="AK1385">
            <v>-4.5610995414008588</v>
          </cell>
          <cell r="AL1385">
            <v>-4.5903797003524982</v>
          </cell>
          <cell r="AM1385">
            <v>-4.6208490802043256</v>
          </cell>
          <cell r="AN1385">
            <v>-4.6524258460556522</v>
          </cell>
          <cell r="AO1385">
            <v>-4.6850217143101673</v>
          </cell>
          <cell r="AP1385">
            <v>-4.7161109206186431</v>
          </cell>
          <cell r="AQ1385">
            <v>-4.7448319531684273</v>
          </cell>
          <cell r="AR1385">
            <v>-4.771373370945331</v>
          </cell>
          <cell r="AS1385">
            <v>-4.7962781752633905</v>
          </cell>
          <cell r="AT1385">
            <v>-4.8201694653662308</v>
          </cell>
          <cell r="AU1385">
            <v>-4.8432266615697444</v>
          </cell>
          <cell r="AV1385">
            <v>-4.8659015921282744</v>
          </cell>
          <cell r="AW1385">
            <v>-4.8886629060563962</v>
          </cell>
          <cell r="AX1385">
            <v>-4.91191405068313</v>
          </cell>
          <cell r="AY1385">
            <v>-4.9359787894237561</v>
          </cell>
          <cell r="AZ1385">
            <v>-4.9597839330120959</v>
          </cell>
          <cell r="BA1385">
            <v>-4.9833773859336628</v>
          </cell>
          <cell r="BB1385">
            <v>-5.0071045665664453</v>
          </cell>
          <cell r="BC1385">
            <v>-5.0313450794889025</v>
          </cell>
          <cell r="BD1385">
            <v>-5.0564316873762287</v>
          </cell>
          <cell r="BE1385">
            <v>5.0694879674284543E-2</v>
          </cell>
          <cell r="BF1385">
            <v>5.4749036903967152E-2</v>
          </cell>
          <cell r="BG1385">
            <v>5.8653461274560392E-2</v>
          </cell>
          <cell r="BH1385">
            <v>6.230993204430213E-2</v>
          </cell>
          <cell r="BI1385">
            <v>6.5658514727173767E-2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-1.1675202059834189</v>
          </cell>
          <cell r="G1386">
            <v>-1.9211268991937036</v>
          </cell>
          <cell r="H1386">
            <v>-2.4496114332779206</v>
          </cell>
          <cell r="I1386">
            <v>-2.8710026728334115</v>
          </cell>
          <cell r="J1386">
            <v>-3.2389759105276195</v>
          </cell>
          <cell r="K1386">
            <v>-3.5763954805926201</v>
          </cell>
          <cell r="L1386">
            <v>-3.8942006673045149</v>
          </cell>
          <cell r="M1386">
            <v>-4.1961547018446783</v>
          </cell>
          <cell r="N1386">
            <v>-4.4843421230579388</v>
          </cell>
          <cell r="O1386">
            <v>-4.7605454440765582</v>
          </cell>
          <cell r="P1386">
            <v>-5.0262615278514495</v>
          </cell>
          <cell r="Q1386">
            <v>-5.2873087059869377</v>
          </cell>
          <cell r="R1386">
            <v>-5.5427928305257996</v>
          </cell>
          <cell r="S1386">
            <v>-5.7921358408881796</v>
          </cell>
          <cell r="T1386">
            <v>-6.0349283197157932</v>
          </cell>
          <cell r="U1386">
            <v>-6.2707616746341959</v>
          </cell>
          <cell r="V1386">
            <v>-6.5029904355583534</v>
          </cell>
          <cell r="W1386">
            <v>-6.7294248669350187</v>
          </cell>
          <cell r="X1386">
            <v>-6.9487395372642924</v>
          </cell>
          <cell r="Y1386">
            <v>-7.1601820456928422</v>
          </cell>
          <cell r="Z1386">
            <v>-7.3635500359155444</v>
          </cell>
          <cell r="AA1386">
            <v>-7.5581157202690319</v>
          </cell>
          <cell r="AB1386">
            <v>-7.7437652818745928</v>
          </cell>
          <cell r="AC1386">
            <v>-7.9205125961688383</v>
          </cell>
          <cell r="AD1386">
            <v>-8.0883950557010138</v>
          </cell>
          <cell r="AE1386">
            <v>-8.2481232154235649</v>
          </cell>
          <cell r="AF1386">
            <v>-8.3976111230778976</v>
          </cell>
          <cell r="AG1386">
            <v>-8.5374347522983669</v>
          </cell>
          <cell r="AH1386">
            <v>-8.6680570452397738</v>
          </cell>
          <cell r="AI1386">
            <v>-8.7898083931039377</v>
          </cell>
          <cell r="AJ1386">
            <v>-8.9029409888808146</v>
          </cell>
          <cell r="AK1386">
            <v>-9.007001133814807</v>
          </cell>
          <cell r="AL1386">
            <v>-9.1024875549448936</v>
          </cell>
          <cell r="AM1386">
            <v>-9.1897665323516726</v>
          </cell>
          <cell r="AN1386">
            <v>-9.2691336461115164</v>
          </cell>
          <cell r="AO1386">
            <v>-9.34086487702357</v>
          </cell>
          <cell r="AP1386">
            <v>-9.3998887677552041</v>
          </cell>
          <cell r="AQ1386">
            <v>-9.4488678405033824</v>
          </cell>
          <cell r="AR1386">
            <v>-9.4893437253819162</v>
          </cell>
          <cell r="AS1386">
            <v>-9.5222282899473214</v>
          </cell>
          <cell r="AT1386">
            <v>-9.5481814973198187</v>
          </cell>
          <cell r="AU1386">
            <v>-9.5669495952334422</v>
          </cell>
          <cell r="AV1386">
            <v>-9.5794170484411527</v>
          </cell>
          <cell r="AW1386">
            <v>-9.5862878899151571</v>
          </cell>
          <cell r="AX1386">
            <v>-9.5881499999941884</v>
          </cell>
          <cell r="AY1386">
            <v>-9.5855330850645686</v>
          </cell>
          <cell r="AZ1386">
            <v>-9.5763306351260962</v>
          </cell>
          <cell r="BA1386">
            <v>-9.5621546120083103</v>
          </cell>
          <cell r="BB1386">
            <v>-9.5440950351227904</v>
          </cell>
          <cell r="BC1386">
            <v>-9.5228651916096965</v>
          </cell>
          <cell r="BD1386">
            <v>-9.499011816290249</v>
          </cell>
          <cell r="BE1386">
            <v>-2.4029598338692892E-2</v>
          </cell>
          <cell r="BF1386">
            <v>-2.9464789680022641E-3</v>
          </cell>
          <cell r="BG1386">
            <v>1.9727906363664616E-2</v>
          </cell>
          <cell r="BH1386">
            <v>4.3856441714518191E-2</v>
          </cell>
          <cell r="BI1386">
            <v>6.9296504480398369E-2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-0.58123528497633359</v>
          </cell>
          <cell r="G1387">
            <v>-1.1458907684340547</v>
          </cell>
          <cell r="H1387">
            <v>-1.6100746181347936</v>
          </cell>
          <cell r="I1387">
            <v>-1.9994969829814857</v>
          </cell>
          <cell r="J1387">
            <v>-2.3415062301918033</v>
          </cell>
          <cell r="K1387">
            <v>-2.645066958468878</v>
          </cell>
          <cell r="L1387">
            <v>-2.9141866957176243</v>
          </cell>
          <cell r="M1387">
            <v>-3.1469187182182945</v>
          </cell>
          <cell r="N1387">
            <v>-3.3432845318240423</v>
          </cell>
          <cell r="O1387">
            <v>-3.5058055773249053</v>
          </cell>
          <cell r="P1387">
            <v>-3.6376834051185858</v>
          </cell>
          <cell r="Q1387">
            <v>-3.7467696132155837</v>
          </cell>
          <cell r="R1387">
            <v>-3.8363769007002446</v>
          </cell>
          <cell r="S1387">
            <v>-3.9092620495665531</v>
          </cell>
          <cell r="T1387">
            <v>-3.9678860059431331</v>
          </cell>
          <cell r="U1387">
            <v>-4.0144909594963529</v>
          </cell>
          <cell r="V1387">
            <v>-4.0527167054659197</v>
          </cell>
          <cell r="W1387">
            <v>-4.0845948361925561</v>
          </cell>
          <cell r="X1387">
            <v>-4.1117356590230187</v>
          </cell>
          <cell r="Y1387">
            <v>-4.1356956278352346</v>
          </cell>
          <cell r="Z1387">
            <v>-4.1585546229709003</v>
          </cell>
          <cell r="AA1387">
            <v>-4.1805165267150173</v>
          </cell>
          <cell r="AB1387">
            <v>-4.203213766470193</v>
          </cell>
          <cell r="AC1387">
            <v>-4.2278503140688928</v>
          </cell>
          <cell r="AD1387">
            <v>-4.2552517594702248</v>
          </cell>
          <cell r="AE1387">
            <v>-4.2873818895231235</v>
          </cell>
          <cell r="AF1387">
            <v>-4.321503789530567</v>
          </cell>
          <cell r="AG1387">
            <v>-4.3581128175724686</v>
          </cell>
          <cell r="AH1387">
            <v>-4.3976824985456853</v>
          </cell>
          <cell r="AI1387">
            <v>-4.4404285273391348</v>
          </cell>
          <cell r="AJ1387">
            <v>-4.4863137074777288</v>
          </cell>
          <cell r="AK1387">
            <v>-4.5348486727914477</v>
          </cell>
          <cell r="AL1387">
            <v>-4.5857282704575901</v>
          </cell>
          <cell r="AM1387">
            <v>-4.638672499530605</v>
          </cell>
          <cell r="AN1387">
            <v>-4.693389918030344</v>
          </cell>
          <cell r="AO1387">
            <v>-4.7495842985144758</v>
          </cell>
          <cell r="AP1387">
            <v>-4.8049007043733933</v>
          </cell>
          <cell r="AQ1387">
            <v>-4.8586314532120145</v>
          </cell>
          <cell r="AR1387">
            <v>-4.9108896162894595</v>
          </cell>
          <cell r="AS1387">
            <v>-4.9619296307572336</v>
          </cell>
          <cell r="AT1387">
            <v>-5.011977508816412</v>
          </cell>
          <cell r="AU1387">
            <v>-5.0608685297999889</v>
          </cell>
          <cell r="AV1387">
            <v>-5.1087422769908075</v>
          </cell>
          <cell r="AW1387">
            <v>-5.1557853033213474</v>
          </cell>
          <cell r="AX1387">
            <v>-5.2021472752799225</v>
          </cell>
          <cell r="AY1387">
            <v>-5.2479524573959218</v>
          </cell>
          <cell r="AZ1387">
            <v>-5.2922539438326037</v>
          </cell>
          <cell r="BA1387">
            <v>-5.3353008404160125</v>
          </cell>
          <cell r="BB1387">
            <v>-5.3774715211916124</v>
          </cell>
          <cell r="BC1387">
            <v>-5.4187403788387156</v>
          </cell>
          <cell r="BD1387">
            <v>-5.4590500046829638</v>
          </cell>
          <cell r="BE1387">
            <v>-0.17458533209651073</v>
          </cell>
          <cell r="BF1387">
            <v>-0.18184727266860046</v>
          </cell>
          <cell r="BG1387">
            <v>-0.18919186420462974</v>
          </cell>
          <cell r="BH1387">
            <v>-0.19676894095761455</v>
          </cell>
          <cell r="BI1387">
            <v>-0.20467680295104262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-0.17454162572327903</v>
          </cell>
          <cell r="G1388">
            <v>-0.26137365163757531</v>
          </cell>
          <cell r="H1388">
            <v>-0.30028422839574187</v>
          </cell>
          <cell r="I1388">
            <v>-0.32839903545627269</v>
          </cell>
          <cell r="J1388">
            <v>-0.36302429685183268</v>
          </cell>
          <cell r="K1388">
            <v>-0.40906101979696352</v>
          </cell>
          <cell r="L1388">
            <v>-0.46646513705251857</v>
          </cell>
          <cell r="M1388">
            <v>-0.53277650208057858</v>
          </cell>
          <cell r="N1388">
            <v>-0.60575953106598579</v>
          </cell>
          <cell r="O1388">
            <v>-0.68372383143872062</v>
          </cell>
          <cell r="P1388">
            <v>-0.76502239741027545</v>
          </cell>
          <cell r="Q1388">
            <v>-0.84990005255444201</v>
          </cell>
          <cell r="R1388">
            <v>-0.93644680177543682</v>
          </cell>
          <cell r="S1388">
            <v>-1.0231823897107417</v>
          </cell>
          <cell r="T1388">
            <v>-1.1089046049744478</v>
          </cell>
          <cell r="U1388">
            <v>-1.1925939961700882</v>
          </cell>
          <cell r="V1388">
            <v>-1.2739458684643656</v>
          </cell>
          <cell r="W1388">
            <v>-1.3519323306469988</v>
          </cell>
          <cell r="X1388">
            <v>-1.425877940289666</v>
          </cell>
          <cell r="Y1388">
            <v>-1.495407734936649</v>
          </cell>
          <cell r="Z1388">
            <v>-1.5606008925287296</v>
          </cell>
          <cell r="AA1388">
            <v>-1.6208406476439285</v>
          </cell>
          <cell r="AB1388">
            <v>-1.6764912925222197</v>
          </cell>
          <cell r="AC1388">
            <v>-1.7278211608777183</v>
          </cell>
          <cell r="AD1388">
            <v>-1.7750841103236326</v>
          </cell>
          <cell r="AE1388">
            <v>-1.8192360207376912</v>
          </cell>
          <cell r="AF1388">
            <v>-1.859052556059082</v>
          </cell>
          <cell r="AG1388">
            <v>-1.8952984438616371</v>
          </cell>
          <cell r="AH1388">
            <v>-1.9285466133999951</v>
          </cell>
          <cell r="AI1388">
            <v>-1.9592466313731127</v>
          </cell>
          <cell r="AJ1388">
            <v>-1.987771240849534</v>
          </cell>
          <cell r="AK1388">
            <v>-2.0143412031579877</v>
          </cell>
          <cell r="AL1388">
            <v>-2.0392957184722893</v>
          </cell>
          <cell r="AM1388">
            <v>-2.0629115691740529</v>
          </cell>
          <cell r="AN1388">
            <v>-2.0854159121295068</v>
          </cell>
          <cell r="AO1388">
            <v>-2.1070031559734081</v>
          </cell>
          <cell r="AP1388">
            <v>-2.1271924636445783</v>
          </cell>
          <cell r="AQ1388">
            <v>-2.1464071145531283</v>
          </cell>
          <cell r="AR1388">
            <v>-2.1649683320643764</v>
          </cell>
          <cell r="AS1388">
            <v>-2.1830505662828625</v>
          </cell>
          <cell r="AT1388">
            <v>-2.2007540338134235</v>
          </cell>
          <cell r="AU1388">
            <v>-2.2180259835298699</v>
          </cell>
          <cell r="AV1388">
            <v>-2.2349880679815914</v>
          </cell>
          <cell r="AW1388">
            <v>-2.2517084957880185</v>
          </cell>
          <cell r="AX1388">
            <v>-2.2682123713037572</v>
          </cell>
          <cell r="AY1388">
            <v>-2.284502433239477</v>
          </cell>
          <cell r="AZ1388">
            <v>-2.3001831485423674</v>
          </cell>
          <cell r="BA1388">
            <v>-2.3155045643445282</v>
          </cell>
          <cell r="BB1388">
            <v>-2.3305768845522823</v>
          </cell>
          <cell r="BC1388">
            <v>-2.3453887799908202</v>
          </cell>
          <cell r="BD1388">
            <v>-2.3598902591173032</v>
          </cell>
          <cell r="BE1388">
            <v>-4.6237572208673861E-2</v>
          </cell>
          <cell r="BF1388">
            <v>-3.9788414709518438E-2</v>
          </cell>
          <cell r="BG1388">
            <v>-3.2910111721817792E-2</v>
          </cell>
          <cell r="BH1388">
            <v>-2.5688620004793439E-2</v>
          </cell>
          <cell r="BI1388">
            <v>-1.8194280593819556E-2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-1.0804736895875466</v>
          </cell>
          <cell r="G1389">
            <v>-2.0863320257419993</v>
          </cell>
          <cell r="H1389">
            <v>-3.0017792569264068</v>
          </cell>
          <cell r="I1389">
            <v>-3.8194401740620831</v>
          </cell>
          <cell r="J1389">
            <v>-4.5381692771139122</v>
          </cell>
          <cell r="K1389">
            <v>-5.1626287354164297</v>
          </cell>
          <cell r="L1389">
            <v>-5.7029937416142591</v>
          </cell>
          <cell r="M1389">
            <v>-6.1670204638728077</v>
          </cell>
          <cell r="N1389">
            <v>-6.5634095181692391</v>
          </cell>
          <cell r="O1389">
            <v>-6.8998911949424535</v>
          </cell>
          <cell r="P1389">
            <v>-7.181525484058648</v>
          </cell>
          <cell r="Q1389">
            <v>-7.4211998486913844</v>
          </cell>
          <cell r="R1389">
            <v>-7.621260647635431</v>
          </cell>
          <cell r="S1389">
            <v>-7.7859083283764345</v>
          </cell>
          <cell r="T1389">
            <v>-7.9191500977710323</v>
          </cell>
          <cell r="U1389">
            <v>-8.0248913894148561</v>
          </cell>
          <cell r="V1389">
            <v>-8.1103005836550945</v>
          </cell>
          <cell r="W1389">
            <v>-8.1786612535986407</v>
          </cell>
          <cell r="X1389">
            <v>-8.2331281060451396</v>
          </cell>
          <cell r="Y1389">
            <v>-8.2766890733162573</v>
          </cell>
          <cell r="Z1389">
            <v>-8.3132437058031083</v>
          </cell>
          <cell r="AA1389">
            <v>-8.3427372391125747</v>
          </cell>
          <cell r="AB1389">
            <v>-8.368766329987432</v>
          </cell>
          <cell r="AC1389">
            <v>-8.3932509183975093</v>
          </cell>
          <cell r="AD1389">
            <v>-8.4177975225313126</v>
          </cell>
          <cell r="AE1389">
            <v>-8.4466377102306094</v>
          </cell>
          <cell r="AF1389">
            <v>-8.4741356346932584</v>
          </cell>
          <cell r="AG1389">
            <v>-8.5031331920103028</v>
          </cell>
          <cell r="AH1389">
            <v>-8.5342773213055061</v>
          </cell>
          <cell r="AI1389">
            <v>-8.5679841516399069</v>
          </cell>
          <cell r="AJ1389">
            <v>-8.6044987915193776</v>
          </cell>
          <cell r="AK1389">
            <v>-8.6433195881705842</v>
          </cell>
          <cell r="AL1389">
            <v>-8.6845300431162009</v>
          </cell>
          <cell r="AM1389">
            <v>-8.7281244622478216</v>
          </cell>
          <cell r="AN1389">
            <v>-8.7740265424224635</v>
          </cell>
          <cell r="AO1389">
            <v>-8.8221065786031723</v>
          </cell>
          <cell r="AP1389">
            <v>-8.8677231873347075</v>
          </cell>
          <cell r="AQ1389">
            <v>-8.9105839730215131</v>
          </cell>
          <cell r="AR1389">
            <v>-8.9512158077959754</v>
          </cell>
          <cell r="AS1389">
            <v>-8.990157755705475</v>
          </cell>
          <cell r="AT1389">
            <v>-9.0279333377458411</v>
          </cell>
          <cell r="AU1389">
            <v>-9.064273729187688</v>
          </cell>
          <cell r="AV1389">
            <v>-9.0997197360579314</v>
          </cell>
          <cell r="AW1389">
            <v>-9.1347656624822129</v>
          </cell>
          <cell r="AX1389">
            <v>-9.1698605188231248</v>
          </cell>
          <cell r="AY1389">
            <v>-9.2054118426627802</v>
          </cell>
          <cell r="AZ1389">
            <v>-9.2393479945134693</v>
          </cell>
          <cell r="BA1389">
            <v>-9.2723883699567189</v>
          </cell>
          <cell r="BB1389">
            <v>-9.3051693359485039</v>
          </cell>
          <cell r="BC1389">
            <v>-9.3382609901473401</v>
          </cell>
          <cell r="BD1389">
            <v>-9.3721660138058045</v>
          </cell>
          <cell r="BE1389">
            <v>0.8125431429759411</v>
          </cell>
          <cell r="BF1389">
            <v>0.84413600174433334</v>
          </cell>
          <cell r="BG1389">
            <v>0.87530829797670684</v>
          </cell>
          <cell r="BH1389">
            <v>0.90604525289521565</v>
          </cell>
          <cell r="BI1389">
            <v>0.93634214291802298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-0.82789282708083389</v>
          </cell>
          <cell r="G1390">
            <v>-1.4792410812695778</v>
          </cell>
          <cell r="H1390">
            <v>-2.0145593616308077</v>
          </cell>
          <cell r="I1390">
            <v>-2.4599101941492951</v>
          </cell>
          <cell r="J1390">
            <v>-2.8262366934506562</v>
          </cell>
          <cell r="K1390">
            <v>-3.1216703975272093</v>
          </cell>
          <cell r="L1390">
            <v>-3.3570321807880328</v>
          </cell>
          <cell r="M1390">
            <v>-3.540860148273639</v>
          </cell>
          <cell r="N1390">
            <v>-3.6829695246498488</v>
          </cell>
          <cell r="O1390">
            <v>-3.7921199774584302</v>
          </cell>
          <cell r="P1390">
            <v>-3.8741714683395485</v>
          </cell>
          <cell r="Q1390">
            <v>-3.9405442547656433</v>
          </cell>
          <cell r="R1390">
            <v>-3.9923026256978082</v>
          </cell>
          <cell r="S1390">
            <v>-4.0321233880166627</v>
          </cell>
          <cell r="T1390">
            <v>-4.0621899176513256</v>
          </cell>
          <cell r="U1390">
            <v>-4.084332214521524</v>
          </cell>
          <cell r="V1390">
            <v>-4.1026489604592769</v>
          </cell>
          <cell r="W1390">
            <v>-4.11789436164175</v>
          </cell>
          <cell r="X1390">
            <v>-4.1309815842674009</v>
          </cell>
          <cell r="Y1390">
            <v>-4.1428371619785525</v>
          </cell>
          <cell r="Z1390">
            <v>-4.1552195356327921</v>
          </cell>
          <cell r="AA1390">
            <v>-4.1666195235622325</v>
          </cell>
          <cell r="AB1390">
            <v>-4.1791060423407078</v>
          </cell>
          <cell r="AC1390">
            <v>-4.1931993438730766</v>
          </cell>
          <cell r="AD1390">
            <v>-4.209264721553275</v>
          </cell>
          <cell r="AE1390">
            <v>-4.2298516395354984</v>
          </cell>
          <cell r="AF1390">
            <v>-4.2492513833953911</v>
          </cell>
          <cell r="AG1390">
            <v>-4.2699258800114928</v>
          </cell>
          <cell r="AH1390">
            <v>-4.2921500008219153</v>
          </cell>
          <cell r="AI1390">
            <v>-4.3160107284961775</v>
          </cell>
          <cell r="AJ1390">
            <v>-4.3414907385230022</v>
          </cell>
          <cell r="AK1390">
            <v>-4.3680555284091316</v>
          </cell>
          <cell r="AL1390">
            <v>-4.3957253978064053</v>
          </cell>
          <cell r="AM1390">
            <v>-4.4244533034643263</v>
          </cell>
          <cell r="AN1390">
            <v>-4.4541629209946976</v>
          </cell>
          <cell r="AO1390">
            <v>-4.4847680392583467</v>
          </cell>
          <cell r="AP1390">
            <v>-4.5128321144755841</v>
          </cell>
          <cell r="AQ1390">
            <v>-4.5385719701275136</v>
          </cell>
          <cell r="AR1390">
            <v>-4.5626778902565608</v>
          </cell>
          <cell r="AS1390">
            <v>-4.5857180624826581</v>
          </cell>
          <cell r="AT1390">
            <v>-4.6081949788705057</v>
          </cell>
          <cell r="AU1390">
            <v>-4.6299825942013202</v>
          </cell>
          <cell r="AV1390">
            <v>-4.6516099370633164</v>
          </cell>
          <cell r="AW1390">
            <v>-4.6734753008925587</v>
          </cell>
          <cell r="AX1390">
            <v>-4.6958865518858861</v>
          </cell>
          <cell r="AY1390">
            <v>-4.7190859011936759</v>
          </cell>
          <cell r="AZ1390">
            <v>-4.7414385232014133</v>
          </cell>
          <cell r="BA1390">
            <v>-4.7636625479598678</v>
          </cell>
          <cell r="BB1390">
            <v>-4.7861946979866561</v>
          </cell>
          <cell r="BC1390">
            <v>-4.8093439926589436</v>
          </cell>
          <cell r="BD1390">
            <v>-4.8333532464520204</v>
          </cell>
          <cell r="BE1390">
            <v>4.7498446736571331E-2</v>
          </cell>
          <cell r="BF1390">
            <v>5.1407209653087094E-2</v>
          </cell>
          <cell r="BG1390">
            <v>5.5114852930970848E-2</v>
          </cell>
          <cell r="BH1390">
            <v>5.8544590700004839E-2</v>
          </cell>
          <cell r="BI1390">
            <v>6.1660941499108723E-2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-0.1529806668734035</v>
          </cell>
          <cell r="G1391">
            <v>-0.38364605868062007</v>
          </cell>
          <cell r="H1391">
            <v>-0.70758016428200676</v>
          </cell>
          <cell r="I1391">
            <v>-1.0871158742756237</v>
          </cell>
          <cell r="J1391">
            <v>-1.4860660684541611</v>
          </cell>
          <cell r="K1391">
            <v>-1.8796568443288804</v>
          </cell>
          <cell r="L1391">
            <v>-2.2532896444691692</v>
          </cell>
          <cell r="M1391">
            <v>-2.5965496429380619</v>
          </cell>
          <cell r="N1391">
            <v>-2.9040944777290361</v>
          </cell>
          <cell r="O1391">
            <v>-3.1727826871297826</v>
          </cell>
          <cell r="P1391">
            <v>-3.399743066541427</v>
          </cell>
          <cell r="Q1391">
            <v>-3.5878081115503502</v>
          </cell>
          <cell r="R1391">
            <v>-3.7359642752225035</v>
          </cell>
          <cell r="S1391">
            <v>-3.8465547983151165</v>
          </cell>
          <cell r="T1391">
            <v>-3.9226328499529446</v>
          </cell>
          <cell r="U1391">
            <v>-3.9677403765922099</v>
          </cell>
          <cell r="V1391">
            <v>-3.9859967249231136</v>
          </cell>
          <cell r="W1391">
            <v>-3.9817416001684425</v>
          </cell>
          <cell r="X1391">
            <v>-3.9592841693047438</v>
          </cell>
          <cell r="Y1391">
            <v>-3.9226101607190422</v>
          </cell>
          <cell r="Z1391">
            <v>-3.8761755120500618</v>
          </cell>
          <cell r="AA1391">
            <v>-3.8211196650091548</v>
          </cell>
          <cell r="AB1391">
            <v>-3.7615433983314022</v>
          </cell>
          <cell r="AC1391">
            <v>-3.6997629304115645</v>
          </cell>
          <cell r="AD1391">
            <v>-3.6377358152275727</v>
          </cell>
          <cell r="AE1391">
            <v>-3.579356994683403</v>
          </cell>
          <cell r="AF1391">
            <v>-3.5213344507077915</v>
          </cell>
          <cell r="AG1391">
            <v>-3.4666266279306903</v>
          </cell>
          <cell r="AH1391">
            <v>-3.415889365840175</v>
          </cell>
          <cell r="AI1391">
            <v>-3.3695436258109783</v>
          </cell>
          <cell r="AJ1391">
            <v>-3.3278633193384088</v>
          </cell>
          <cell r="AK1391">
            <v>-3.2909498996043123</v>
          </cell>
          <cell r="AL1391">
            <v>-3.2588153221743017</v>
          </cell>
          <cell r="AM1391">
            <v>-3.2313843499390815</v>
          </cell>
          <cell r="AN1391">
            <v>-3.2085362155365171</v>
          </cell>
          <cell r="AO1391">
            <v>-3.19011205916454</v>
          </cell>
          <cell r="AP1391">
            <v>-3.1758322547525406</v>
          </cell>
          <cell r="AQ1391">
            <v>-3.1643076075515086</v>
          </cell>
          <cell r="AR1391">
            <v>-3.1549229990441177</v>
          </cell>
          <cell r="AS1391">
            <v>-3.1472882136834972</v>
          </cell>
          <cell r="AT1391">
            <v>-3.1411916194114209</v>
          </cell>
          <cell r="AU1391">
            <v>-3.1364580961536266</v>
          </cell>
          <cell r="AV1391">
            <v>-3.1329968410342524</v>
          </cell>
          <cell r="AW1391">
            <v>-3.1307617705738195</v>
          </cell>
          <cell r="AX1391">
            <v>-3.1297784702528642</v>
          </cell>
          <cell r="AY1391">
            <v>-3.1301291607252146</v>
          </cell>
          <cell r="AZ1391">
            <v>-3.1316462047993321</v>
          </cell>
          <cell r="BA1391">
            <v>-3.1342986781789595</v>
          </cell>
          <cell r="BB1391">
            <v>-3.1379978211543147</v>
          </cell>
          <cell r="BC1391">
            <v>-3.1427991319963988</v>
          </cell>
          <cell r="BD1391">
            <v>-3.1488614411051659</v>
          </cell>
          <cell r="BE1391">
            <v>0.67226973873200091</v>
          </cell>
          <cell r="BF1391">
            <v>0.69672447596293985</v>
          </cell>
          <cell r="BG1391">
            <v>0.72048719210395795</v>
          </cell>
          <cell r="BH1391">
            <v>0.74351876459619604</v>
          </cell>
          <cell r="BI1391">
            <v>0.76583071177447337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9.9600195633309241E-2</v>
          </cell>
          <cell r="G1392">
            <v>0.22344488579180144</v>
          </cell>
          <cell r="H1392">
            <v>0.2796397310135923</v>
          </cell>
          <cell r="I1392">
            <v>0.27241410563716428</v>
          </cell>
          <cell r="J1392">
            <v>0.22586651520909484</v>
          </cell>
          <cell r="K1392">
            <v>0.16130149356034007</v>
          </cell>
          <cell r="L1392">
            <v>9.2671916357057071E-2</v>
          </cell>
          <cell r="M1392">
            <v>2.9610672661106729E-2</v>
          </cell>
          <cell r="N1392">
            <v>-2.3654484209645776E-2</v>
          </cell>
          <cell r="O1392">
            <v>-6.5011469645759323E-2</v>
          </cell>
          <cell r="P1392">
            <v>-9.2389050822327512E-2</v>
          </cell>
          <cell r="Q1392">
            <v>-0.10715251762460909</v>
          </cell>
          <cell r="R1392">
            <v>-0.10700625328488078</v>
          </cell>
          <cell r="S1392">
            <v>-9.2769857955344204E-2</v>
          </cell>
          <cell r="T1392">
            <v>-6.5672669833238384E-2</v>
          </cell>
          <cell r="U1392">
            <v>-2.7181201698877722E-2</v>
          </cell>
          <cell r="V1392">
            <v>2.165489827270406E-2</v>
          </cell>
          <cell r="W1392">
            <v>7.9025291788448193E-2</v>
          </cell>
          <cell r="X1392">
            <v>0.14286235247299484</v>
          </cell>
          <cell r="Y1392">
            <v>0.21124175061866257</v>
          </cell>
          <cell r="Z1392">
            <v>0.28184865812025439</v>
          </cell>
          <cell r="AA1392">
            <v>0.35499805054118738</v>
          </cell>
          <cell r="AB1392">
            <v>0.42811688931532199</v>
          </cell>
          <cell r="AC1392">
            <v>0.50028864411286822</v>
          </cell>
          <cell r="AD1392">
            <v>0.57079698575046489</v>
          </cell>
          <cell r="AE1392">
            <v>0.63742907601170806</v>
          </cell>
          <cell r="AF1392">
            <v>0.70354980059007577</v>
          </cell>
          <cell r="AG1392">
            <v>0.76658068406811974</v>
          </cell>
          <cell r="AH1392">
            <v>0.82623795464341576</v>
          </cell>
          <cell r="AI1392">
            <v>0.88242979733275106</v>
          </cell>
          <cell r="AJ1392">
            <v>0.93514473365796658</v>
          </cell>
          <cell r="AK1392">
            <v>0.98431416015714035</v>
          </cell>
          <cell r="AL1392">
            <v>1.029989323135494</v>
          </cell>
          <cell r="AM1392">
            <v>1.0722868088444137</v>
          </cell>
          <cell r="AN1392">
            <v>1.1113274058912488</v>
          </cell>
          <cell r="AO1392">
            <v>1.1472264801802856</v>
          </cell>
          <cell r="AP1392">
            <v>1.1790588181065829</v>
          </cell>
          <cell r="AQ1392">
            <v>1.2077043953424909</v>
          </cell>
          <cell r="AR1392">
            <v>1.2336149184952969</v>
          </cell>
          <cell r="AS1392">
            <v>1.2571514795393197</v>
          </cell>
          <cell r="AT1392">
            <v>1.2785467394639145</v>
          </cell>
          <cell r="AU1392">
            <v>1.2978330388327413</v>
          </cell>
          <cell r="AV1392">
            <v>1.3151129579603626</v>
          </cell>
          <cell r="AW1392">
            <v>1.3305285910158346</v>
          </cell>
          <cell r="AX1392">
            <v>1.3441954966843745</v>
          </cell>
          <cell r="AY1392">
            <v>1.3561967807438897</v>
          </cell>
          <cell r="AZ1392">
            <v>1.3662632665127239</v>
          </cell>
          <cell r="BA1392">
            <v>1.3744271438178917</v>
          </cell>
          <cell r="BB1392">
            <v>1.3809768168075331</v>
          </cell>
          <cell r="BC1392">
            <v>1.3861178654919977</v>
          </cell>
          <cell r="BD1392">
            <v>1.3899513262486183</v>
          </cell>
          <cell r="BE1392">
            <v>-9.277495750736886E-2</v>
          </cell>
          <cell r="BF1392">
            <v>-9.6004316128306399E-2</v>
          </cell>
          <cell r="BG1392">
            <v>-9.970625294177804E-2</v>
          </cell>
          <cell r="BH1392">
            <v>-0.10398189759901477</v>
          </cell>
          <cell r="BI1392">
            <v>-0.10885048964444088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-0.82789282708083389</v>
          </cell>
          <cell r="G1394">
            <v>-1.4792410812695778</v>
          </cell>
          <cell r="H1394">
            <v>-2.0145593616308077</v>
          </cell>
          <cell r="I1394">
            <v>-2.4599101941492951</v>
          </cell>
          <cell r="J1394">
            <v>-2.8262366934506562</v>
          </cell>
          <cell r="K1394">
            <v>-3.1216703975272093</v>
          </cell>
          <cell r="L1394">
            <v>-3.3570321807880328</v>
          </cell>
          <cell r="M1394">
            <v>-3.540860148273639</v>
          </cell>
          <cell r="N1394">
            <v>-3.6829695246498488</v>
          </cell>
          <cell r="O1394">
            <v>-3.7921199774584302</v>
          </cell>
          <cell r="P1394">
            <v>-3.8741714683395485</v>
          </cell>
          <cell r="Q1394">
            <v>-3.9405442547656433</v>
          </cell>
          <cell r="R1394">
            <v>-3.9923026256978082</v>
          </cell>
          <cell r="S1394">
            <v>-4.0321233880166627</v>
          </cell>
          <cell r="T1394">
            <v>-4.0621899176513256</v>
          </cell>
          <cell r="U1394">
            <v>-4.084332214521524</v>
          </cell>
          <cell r="V1394">
            <v>-4.1026489604592769</v>
          </cell>
          <cell r="W1394">
            <v>-4.11789436164175</v>
          </cell>
          <cell r="X1394">
            <v>-4.1309815842674009</v>
          </cell>
          <cell r="Y1394">
            <v>-4.1428371619785525</v>
          </cell>
          <cell r="Z1394">
            <v>-4.1552195356327921</v>
          </cell>
          <cell r="AA1394">
            <v>-4.1666195235622325</v>
          </cell>
          <cell r="AB1394">
            <v>-4.1791060423407078</v>
          </cell>
          <cell r="AC1394">
            <v>-4.1931993438730766</v>
          </cell>
          <cell r="AD1394">
            <v>-4.209264721553275</v>
          </cell>
          <cell r="AE1394">
            <v>-4.2298516395354984</v>
          </cell>
          <cell r="AF1394">
            <v>-4.2492513833953911</v>
          </cell>
          <cell r="AG1394">
            <v>-4.2699258800114928</v>
          </cell>
          <cell r="AH1394">
            <v>-4.2921500008219153</v>
          </cell>
          <cell r="AI1394">
            <v>-4.3160107284961775</v>
          </cell>
          <cell r="AJ1394">
            <v>-4.3414907385230022</v>
          </cell>
          <cell r="AK1394">
            <v>-4.3680555284091316</v>
          </cell>
          <cell r="AL1394">
            <v>-4.3957253978064053</v>
          </cell>
          <cell r="AM1394">
            <v>-4.4244533034643263</v>
          </cell>
          <cell r="AN1394">
            <v>-4.4541629209946976</v>
          </cell>
          <cell r="AO1394">
            <v>-4.4847680392583467</v>
          </cell>
          <cell r="AP1394">
            <v>-4.5128321144755841</v>
          </cell>
          <cell r="AQ1394">
            <v>-4.5385719701275136</v>
          </cell>
          <cell r="AR1394">
            <v>-4.5626778902565608</v>
          </cell>
          <cell r="AS1394">
            <v>-4.5857180624826581</v>
          </cell>
          <cell r="AT1394">
            <v>-4.6081949788705057</v>
          </cell>
          <cell r="AU1394">
            <v>-4.6299825942013202</v>
          </cell>
          <cell r="AV1394">
            <v>-4.6516099370633164</v>
          </cell>
          <cell r="AW1394">
            <v>-4.6734753008925587</v>
          </cell>
          <cell r="AX1394">
            <v>-4.6958865518858861</v>
          </cell>
          <cell r="AY1394">
            <v>-4.7190859011936759</v>
          </cell>
          <cell r="AZ1394">
            <v>-4.7414385232014133</v>
          </cell>
          <cell r="BA1394">
            <v>-4.7636625479598678</v>
          </cell>
          <cell r="BB1394">
            <v>-4.7861946979866561</v>
          </cell>
          <cell r="BC1394">
            <v>-4.8093439926589436</v>
          </cell>
          <cell r="BD1394">
            <v>-4.8333532464520204</v>
          </cell>
          <cell r="BE1394">
            <v>4.7498446736571331E-2</v>
          </cell>
          <cell r="BF1394">
            <v>5.1407209653087094E-2</v>
          </cell>
          <cell r="BG1394">
            <v>5.5114852930970848E-2</v>
          </cell>
          <cell r="BH1394">
            <v>5.8544590700004839E-2</v>
          </cell>
          <cell r="BI1394">
            <v>6.1660941499108723E-2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-0.31434240791052837</v>
          </cell>
          <cell r="G1395">
            <v>-0.75224852583084534</v>
          </cell>
          <cell r="H1395">
            <v>-1.2182122237874848</v>
          </cell>
          <cell r="I1395">
            <v>-1.6703358362052279</v>
          </cell>
          <cell r="J1395">
            <v>-2.0940959717666185</v>
          </cell>
          <cell r="K1395">
            <v>-2.4862137401408524</v>
          </cell>
          <cell r="L1395">
            <v>-2.8470213096172925</v>
          </cell>
          <cell r="M1395">
            <v>-3.1764600366769202</v>
          </cell>
          <cell r="N1395">
            <v>-3.4738673423029498</v>
          </cell>
          <cell r="O1395">
            <v>-3.7384924677119624</v>
          </cell>
          <cell r="P1395">
            <v>-3.9697413270677662</v>
          </cell>
          <cell r="Q1395">
            <v>-4.1697221208089275</v>
          </cell>
          <cell r="R1395">
            <v>-4.3401454858118971</v>
          </cell>
          <cell r="S1395">
            <v>-4.4829903131850752</v>
          </cell>
          <cell r="T1395">
            <v>-4.6005266405241159</v>
          </cell>
          <cell r="U1395">
            <v>-4.6952690833769299</v>
          </cell>
          <cell r="V1395">
            <v>-4.7709265614891745</v>
          </cell>
          <cell r="W1395">
            <v>-4.8304531592046729</v>
          </cell>
          <cell r="X1395">
            <v>-4.8764366535656301</v>
          </cell>
          <cell r="Y1395">
            <v>-4.9112312057087433</v>
          </cell>
          <cell r="Z1395">
            <v>-4.9372560291298999</v>
          </cell>
          <cell r="AA1395">
            <v>-4.9561860502953188</v>
          </cell>
          <cell r="AB1395">
            <v>-4.9697485552310567</v>
          </cell>
          <cell r="AC1395">
            <v>-4.9795339518981745</v>
          </cell>
          <cell r="AD1395">
            <v>-4.9869619416937567</v>
          </cell>
          <cell r="AE1395">
            <v>-4.9939047936861103</v>
          </cell>
          <cell r="AF1395">
            <v>-5.0004845340547499</v>
          </cell>
          <cell r="AG1395">
            <v>-5.0071292958795866</v>
          </cell>
          <cell r="AH1395">
            <v>-5.014275063595619</v>
          </cell>
          <cell r="AI1395">
            <v>-5.0223241848412865</v>
          </cell>
          <cell r="AJ1395">
            <v>-5.0316048702546912</v>
          </cell>
          <cell r="AK1395">
            <v>-5.0421635170098007</v>
          </cell>
          <cell r="AL1395">
            <v>-5.0540928344852798</v>
          </cell>
          <cell r="AM1395">
            <v>-5.0674598267105742</v>
          </cell>
          <cell r="AN1395">
            <v>-5.0822829469155621</v>
          </cell>
          <cell r="AO1395">
            <v>-5.0985288677264489</v>
          </cell>
          <cell r="AP1395">
            <v>-5.1146805957394186</v>
          </cell>
          <cell r="AQ1395">
            <v>-5.1301866231045938</v>
          </cell>
          <cell r="AR1395">
            <v>-5.1449012753904348</v>
          </cell>
          <cell r="AS1395">
            <v>-5.1588457052975434</v>
          </cell>
          <cell r="AT1395">
            <v>-5.1720978580722443</v>
          </cell>
          <cell r="AU1395">
            <v>-5.184519813812094</v>
          </cell>
          <cell r="AV1395">
            <v>-5.1961644669536895</v>
          </cell>
          <cell r="AW1395">
            <v>-5.2071764936435834</v>
          </cell>
          <cell r="AX1395">
            <v>-5.2177485786131577</v>
          </cell>
          <cell r="AY1395">
            <v>-5.2280959973180385</v>
          </cell>
          <cell r="AZ1395">
            <v>-5.2376717776723254</v>
          </cell>
          <cell r="BA1395">
            <v>-5.246497529888094</v>
          </cell>
          <cell r="BB1395">
            <v>-5.2548244441115166</v>
          </cell>
          <cell r="BC1395">
            <v>-5.2629779123889993</v>
          </cell>
          <cell r="BD1395">
            <v>-5.2712771871213153</v>
          </cell>
          <cell r="BE1395">
            <v>0.92349145427912394</v>
          </cell>
          <cell r="BF1395">
            <v>0.95712879840108567</v>
          </cell>
          <cell r="BG1395">
            <v>0.99049300470144264</v>
          </cell>
          <cell r="BH1395">
            <v>1.0236628073144516</v>
          </cell>
          <cell r="BI1395">
            <v>1.0566729836185118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-0.35426355845842306</v>
          </cell>
          <cell r="G1396">
            <v>-0.77507499904483357</v>
          </cell>
          <cell r="H1396">
            <v>-1.1796139264838579</v>
          </cell>
          <cell r="I1396">
            <v>-1.5473384802571877</v>
          </cell>
          <cell r="J1396">
            <v>-1.8787794954046699</v>
          </cell>
          <cell r="K1396">
            <v>-2.1793474207689623</v>
          </cell>
          <cell r="L1396">
            <v>-2.45376485405433</v>
          </cell>
          <cell r="M1396">
            <v>-2.7039246746144552</v>
          </cell>
          <cell r="N1396">
            <v>-2.9297895722908529</v>
          </cell>
          <cell r="O1396">
            <v>-3.1306130989513736</v>
          </cell>
          <cell r="P1396">
            <v>-3.3056395698271457</v>
          </cell>
          <cell r="Q1396">
            <v>-3.4565163653683895</v>
          </cell>
          <cell r="R1396">
            <v>-3.5843967337813698</v>
          </cell>
          <cell r="S1396">
            <v>-3.6906853266124751</v>
          </cell>
          <cell r="T1396">
            <v>-3.7771438987661443</v>
          </cell>
          <cell r="U1396">
            <v>-3.8458117235644518</v>
          </cell>
          <cell r="V1396">
            <v>-3.900070916509113</v>
          </cell>
          <cell r="W1396">
            <v>-3.9422250000043846</v>
          </cell>
          <cell r="X1396">
            <v>-3.9742405747795639</v>
          </cell>
          <cell r="Y1396">
            <v>-3.9979338188208424</v>
          </cell>
          <cell r="Z1396">
            <v>-4.0151887982609713</v>
          </cell>
          <cell r="AA1396">
            <v>-4.0273770647187623</v>
          </cell>
          <cell r="AB1396">
            <v>-4.0358154347982627</v>
          </cell>
          <cell r="AC1396">
            <v>-4.0417321799578581</v>
          </cell>
          <cell r="AD1396">
            <v>-4.0462235427129016</v>
          </cell>
          <cell r="AE1396">
            <v>-4.0507150970672479</v>
          </cell>
          <cell r="AF1396">
            <v>-4.0552752811901289</v>
          </cell>
          <cell r="AG1396">
            <v>-4.0602091907420252</v>
          </cell>
          <cell r="AH1396">
            <v>-4.0658385737517122</v>
          </cell>
          <cell r="AI1396">
            <v>-4.0724446113216128</v>
          </cell>
          <cell r="AJ1396">
            <v>-4.0802453969262515</v>
          </cell>
          <cell r="AK1396">
            <v>-4.0891694185743788</v>
          </cell>
          <cell r="AL1396">
            <v>-4.0992792048017428</v>
          </cell>
          <cell r="AM1396">
            <v>-4.1106269169154945</v>
          </cell>
          <cell r="AN1396">
            <v>-4.1232197745636352</v>
          </cell>
          <cell r="AO1396">
            <v>-4.1370181163700952</v>
          </cell>
          <cell r="AP1396">
            <v>-4.1502403085433848</v>
          </cell>
          <cell r="AQ1396">
            <v>-4.1626610120029772</v>
          </cell>
          <cell r="AR1396">
            <v>-4.1743962274675912</v>
          </cell>
          <cell r="AS1396">
            <v>-4.1855914624909456</v>
          </cell>
          <cell r="AT1396">
            <v>-4.1963528528751066</v>
          </cell>
          <cell r="AU1396">
            <v>-4.2064829430290445</v>
          </cell>
          <cell r="AV1396">
            <v>-4.2160289448240906</v>
          </cell>
          <cell r="AW1396">
            <v>-4.2251143330651164</v>
          </cell>
          <cell r="AX1396">
            <v>-4.2338913871104218</v>
          </cell>
          <cell r="AY1396">
            <v>-4.2425238035358799</v>
          </cell>
          <cell r="AZ1396">
            <v>-4.2503010349401071</v>
          </cell>
          <cell r="BA1396">
            <v>-4.2573213474480509</v>
          </cell>
          <cell r="BB1396">
            <v>-4.2638912306533054</v>
          </cell>
          <cell r="BC1396">
            <v>-4.2703351488977193</v>
          </cell>
          <cell r="BD1396">
            <v>-4.2769347455762219</v>
          </cell>
          <cell r="BE1396">
            <v>0.76004335846093785</v>
          </cell>
          <cell r="BF1396">
            <v>0.7871795426503958</v>
          </cell>
          <cell r="BG1396">
            <v>0.81408310092607739</v>
          </cell>
          <cell r="BH1396">
            <v>0.8408317434181356</v>
          </cell>
          <cell r="BI1396">
            <v>0.86746467176475051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0</v>
          </cell>
          <cell r="AC1397">
            <v>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-0.18766011560877871</v>
          </cell>
          <cell r="G1398">
            <v>-0.49660177557723229</v>
          </cell>
          <cell r="H1398">
            <v>-0.90307011063530673</v>
          </cell>
          <cell r="I1398">
            <v>-1.3708015899111858</v>
          </cell>
          <cell r="J1398">
            <v>-1.8640297671842498</v>
          </cell>
          <cell r="K1398">
            <v>-2.3548821014663601</v>
          </cell>
          <cell r="L1398">
            <v>-2.825250829002246</v>
          </cell>
          <cell r="M1398">
            <v>-3.2643101572778277</v>
          </cell>
          <cell r="N1398">
            <v>-3.666667378628885</v>
          </cell>
          <cell r="O1398">
            <v>-4.0302282188158234</v>
          </cell>
          <cell r="P1398">
            <v>-4.354334915257418</v>
          </cell>
          <cell r="Q1398">
            <v>-4.6412618115718951</v>
          </cell>
          <cell r="R1398">
            <v>-4.8927013225723792</v>
          </cell>
          <cell r="S1398">
            <v>-5.1108228669740967</v>
          </cell>
          <cell r="T1398">
            <v>-5.2980441065341726</v>
          </cell>
          <cell r="U1398">
            <v>-5.456930851698405</v>
          </cell>
          <cell r="V1398">
            <v>-5.5907515079936516</v>
          </cell>
          <cell r="W1398">
            <v>-5.702572582402377</v>
          </cell>
          <cell r="X1398">
            <v>-5.7953880763861871</v>
          </cell>
          <cell r="Y1398">
            <v>-5.8720464394989236</v>
          </cell>
          <cell r="Z1398">
            <v>-5.9355469290652945</v>
          </cell>
          <cell r="AA1398">
            <v>-5.9877950650101823</v>
          </cell>
          <cell r="AB1398">
            <v>-6.0311958898020324</v>
          </cell>
          <cell r="AC1398">
            <v>-6.0678548669109045</v>
          </cell>
          <cell r="AD1398">
            <v>-6.0996328772748747</v>
          </cell>
          <cell r="AE1398">
            <v>-6.1291211737573459</v>
          </cell>
          <cell r="AF1398">
            <v>-6.1563105403917966</v>
          </cell>
          <cell r="AG1398">
            <v>-6.1823462450775306</v>
          </cell>
          <cell r="AH1398">
            <v>-6.2080957072779386</v>
          </cell>
          <cell r="AI1398">
            <v>-6.2342227818125595</v>
          </cell>
          <cell r="AJ1398">
            <v>-6.2612341141008994</v>
          </cell>
          <cell r="AK1398">
            <v>-6.2893964236900857</v>
          </cell>
          <cell r="AL1398">
            <v>-6.318906373677347</v>
          </cell>
          <cell r="AM1398">
            <v>-6.3498723704156763</v>
          </cell>
          <cell r="AN1398">
            <v>-6.3823324262997634</v>
          </cell>
          <cell r="AO1398">
            <v>-6.4162653245218415</v>
          </cell>
          <cell r="AP1398">
            <v>-6.4509427350145305</v>
          </cell>
          <cell r="AQ1398">
            <v>-6.4855831786271967</v>
          </cell>
          <cell r="AR1398">
            <v>-6.5196231812693961</v>
          </cell>
          <cell r="AS1398">
            <v>-6.5527080891043425</v>
          </cell>
          <cell r="AT1398">
            <v>-6.5846594389003865</v>
          </cell>
          <cell r="AU1398">
            <v>-6.6152974189300107</v>
          </cell>
          <cell r="AV1398">
            <v>-6.6445874879912825</v>
          </cell>
          <cell r="AW1398">
            <v>-6.672574096586537</v>
          </cell>
          <cell r="AX1398">
            <v>-6.6993676948618353</v>
          </cell>
          <cell r="AY1398">
            <v>-6.725129066008706</v>
          </cell>
          <cell r="AZ1398">
            <v>-6.7496147862117217</v>
          </cell>
          <cell r="BA1398">
            <v>-6.7728123513336236</v>
          </cell>
          <cell r="BB1398">
            <v>-6.7947837171553394</v>
          </cell>
          <cell r="BC1398">
            <v>-6.8156877157424134</v>
          </cell>
          <cell r="BD1398">
            <v>-6.8357593939903154</v>
          </cell>
          <cell r="BE1398">
            <v>0.52299662863573015</v>
          </cell>
          <cell r="BF1398">
            <v>0.54651107442689195</v>
          </cell>
          <cell r="BG1398">
            <v>0.5699060909814424</v>
          </cell>
          <cell r="BH1398">
            <v>0.5931206808498013</v>
          </cell>
          <cell r="BI1398">
            <v>0.61613815686294426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6.5085139504650336E-2</v>
          </cell>
          <cell r="G1399">
            <v>0.11116403568938171</v>
          </cell>
          <cell r="H1399">
            <v>8.4988811112363116E-2</v>
          </cell>
          <cell r="I1399">
            <v>-1.1426962985983113E-2</v>
          </cell>
          <cell r="J1399">
            <v>-0.15474633647717395</v>
          </cell>
          <cell r="K1399">
            <v>-0.32046430656187397</v>
          </cell>
          <cell r="L1399">
            <v>-0.49080332553227413</v>
          </cell>
          <cell r="M1399">
            <v>-0.65536066334341836</v>
          </cell>
          <cell r="N1399">
            <v>-0.80954586805895845</v>
          </cell>
          <cell r="O1399">
            <v>-0.95204436199144427</v>
          </cell>
          <cell r="P1399">
            <v>-1.0827926869521498</v>
          </cell>
          <cell r="Q1399">
            <v>-1.2024596984033353</v>
          </cell>
          <cell r="R1399">
            <v>-1.3113309503516857</v>
          </cell>
          <cell r="S1399">
            <v>-1.4099649796861291</v>
          </cell>
          <cell r="T1399">
            <v>-1.4988957381774748</v>
          </cell>
          <cell r="U1399">
            <v>-1.5785764145409664</v>
          </cell>
          <cell r="V1399">
            <v>-1.6491938280159602</v>
          </cell>
          <cell r="W1399">
            <v>-1.7112974924414326</v>
          </cell>
          <cell r="X1399">
            <v>-1.7656720074479937</v>
          </cell>
          <cell r="Y1399">
            <v>-1.8131473547405297</v>
          </cell>
          <cell r="Z1399">
            <v>-1.8546391009833019</v>
          </cell>
          <cell r="AA1399">
            <v>-1.8906323833571492</v>
          </cell>
          <cell r="AB1399">
            <v>-1.9220635347751314</v>
          </cell>
          <cell r="AC1399">
            <v>-1.9496913339566824</v>
          </cell>
          <cell r="AD1399">
            <v>-1.9741842688010713</v>
          </cell>
          <cell r="AE1399">
            <v>-1.9965242599540245</v>
          </cell>
          <cell r="AF1399">
            <v>-2.0166264211694318</v>
          </cell>
          <cell r="AG1399">
            <v>-2.0352972866375718</v>
          </cell>
          <cell r="AH1399">
            <v>-2.0530618859653127</v>
          </cell>
          <cell r="AI1399">
            <v>-2.0702769858945147</v>
          </cell>
          <cell r="AJ1399">
            <v>-2.0872037239384578</v>
          </cell>
          <cell r="AK1399">
            <v>-2.1040876677748788</v>
          </cell>
          <cell r="AL1399">
            <v>-2.1210702894727373</v>
          </cell>
          <cell r="AM1399">
            <v>-2.1382233116040705</v>
          </cell>
          <cell r="AN1399">
            <v>-2.1555872336046167</v>
          </cell>
          <cell r="AO1399">
            <v>-2.1731851836801042</v>
          </cell>
          <cell r="AP1399">
            <v>-2.191488603721603</v>
          </cell>
          <cell r="AQ1399">
            <v>-2.2102014483428856</v>
          </cell>
          <cell r="AR1399">
            <v>-2.2289014489622838</v>
          </cell>
          <cell r="AS1399">
            <v>-2.2472470363555486</v>
          </cell>
          <cell r="AT1399">
            <v>-2.2650294557192807</v>
          </cell>
          <cell r="AU1399">
            <v>-2.2822059396057193</v>
          </cell>
          <cell r="AV1399">
            <v>-2.2987276173983662</v>
          </cell>
          <cell r="AW1399">
            <v>-2.3145421822903245</v>
          </cell>
          <cell r="AX1399">
            <v>-2.3296203352522693</v>
          </cell>
          <cell r="AY1399">
            <v>-2.3439608481270136</v>
          </cell>
          <cell r="AZ1399">
            <v>-2.3577550003717196</v>
          </cell>
          <cell r="BA1399">
            <v>-2.3709878717466215</v>
          </cell>
          <cell r="BB1399">
            <v>-2.3835197313437195</v>
          </cell>
          <cell r="BC1399">
            <v>-2.3952495837863963</v>
          </cell>
          <cell r="BD1399">
            <v>-2.4061576157006104</v>
          </cell>
          <cell r="BE1399">
            <v>-0.24021035105309396</v>
          </cell>
          <cell r="BF1399">
            <v>-0.24428123002031565</v>
          </cell>
          <cell r="BG1399">
            <v>-0.24825121388079019</v>
          </cell>
          <cell r="BH1399">
            <v>-0.25224222680291231</v>
          </cell>
          <cell r="BI1399">
            <v>-0.25630122591391302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-0.18766011906717894</v>
          </cell>
          <cell r="G1400">
            <v>-0.49660179800774529</v>
          </cell>
          <cell r="H1400">
            <v>-0.90307009219412482</v>
          </cell>
          <cell r="I1400">
            <v>-1.3708015846872645</v>
          </cell>
          <cell r="J1400">
            <v>-1.8640297906473591</v>
          </cell>
          <cell r="K1400">
            <v>-2.3548820979271912</v>
          </cell>
          <cell r="L1400">
            <v>-2.8252508299763002</v>
          </cell>
          <cell r="M1400">
            <v>-3.2643101684602271</v>
          </cell>
          <cell r="N1400">
            <v>-3.6666673844662268</v>
          </cell>
          <cell r="O1400">
            <v>-4.0302282069202722</v>
          </cell>
          <cell r="P1400">
            <v>-4.3543349070481181</v>
          </cell>
          <cell r="Q1400">
            <v>-4.6412618051046017</v>
          </cell>
          <cell r="R1400">
            <v>-4.8927013131700008</v>
          </cell>
          <cell r="S1400">
            <v>-5.1108228635139081</v>
          </cell>
          <cell r="T1400">
            <v>-5.2980441145985875</v>
          </cell>
          <cell r="U1400">
            <v>-5.4569308463338633</v>
          </cell>
          <cell r="V1400">
            <v>-5.5907515171184414</v>
          </cell>
          <cell r="W1400">
            <v>-5.7025725818610207</v>
          </cell>
          <cell r="X1400">
            <v>-5.7953880738297103</v>
          </cell>
          <cell r="Y1400">
            <v>-5.8720464446180838</v>
          </cell>
          <cell r="Z1400">
            <v>-5.9355469317292293</v>
          </cell>
          <cell r="AA1400">
            <v>-5.987795076384284</v>
          </cell>
          <cell r="AB1400">
            <v>-6.0311959100658559</v>
          </cell>
          <cell r="AC1400">
            <v>-6.0678548577104197</v>
          </cell>
          <cell r="AD1400">
            <v>-6.0996329565845215</v>
          </cell>
          <cell r="AE1400">
            <v>-6.1291211675089219</v>
          </cell>
          <cell r="AF1400">
            <v>-6.1563105725080618</v>
          </cell>
          <cell r="AG1400">
            <v>-6.182346197677302</v>
          </cell>
          <cell r="AH1400">
            <v>-6.2080957667170473</v>
          </cell>
          <cell r="AI1400">
            <v>-6.2342228425831037</v>
          </cell>
          <cell r="AJ1400">
            <v>-6.2612340664842332</v>
          </cell>
          <cell r="AK1400">
            <v>-6.2893963718429706</v>
          </cell>
          <cell r="AL1400">
            <v>-6.3189063473302998</v>
          </cell>
          <cell r="AM1400">
            <v>-6.349872385658295</v>
          </cell>
          <cell r="AN1400">
            <v>-6.3823324712669161</v>
          </cell>
          <cell r="AO1400">
            <v>-6.4162653423746825</v>
          </cell>
          <cell r="AP1400">
            <v>-6.4509426958019089</v>
          </cell>
          <cell r="AQ1400">
            <v>-6.48558312768448</v>
          </cell>
          <cell r="AR1400">
            <v>-6.5196232451205871</v>
          </cell>
          <cell r="AS1400">
            <v>-6.5527080788866705</v>
          </cell>
          <cell r="AT1400">
            <v>-6.5846594666323366</v>
          </cell>
          <cell r="AU1400">
            <v>-6.6152974274934824</v>
          </cell>
          <cell r="AV1400">
            <v>-6.6445875200759836</v>
          </cell>
          <cell r="AW1400">
            <v>-6.672574123147001</v>
          </cell>
          <cell r="AX1400">
            <v>-6.6993677144708723</v>
          </cell>
          <cell r="AY1400">
            <v>-6.725129060120361</v>
          </cell>
          <cell r="AZ1400">
            <v>-6.7496147817229897</v>
          </cell>
          <cell r="BA1400">
            <v>-6.7728123716055748</v>
          </cell>
          <cell r="BB1400">
            <v>-6.7947837005096989</v>
          </cell>
          <cell r="BC1400">
            <v>-6.8156877048294984</v>
          </cell>
          <cell r="BD1400">
            <v>-6.8357593639488456</v>
          </cell>
          <cell r="BE1400">
            <v>0.52299658260768211</v>
          </cell>
          <cell r="BF1400">
            <v>0.54651106337506583</v>
          </cell>
          <cell r="BG1400">
            <v>0.5699060494213759</v>
          </cell>
          <cell r="BH1400">
            <v>0.59312071470607464</v>
          </cell>
          <cell r="BI1400">
            <v>0.61613814107257525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0.18675232802864983</v>
          </cell>
          <cell r="G1401">
            <v>0.40238060712463053</v>
          </cell>
          <cell r="H1401">
            <v>0.55662183919251706</v>
          </cell>
          <cell r="I1401">
            <v>0.63299007949959574</v>
          </cell>
          <cell r="J1401">
            <v>0.64799057648683434</v>
          </cell>
          <cell r="K1401">
            <v>0.62500813386474618</v>
          </cell>
          <cell r="L1401">
            <v>0.58289721579511955</v>
          </cell>
          <cell r="M1401">
            <v>0.53285900016162291</v>
          </cell>
          <cell r="N1401">
            <v>0.48006340767665634</v>
          </cell>
          <cell r="O1401">
            <v>0.42614508139904306</v>
          </cell>
          <cell r="P1401">
            <v>0.37122110783223139</v>
          </cell>
          <cell r="Q1401">
            <v>0.3162290440097637</v>
          </cell>
          <cell r="R1401">
            <v>0.2614265020409956</v>
          </cell>
          <cell r="S1401">
            <v>0.20725031021895379</v>
          </cell>
          <cell r="T1401">
            <v>0.1541272920171588</v>
          </cell>
          <cell r="U1401">
            <v>0.10258054677065864</v>
          </cell>
          <cell r="V1401">
            <v>5.3842298246542519E-2</v>
          </cell>
          <cell r="W1401">
            <v>8.3895721913140875E-3</v>
          </cell>
          <cell r="X1401">
            <v>-3.3695279274714718E-2</v>
          </cell>
          <cell r="Y1401">
            <v>-7.2499654376001477E-2</v>
          </cell>
          <cell r="Z1401">
            <v>-0.10808873671211972</v>
          </cell>
          <cell r="AA1401">
            <v>-0.14072378949051556</v>
          </cell>
          <cell r="AB1401">
            <v>-0.17058654975431464</v>
          </cell>
          <cell r="AC1401">
            <v>-0.19799523500544369</v>
          </cell>
          <cell r="AD1401">
            <v>-0.22318004790615742</v>
          </cell>
          <cell r="AE1401">
            <v>-0.24627443152710482</v>
          </cell>
          <cell r="AF1401">
            <v>-0.2677958129330027</v>
          </cell>
          <cell r="AG1401">
            <v>-0.28803019270491337</v>
          </cell>
          <cell r="AH1401">
            <v>-0.30741479668717764</v>
          </cell>
          <cell r="AI1401">
            <v>-0.32615435633215339</v>
          </cell>
          <cell r="AJ1401">
            <v>-0.344370302288588</v>
          </cell>
          <cell r="AK1401">
            <v>-0.36227983399702568</v>
          </cell>
          <cell r="AL1401">
            <v>-0.37997134866908366</v>
          </cell>
          <cell r="AM1401">
            <v>-0.39747431389531851</v>
          </cell>
          <cell r="AN1401">
            <v>-0.41480197937733276</v>
          </cell>
          <cell r="AO1401">
            <v>-0.43196868225717777</v>
          </cell>
          <cell r="AP1401">
            <v>-0.45001662589950753</v>
          </cell>
          <cell r="AQ1401">
            <v>-0.46890801948460403</v>
          </cell>
          <cell r="AR1401">
            <v>-0.48820861825458195</v>
          </cell>
          <cell r="AS1401">
            <v>-0.50749927244913007</v>
          </cell>
          <cell r="AT1401">
            <v>-0.52647284406752703</v>
          </cell>
          <cell r="AU1401">
            <v>-0.54508702978116608</v>
          </cell>
          <cell r="AV1401">
            <v>-0.56322184543143861</v>
          </cell>
          <cell r="AW1401">
            <v>-0.58073282888955191</v>
          </cell>
          <cell r="AX1401">
            <v>-0.59748604970110142</v>
          </cell>
          <cell r="AY1401">
            <v>-0.61337515775683471</v>
          </cell>
          <cell r="AZ1401">
            <v>-0.62881335415115869</v>
          </cell>
          <cell r="BA1401">
            <v>-0.64374853070421345</v>
          </cell>
          <cell r="BB1401">
            <v>-0.65794254913067451</v>
          </cell>
          <cell r="BC1401">
            <v>-0.67115948877657372</v>
          </cell>
          <cell r="BD1401">
            <v>-0.68325062408643999</v>
          </cell>
          <cell r="BE1401">
            <v>-0.55346485136600343</v>
          </cell>
          <cell r="BF1401">
            <v>-0.56941968367145712</v>
          </cell>
          <cell r="BG1401">
            <v>-0.58518679972733301</v>
          </cell>
          <cell r="BH1401">
            <v>-0.60091463051668015</v>
          </cell>
          <cell r="BI1401">
            <v>-0.61665616465492734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-0.92749302271414313</v>
          </cell>
          <cell r="G1402">
            <v>-1.7026859670613792</v>
          </cell>
          <cell r="H1402">
            <v>-2.2941990926444</v>
          </cell>
          <cell r="I1402">
            <v>-2.7323242997864594</v>
          </cell>
          <cell r="J1402">
            <v>-3.052103208659751</v>
          </cell>
          <cell r="K1402">
            <v>-3.2829718910875494</v>
          </cell>
          <cell r="L1402">
            <v>-3.4497040971450899</v>
          </cell>
          <cell r="M1402">
            <v>-3.5704708209347458</v>
          </cell>
          <cell r="N1402">
            <v>-3.6593150404402031</v>
          </cell>
          <cell r="O1402">
            <v>-3.7271085078126709</v>
          </cell>
          <cell r="P1402">
            <v>-3.781782417517221</v>
          </cell>
          <cell r="Q1402">
            <v>-3.8333917371410342</v>
          </cell>
          <cell r="R1402">
            <v>-3.8852963724129275</v>
          </cell>
          <cell r="S1402">
            <v>-3.9393535300613181</v>
          </cell>
          <cell r="T1402">
            <v>-3.9965172478180877</v>
          </cell>
          <cell r="U1402">
            <v>-4.0571510128226462</v>
          </cell>
          <cell r="V1402">
            <v>-4.1243038587319809</v>
          </cell>
          <cell r="W1402">
            <v>-4.1969196534301982</v>
          </cell>
          <cell r="X1402">
            <v>-4.2738439367403958</v>
          </cell>
          <cell r="Y1402">
            <v>-4.354078912597215</v>
          </cell>
          <cell r="Z1402">
            <v>-4.4370681937530465</v>
          </cell>
          <cell r="AA1402">
            <v>-4.5216175741034199</v>
          </cell>
          <cell r="AB1402">
            <v>-4.6072229316560298</v>
          </cell>
          <cell r="AC1402">
            <v>-4.6934879879859448</v>
          </cell>
          <cell r="AD1402">
            <v>-4.7800617073037399</v>
          </cell>
          <cell r="AE1402">
            <v>-4.8672807155472064</v>
          </cell>
          <cell r="AF1402">
            <v>-4.9528011839854669</v>
          </cell>
          <cell r="AG1402">
            <v>-5.0365065640796125</v>
          </cell>
          <cell r="AH1402">
            <v>-5.1183879554653311</v>
          </cell>
          <cell r="AI1402">
            <v>-5.1984405258289286</v>
          </cell>
          <cell r="AJ1402">
            <v>-5.2766354721809687</v>
          </cell>
          <cell r="AK1402">
            <v>-5.3523696885662719</v>
          </cell>
          <cell r="AL1402">
            <v>-5.4257147209418992</v>
          </cell>
          <cell r="AM1402">
            <v>-5.49674011230874</v>
          </cell>
          <cell r="AN1402">
            <v>-5.5654903268859464</v>
          </cell>
          <cell r="AO1402">
            <v>-5.6319945194386323</v>
          </cell>
          <cell r="AP1402">
            <v>-5.6918909325821669</v>
          </cell>
          <cell r="AQ1402">
            <v>-5.7462763654700044</v>
          </cell>
          <cell r="AR1402">
            <v>-5.7962928087518577</v>
          </cell>
          <cell r="AS1402">
            <v>-5.8428695420219778</v>
          </cell>
          <cell r="AT1402">
            <v>-5.8867417183344202</v>
          </cell>
          <cell r="AU1402">
            <v>-5.9278156330340614</v>
          </cell>
          <cell r="AV1402">
            <v>-5.966722895023679</v>
          </cell>
          <cell r="AW1402">
            <v>-6.0040038919083933</v>
          </cell>
          <cell r="AX1402">
            <v>-6.0400820485702607</v>
          </cell>
          <cell r="AY1402">
            <v>-6.0752826819375656</v>
          </cell>
          <cell r="AZ1402">
            <v>-6.1077017897141372</v>
          </cell>
          <cell r="BA1402">
            <v>-6.1380896917777594</v>
          </cell>
          <cell r="BB1402">
            <v>-6.1671715147941892</v>
          </cell>
          <cell r="BC1402">
            <v>-6.1954618581509413</v>
          </cell>
          <cell r="BD1402">
            <v>-6.2233045727006386</v>
          </cell>
          <cell r="BE1402">
            <v>0.14027340424394019</v>
          </cell>
          <cell r="BF1402">
            <v>0.14741152578139349</v>
          </cell>
          <cell r="BG1402">
            <v>0.15482110587274889</v>
          </cell>
          <cell r="BH1402">
            <v>0.16252648829901961</v>
          </cell>
          <cell r="BI1402">
            <v>0.17051143114354961</v>
          </cell>
        </row>
        <row r="1403">
          <cell r="C1403" t="str">
            <v>Emploi en millier</v>
          </cell>
          <cell r="E1403" t="str">
            <v>F_L_2-F_L_0</v>
          </cell>
          <cell r="F1403">
            <v>-253.87197000000015</v>
          </cell>
          <cell r="G1403">
            <v>-466.56308999999965</v>
          </cell>
          <cell r="H1403">
            <v>-629.5176799999972</v>
          </cell>
          <cell r="I1403">
            <v>-751.24732999999833</v>
          </cell>
          <cell r="J1403">
            <v>-841.47231000000102</v>
          </cell>
          <cell r="K1403">
            <v>-908.23111000000063</v>
          </cell>
          <cell r="L1403">
            <v>-957.8216199999988</v>
          </cell>
          <cell r="M1403">
            <v>-995.09530999999697</v>
          </cell>
          <cell r="N1403">
            <v>-1023.8177700000015</v>
          </cell>
          <cell r="O1403">
            <v>-1046.9144300000007</v>
          </cell>
          <cell r="P1403">
            <v>-1067.2003199999999</v>
          </cell>
          <cell r="Q1403">
            <v>-1086.6694499999976</v>
          </cell>
          <cell r="R1403">
            <v>-1106.2151999999987</v>
          </cell>
          <cell r="S1403">
            <v>-1126.3618199999983</v>
          </cell>
          <cell r="T1403">
            <v>-1147.3944200000005</v>
          </cell>
          <cell r="U1403">
            <v>-1169.4366200000004</v>
          </cell>
          <cell r="V1403">
            <v>-1193.3933100000031</v>
          </cell>
          <cell r="W1403">
            <v>-1218.9919599999994</v>
          </cell>
          <cell r="X1403">
            <v>-1245.9271899999985</v>
          </cell>
          <cell r="Y1403">
            <v>-1273.9342799999977</v>
          </cell>
          <cell r="Z1403">
            <v>-1302.3482100000001</v>
          </cell>
          <cell r="AA1403">
            <v>-1331.4387800000004</v>
          </cell>
          <cell r="AB1403">
            <v>-1361.0950699999994</v>
          </cell>
          <cell r="AC1403">
            <v>-1391.2040099999977</v>
          </cell>
          <cell r="AD1403">
            <v>-1421.6569600000003</v>
          </cell>
          <cell r="AE1403">
            <v>-1450.9767700000011</v>
          </cell>
          <cell r="AF1403">
            <v>-1479.5065600000016</v>
          </cell>
          <cell r="AG1403">
            <v>-1507.364590000001</v>
          </cell>
          <cell r="AH1403">
            <v>-1534.644479999999</v>
          </cell>
          <cell r="AI1403">
            <v>-1561.4145900000003</v>
          </cell>
          <cell r="AJ1403">
            <v>-1587.7163699999983</v>
          </cell>
          <cell r="AK1403">
            <v>-1613.4008900000008</v>
          </cell>
          <cell r="AL1403">
            <v>-1638.50677</v>
          </cell>
          <cell r="AM1403">
            <v>-1663.0601000000024</v>
          </cell>
          <cell r="AN1403">
            <v>-1687.070499999998</v>
          </cell>
          <cell r="AO1403">
            <v>-1710.5369400000018</v>
          </cell>
          <cell r="AP1403">
            <v>-1731.7274499999985</v>
          </cell>
          <cell r="AQ1403">
            <v>-1751.0135300000002</v>
          </cell>
          <cell r="AR1403">
            <v>-1768.8001199999999</v>
          </cell>
          <cell r="AS1403">
            <v>-1785.4238499999992</v>
          </cell>
          <cell r="AT1403">
            <v>-1801.1536999999989</v>
          </cell>
          <cell r="AU1403">
            <v>-1815.9956300000013</v>
          </cell>
          <cell r="AV1403">
            <v>-1830.1682499999988</v>
          </cell>
          <cell r="AW1403">
            <v>-1843.8544799999981</v>
          </cell>
          <cell r="AX1403">
            <v>-1857.1948300000004</v>
          </cell>
          <cell r="AY1403">
            <v>-1870.2945900000013</v>
          </cell>
          <cell r="AZ1403">
            <v>-1882.6023600000008</v>
          </cell>
          <cell r="BA1403">
            <v>-1894.3412199999984</v>
          </cell>
          <cell r="BB1403">
            <v>-1905.7249599999996</v>
          </cell>
          <cell r="BC1403">
            <v>-1916.902399999999</v>
          </cell>
          <cell r="BD1403">
            <v>-1927.9708100000025</v>
          </cell>
          <cell r="BE1403">
            <v>43.635760000001028</v>
          </cell>
          <cell r="BF1403">
            <v>45.909630000001926</v>
          </cell>
          <cell r="BG1403">
            <v>48.272320000000036</v>
          </cell>
          <cell r="BH1403">
            <v>50.7316000000028</v>
          </cell>
          <cell r="BI1403">
            <v>53.282609999998385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0.67784744999999924</v>
          </cell>
          <cell r="G1404">
            <v>1.1937365800000017</v>
          </cell>
          <cell r="H1404">
            <v>1.5611608900000018</v>
          </cell>
          <cell r="I1404">
            <v>1.8210621000000011</v>
          </cell>
          <cell r="J1404">
            <v>2.0051751199999996</v>
          </cell>
          <cell r="K1404">
            <v>2.1356755099999987</v>
          </cell>
          <cell r="L1404">
            <v>2.2302396800000013</v>
          </cell>
          <cell r="M1404">
            <v>2.2985366700000007</v>
          </cell>
          <cell r="N1404">
            <v>2.3491250600000013</v>
          </cell>
          <cell r="O1404">
            <v>2.3884557400000004</v>
          </cell>
          <cell r="P1404">
            <v>2.4193574600000018</v>
          </cell>
          <cell r="Q1404">
            <v>2.4528554600000003</v>
          </cell>
          <cell r="R1404">
            <v>2.4870839699999978</v>
          </cell>
          <cell r="S1404">
            <v>2.5230004199999989</v>
          </cell>
          <cell r="T1404">
            <v>2.5610452300000004</v>
          </cell>
          <cell r="U1404">
            <v>2.6013343299999994</v>
          </cell>
          <cell r="V1404">
            <v>2.6460459500000004</v>
          </cell>
          <cell r="W1404">
            <v>2.6942218500000004</v>
          </cell>
          <cell r="X1404">
            <v>2.7450027700000019</v>
          </cell>
          <cell r="Y1404">
            <v>2.7977223999999996</v>
          </cell>
          <cell r="Z1404">
            <v>2.8533739400000009</v>
          </cell>
          <cell r="AA1404">
            <v>2.9076652799999989</v>
          </cell>
          <cell r="AB1404">
            <v>2.9628564699999997</v>
          </cell>
          <cell r="AC1404">
            <v>3.0185882100000008</v>
          </cell>
          <cell r="AD1404">
            <v>3.0745844699999996</v>
          </cell>
          <cell r="AE1404">
            <v>3.1349732900000009</v>
          </cell>
          <cell r="AF1404">
            <v>3.189534220000001</v>
          </cell>
          <cell r="AG1404">
            <v>3.2427236300000022</v>
          </cell>
          <cell r="AH1404">
            <v>3.2946329600000017</v>
          </cell>
          <cell r="AI1404">
            <v>3.3453336800000013</v>
          </cell>
          <cell r="AJ1404">
            <v>3.3948596899999988</v>
          </cell>
          <cell r="AK1404">
            <v>3.4428006300000007</v>
          </cell>
          <cell r="AL1404">
            <v>3.4892599400000002</v>
          </cell>
          <cell r="AM1404">
            <v>3.5343025899999994</v>
          </cell>
          <cell r="AN1404">
            <v>3.5779550899999983</v>
          </cell>
          <cell r="AO1404">
            <v>3.6202236000000001</v>
          </cell>
          <cell r="AP1404">
            <v>3.6587989599999982</v>
          </cell>
          <cell r="AQ1404">
            <v>3.6931455500000014</v>
          </cell>
          <cell r="AR1404">
            <v>3.7243871200000003</v>
          </cell>
          <cell r="AS1404">
            <v>3.7533046799999998</v>
          </cell>
          <cell r="AT1404">
            <v>3.7804586000000002</v>
          </cell>
          <cell r="AU1404">
            <v>3.8057645400000006</v>
          </cell>
          <cell r="AV1404">
            <v>3.82970232</v>
          </cell>
          <cell r="AW1404">
            <v>3.8526505500000003</v>
          </cell>
          <cell r="AX1404">
            <v>3.8748876200000004</v>
          </cell>
          <cell r="AY1404">
            <v>3.8966168299999993</v>
          </cell>
          <cell r="AZ1404">
            <v>3.9163109599999997</v>
          </cell>
          <cell r="BA1404">
            <v>3.9347456300000001</v>
          </cell>
          <cell r="BB1404">
            <v>3.9524310499999995</v>
          </cell>
          <cell r="BC1404">
            <v>3.9696913499999988</v>
          </cell>
          <cell r="BD1404">
            <v>3.9867238100000009</v>
          </cell>
          <cell r="BE1404">
            <v>-8.9909590000000761E-2</v>
          </cell>
          <cell r="BF1404">
            <v>-9.4422660000001435E-2</v>
          </cell>
          <cell r="BG1404">
            <v>-9.911473000000226E-2</v>
          </cell>
          <cell r="BH1404">
            <v>-0.10399653000000009</v>
          </cell>
          <cell r="BI1404">
            <v>-0.10905186999999872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-1.2899260187835482</v>
          </cell>
          <cell r="G1405">
            <v>-1.2750905505375836</v>
          </cell>
          <cell r="H1405">
            <v>-1.2975970018977816</v>
          </cell>
          <cell r="I1405">
            <v>-1.3234175219585886</v>
          </cell>
          <cell r="J1405">
            <v>-1.3501857470461378</v>
          </cell>
          <cell r="K1405">
            <v>-1.3794012811341876</v>
          </cell>
          <cell r="L1405">
            <v>-1.4129575563683492</v>
          </cell>
          <cell r="M1405">
            <v>-1.44939690126177</v>
          </cell>
          <cell r="N1405">
            <v>-1.4877745376782836</v>
          </cell>
          <cell r="O1405">
            <v>-1.5269773852122277</v>
          </cell>
          <cell r="P1405">
            <v>-1.5663922656100795</v>
          </cell>
          <cell r="Q1405">
            <v>-1.6096833033400089</v>
          </cell>
          <cell r="R1405">
            <v>-1.6516505078789923</v>
          </cell>
          <cell r="S1405">
            <v>-1.6927063678716381</v>
          </cell>
          <cell r="T1405">
            <v>-1.7331388791386602</v>
          </cell>
          <cell r="U1405">
            <v>-1.773222692198009</v>
          </cell>
          <cell r="V1405">
            <v>-1.8177412850706918</v>
          </cell>
          <cell r="W1405">
            <v>-1.8617965016702522</v>
          </cell>
          <cell r="X1405">
            <v>-1.9057249113047952</v>
          </cell>
          <cell r="Y1405">
            <v>-1.9496421080052513</v>
          </cell>
          <cell r="Z1405">
            <v>-1.9933478563234532</v>
          </cell>
          <cell r="AA1405">
            <v>-2.0373499609800261</v>
          </cell>
          <cell r="AB1405">
            <v>-2.0814602720406743</v>
          </cell>
          <cell r="AC1405">
            <v>-2.1255830117689429</v>
          </cell>
          <cell r="AD1405">
            <v>-2.1696714505089685</v>
          </cell>
          <cell r="AE1405">
            <v>-2.2128488343171644</v>
          </cell>
          <cell r="AF1405">
            <v>-2.2550355508818902</v>
          </cell>
          <cell r="AG1405">
            <v>-2.2977188824900403</v>
          </cell>
          <cell r="AH1405">
            <v>-2.3406676828426622</v>
          </cell>
          <cell r="AI1405">
            <v>-2.3837705174529855</v>
          </cell>
          <cell r="AJ1405">
            <v>-2.4269554577751467</v>
          </cell>
          <cell r="AK1405">
            <v>-2.4693380915013732</v>
          </cell>
          <cell r="AL1405">
            <v>-2.5117900888230538</v>
          </cell>
          <cell r="AM1405">
            <v>-2.5542341580051318</v>
          </cell>
          <cell r="AN1405">
            <v>-2.5966261649329114</v>
          </cell>
          <cell r="AO1405">
            <v>-2.6389291933780488</v>
          </cell>
          <cell r="AP1405">
            <v>-2.6740345350800867</v>
          </cell>
          <cell r="AQ1405">
            <v>-2.7098811837978634</v>
          </cell>
          <cell r="AR1405">
            <v>-2.746155375353637</v>
          </cell>
          <cell r="AS1405">
            <v>-2.7827449817919061</v>
          </cell>
          <cell r="AT1405">
            <v>-2.8195567520114455</v>
          </cell>
          <cell r="AU1405">
            <v>-2.8554625223648715</v>
          </cell>
          <cell r="AV1405">
            <v>-2.8915110185187602</v>
          </cell>
          <cell r="AW1405">
            <v>-2.9275832863736571</v>
          </cell>
          <cell r="AX1405">
            <v>-2.9636101308317651</v>
          </cell>
          <cell r="AY1405">
            <v>-2.9995387019458359</v>
          </cell>
          <cell r="AZ1405">
            <v>-3.0320400787178214</v>
          </cell>
          <cell r="BA1405">
            <v>-3.0646540598091323</v>
          </cell>
          <cell r="BB1405">
            <v>-3.0972127974550645</v>
          </cell>
          <cell r="BC1405">
            <v>-3.1296509301901212</v>
          </cell>
          <cell r="BD1405">
            <v>-3.1619220538560824</v>
          </cell>
          <cell r="BE1405">
            <v>2.5088340241877227E-2</v>
          </cell>
          <cell r="BF1405">
            <v>2.3677838209086803E-2</v>
          </cell>
          <cell r="BG1405">
            <v>2.2157323216682578E-2</v>
          </cell>
          <cell r="BH1405">
            <v>2.0562063689133103E-2</v>
          </cell>
          <cell r="BI1405">
            <v>1.8911098973554932E-2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4.1688147332378037E-2</v>
          </cell>
          <cell r="G1406">
            <v>4.4476572575530282E-2</v>
          </cell>
          <cell r="H1406">
            <v>5.2703122289599579E-2</v>
          </cell>
          <cell r="I1406">
            <v>6.1254369663651595E-2</v>
          </cell>
          <cell r="J1406">
            <v>6.9443135690021307E-2</v>
          </cell>
          <cell r="K1406">
            <v>7.6989571886737496E-2</v>
          </cell>
          <cell r="L1406">
            <v>8.411600508536568E-2</v>
          </cell>
          <cell r="M1406">
            <v>9.0813383237724546E-2</v>
          </cell>
          <cell r="N1406">
            <v>9.7058055176725208E-2</v>
          </cell>
          <cell r="O1406">
            <v>0.10280352277095145</v>
          </cell>
          <cell r="P1406">
            <v>0.10795900482774255</v>
          </cell>
          <cell r="Q1406">
            <v>0.11272966488577105</v>
          </cell>
          <cell r="R1406">
            <v>0.11691886087256478</v>
          </cell>
          <cell r="S1406">
            <v>0.12056874301196903</v>
          </cell>
          <cell r="T1406">
            <v>0.12370814576682342</v>
          </cell>
          <cell r="U1406">
            <v>0.12637013590139046</v>
          </cell>
          <cell r="V1406">
            <v>0.12873194427569598</v>
          </cell>
          <cell r="W1406">
            <v>0.13069677862741597</v>
          </cell>
          <cell r="X1406">
            <v>0.13233708443687614</v>
          </cell>
          <cell r="Y1406">
            <v>0.13370350410927562</v>
          </cell>
          <cell r="Z1406">
            <v>0.13487475338475885</v>
          </cell>
          <cell r="AA1406">
            <v>0.13583447858471331</v>
          </cell>
          <cell r="AB1406">
            <v>0.13664728729051756</v>
          </cell>
          <cell r="AC1406">
            <v>0.13734395385984788</v>
          </cell>
          <cell r="AD1406">
            <v>0.13795365230125975</v>
          </cell>
          <cell r="AE1406">
            <v>0.13858569393145231</v>
          </cell>
          <cell r="AF1406">
            <v>0.13911781456770381</v>
          </cell>
          <cell r="AG1406">
            <v>0.13965058317375445</v>
          </cell>
          <cell r="AH1406">
            <v>0.14018158705680125</v>
          </cell>
          <cell r="AI1406">
            <v>0.14071615622779071</v>
          </cell>
          <cell r="AJ1406">
            <v>0.141259717182525</v>
          </cell>
          <cell r="AK1406">
            <v>0.14179256830456727</v>
          </cell>
          <cell r="AL1406">
            <v>0.14234186896347426</v>
          </cell>
          <cell r="AM1406">
            <v>0.14290400379301221</v>
          </cell>
          <cell r="AN1406">
            <v>0.14347792136897783</v>
          </cell>
          <cell r="AO1406">
            <v>0.14406220000891742</v>
          </cell>
          <cell r="AP1406">
            <v>0.14448092426953518</v>
          </cell>
          <cell r="AQ1406">
            <v>0.14493236230858769</v>
          </cell>
          <cell r="AR1406">
            <v>0.14537948203045581</v>
          </cell>
          <cell r="AS1406">
            <v>0.14581529671326543</v>
          </cell>
          <cell r="AT1406">
            <v>0.14623710829120476</v>
          </cell>
          <cell r="AU1406">
            <v>0.14661451671972095</v>
          </cell>
          <cell r="AV1406">
            <v>0.14697629863565914</v>
          </cell>
          <cell r="AW1406">
            <v>0.1473162423679456</v>
          </cell>
          <cell r="AX1406">
            <v>0.14763364518244962</v>
          </cell>
          <cell r="AY1406">
            <v>0.14793078518622604</v>
          </cell>
          <cell r="AZ1406">
            <v>0.1481274989380478</v>
          </cell>
          <cell r="BA1406">
            <v>0.14833444853056352</v>
          </cell>
          <cell r="BB1406">
            <v>0.14855393016565099</v>
          </cell>
          <cell r="BC1406">
            <v>0.14875657276491092</v>
          </cell>
          <cell r="BD1406">
            <v>0.14892020622645669</v>
          </cell>
          <cell r="BE1406">
            <v>-1.4290277810535823E-2</v>
          </cell>
          <cell r="BF1406">
            <v>-1.4575120011606733E-2</v>
          </cell>
          <cell r="BG1406">
            <v>-1.4850600843896618E-2</v>
          </cell>
          <cell r="BH1406">
            <v>-1.5118730917251105E-2</v>
          </cell>
          <cell r="BI1406">
            <v>-1.5380040732979224E-2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0.67698412293571009</v>
          </cell>
          <cell r="G1407">
            <v>1.1607258718348081</v>
          </cell>
          <cell r="H1407">
            <v>1.545076005171852</v>
          </cell>
          <cell r="I1407">
            <v>1.8464608407800782</v>
          </cell>
          <cell r="J1407">
            <v>2.0783950399984317</v>
          </cell>
          <cell r="K1407">
            <v>2.2533095798855949</v>
          </cell>
          <cell r="L1407">
            <v>2.3830669521676837</v>
          </cell>
          <cell r="M1407">
            <v>2.4782824930335914</v>
          </cell>
          <cell r="N1407">
            <v>2.5473884103378515</v>
          </cell>
          <cell r="O1407">
            <v>2.5972242733616784</v>
          </cell>
          <cell r="P1407">
            <v>2.633715571820515</v>
          </cell>
          <cell r="Q1407">
            <v>2.6613112957767657</v>
          </cell>
          <cell r="R1407">
            <v>2.683398246079455</v>
          </cell>
          <cell r="S1407">
            <v>2.7015141261957853</v>
          </cell>
          <cell r="T1407">
            <v>2.7167904254425284</v>
          </cell>
          <cell r="U1407">
            <v>2.7300972800499137</v>
          </cell>
          <cell r="V1407">
            <v>2.7445489938507164</v>
          </cell>
          <cell r="W1407">
            <v>2.7597506576763666</v>
          </cell>
          <cell r="X1407">
            <v>2.7757912685942325</v>
          </cell>
          <cell r="Y1407">
            <v>2.7928135055852708</v>
          </cell>
          <cell r="Z1407">
            <v>2.8104767050122503</v>
          </cell>
          <cell r="AA1407">
            <v>2.8305454065964324</v>
          </cell>
          <cell r="AB1407">
            <v>2.8517893680840896</v>
          </cell>
          <cell r="AC1407">
            <v>2.8743234289352766</v>
          </cell>
          <cell r="AD1407">
            <v>2.8982043437836378</v>
          </cell>
          <cell r="AE1407">
            <v>2.9218297055385118</v>
          </cell>
          <cell r="AF1407">
            <v>2.948517199997867</v>
          </cell>
          <cell r="AG1407">
            <v>2.9761256241591911</v>
          </cell>
          <cell r="AH1407">
            <v>3.0045344462352985</v>
          </cell>
          <cell r="AI1407">
            <v>3.0335896725958258</v>
          </cell>
          <cell r="AJ1407">
            <v>3.0631281888352682</v>
          </cell>
          <cell r="AK1407">
            <v>3.0925525886724934</v>
          </cell>
          <cell r="AL1407">
            <v>3.1218994944276801</v>
          </cell>
          <cell r="AM1407">
            <v>3.1511269487621298</v>
          </cell>
          <cell r="AN1407">
            <v>3.1801915277293666</v>
          </cell>
          <cell r="AO1407">
            <v>3.2090535739895611</v>
          </cell>
          <cell r="AP1407">
            <v>3.2335788288734171</v>
          </cell>
          <cell r="AQ1407">
            <v>3.2560890026800315</v>
          </cell>
          <cell r="AR1407">
            <v>3.2771277287731535</v>
          </cell>
          <cell r="AS1407">
            <v>3.2971273177222091</v>
          </cell>
          <cell r="AT1407">
            <v>3.3164442341453557</v>
          </cell>
          <cell r="AU1407">
            <v>3.3348214161811085</v>
          </cell>
          <cell r="AV1407">
            <v>3.3527235381810039</v>
          </cell>
          <cell r="AW1407">
            <v>3.3704482152212876</v>
          </cell>
          <cell r="AX1407">
            <v>3.3882304106528998</v>
          </cell>
          <cell r="AY1407">
            <v>3.4062550817535704</v>
          </cell>
          <cell r="AZ1407">
            <v>3.4229396555458846</v>
          </cell>
          <cell r="BA1407">
            <v>3.4390397527016106</v>
          </cell>
          <cell r="BB1407">
            <v>3.454979556612122</v>
          </cell>
          <cell r="BC1407">
            <v>3.4710837381289448</v>
          </cell>
          <cell r="BD1407">
            <v>3.4875900944809302</v>
          </cell>
          <cell r="BE1407">
            <v>-3.3322679994021893E-2</v>
          </cell>
          <cell r="BF1407">
            <v>-3.5692533237813295E-2</v>
          </cell>
          <cell r="BG1407">
            <v>-3.8023948859414007E-2</v>
          </cell>
          <cell r="BH1407">
            <v>-4.0292657603382964E-2</v>
          </cell>
          <cell r="BI1407">
            <v>-4.248222650924012E-2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0.71960110597272153</v>
          </cell>
          <cell r="G1408">
            <v>1.1108822587465976</v>
          </cell>
          <cell r="H1408">
            <v>1.4155243685742513</v>
          </cell>
          <cell r="I1408">
            <v>1.679806374448755</v>
          </cell>
          <cell r="J1408">
            <v>1.9145887798886838</v>
          </cell>
          <cell r="K1408">
            <v>2.121322368776013</v>
          </cell>
          <cell r="L1408">
            <v>2.3018293246060169</v>
          </cell>
          <cell r="M1408">
            <v>2.4596626097016108</v>
          </cell>
          <cell r="N1408">
            <v>2.5992048552493481</v>
          </cell>
          <cell r="O1408">
            <v>2.725093220783199</v>
          </cell>
          <cell r="P1408">
            <v>2.8415719143312397</v>
          </cell>
          <cell r="Q1408">
            <v>2.9530739980005789</v>
          </cell>
          <cell r="R1408">
            <v>3.0603409815148885</v>
          </cell>
          <cell r="S1408">
            <v>3.1635506392605399</v>
          </cell>
          <cell r="T1408">
            <v>3.2628534056666401</v>
          </cell>
          <cell r="U1408">
            <v>3.3582841849683311</v>
          </cell>
          <cell r="V1408">
            <v>3.4524246946617287</v>
          </cell>
          <cell r="W1408">
            <v>3.5436547455607328</v>
          </cell>
          <cell r="X1408">
            <v>3.6317546494429309</v>
          </cell>
          <cell r="Y1408">
            <v>3.7168414863773784</v>
          </cell>
          <cell r="Z1408">
            <v>3.7994096623969895</v>
          </cell>
          <cell r="AA1408">
            <v>3.8793019779826912</v>
          </cell>
          <cell r="AB1408">
            <v>3.9568529391625482</v>
          </cell>
          <cell r="AC1408">
            <v>4.0326186859736328</v>
          </cell>
          <cell r="AD1408">
            <v>4.1069447774964161</v>
          </cell>
          <cell r="AE1408">
            <v>4.1810494798353623</v>
          </cell>
          <cell r="AF1408">
            <v>4.2527972133525456</v>
          </cell>
          <cell r="AG1408">
            <v>4.3229952325836392</v>
          </cell>
          <cell r="AH1408">
            <v>4.3924134258808234</v>
          </cell>
          <cell r="AI1408">
            <v>4.4613874968485483</v>
          </cell>
          <cell r="AJ1408">
            <v>4.5300941667409003</v>
          </cell>
          <cell r="AK1408">
            <v>4.5982062694875951</v>
          </cell>
          <cell r="AL1408">
            <v>4.6662068003211736</v>
          </cell>
          <cell r="AM1408">
            <v>4.7343330889653625</v>
          </cell>
          <cell r="AN1408">
            <v>4.8027653127158585</v>
          </cell>
          <cell r="AO1408">
            <v>4.8716483338523995</v>
          </cell>
          <cell r="AP1408">
            <v>4.9373648711973246</v>
          </cell>
          <cell r="AQ1408">
            <v>5.0022634600928804</v>
          </cell>
          <cell r="AR1408">
            <v>5.0667409348922741</v>
          </cell>
          <cell r="AS1408">
            <v>5.1310202367184861</v>
          </cell>
          <cell r="AT1408">
            <v>5.1952921921999806</v>
          </cell>
          <cell r="AU1408">
            <v>5.2591347861259701</v>
          </cell>
          <cell r="AV1408">
            <v>5.3231268242107932</v>
          </cell>
          <cell r="AW1408">
            <v>5.3874898392828152</v>
          </cell>
          <cell r="AX1408">
            <v>5.4523594144715641</v>
          </cell>
          <cell r="AY1408">
            <v>5.5178354728824388</v>
          </cell>
          <cell r="AZ1408">
            <v>5.5820172493557569</v>
          </cell>
          <cell r="BA1408">
            <v>5.6463517673320833</v>
          </cell>
          <cell r="BB1408">
            <v>5.7111177373296265</v>
          </cell>
          <cell r="BC1408">
            <v>5.7763633801579797</v>
          </cell>
          <cell r="BD1408">
            <v>5.8420973222538111</v>
          </cell>
          <cell r="BE1408">
            <v>-2.889316514713032E-2</v>
          </cell>
          <cell r="BF1408">
            <v>-3.2486357194434073E-2</v>
          </cell>
          <cell r="BG1408">
            <v>-3.6087102957965168E-2</v>
          </cell>
          <cell r="BH1408">
            <v>-3.964266266881554E-2</v>
          </cell>
          <cell r="BI1408">
            <v>-4.3128238461639587E-2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2.6787369408558193</v>
          </cell>
          <cell r="G1409">
            <v>4.5773706246460932</v>
          </cell>
          <cell r="H1409">
            <v>6.7410006264186029</v>
          </cell>
          <cell r="I1409">
            <v>9.0443996089107692</v>
          </cell>
          <cell r="J1409">
            <v>11.432840434628144</v>
          </cell>
          <cell r="K1409">
            <v>13.871079162186007</v>
          </cell>
          <cell r="L1409">
            <v>16.344380335864418</v>
          </cell>
          <cell r="M1409">
            <v>18.824275237193522</v>
          </cell>
          <cell r="N1409">
            <v>21.293961231432444</v>
          </cell>
          <cell r="O1409">
            <v>23.741945357672734</v>
          </cell>
          <cell r="P1409">
            <v>26.133781666482236</v>
          </cell>
          <cell r="Q1409">
            <v>28.524740560626206</v>
          </cell>
          <cell r="R1409">
            <v>30.891465405402073</v>
          </cell>
          <cell r="S1409">
            <v>33.23523651541089</v>
          </cell>
          <cell r="T1409">
            <v>35.557386341539434</v>
          </cell>
          <cell r="U1409">
            <v>37.859500134342319</v>
          </cell>
          <cell r="V1409">
            <v>40.154837896222958</v>
          </cell>
          <cell r="W1409">
            <v>42.439748256407185</v>
          </cell>
          <cell r="X1409">
            <v>44.71627635844316</v>
          </cell>
          <cell r="Y1409">
            <v>46.986041211041076</v>
          </cell>
          <cell r="Z1409">
            <v>49.28522330014934</v>
          </cell>
          <cell r="AA1409">
            <v>51.556706364044288</v>
          </cell>
          <cell r="AB1409">
            <v>53.823709548147356</v>
          </cell>
          <cell r="AC1409">
            <v>56.087479146359257</v>
          </cell>
          <cell r="AD1409">
            <v>58.34941413848491</v>
          </cell>
          <cell r="AE1409">
            <v>60.725692113540767</v>
          </cell>
          <cell r="AF1409">
            <v>63.074789461719213</v>
          </cell>
          <cell r="AG1409">
            <v>65.435253921810542</v>
          </cell>
          <cell r="AH1409">
            <v>67.804557237201507</v>
          </cell>
          <cell r="AI1409">
            <v>70.180890357675636</v>
          </cell>
          <cell r="AJ1409">
            <v>72.562608306976813</v>
          </cell>
          <cell r="AK1409">
            <v>74.945821852216071</v>
          </cell>
          <cell r="AL1409">
            <v>77.330285743020653</v>
          </cell>
          <cell r="AM1409">
            <v>79.714787237546986</v>
          </cell>
          <cell r="AN1409">
            <v>82.098420477415274</v>
          </cell>
          <cell r="AO1409">
            <v>84.480503236393233</v>
          </cell>
          <cell r="AP1409">
            <v>86.874894055556311</v>
          </cell>
          <cell r="AQ1409">
            <v>89.26830585884953</v>
          </cell>
          <cell r="AR1409">
            <v>91.658235580422129</v>
          </cell>
          <cell r="AS1409">
            <v>94.042976990691969</v>
          </cell>
          <cell r="AT1409">
            <v>96.421297624014471</v>
          </cell>
          <cell r="AU1409">
            <v>98.789158132116711</v>
          </cell>
          <cell r="AV1409">
            <v>101.14762791020952</v>
          </cell>
          <cell r="AW1409">
            <v>103.49649452550894</v>
          </cell>
          <cell r="AX1409">
            <v>105.83595197931434</v>
          </cell>
          <cell r="AY1409">
            <v>108.16645994792266</v>
          </cell>
          <cell r="AZ1409">
            <v>110.47453724098202</v>
          </cell>
          <cell r="BA1409">
            <v>112.76866647364005</v>
          </cell>
          <cell r="BB1409">
            <v>115.04988286856603</v>
          </cell>
          <cell r="BC1409">
            <v>117.31961571287658</v>
          </cell>
          <cell r="BD1409">
            <v>119.57931415009311</v>
          </cell>
          <cell r="BE1409">
            <v>-0.31622750646672637</v>
          </cell>
          <cell r="BF1409">
            <v>-0.35047498363949825</v>
          </cell>
          <cell r="BG1409">
            <v>-0.38649508567719648</v>
          </cell>
          <cell r="BH1409">
            <v>-0.42419383410826628</v>
          </cell>
          <cell r="BI1409">
            <v>-0.46344306992865403</v>
          </cell>
        </row>
        <row r="1410">
          <cell r="C1410" t="str">
            <v>PIB</v>
          </cell>
          <cell r="E1410" t="str">
            <v>GDP_2</v>
          </cell>
          <cell r="F1410">
            <v>2162986.15</v>
          </cell>
          <cell r="G1410">
            <v>2181709.9309999999</v>
          </cell>
          <cell r="H1410">
            <v>2203815.872</v>
          </cell>
          <cell r="I1410">
            <v>2228873.3169999998</v>
          </cell>
          <cell r="J1410">
            <v>2256655.8220000002</v>
          </cell>
          <cell r="K1410">
            <v>2286849.8650000002</v>
          </cell>
          <cell r="L1410">
            <v>2317580.7170000002</v>
          </cell>
          <cell r="M1410">
            <v>2349710.4160000002</v>
          </cell>
          <cell r="N1410">
            <v>2383066.4720000001</v>
          </cell>
          <cell r="O1410">
            <v>2417489.8319999999</v>
          </cell>
          <cell r="P1410">
            <v>2455513.9210000001</v>
          </cell>
          <cell r="Q1410">
            <v>2492237.2919999999</v>
          </cell>
          <cell r="R1410">
            <v>2529491.1919999998</v>
          </cell>
          <cell r="S1410">
            <v>2567206.92</v>
          </cell>
          <cell r="T1410">
            <v>2605353.38</v>
          </cell>
          <cell r="U1410">
            <v>2643921.156</v>
          </cell>
          <cell r="V1410">
            <v>2682756.2579999999</v>
          </cell>
          <cell r="W1410">
            <v>2722010.3960000002</v>
          </cell>
          <cell r="X1410">
            <v>2761705.923</v>
          </cell>
          <cell r="Y1410">
            <v>2801869.4330000002</v>
          </cell>
          <cell r="Z1410">
            <v>2840551.3829999999</v>
          </cell>
          <cell r="AA1410">
            <v>2881181.68</v>
          </cell>
          <cell r="AB1410">
            <v>2922463.8739999998</v>
          </cell>
          <cell r="AC1410">
            <v>2964417.6159999999</v>
          </cell>
          <cell r="AD1410">
            <v>3007050.4739999999</v>
          </cell>
          <cell r="AE1410">
            <v>3044680.585</v>
          </cell>
          <cell r="AF1410">
            <v>3084463.4</v>
          </cell>
          <cell r="AG1410">
            <v>3124470.8769999999</v>
          </cell>
          <cell r="AH1410">
            <v>3164841.023</v>
          </cell>
          <cell r="AI1410">
            <v>3205678.952</v>
          </cell>
          <cell r="AJ1410">
            <v>3247065.2390000001</v>
          </cell>
          <cell r="AK1410">
            <v>3289093.1189999999</v>
          </cell>
          <cell r="AL1410">
            <v>3331769.93</v>
          </cell>
          <cell r="AM1410">
            <v>3375116.9410000001</v>
          </cell>
          <cell r="AN1410">
            <v>3419143.764</v>
          </cell>
          <cell r="AO1410">
            <v>3463853.077</v>
          </cell>
          <cell r="AP1410">
            <v>3508191.9049999998</v>
          </cell>
          <cell r="AQ1410">
            <v>3552860.372</v>
          </cell>
          <cell r="AR1410">
            <v>3597923.4309999999</v>
          </cell>
          <cell r="AS1410">
            <v>3643440.1469999999</v>
          </cell>
          <cell r="AT1410">
            <v>3689462.4640000002</v>
          </cell>
          <cell r="AU1410">
            <v>3736084.2</v>
          </cell>
          <cell r="AV1410">
            <v>3783297.2349999999</v>
          </cell>
          <cell r="AW1410">
            <v>3831125.9419999998</v>
          </cell>
          <cell r="AX1410">
            <v>3879586.2829999998</v>
          </cell>
          <cell r="AY1410">
            <v>3928688.5159999998</v>
          </cell>
          <cell r="AZ1410">
            <v>3978733.61</v>
          </cell>
          <cell r="BA1410">
            <v>4029495.781</v>
          </cell>
          <cell r="BB1410">
            <v>4080969.3059999999</v>
          </cell>
          <cell r="BC1410">
            <v>4133145.8289999999</v>
          </cell>
          <cell r="BD1410">
            <v>4186018.8640000001</v>
          </cell>
          <cell r="BE1410">
            <v>4934052.733</v>
          </cell>
          <cell r="BF1410">
            <v>5016319.7319999998</v>
          </cell>
          <cell r="BG1410">
            <v>5099876.3890000004</v>
          </cell>
          <cell r="BH1410">
            <v>5184742.5460000001</v>
          </cell>
          <cell r="BI1410">
            <v>5270939.8990000002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-2.6101976136061467E-8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-2.419463518421594E-8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-1.8971946236234771E-8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1178209.514</v>
          </cell>
          <cell r="G1412">
            <v>1213269.422</v>
          </cell>
          <cell r="H1412">
            <v>1249814.8</v>
          </cell>
          <cell r="I1412">
            <v>1288337.1089999999</v>
          </cell>
          <cell r="J1412">
            <v>1329522.4269999999</v>
          </cell>
          <cell r="K1412">
            <v>1373551.2830000001</v>
          </cell>
          <cell r="L1412">
            <v>1419041.2579999999</v>
          </cell>
          <cell r="M1412">
            <v>1467257.8840000001</v>
          </cell>
          <cell r="N1412">
            <v>1518182.8049999999</v>
          </cell>
          <cell r="O1412">
            <v>1571845.3589999999</v>
          </cell>
          <cell r="P1412">
            <v>1630867.4620000001</v>
          </cell>
          <cell r="Q1412">
            <v>1690259.9620000001</v>
          </cell>
          <cell r="R1412">
            <v>1752519.4450000001</v>
          </cell>
          <cell r="S1412">
            <v>1817621.986</v>
          </cell>
          <cell r="T1412">
            <v>1885565.8330000001</v>
          </cell>
          <cell r="U1412">
            <v>1956347.2560000001</v>
          </cell>
          <cell r="V1412">
            <v>2029956.692</v>
          </cell>
          <cell r="W1412">
            <v>2106356.4509999999</v>
          </cell>
          <cell r="X1412">
            <v>2185535.1269999999</v>
          </cell>
          <cell r="Y1412">
            <v>2267496.5150000001</v>
          </cell>
          <cell r="Z1412">
            <v>2349934.2949999999</v>
          </cell>
          <cell r="AA1412">
            <v>2437389.7880000002</v>
          </cell>
          <cell r="AB1412">
            <v>2527674.5070000002</v>
          </cell>
          <cell r="AC1412">
            <v>2620868.0520000001</v>
          </cell>
          <cell r="AD1412">
            <v>2717036.7769999998</v>
          </cell>
          <cell r="AE1412">
            <v>2808839.608</v>
          </cell>
          <cell r="AF1412">
            <v>2907195.2960000001</v>
          </cell>
          <cell r="AG1412">
            <v>3008384.443</v>
          </cell>
          <cell r="AH1412">
            <v>3112561.233</v>
          </cell>
          <cell r="AI1412">
            <v>3219847.8149999999</v>
          </cell>
          <cell r="AJ1412">
            <v>3330367.662</v>
          </cell>
          <cell r="AK1412">
            <v>3444260.6690000002</v>
          </cell>
          <cell r="AL1412">
            <v>3561695.0759999999</v>
          </cell>
          <cell r="AM1412">
            <v>3682848.003</v>
          </cell>
          <cell r="AN1412">
            <v>3807906.142</v>
          </cell>
          <cell r="AO1412">
            <v>3937063.7379999999</v>
          </cell>
          <cell r="AP1412">
            <v>4068310.73</v>
          </cell>
          <cell r="AQ1412">
            <v>4203949.6509999996</v>
          </cell>
          <cell r="AR1412">
            <v>4344151.4610000001</v>
          </cell>
          <cell r="AS1412">
            <v>4489094.0970000001</v>
          </cell>
          <cell r="AT1412">
            <v>4638958.3770000003</v>
          </cell>
          <cell r="AU1412">
            <v>4793929.4170000004</v>
          </cell>
          <cell r="AV1412">
            <v>4954215.4649999999</v>
          </cell>
          <cell r="AW1412">
            <v>5120018.0839999998</v>
          </cell>
          <cell r="AX1412">
            <v>5291541.6840000004</v>
          </cell>
          <cell r="AY1412">
            <v>5468996.5480000004</v>
          </cell>
          <cell r="AZ1412">
            <v>5652836.8090000004</v>
          </cell>
          <cell r="BA1412">
            <v>5843128.6030000001</v>
          </cell>
          <cell r="BB1412">
            <v>6040106.7050000001</v>
          </cell>
          <cell r="BC1412">
            <v>6243987.9890000001</v>
          </cell>
          <cell r="BD1412">
            <v>6454990.8550000004</v>
          </cell>
          <cell r="BE1412">
            <v>6406006.1739999996</v>
          </cell>
          <cell r="BF1412">
            <v>6609777.1940000001</v>
          </cell>
          <cell r="BG1412">
            <v>6819700.4450000003</v>
          </cell>
          <cell r="BH1412">
            <v>7035997.3969999999</v>
          </cell>
          <cell r="BI1412">
            <v>7258896.4110000003</v>
          </cell>
        </row>
        <row r="1413">
          <cell r="C1413" t="str">
            <v>Recettes publiques</v>
          </cell>
          <cell r="E1413" t="str">
            <v>INC_G_VAL_2</v>
          </cell>
          <cell r="F1413">
            <v>996814.38970000006</v>
          </cell>
          <cell r="G1413">
            <v>1016411.836</v>
          </cell>
          <cell r="H1413">
            <v>1037996.969</v>
          </cell>
          <cell r="I1413">
            <v>1061939.9380000001</v>
          </cell>
          <cell r="J1413">
            <v>1088643.2250000001</v>
          </cell>
          <cell r="K1413">
            <v>1118327.5660000001</v>
          </cell>
          <cell r="L1413">
            <v>1150374.314</v>
          </cell>
          <cell r="M1413">
            <v>1185028.287</v>
          </cell>
          <cell r="N1413">
            <v>1222280.4950000001</v>
          </cell>
          <cell r="O1413">
            <v>1262106.1329999999</v>
          </cell>
          <cell r="P1413">
            <v>1305751.5249999999</v>
          </cell>
          <cell r="Q1413">
            <v>1351360.233</v>
          </cell>
          <cell r="R1413">
            <v>1399286.213</v>
          </cell>
          <cell r="S1413">
            <v>1449482.5630000001</v>
          </cell>
          <cell r="T1413">
            <v>1501919.81</v>
          </cell>
          <cell r="U1413">
            <v>1556576.926</v>
          </cell>
          <cell r="V1413">
            <v>1613360.169</v>
          </cell>
          <cell r="W1413">
            <v>1672263.97</v>
          </cell>
          <cell r="X1413">
            <v>1733275.8929999999</v>
          </cell>
          <cell r="Y1413">
            <v>1796384.7790000001</v>
          </cell>
          <cell r="Z1413">
            <v>1860417.2830000001</v>
          </cell>
          <cell r="AA1413">
            <v>1926962.452</v>
          </cell>
          <cell r="AB1413">
            <v>1995687.1810000001</v>
          </cell>
          <cell r="AC1413">
            <v>2066616.2309999999</v>
          </cell>
          <cell r="AD1413">
            <v>2139766.5249999999</v>
          </cell>
          <cell r="AE1413">
            <v>2211434.3130000001</v>
          </cell>
          <cell r="AF1413">
            <v>2284975.6320000002</v>
          </cell>
          <cell r="AG1413">
            <v>2359958.1839999999</v>
          </cell>
          <cell r="AH1413">
            <v>2436582.35</v>
          </cell>
          <cell r="AI1413">
            <v>2515031.19</v>
          </cell>
          <cell r="AJ1413">
            <v>2595471.085</v>
          </cell>
          <cell r="AK1413">
            <v>2678077.6660000002</v>
          </cell>
          <cell r="AL1413">
            <v>2762989.4470000002</v>
          </cell>
          <cell r="AM1413">
            <v>2850340.4789999998</v>
          </cell>
          <cell r="AN1413">
            <v>2940261.3450000002</v>
          </cell>
          <cell r="AO1413">
            <v>3032881.7220000001</v>
          </cell>
          <cell r="AP1413">
            <v>3127454.8160000001</v>
          </cell>
          <cell r="AQ1413">
            <v>3224452.5329999998</v>
          </cell>
          <cell r="AR1413">
            <v>3324063.2379999999</v>
          </cell>
          <cell r="AS1413">
            <v>3426489.6749999998</v>
          </cell>
          <cell r="AT1413">
            <v>3531933.7519999999</v>
          </cell>
          <cell r="AU1413">
            <v>3640628.602</v>
          </cell>
          <cell r="AV1413">
            <v>3752751.43</v>
          </cell>
          <cell r="AW1413">
            <v>3868472.3509999998</v>
          </cell>
          <cell r="AX1413">
            <v>3987952.0970000001</v>
          </cell>
          <cell r="AY1413">
            <v>4111344.3149999999</v>
          </cell>
          <cell r="AZ1413">
            <v>4239062.6660000002</v>
          </cell>
          <cell r="BA1413">
            <v>4371191.483</v>
          </cell>
          <cell r="BB1413">
            <v>4507860.5410000002</v>
          </cell>
          <cell r="BC1413">
            <v>4649198.1330000004</v>
          </cell>
          <cell r="BD1413">
            <v>4795334.5750000002</v>
          </cell>
          <cell r="BE1413">
            <v>6227547.3530000001</v>
          </cell>
          <cell r="BF1413">
            <v>6447101.7589999996</v>
          </cell>
          <cell r="BG1413">
            <v>6673897.7949999999</v>
          </cell>
          <cell r="BH1413">
            <v>6908213.1090000002</v>
          </cell>
          <cell r="BI1413">
            <v>7150343.2790000001</v>
          </cell>
        </row>
        <row r="1414">
          <cell r="C1414" t="str">
            <v>Solde public</v>
          </cell>
          <cell r="E1414" t="str">
            <v>Bal_G_tot_VAL_2</v>
          </cell>
          <cell r="F1414">
            <v>-79418.056689999998</v>
          </cell>
          <cell r="G1414">
            <v>-90909.614920000007</v>
          </cell>
          <cell r="H1414">
            <v>-101324.38</v>
          </cell>
          <cell r="I1414">
            <v>-110837.50079999999</v>
          </cell>
          <cell r="J1414">
            <v>-119777.65609999999</v>
          </cell>
          <cell r="K1414">
            <v>-128133.28909999999</v>
          </cell>
          <cell r="L1414">
            <v>-135169.85159999999</v>
          </cell>
          <cell r="M1414">
            <v>-141974.01149999999</v>
          </cell>
          <cell r="N1414">
            <v>-148548.0245</v>
          </cell>
          <cell r="O1414">
            <v>-154957.5393</v>
          </cell>
          <cell r="P1414">
            <v>-162586.37280000001</v>
          </cell>
          <cell r="Q1414">
            <v>-168240.84650000001</v>
          </cell>
          <cell r="R1414">
            <v>-174162.30669999999</v>
          </cell>
          <cell r="S1414">
            <v>-180360.3824</v>
          </cell>
          <cell r="T1414">
            <v>-186848.96369999999</v>
          </cell>
          <cell r="U1414">
            <v>-193630.82269999999</v>
          </cell>
          <cell r="V1414">
            <v>-200775.47450000001</v>
          </cell>
          <cell r="W1414">
            <v>-208232.65839999999</v>
          </cell>
          <cell r="X1414">
            <v>-215987.77859999999</v>
          </cell>
          <cell r="Y1414">
            <v>-224040.89110000001</v>
          </cell>
          <cell r="Z1414">
            <v>-231244.12340000001</v>
          </cell>
          <cell r="AA1414">
            <v>-240592.24069999999</v>
          </cell>
          <cell r="AB1414">
            <v>-250122.6189</v>
          </cell>
          <cell r="AC1414">
            <v>-259880.98360000001</v>
          </cell>
          <cell r="AD1414">
            <v>-269905.36499999999</v>
          </cell>
          <cell r="AE1414">
            <v>-276545.13959999999</v>
          </cell>
          <cell r="AF1414">
            <v>-287532.2524</v>
          </cell>
          <cell r="AG1414">
            <v>-299362.23379999999</v>
          </cell>
          <cell r="AH1414">
            <v>-311946.74540000001</v>
          </cell>
          <cell r="AI1414">
            <v>-325187.15169999999</v>
          </cell>
          <cell r="AJ1414">
            <v>-339007.74540000001</v>
          </cell>
          <cell r="AK1414">
            <v>-353343.78379999998</v>
          </cell>
          <cell r="AL1414">
            <v>-368199.22149999999</v>
          </cell>
          <cell r="AM1414">
            <v>-383591.15539999999</v>
          </cell>
          <cell r="AN1414">
            <v>-399548.86940000003</v>
          </cell>
          <cell r="AO1414">
            <v>-416108.64630000002</v>
          </cell>
          <cell r="AP1414">
            <v>-431977.11139999999</v>
          </cell>
          <cell r="AQ1414">
            <v>-449019.46059999999</v>
          </cell>
          <cell r="AR1414">
            <v>-467159.59250000003</v>
          </cell>
          <cell r="AS1414">
            <v>-486317.81109999999</v>
          </cell>
          <cell r="AT1414">
            <v>-506422.12359999999</v>
          </cell>
          <cell r="AU1414">
            <v>-527377.20770000003</v>
          </cell>
          <cell r="AV1414">
            <v>-549171.56709999999</v>
          </cell>
          <cell r="AW1414">
            <v>-571794.68720000004</v>
          </cell>
          <cell r="AX1414">
            <v>-595248.80619999999</v>
          </cell>
          <cell r="AY1414">
            <v>-619549.01240000001</v>
          </cell>
          <cell r="AZ1414">
            <v>-644693.47149999999</v>
          </cell>
          <cell r="BA1414">
            <v>-670621.77529999998</v>
          </cell>
          <cell r="BB1414">
            <v>-697399.72990000003</v>
          </cell>
          <cell r="BC1414">
            <v>-725073.43559999997</v>
          </cell>
          <cell r="BD1414">
            <v>-753686.18810000003</v>
          </cell>
          <cell r="BE1414">
            <v>77863.230030000006</v>
          </cell>
          <cell r="BF1414">
            <v>89753.453880000001</v>
          </cell>
          <cell r="BG1414">
            <v>102138.5665</v>
          </cell>
          <cell r="BH1414">
            <v>115050</v>
          </cell>
          <cell r="BI1414">
            <v>128528.6568</v>
          </cell>
        </row>
        <row r="1415">
          <cell r="C1415" t="str">
            <v>Dette publique</v>
          </cell>
          <cell r="E1415" t="str">
            <v>DEBT_G_VAL_2</v>
          </cell>
          <cell r="F1415">
            <v>2118959.41</v>
          </cell>
          <cell r="G1415">
            <v>2209869.0249999999</v>
          </cell>
          <cell r="H1415">
            <v>2311193.4049999998</v>
          </cell>
          <cell r="I1415">
            <v>2422030.906</v>
          </cell>
          <cell r="J1415">
            <v>2541808.5619999999</v>
          </cell>
          <cell r="K1415">
            <v>2669941.8509999998</v>
          </cell>
          <cell r="L1415">
            <v>2805111.7030000002</v>
          </cell>
          <cell r="M1415">
            <v>2947085.7140000002</v>
          </cell>
          <cell r="N1415">
            <v>3095633.7390000001</v>
          </cell>
          <cell r="O1415">
            <v>3250591.2779999999</v>
          </cell>
          <cell r="P1415">
            <v>3413177.6510000001</v>
          </cell>
          <cell r="Q1415">
            <v>3581418.497</v>
          </cell>
          <cell r="R1415">
            <v>3755580.804</v>
          </cell>
          <cell r="S1415">
            <v>3935941.1860000002</v>
          </cell>
          <cell r="T1415">
            <v>4122790.15</v>
          </cell>
          <cell r="U1415">
            <v>4316420.9730000002</v>
          </cell>
          <cell r="V1415">
            <v>4517196.4469999997</v>
          </cell>
          <cell r="W1415">
            <v>4725429.1059999997</v>
          </cell>
          <cell r="X1415">
            <v>4941416.8839999996</v>
          </cell>
          <cell r="Y1415">
            <v>5165457.7750000004</v>
          </cell>
          <cell r="Z1415">
            <v>5396701.8990000002</v>
          </cell>
          <cell r="AA1415">
            <v>5637294.1390000004</v>
          </cell>
          <cell r="AB1415">
            <v>5887416.7580000004</v>
          </cell>
          <cell r="AC1415">
            <v>6147297.7419999996</v>
          </cell>
          <cell r="AD1415">
            <v>6417203.1069999998</v>
          </cell>
          <cell r="AE1415">
            <v>6693748.2460000003</v>
          </cell>
          <cell r="AF1415">
            <v>6981280.4989999998</v>
          </cell>
          <cell r="AG1415">
            <v>7280642.733</v>
          </cell>
          <cell r="AH1415">
            <v>7592589.4780000001</v>
          </cell>
          <cell r="AI1415">
            <v>7917776.6299999999</v>
          </cell>
          <cell r="AJ1415">
            <v>8256784.375</v>
          </cell>
          <cell r="AK1415">
            <v>8610128.159</v>
          </cell>
          <cell r="AL1415">
            <v>8978327.3800000008</v>
          </cell>
          <cell r="AM1415">
            <v>9361918.5360000003</v>
          </cell>
          <cell r="AN1415">
            <v>9761467.4049999993</v>
          </cell>
          <cell r="AO1415">
            <v>10177576.050000001</v>
          </cell>
          <cell r="AP1415">
            <v>10609553.16</v>
          </cell>
          <cell r="AQ1415">
            <v>11058572.619999999</v>
          </cell>
          <cell r="AR1415">
            <v>11525732.220000001</v>
          </cell>
          <cell r="AS1415">
            <v>12012050.029999999</v>
          </cell>
          <cell r="AT1415">
            <v>12518472.15</v>
          </cell>
          <cell r="AU1415">
            <v>13045849.359999999</v>
          </cell>
          <cell r="AV1415">
            <v>13595020.93</v>
          </cell>
          <cell r="AW1415">
            <v>14166815.609999999</v>
          </cell>
          <cell r="AX1415">
            <v>14762064.42</v>
          </cell>
          <cell r="AY1415">
            <v>15381613.43</v>
          </cell>
          <cell r="AZ1415">
            <v>16026306.9</v>
          </cell>
          <cell r="BA1415">
            <v>16696928.68</v>
          </cell>
          <cell r="BB1415">
            <v>17394328.41</v>
          </cell>
          <cell r="BC1415">
            <v>18119401.84</v>
          </cell>
          <cell r="BD1415">
            <v>18873088.030000001</v>
          </cell>
          <cell r="BE1415">
            <v>5048577.7790000001</v>
          </cell>
          <cell r="BF1415">
            <v>4958824.3250000002</v>
          </cell>
          <cell r="BG1415">
            <v>4856685.7580000004</v>
          </cell>
          <cell r="BH1415">
            <v>4741635.7580000004</v>
          </cell>
          <cell r="BI1415">
            <v>4613107.102</v>
          </cell>
        </row>
        <row r="1434">
          <cell r="F1434">
            <v>27117.974910000001</v>
          </cell>
          <cell r="G1434">
            <v>26935.030569999999</v>
          </cell>
          <cell r="H1434">
            <v>26810.022420000001</v>
          </cell>
          <cell r="I1434">
            <v>26743.561030000001</v>
          </cell>
          <cell r="J1434">
            <v>26728.771959999998</v>
          </cell>
          <cell r="K1434">
            <v>26756.675569999999</v>
          </cell>
          <cell r="L1434">
            <v>26807.505290000001</v>
          </cell>
          <cell r="M1434">
            <v>26875.047310000002</v>
          </cell>
          <cell r="N1434">
            <v>26954.581429999998</v>
          </cell>
          <cell r="O1434">
            <v>27042.271270000001</v>
          </cell>
          <cell r="P1434">
            <v>27152.305779999999</v>
          </cell>
          <cell r="Q1434">
            <v>27260.797350000001</v>
          </cell>
          <cell r="R1434">
            <v>27365.620510000001</v>
          </cell>
          <cell r="S1434">
            <v>27466.193060000001</v>
          </cell>
          <cell r="T1434">
            <v>27562.46341</v>
          </cell>
          <cell r="U1434">
            <v>27654.64748</v>
          </cell>
          <cell r="V1434">
            <v>27742.236819999998</v>
          </cell>
          <cell r="W1434">
            <v>27825.92814</v>
          </cell>
          <cell r="X1434">
            <v>27906.451990000001</v>
          </cell>
          <cell r="Y1434">
            <v>27984.476180000001</v>
          </cell>
          <cell r="Z1434">
            <v>28049.200000000001</v>
          </cell>
          <cell r="AA1434">
            <v>28114.633519999999</v>
          </cell>
          <cell r="AB1434">
            <v>28181.540270000001</v>
          </cell>
          <cell r="AC1434">
            <v>28249.950150000001</v>
          </cell>
          <cell r="AD1434">
            <v>28319.736499999999</v>
          </cell>
          <cell r="AE1434">
            <v>28359.853029999998</v>
          </cell>
          <cell r="AF1434">
            <v>28392.610349999999</v>
          </cell>
          <cell r="AG1434">
            <v>28421.407879999999</v>
          </cell>
          <cell r="AH1434">
            <v>28448.320729999999</v>
          </cell>
          <cell r="AI1434">
            <v>28474.796890000001</v>
          </cell>
          <cell r="AJ1434">
            <v>28501.843130000001</v>
          </cell>
          <cell r="AK1434">
            <v>28530.27348</v>
          </cell>
          <cell r="AL1434">
            <v>28560.404419999999</v>
          </cell>
          <cell r="AM1434">
            <v>28592.328839999998</v>
          </cell>
          <cell r="AN1434">
            <v>28625.990900000001</v>
          </cell>
          <cell r="AO1434">
            <v>28661.242259999999</v>
          </cell>
          <cell r="AP1434">
            <v>28692.73905</v>
          </cell>
          <cell r="AQ1434">
            <v>28721.129099999998</v>
          </cell>
          <cell r="AR1434">
            <v>28747.25865</v>
          </cell>
          <cell r="AS1434">
            <v>28771.887709999999</v>
          </cell>
          <cell r="AT1434">
            <v>28795.63118</v>
          </cell>
          <cell r="AU1434">
            <v>28819.16144</v>
          </cell>
          <cell r="AV1434">
            <v>28842.75359</v>
          </cell>
          <cell r="AW1434">
            <v>28866.559990000002</v>
          </cell>
          <cell r="AX1434">
            <v>28890.646260000001</v>
          </cell>
          <cell r="AY1434">
            <v>28915.01513</v>
          </cell>
          <cell r="AZ1434">
            <v>28940.814119999999</v>
          </cell>
          <cell r="BA1434">
            <v>28967.723610000001</v>
          </cell>
          <cell r="BB1434">
            <v>28995.393250000001</v>
          </cell>
          <cell r="BC1434">
            <v>29023.52535</v>
          </cell>
          <cell r="BD1434">
            <v>29051.885429999998</v>
          </cell>
          <cell r="BE1434">
            <v>31151.28602</v>
          </cell>
          <cell r="BF1434">
            <v>31189.76338</v>
          </cell>
          <cell r="BG1434">
            <v>31227.690480000001</v>
          </cell>
          <cell r="BH1434">
            <v>31265.089660000001</v>
          </cell>
          <cell r="BI1434">
            <v>31301.985199999999</v>
          </cell>
        </row>
        <row r="1435">
          <cell r="F1435">
            <v>750.25024499999995</v>
          </cell>
          <cell r="G1435">
            <v>740.83595009999999</v>
          </cell>
          <cell r="H1435">
            <v>732.95056099999999</v>
          </cell>
          <cell r="I1435">
            <v>727.19516069999997</v>
          </cell>
          <cell r="J1435">
            <v>723.62112320000006</v>
          </cell>
          <cell r="K1435">
            <v>721.99684749999994</v>
          </cell>
          <cell r="L1435">
            <v>721.71562770000003</v>
          </cell>
          <cell r="M1435">
            <v>722.432681</v>
          </cell>
          <cell r="N1435">
            <v>723.86274990000004</v>
          </cell>
          <cell r="O1435">
            <v>725.77300479999997</v>
          </cell>
          <cell r="P1435">
            <v>728.39924429999996</v>
          </cell>
          <cell r="Q1435">
            <v>731.11919139999998</v>
          </cell>
          <cell r="R1435">
            <v>733.79025100000001</v>
          </cell>
          <cell r="S1435">
            <v>736.34413870000003</v>
          </cell>
          <cell r="T1435">
            <v>738.74913160000006</v>
          </cell>
          <cell r="U1435">
            <v>740.99575240000001</v>
          </cell>
          <cell r="V1435">
            <v>743.05295820000003</v>
          </cell>
          <cell r="W1435">
            <v>744.94453369999997</v>
          </cell>
          <cell r="X1435">
            <v>746.69631900000002</v>
          </cell>
          <cell r="Y1435">
            <v>748.33272469999997</v>
          </cell>
          <cell r="Z1435">
            <v>749.60145839999996</v>
          </cell>
          <cell r="AA1435">
            <v>750.81318150000004</v>
          </cell>
          <cell r="AB1435">
            <v>752.0200724</v>
          </cell>
          <cell r="AC1435">
            <v>753.24184909999997</v>
          </cell>
          <cell r="AD1435">
            <v>754.48590060000004</v>
          </cell>
          <cell r="AE1435">
            <v>755.01332849999994</v>
          </cell>
          <cell r="AF1435">
            <v>755.27289659999997</v>
          </cell>
          <cell r="AG1435">
            <v>755.37623540000004</v>
          </cell>
          <cell r="AH1435">
            <v>755.40022520000002</v>
          </cell>
          <cell r="AI1435">
            <v>755.40266929999996</v>
          </cell>
          <cell r="AJ1435">
            <v>755.42560560000004</v>
          </cell>
          <cell r="AK1435">
            <v>755.50376610000001</v>
          </cell>
          <cell r="AL1435">
            <v>755.65151330000003</v>
          </cell>
          <cell r="AM1435">
            <v>755.87443499999995</v>
          </cell>
          <cell r="AN1435">
            <v>756.17208640000001</v>
          </cell>
          <cell r="AO1435">
            <v>756.54017469999997</v>
          </cell>
          <cell r="AP1435">
            <v>756.87249099999997</v>
          </cell>
          <cell r="AQ1435">
            <v>757.15367060000005</v>
          </cell>
          <cell r="AR1435">
            <v>757.39192260000004</v>
          </cell>
          <cell r="AS1435">
            <v>757.6032993</v>
          </cell>
          <cell r="AT1435">
            <v>757.80488019999996</v>
          </cell>
          <cell r="AU1435">
            <v>758.01989830000002</v>
          </cell>
          <cell r="AV1435">
            <v>758.25724679999996</v>
          </cell>
          <cell r="AW1435">
            <v>758.52234539999995</v>
          </cell>
          <cell r="AX1435">
            <v>758.8176674</v>
          </cell>
          <cell r="AY1435">
            <v>759.14329020000002</v>
          </cell>
          <cell r="AZ1435">
            <v>759.53654410000001</v>
          </cell>
          <cell r="BA1435">
            <v>759.98620170000004</v>
          </cell>
          <cell r="BB1435">
            <v>760.48003229999995</v>
          </cell>
          <cell r="BC1435">
            <v>761.00724070000001</v>
          </cell>
          <cell r="BD1435">
            <v>761.55883170000004</v>
          </cell>
          <cell r="BE1435">
            <v>820.99118099999998</v>
          </cell>
          <cell r="BF1435">
            <v>821.45874209999999</v>
          </cell>
          <cell r="BG1435">
            <v>821.93549919999998</v>
          </cell>
          <cell r="BH1435">
            <v>822.4226175</v>
          </cell>
          <cell r="BI1435">
            <v>822.92123130000004</v>
          </cell>
        </row>
        <row r="1438">
          <cell r="F1438">
            <v>4307.83698</v>
          </cell>
          <cell r="G1438">
            <v>4266.7516930000002</v>
          </cell>
          <cell r="H1438">
            <v>4239.5893340000002</v>
          </cell>
          <cell r="I1438">
            <v>4224.707324</v>
          </cell>
          <cell r="J1438">
            <v>4219.7474499999998</v>
          </cell>
          <cell r="K1438">
            <v>4222.4342820000002</v>
          </cell>
          <cell r="L1438">
            <v>4229.3585819999998</v>
          </cell>
          <cell r="M1438">
            <v>4239.0912310000003</v>
          </cell>
          <cell r="N1438">
            <v>4250.6789280000003</v>
          </cell>
          <cell r="O1438">
            <v>4263.4513880000004</v>
          </cell>
          <cell r="P1438">
            <v>4279.2437399999999</v>
          </cell>
          <cell r="Q1438">
            <v>4294.9658069999996</v>
          </cell>
          <cell r="R1438">
            <v>4310.2217579999997</v>
          </cell>
          <cell r="S1438">
            <v>4324.8943440000003</v>
          </cell>
          <cell r="T1438">
            <v>4338.9788120000003</v>
          </cell>
          <cell r="U1438">
            <v>4352.5264809999999</v>
          </cell>
          <cell r="V1438">
            <v>4365.4109820000003</v>
          </cell>
          <cell r="W1438">
            <v>4377.7991769999999</v>
          </cell>
          <cell r="X1438">
            <v>4389.85149</v>
          </cell>
          <cell r="Y1438">
            <v>4401.7094040000002</v>
          </cell>
          <cell r="Z1438">
            <v>4411.9775730000001</v>
          </cell>
          <cell r="AA1438">
            <v>4422.40164</v>
          </cell>
          <cell r="AB1438">
            <v>4433.2073440000004</v>
          </cell>
          <cell r="AC1438">
            <v>4444.4672920000003</v>
          </cell>
          <cell r="AD1438">
            <v>4456.1974550000004</v>
          </cell>
          <cell r="AE1438">
            <v>4464.2910190000002</v>
          </cell>
          <cell r="AF1438">
            <v>4471.3064860000004</v>
          </cell>
          <cell r="AG1438">
            <v>4477.7390960000002</v>
          </cell>
          <cell r="AH1438">
            <v>4483.903233</v>
          </cell>
          <cell r="AI1438">
            <v>4490.0155800000002</v>
          </cell>
          <cell r="AJ1438">
            <v>4496.2220180000004</v>
          </cell>
          <cell r="AK1438">
            <v>4502.6507869999996</v>
          </cell>
          <cell r="AL1438">
            <v>4509.3331410000001</v>
          </cell>
          <cell r="AM1438">
            <v>4516.2670209999997</v>
          </cell>
          <cell r="AN1438">
            <v>4523.427565</v>
          </cell>
          <cell r="AO1438">
            <v>4530.7751760000001</v>
          </cell>
          <cell r="AP1438">
            <v>4537.7239790000003</v>
          </cell>
          <cell r="AQ1438">
            <v>4544.1826469999996</v>
          </cell>
          <cell r="AR1438">
            <v>4550.1652469999999</v>
          </cell>
          <cell r="AS1438">
            <v>4555.7218050000001</v>
          </cell>
          <cell r="AT1438">
            <v>4560.9093240000002</v>
          </cell>
          <cell r="AU1438">
            <v>4565.8279060000004</v>
          </cell>
          <cell r="AV1438">
            <v>4570.5025580000001</v>
          </cell>
          <cell r="AW1438">
            <v>4574.9484759999996</v>
          </cell>
          <cell r="AX1438">
            <v>4579.1734749999996</v>
          </cell>
          <cell r="AY1438">
            <v>4583.1796629999999</v>
          </cell>
          <cell r="AZ1438">
            <v>4587.1909759999999</v>
          </cell>
          <cell r="BA1438">
            <v>4591.1512460000004</v>
          </cell>
          <cell r="BB1438">
            <v>4595.0045520000003</v>
          </cell>
          <cell r="BC1438">
            <v>4598.7071379999998</v>
          </cell>
          <cell r="BD1438">
            <v>4602.228521</v>
          </cell>
          <cell r="BE1438">
            <v>5231.1607729999996</v>
          </cell>
          <cell r="BF1438">
            <v>5242.3388690000002</v>
          </cell>
          <cell r="BG1438">
            <v>5253.0782669999999</v>
          </cell>
          <cell r="BH1438">
            <v>5263.3729199999998</v>
          </cell>
          <cell r="BI1438">
            <v>5273.218406</v>
          </cell>
        </row>
        <row r="1450">
          <cell r="F1450">
            <v>857.58641609999995</v>
          </cell>
          <cell r="G1450">
            <v>849.98761449999995</v>
          </cell>
          <cell r="H1450">
            <v>844.56660199999999</v>
          </cell>
          <cell r="I1450">
            <v>841.10979850000001</v>
          </cell>
          <cell r="J1450">
            <v>839.31749460000003</v>
          </cell>
          <cell r="K1450">
            <v>838.87698599999999</v>
          </cell>
          <cell r="L1450">
            <v>839.1820659</v>
          </cell>
          <cell r="M1450">
            <v>840.0182638</v>
          </cell>
          <cell r="N1450">
            <v>841.22121660000005</v>
          </cell>
          <cell r="O1450">
            <v>842.65502839999999</v>
          </cell>
          <cell r="P1450">
            <v>844.69689519999997</v>
          </cell>
          <cell r="Q1450">
            <v>846.642563</v>
          </cell>
          <cell r="R1450">
            <v>848.42016049999995</v>
          </cell>
          <cell r="S1450">
            <v>850.01437920000001</v>
          </cell>
          <cell r="T1450">
            <v>851.42746539999996</v>
          </cell>
          <cell r="U1450">
            <v>852.67041070000005</v>
          </cell>
          <cell r="V1450">
            <v>853.72089789999995</v>
          </cell>
          <cell r="W1450">
            <v>854.612796</v>
          </cell>
          <cell r="X1450">
            <v>855.37840949999998</v>
          </cell>
          <cell r="Y1450">
            <v>856.04612889999999</v>
          </cell>
          <cell r="Z1450">
            <v>856.3222753</v>
          </cell>
          <cell r="AA1450">
            <v>856.6056092</v>
          </cell>
          <cell r="AB1450">
            <v>856.92914069999995</v>
          </cell>
          <cell r="AC1450">
            <v>857.29747250000003</v>
          </cell>
          <cell r="AD1450">
            <v>857.70982200000003</v>
          </cell>
          <cell r="AE1450">
            <v>857.30590729999994</v>
          </cell>
          <cell r="AF1450">
            <v>856.71338460000004</v>
          </cell>
          <cell r="AG1450">
            <v>856.04134739999995</v>
          </cell>
          <cell r="AH1450">
            <v>855.35072179999997</v>
          </cell>
          <cell r="AI1450">
            <v>854.68283259999998</v>
          </cell>
          <cell r="AJ1450">
            <v>854.06605139999999</v>
          </cell>
          <cell r="AK1450">
            <v>853.52547709999999</v>
          </cell>
          <cell r="AL1450">
            <v>853.06778010000005</v>
          </cell>
          <cell r="AM1450">
            <v>852.69347700000003</v>
          </cell>
          <cell r="AN1450">
            <v>852.399002</v>
          </cell>
          <cell r="AO1450">
            <v>852.17823969999995</v>
          </cell>
          <cell r="AP1450">
            <v>851.90405880000003</v>
          </cell>
          <cell r="AQ1450">
            <v>851.58029320000003</v>
          </cell>
          <cell r="AR1450">
            <v>851.22429269999998</v>
          </cell>
          <cell r="AS1450">
            <v>850.85381370000005</v>
          </cell>
          <cell r="AT1450">
            <v>850.48381879999999</v>
          </cell>
          <cell r="AU1450">
            <v>850.13476030000004</v>
          </cell>
          <cell r="AV1450">
            <v>849.81127939999999</v>
          </cell>
          <cell r="AW1450">
            <v>849.51538310000001</v>
          </cell>
          <cell r="AX1450">
            <v>849.24721480000005</v>
          </cell>
          <cell r="AY1450">
            <v>849.005495</v>
          </cell>
          <cell r="AZ1450">
            <v>848.8313177</v>
          </cell>
          <cell r="BA1450">
            <v>848.70926750000001</v>
          </cell>
          <cell r="BB1450">
            <v>848.62499530000002</v>
          </cell>
          <cell r="BC1450">
            <v>848.56735990000004</v>
          </cell>
          <cell r="BD1450">
            <v>848.52808990000005</v>
          </cell>
          <cell r="BE1450">
            <v>906.05349030000002</v>
          </cell>
          <cell r="BF1450">
            <v>906.0849584</v>
          </cell>
          <cell r="BG1450">
            <v>906.13729030000002</v>
          </cell>
          <cell r="BH1450">
            <v>906.21093189999999</v>
          </cell>
          <cell r="BI1450">
            <v>906.30620550000003</v>
          </cell>
        </row>
        <row r="1455">
          <cell r="F1455">
            <v>21098.40898</v>
          </cell>
          <cell r="G1455">
            <v>20974.633999999998</v>
          </cell>
          <cell r="H1455">
            <v>20891.1505</v>
          </cell>
          <cell r="I1455">
            <v>20849.734339999999</v>
          </cell>
          <cell r="J1455">
            <v>20846.069820000001</v>
          </cell>
          <cell r="K1455">
            <v>20873.988819999999</v>
          </cell>
          <cell r="L1455">
            <v>20918.384440000002</v>
          </cell>
          <cell r="M1455">
            <v>20975.05243</v>
          </cell>
          <cell r="N1455">
            <v>21040.698990000001</v>
          </cell>
          <cell r="O1455">
            <v>21112.55054</v>
          </cell>
          <cell r="P1455">
            <v>21202.31914</v>
          </cell>
          <cell r="Q1455">
            <v>21290.6113</v>
          </cell>
          <cell r="R1455">
            <v>21375.928970000001</v>
          </cell>
          <cell r="S1455">
            <v>21457.89574</v>
          </cell>
          <cell r="T1455">
            <v>21536.49526</v>
          </cell>
          <cell r="U1455">
            <v>21611.890009999999</v>
          </cell>
          <cell r="V1455">
            <v>21683.753570000001</v>
          </cell>
          <cell r="W1455">
            <v>21752.55503</v>
          </cell>
          <cell r="X1455">
            <v>21818.80301</v>
          </cell>
          <cell r="Y1455">
            <v>21882.967860000001</v>
          </cell>
          <cell r="Z1455">
            <v>21936.219209999999</v>
          </cell>
          <cell r="AA1455">
            <v>21990.07288</v>
          </cell>
          <cell r="AB1455">
            <v>22044.97507</v>
          </cell>
          <cell r="AC1455">
            <v>22100.857810000001</v>
          </cell>
          <cell r="AD1455">
            <v>22157.57186</v>
          </cell>
          <cell r="AE1455">
            <v>22189.862290000001</v>
          </cell>
          <cell r="AF1455">
            <v>22216.345809999999</v>
          </cell>
          <cell r="AG1455">
            <v>22239.689859999999</v>
          </cell>
          <cell r="AH1455">
            <v>22261.510020000002</v>
          </cell>
          <cell r="AI1455">
            <v>22282.934450000001</v>
          </cell>
          <cell r="AJ1455">
            <v>22304.751189999999</v>
          </cell>
          <cell r="AK1455">
            <v>22327.58411</v>
          </cell>
          <cell r="AL1455">
            <v>22351.696929999998</v>
          </cell>
          <cell r="AM1455">
            <v>22377.178550000001</v>
          </cell>
          <cell r="AN1455">
            <v>22404.002390000001</v>
          </cell>
          <cell r="AO1455">
            <v>22432.070759999999</v>
          </cell>
          <cell r="AP1455">
            <v>22456.871469999998</v>
          </cell>
          <cell r="AQ1455">
            <v>22479.155340000001</v>
          </cell>
          <cell r="AR1455">
            <v>22499.727009999999</v>
          </cell>
          <cell r="AS1455">
            <v>22519.260740000002</v>
          </cell>
          <cell r="AT1455">
            <v>22538.281019999999</v>
          </cell>
          <cell r="AU1455">
            <v>22557.314760000001</v>
          </cell>
          <cell r="AV1455">
            <v>22576.598320000001</v>
          </cell>
          <cell r="AW1455">
            <v>22596.261549999999</v>
          </cell>
          <cell r="AX1455">
            <v>22616.359909999999</v>
          </cell>
          <cell r="AY1455">
            <v>22636.895530000002</v>
          </cell>
          <cell r="AZ1455">
            <v>22658.709760000002</v>
          </cell>
          <cell r="BA1455">
            <v>22681.567159999999</v>
          </cell>
          <cell r="BB1455">
            <v>22705.201389999998</v>
          </cell>
          <cell r="BC1455">
            <v>22729.38162</v>
          </cell>
          <cell r="BD1455">
            <v>22753.921999999999</v>
          </cell>
          <cell r="BE1455">
            <v>24105.83799</v>
          </cell>
          <cell r="BF1455">
            <v>24132.885460000001</v>
          </cell>
          <cell r="BG1455">
            <v>24159.784810000001</v>
          </cell>
          <cell r="BH1455">
            <v>24186.563109999999</v>
          </cell>
          <cell r="BI1455">
            <v>24213.247859999999</v>
          </cell>
        </row>
        <row r="1458">
          <cell r="F1458">
            <v>17.720575239999999</v>
          </cell>
          <cell r="G1458">
            <v>17.484948110000001</v>
          </cell>
          <cell r="H1458">
            <v>17.273639020000001</v>
          </cell>
          <cell r="I1458">
            <v>17.094922109999999</v>
          </cell>
          <cell r="J1458">
            <v>16.953201929999999</v>
          </cell>
          <cell r="K1458">
            <v>16.847364559999999</v>
          </cell>
          <cell r="L1458">
            <v>16.767593569999999</v>
          </cell>
          <cell r="M1458">
            <v>16.709300079999998</v>
          </cell>
          <cell r="N1458">
            <v>16.667639139999999</v>
          </cell>
          <cell r="O1458">
            <v>16.63805816</v>
          </cell>
          <cell r="P1458">
            <v>16.62543763</v>
          </cell>
          <cell r="Q1458">
            <v>16.61512815</v>
          </cell>
          <cell r="R1458">
            <v>16.60523701</v>
          </cell>
          <cell r="S1458">
            <v>16.595003980000001</v>
          </cell>
          <cell r="T1458">
            <v>16.583987820000001</v>
          </cell>
          <cell r="U1458">
            <v>16.57191697</v>
          </cell>
          <cell r="V1458">
            <v>16.557699719999999</v>
          </cell>
          <cell r="W1458">
            <v>16.541681740000001</v>
          </cell>
          <cell r="X1458">
            <v>16.52418754</v>
          </cell>
          <cell r="Y1458">
            <v>16.505480160000001</v>
          </cell>
          <cell r="Z1458">
            <v>16.480170269999999</v>
          </cell>
          <cell r="AA1458">
            <v>16.45534932</v>
          </cell>
          <cell r="AB1458">
            <v>16.43124534</v>
          </cell>
          <cell r="AC1458">
            <v>16.407694429999999</v>
          </cell>
          <cell r="AD1458">
            <v>16.384558160000001</v>
          </cell>
          <cell r="AE1458">
            <v>16.346700250000001</v>
          </cell>
          <cell r="AF1458">
            <v>16.30588762</v>
          </cell>
          <cell r="AG1458">
            <v>16.263732009999998</v>
          </cell>
          <cell r="AH1458">
            <v>16.22097063</v>
          </cell>
          <cell r="AI1458">
            <v>16.178096379999999</v>
          </cell>
          <cell r="AJ1458">
            <v>16.135480820000002</v>
          </cell>
          <cell r="AK1458">
            <v>16.093578569999998</v>
          </cell>
          <cell r="AL1458">
            <v>16.052511070000001</v>
          </cell>
          <cell r="AM1458">
            <v>16.01234333</v>
          </cell>
          <cell r="AN1458">
            <v>15.973100130000001</v>
          </cell>
          <cell r="AO1458">
            <v>15.934773209999999</v>
          </cell>
          <cell r="AP1458">
            <v>15.895696539999999</v>
          </cell>
          <cell r="AQ1458">
            <v>15.85596419</v>
          </cell>
          <cell r="AR1458">
            <v>15.815839090000001</v>
          </cell>
          <cell r="AS1458">
            <v>15.77556989</v>
          </cell>
          <cell r="AT1458">
            <v>15.735356210000001</v>
          </cell>
          <cell r="AU1458">
            <v>15.695569839999999</v>
          </cell>
          <cell r="AV1458">
            <v>15.65622896</v>
          </cell>
          <cell r="AW1458">
            <v>15.61733287</v>
          </cell>
          <cell r="AX1458">
            <v>15.57887159</v>
          </cell>
          <cell r="AY1458">
            <v>15.5408247</v>
          </cell>
          <cell r="AZ1458">
            <v>15.504119080000001</v>
          </cell>
          <cell r="BA1458">
            <v>15.46839312</v>
          </cell>
          <cell r="BB1458">
            <v>15.43334407</v>
          </cell>
          <cell r="BC1458">
            <v>15.39875896</v>
          </cell>
          <cell r="BD1458">
            <v>15.36448841</v>
          </cell>
          <cell r="BE1458">
            <v>17.10672302</v>
          </cell>
          <cell r="BF1458">
            <v>17.084953720000001</v>
          </cell>
          <cell r="BG1458">
            <v>17.063645919999999</v>
          </cell>
          <cell r="BH1458">
            <v>17.04283483</v>
          </cell>
          <cell r="BI1458">
            <v>17.022556850000001</v>
          </cell>
        </row>
        <row r="1460">
          <cell r="F1460">
            <v>6.5913019400000001</v>
          </cell>
          <cell r="G1460">
            <v>6.5036448870000001</v>
          </cell>
          <cell r="H1460">
            <v>6.418901816</v>
          </cell>
          <cell r="I1460">
            <v>6.3437141260000001</v>
          </cell>
          <cell r="J1460">
            <v>6.2822312</v>
          </cell>
          <cell r="K1460">
            <v>6.2352402439999999</v>
          </cell>
          <cell r="L1460">
            <v>6.1994770739999998</v>
          </cell>
          <cell r="M1460">
            <v>6.1730043480000001</v>
          </cell>
          <cell r="N1460">
            <v>6.153695656</v>
          </cell>
          <cell r="O1460">
            <v>6.1396003309999996</v>
          </cell>
          <cell r="P1460">
            <v>6.1319999369999998</v>
          </cell>
          <cell r="Q1460">
            <v>6.125778231</v>
          </cell>
          <cell r="R1460">
            <v>6.1202245209999999</v>
          </cell>
          <cell r="S1460">
            <v>6.1149450310000004</v>
          </cell>
          <cell r="T1460">
            <v>6.1096732219999996</v>
          </cell>
          <cell r="U1460">
            <v>6.1042304310000004</v>
          </cell>
          <cell r="V1460">
            <v>6.0981724100000001</v>
          </cell>
          <cell r="W1460">
            <v>6.0915732370000004</v>
          </cell>
          <cell r="X1460">
            <v>6.0845009369999996</v>
          </cell>
          <cell r="Y1460">
            <v>6.0770093579999998</v>
          </cell>
          <cell r="Z1460">
            <v>6.0672826659999997</v>
          </cell>
          <cell r="AA1460">
            <v>6.0576554260000002</v>
          </cell>
          <cell r="AB1460">
            <v>6.0481379899999999</v>
          </cell>
          <cell r="AC1460">
            <v>6.0386741800000001</v>
          </cell>
          <cell r="AD1460">
            <v>6.0292259100000001</v>
          </cell>
          <cell r="AE1460">
            <v>6.0147708309999999</v>
          </cell>
          <cell r="AF1460">
            <v>5.9992393220000002</v>
          </cell>
          <cell r="AG1460">
            <v>5.9830456160000001</v>
          </cell>
          <cell r="AH1460">
            <v>5.9664183419999999</v>
          </cell>
          <cell r="AI1460">
            <v>5.9495394770000001</v>
          </cell>
          <cell r="AJ1460">
            <v>5.9325607060000003</v>
          </cell>
          <cell r="AK1460">
            <v>5.9156646659999996</v>
          </cell>
          <cell r="AL1460">
            <v>5.898915218</v>
          </cell>
          <cell r="AM1460">
            <v>5.8823549719999999</v>
          </cell>
          <cell r="AN1460">
            <v>5.8660093169999996</v>
          </cell>
          <cell r="AO1460">
            <v>5.8498892390000004</v>
          </cell>
          <cell r="AP1460">
            <v>5.8334747279999997</v>
          </cell>
          <cell r="AQ1460">
            <v>5.8167950980000001</v>
          </cell>
          <cell r="AR1460">
            <v>5.7999235660000004</v>
          </cell>
          <cell r="AS1460">
            <v>5.7829354329999996</v>
          </cell>
          <cell r="AT1460">
            <v>5.7658977450000002</v>
          </cell>
          <cell r="AU1460">
            <v>5.7489435359999996</v>
          </cell>
          <cell r="AV1460">
            <v>5.732084575</v>
          </cell>
          <cell r="AW1460">
            <v>5.7153285059999996</v>
          </cell>
          <cell r="AX1460">
            <v>5.6986790310000002</v>
          </cell>
          <cell r="AY1460">
            <v>5.6821345230000002</v>
          </cell>
          <cell r="AZ1460">
            <v>5.6660175830000004</v>
          </cell>
          <cell r="BA1460">
            <v>5.6502013719999997</v>
          </cell>
          <cell r="BB1460">
            <v>5.6345860620000003</v>
          </cell>
          <cell r="BC1460">
            <v>5.6191008299999998</v>
          </cell>
          <cell r="BD1460">
            <v>5.6036941340000004</v>
          </cell>
          <cell r="BE1460">
            <v>6.2603257899999996</v>
          </cell>
          <cell r="BF1460">
            <v>6.2497078110000004</v>
          </cell>
          <cell r="BG1460">
            <v>6.2392568309999996</v>
          </cell>
          <cell r="BH1460">
            <v>6.2289919490000001</v>
          </cell>
          <cell r="BI1460">
            <v>6.2189324130000001</v>
          </cell>
        </row>
        <row r="1462">
          <cell r="F1462">
            <v>0.70901431260000003</v>
          </cell>
          <cell r="G1462">
            <v>0.70004036930000002</v>
          </cell>
          <cell r="H1462">
            <v>0.69284927220000003</v>
          </cell>
          <cell r="I1462">
            <v>0.68728122729999996</v>
          </cell>
          <cell r="J1462">
            <v>0.68315231389999997</v>
          </cell>
          <cell r="K1462">
            <v>0.68025780489999998</v>
          </cell>
          <cell r="L1462">
            <v>0.67815885269999998</v>
          </cell>
          <cell r="M1462">
            <v>0.67671826209999997</v>
          </cell>
          <cell r="N1462">
            <v>0.67579881480000004</v>
          </cell>
          <cell r="O1462">
            <v>0.67525860059999998</v>
          </cell>
          <cell r="P1462">
            <v>0.67539165450000005</v>
          </cell>
          <cell r="Q1462">
            <v>0.675550812</v>
          </cell>
          <cell r="R1462">
            <v>0.67563663080000003</v>
          </cell>
          <cell r="S1462">
            <v>0.6756278631</v>
          </cell>
          <cell r="T1462">
            <v>0.6755198885</v>
          </cell>
          <cell r="U1462">
            <v>0.67531297990000005</v>
          </cell>
          <cell r="V1462">
            <v>0.67497253719999994</v>
          </cell>
          <cell r="W1462">
            <v>0.67451881189999996</v>
          </cell>
          <cell r="X1462">
            <v>0.67397271510000001</v>
          </cell>
          <cell r="Y1462">
            <v>0.67335252739999996</v>
          </cell>
          <cell r="Z1462">
            <v>0.6724033277</v>
          </cell>
          <cell r="AA1462">
            <v>0.6714629755</v>
          </cell>
          <cell r="AB1462">
            <v>0.67056548179999997</v>
          </cell>
          <cell r="AC1462">
            <v>0.66970765939999999</v>
          </cell>
          <cell r="AD1462">
            <v>0.66888329889999998</v>
          </cell>
          <cell r="AE1462">
            <v>0.66736319389999998</v>
          </cell>
          <cell r="AF1462">
            <v>0.66568523639999999</v>
          </cell>
          <cell r="AG1462">
            <v>0.66396516859999999</v>
          </cell>
          <cell r="AH1462">
            <v>0.66225039060000002</v>
          </cell>
          <cell r="AI1462">
            <v>0.66056620740000005</v>
          </cell>
          <cell r="AJ1462">
            <v>0.65892817550000005</v>
          </cell>
          <cell r="AK1462">
            <v>0.65735330999999997</v>
          </cell>
          <cell r="AL1462">
            <v>0.65584492849999998</v>
          </cell>
          <cell r="AM1462">
            <v>0.65440355250000004</v>
          </cell>
          <cell r="AN1462">
            <v>0.65302809009999996</v>
          </cell>
          <cell r="AO1462">
            <v>0.6517162138</v>
          </cell>
          <cell r="AP1462">
            <v>0.65037532789999997</v>
          </cell>
          <cell r="AQ1462">
            <v>0.64900995650000004</v>
          </cell>
          <cell r="AR1462">
            <v>0.64763785460000001</v>
          </cell>
          <cell r="AS1462">
            <v>0.64627469599999998</v>
          </cell>
          <cell r="AT1462">
            <v>0.64493148659999999</v>
          </cell>
          <cell r="AU1462">
            <v>0.64362405970000003</v>
          </cell>
          <cell r="AV1462">
            <v>0.64235315459999998</v>
          </cell>
          <cell r="AW1462">
            <v>0.64111762910000003</v>
          </cell>
          <cell r="AX1462">
            <v>0.63991569699999995</v>
          </cell>
          <cell r="AY1462">
            <v>0.63874523760000002</v>
          </cell>
          <cell r="AZ1462">
            <v>0.63764437900000004</v>
          </cell>
          <cell r="BA1462">
            <v>0.63659922719999995</v>
          </cell>
          <cell r="BB1462">
            <v>0.63559611579999997</v>
          </cell>
          <cell r="BC1462">
            <v>0.63462508250000005</v>
          </cell>
          <cell r="BD1462">
            <v>0.63367918270000001</v>
          </cell>
          <cell r="BE1462">
            <v>0.69044872810000002</v>
          </cell>
          <cell r="BF1462">
            <v>0.68981517540000004</v>
          </cell>
          <cell r="BG1462">
            <v>0.68920305380000002</v>
          </cell>
          <cell r="BH1462">
            <v>0.68861274729999999</v>
          </cell>
          <cell r="BI1462">
            <v>0.68804478970000005</v>
          </cell>
        </row>
        <row r="1463">
          <cell r="F1463">
            <v>86.171716230000001</v>
          </cell>
          <cell r="G1463">
            <v>85.336362449999996</v>
          </cell>
          <cell r="H1463">
            <v>84.491787579999993</v>
          </cell>
          <cell r="I1463">
            <v>83.719485419999998</v>
          </cell>
          <cell r="J1463">
            <v>83.062875120000001</v>
          </cell>
          <cell r="K1463">
            <v>82.53127044</v>
          </cell>
          <cell r="L1463">
            <v>82.096973410000004</v>
          </cell>
          <cell r="M1463">
            <v>81.743402489999994</v>
          </cell>
          <cell r="N1463">
            <v>81.451905199999999</v>
          </cell>
          <cell r="O1463">
            <v>81.203257539999996</v>
          </cell>
          <cell r="P1463">
            <v>81.021318500000007</v>
          </cell>
          <cell r="Q1463">
            <v>80.843361139999999</v>
          </cell>
          <cell r="R1463">
            <v>80.654135269999998</v>
          </cell>
          <cell r="S1463">
            <v>80.449453719999994</v>
          </cell>
          <cell r="T1463">
            <v>80.228750770000005</v>
          </cell>
          <cell r="U1463">
            <v>79.992907400000007</v>
          </cell>
          <cell r="V1463">
            <v>79.740718220000005</v>
          </cell>
          <cell r="W1463">
            <v>79.474924000000001</v>
          </cell>
          <cell r="X1463">
            <v>79.198574320000006</v>
          </cell>
          <cell r="Y1463">
            <v>78.914584840000003</v>
          </cell>
          <cell r="Z1463">
            <v>78.599311029999996</v>
          </cell>
          <cell r="AA1463">
            <v>78.284861289999995</v>
          </cell>
          <cell r="AB1463">
            <v>77.977396310000003</v>
          </cell>
          <cell r="AC1463">
            <v>77.678035149999999</v>
          </cell>
          <cell r="AD1463">
            <v>77.386900620000006</v>
          </cell>
          <cell r="AE1463">
            <v>77.033782909999999</v>
          </cell>
          <cell r="AF1463">
            <v>76.665883039999997</v>
          </cell>
          <cell r="AG1463">
            <v>76.297615480000005</v>
          </cell>
          <cell r="AH1463">
            <v>75.935555669999999</v>
          </cell>
          <cell r="AI1463">
            <v>75.583264369999995</v>
          </cell>
          <cell r="AJ1463">
            <v>75.242783399999993</v>
          </cell>
          <cell r="AK1463">
            <v>74.915757389999996</v>
          </cell>
          <cell r="AL1463">
            <v>74.602542249999999</v>
          </cell>
          <cell r="AM1463">
            <v>74.303015000000002</v>
          </cell>
          <cell r="AN1463">
            <v>74.016756470000004</v>
          </cell>
          <cell r="AO1463">
            <v>73.743140339999997</v>
          </cell>
          <cell r="AP1463">
            <v>73.471357569999995</v>
          </cell>
          <cell r="AQ1463">
            <v>73.201180109999996</v>
          </cell>
          <cell r="AR1463">
            <v>72.934340289999994</v>
          </cell>
          <cell r="AS1463">
            <v>72.672488709999996</v>
          </cell>
          <cell r="AT1463">
            <v>72.416781319999998</v>
          </cell>
          <cell r="AU1463">
            <v>72.168551600000001</v>
          </cell>
          <cell r="AV1463">
            <v>71.92795907</v>
          </cell>
          <cell r="AW1463">
            <v>71.694897170000004</v>
          </cell>
          <cell r="AX1463">
            <v>71.469121799999996</v>
          </cell>
          <cell r="AY1463">
            <v>71.250331450000004</v>
          </cell>
          <cell r="AZ1463">
            <v>71.041399760000004</v>
          </cell>
          <cell r="BA1463">
            <v>70.841338649999997</v>
          </cell>
          <cell r="BB1463">
            <v>70.648942160000004</v>
          </cell>
          <cell r="BC1463">
            <v>70.463235760000003</v>
          </cell>
          <cell r="BD1463">
            <v>70.283503289999999</v>
          </cell>
          <cell r="BE1463">
            <v>70.135860050000005</v>
          </cell>
          <cell r="BF1463">
            <v>69.91039542</v>
          </cell>
          <cell r="BG1463">
            <v>69.69096304</v>
          </cell>
          <cell r="BH1463">
            <v>69.477245850000003</v>
          </cell>
          <cell r="BI1463">
            <v>69.268945419999994</v>
          </cell>
        </row>
        <row r="1473">
          <cell r="F1473">
            <v>27371.846880000001</v>
          </cell>
          <cell r="G1473">
            <v>27401.593659999999</v>
          </cell>
          <cell r="H1473">
            <v>27439.540099999998</v>
          </cell>
          <cell r="I1473">
            <v>27494.808359999999</v>
          </cell>
          <cell r="J1473">
            <v>27570.244269999999</v>
          </cell>
          <cell r="K1473">
            <v>27664.90668</v>
          </cell>
          <cell r="L1473">
            <v>27765.32691</v>
          </cell>
          <cell r="M1473">
            <v>27870.142619999999</v>
          </cell>
          <cell r="N1473">
            <v>27978.3992</v>
          </cell>
          <cell r="O1473">
            <v>28089.185700000002</v>
          </cell>
          <cell r="P1473">
            <v>28219.506099999999</v>
          </cell>
          <cell r="Q1473">
            <v>28347.466799999998</v>
          </cell>
          <cell r="R1473">
            <v>28471.835709999999</v>
          </cell>
          <cell r="S1473">
            <v>28592.55488</v>
          </cell>
          <cell r="T1473">
            <v>28709.857830000001</v>
          </cell>
          <cell r="U1473">
            <v>28824.0841</v>
          </cell>
          <cell r="V1473">
            <v>28935.630130000001</v>
          </cell>
          <cell r="W1473">
            <v>29044.920099999999</v>
          </cell>
          <cell r="X1473">
            <v>29152.37918</v>
          </cell>
          <cell r="Y1473">
            <v>29258.410459999999</v>
          </cell>
          <cell r="Z1473">
            <v>29351.548210000001</v>
          </cell>
          <cell r="AA1473">
            <v>29446.0723</v>
          </cell>
          <cell r="AB1473">
            <v>29542.635340000001</v>
          </cell>
          <cell r="AC1473">
            <v>29641.154159999998</v>
          </cell>
          <cell r="AD1473">
            <v>29741.393459999999</v>
          </cell>
          <cell r="AE1473">
            <v>29810.8298</v>
          </cell>
          <cell r="AF1473">
            <v>29872.116910000001</v>
          </cell>
          <cell r="AG1473">
            <v>29928.77247</v>
          </cell>
          <cell r="AH1473">
            <v>29982.965209999998</v>
          </cell>
          <cell r="AI1473">
            <v>30036.211480000002</v>
          </cell>
          <cell r="AJ1473">
            <v>30089.559499999999</v>
          </cell>
          <cell r="AK1473">
            <v>30143.674370000001</v>
          </cell>
          <cell r="AL1473">
            <v>30198.911189999999</v>
          </cell>
          <cell r="AM1473">
            <v>30255.388940000001</v>
          </cell>
          <cell r="AN1473">
            <v>30313.061399999999</v>
          </cell>
          <cell r="AO1473">
            <v>30371.779200000001</v>
          </cell>
          <cell r="AP1473">
            <v>30424.466499999999</v>
          </cell>
          <cell r="AQ1473">
            <v>30472.142629999998</v>
          </cell>
          <cell r="AR1473">
            <v>30516.05877</v>
          </cell>
          <cell r="AS1473">
            <v>30557.311559999998</v>
          </cell>
          <cell r="AT1473">
            <v>30596.784879999999</v>
          </cell>
          <cell r="AU1473">
            <v>30635.157070000001</v>
          </cell>
          <cell r="AV1473">
            <v>30672.921839999999</v>
          </cell>
          <cell r="AW1473">
            <v>30710.41447</v>
          </cell>
          <cell r="AX1473">
            <v>30747.841090000002</v>
          </cell>
          <cell r="AY1473">
            <v>30785.309720000001</v>
          </cell>
          <cell r="AZ1473">
            <v>30823.41648</v>
          </cell>
          <cell r="BA1473">
            <v>30862.064829999999</v>
          </cell>
          <cell r="BB1473">
            <v>30901.118210000001</v>
          </cell>
          <cell r="BC1473">
            <v>30940.427749999999</v>
          </cell>
          <cell r="BD1473">
            <v>30979.856240000001</v>
          </cell>
          <cell r="BE1473">
            <v>31107.650259999999</v>
          </cell>
          <cell r="BF1473">
            <v>31143.853749999998</v>
          </cell>
          <cell r="BG1473">
            <v>31179.418160000001</v>
          </cell>
          <cell r="BH1473">
            <v>31214.358059999999</v>
          </cell>
          <cell r="BI1473">
            <v>31248.702590000001</v>
          </cell>
        </row>
        <row r="1474">
          <cell r="F1474">
            <v>760.53305030000001</v>
          </cell>
          <cell r="G1474">
            <v>759.21501550000005</v>
          </cell>
          <cell r="H1474">
            <v>757.3148377</v>
          </cell>
          <cell r="I1474">
            <v>755.91675480000004</v>
          </cell>
          <cell r="J1474">
            <v>755.49152930000002</v>
          </cell>
          <cell r="K1474">
            <v>756.13115909999999</v>
          </cell>
          <cell r="L1474">
            <v>757.46432249999998</v>
          </cell>
          <cell r="M1474">
            <v>759.32508580000001</v>
          </cell>
          <cell r="N1474">
            <v>761.56709579999995</v>
          </cell>
          <cell r="O1474">
            <v>764.06698730000005</v>
          </cell>
          <cell r="P1474">
            <v>767.16900269999996</v>
          </cell>
          <cell r="Q1474">
            <v>770.32745990000001</v>
          </cell>
          <cell r="R1474">
            <v>773.43415400000004</v>
          </cell>
          <cell r="S1474">
            <v>776.44274059999998</v>
          </cell>
          <cell r="T1474">
            <v>779.33460830000001</v>
          </cell>
          <cell r="U1474">
            <v>782.10706530000004</v>
          </cell>
          <cell r="V1474">
            <v>784.76720239999997</v>
          </cell>
          <cell r="W1474">
            <v>787.3277233</v>
          </cell>
          <cell r="X1474">
            <v>789.80393749999996</v>
          </cell>
          <cell r="Y1474">
            <v>792.21169020000002</v>
          </cell>
          <cell r="Z1474">
            <v>794.27426960000003</v>
          </cell>
          <cell r="AA1474">
            <v>796.31609539999999</v>
          </cell>
          <cell r="AB1474">
            <v>798.38529270000004</v>
          </cell>
          <cell r="AC1474">
            <v>800.49781419999999</v>
          </cell>
          <cell r="AD1474">
            <v>802.65762170000005</v>
          </cell>
          <cell r="AE1474">
            <v>804.06893530000002</v>
          </cell>
          <cell r="AF1474">
            <v>805.19966439999996</v>
          </cell>
          <cell r="AG1474">
            <v>806.16685870000003</v>
          </cell>
          <cell r="AH1474">
            <v>807.05122029999995</v>
          </cell>
          <cell r="AI1474">
            <v>807.91324799999995</v>
          </cell>
          <cell r="AJ1474">
            <v>808.796604</v>
          </cell>
          <cell r="AK1474">
            <v>809.73002489999999</v>
          </cell>
          <cell r="AL1474">
            <v>810.72975120000001</v>
          </cell>
          <cell r="AM1474">
            <v>811.80236600000001</v>
          </cell>
          <cell r="AN1474">
            <v>812.94762200000002</v>
          </cell>
          <cell r="AO1474">
            <v>814.16093539999997</v>
          </cell>
          <cell r="AP1474">
            <v>815.26672740000004</v>
          </cell>
          <cell r="AQ1474">
            <v>816.26832830000001</v>
          </cell>
          <cell r="AR1474">
            <v>817.19005919999995</v>
          </cell>
          <cell r="AS1474">
            <v>818.06017069999996</v>
          </cell>
          <cell r="AT1474">
            <v>818.90505259999998</v>
          </cell>
          <cell r="AU1474">
            <v>819.74677250000002</v>
          </cell>
          <cell r="AV1474">
            <v>820.60211409999999</v>
          </cell>
          <cell r="AW1474">
            <v>821.48254150000002</v>
          </cell>
          <cell r="AX1474">
            <v>822.39476070000001</v>
          </cell>
          <cell r="AY1474">
            <v>823.34158430000002</v>
          </cell>
          <cell r="AZ1474">
            <v>824.33631930000001</v>
          </cell>
          <cell r="BA1474">
            <v>825.37649260000001</v>
          </cell>
          <cell r="BB1474">
            <v>826.45734340000001</v>
          </cell>
          <cell r="BC1474">
            <v>827.5727382</v>
          </cell>
          <cell r="BD1474">
            <v>828.71630709999999</v>
          </cell>
          <cell r="BE1474">
            <v>821.15535560000001</v>
          </cell>
          <cell r="BF1474">
            <v>821.62769619999995</v>
          </cell>
          <cell r="BG1474">
            <v>822.10868189999997</v>
          </cell>
          <cell r="BH1474">
            <v>822.59935270000005</v>
          </cell>
          <cell r="BI1474">
            <v>823.10108200000002</v>
          </cell>
        </row>
        <row r="1477">
          <cell r="F1477">
            <v>4367.1201659999997</v>
          </cell>
          <cell r="G1477">
            <v>4371.5474249999997</v>
          </cell>
          <cell r="H1477">
            <v>4377.7143219999998</v>
          </cell>
          <cell r="I1477">
            <v>4387.0979779999998</v>
          </cell>
          <cell r="J1477">
            <v>4400.0579740000003</v>
          </cell>
          <cell r="K1477">
            <v>4416.3723090000003</v>
          </cell>
          <cell r="L1477">
            <v>4434.1015550000002</v>
          </cell>
          <cell r="M1477">
            <v>4452.8384370000003</v>
          </cell>
          <cell r="N1477">
            <v>4472.3342270000003</v>
          </cell>
          <cell r="O1477">
            <v>4492.4070590000001</v>
          </cell>
          <cell r="P1477">
            <v>4515.361774</v>
          </cell>
          <cell r="Q1477">
            <v>4538.4201700000003</v>
          </cell>
          <cell r="R1477">
            <v>4561.2697230000003</v>
          </cell>
          <cell r="S1477">
            <v>4583.8285839999999</v>
          </cell>
          <cell r="T1477">
            <v>4606.0978029999997</v>
          </cell>
          <cell r="U1477">
            <v>4628.1141669999997</v>
          </cell>
          <cell r="V1477">
            <v>4649.9314109999996</v>
          </cell>
          <cell r="W1477">
            <v>4671.6105250000001</v>
          </cell>
          <cell r="X1477">
            <v>4693.2133860000004</v>
          </cell>
          <cell r="Y1477">
            <v>4714.7981060000002</v>
          </cell>
          <cell r="Z1477">
            <v>4734.7919910000001</v>
          </cell>
          <cell r="AA1477">
            <v>4754.9928719999998</v>
          </cell>
          <cell r="AB1477">
            <v>4775.5807119999999</v>
          </cell>
          <cell r="AC1477">
            <v>4796.5866800000003</v>
          </cell>
          <cell r="AD1477">
            <v>4817.989106</v>
          </cell>
          <cell r="AE1477">
            <v>4835.31149</v>
          </cell>
          <cell r="AF1477">
            <v>4851.1993949999996</v>
          </cell>
          <cell r="AG1477">
            <v>4866.1657990000003</v>
          </cell>
          <cell r="AH1477">
            <v>4880.5376409999999</v>
          </cell>
          <cell r="AI1477">
            <v>4894.5395410000001</v>
          </cell>
          <cell r="AJ1477">
            <v>4908.3212670000003</v>
          </cell>
          <cell r="AK1477">
            <v>4921.9726769999997</v>
          </cell>
          <cell r="AL1477">
            <v>4935.5357780000004</v>
          </cell>
          <cell r="AM1477">
            <v>4949.0159999999996</v>
          </cell>
          <cell r="AN1477">
            <v>4962.3928150000002</v>
          </cell>
          <cell r="AO1477">
            <v>4975.6292679999997</v>
          </cell>
          <cell r="AP1477">
            <v>4987.7316879999998</v>
          </cell>
          <cell r="AQ1477">
            <v>4998.7244840000003</v>
          </cell>
          <cell r="AR1477">
            <v>5008.7239140000001</v>
          </cell>
          <cell r="AS1477">
            <v>5017.8594860000003</v>
          </cell>
          <cell r="AT1477">
            <v>5026.2494139999999</v>
          </cell>
          <cell r="AU1477">
            <v>5033.9929750000001</v>
          </cell>
          <cell r="AV1477">
            <v>5041.169245</v>
          </cell>
          <cell r="AW1477">
            <v>5047.8386659999996</v>
          </cell>
          <cell r="AX1477">
            <v>5054.046002</v>
          </cell>
          <cell r="AY1477">
            <v>5059.8239819999999</v>
          </cell>
          <cell r="AZ1477">
            <v>5065.2740030000004</v>
          </cell>
          <cell r="BA1477">
            <v>5070.4102789999997</v>
          </cell>
          <cell r="BB1477">
            <v>5075.2376009999998</v>
          </cell>
          <cell r="BC1477">
            <v>5079.7579009999999</v>
          </cell>
          <cell r="BD1477">
            <v>5083.9747909999996</v>
          </cell>
          <cell r="BE1477">
            <v>5222.4697040000001</v>
          </cell>
          <cell r="BF1477">
            <v>5232.6580800000002</v>
          </cell>
          <cell r="BG1477">
            <v>5242.3468860000003</v>
          </cell>
          <cell r="BH1477">
            <v>5251.5300660000003</v>
          </cell>
          <cell r="BI1477">
            <v>5260.2061640000002</v>
          </cell>
        </row>
        <row r="1489">
          <cell r="F1489">
            <v>868.26537059999998</v>
          </cell>
          <cell r="G1489">
            <v>868.48347039999999</v>
          </cell>
          <cell r="H1489">
            <v>868.50546039999995</v>
          </cell>
          <cell r="I1489">
            <v>868.81863199999998</v>
          </cell>
          <cell r="J1489">
            <v>869.64341109999998</v>
          </cell>
          <cell r="K1489">
            <v>871.02130069999998</v>
          </cell>
          <cell r="L1489">
            <v>872.59028569999998</v>
          </cell>
          <cell r="M1489">
            <v>874.31068889999995</v>
          </cell>
          <cell r="N1489">
            <v>876.14799870000002</v>
          </cell>
          <cell r="O1489">
            <v>878.06463399999996</v>
          </cell>
          <cell r="P1489">
            <v>880.53449699999999</v>
          </cell>
          <cell r="Q1489">
            <v>882.9208509</v>
          </cell>
          <cell r="R1489">
            <v>885.1750346</v>
          </cell>
          <cell r="S1489">
            <v>887.29482059999998</v>
          </cell>
          <cell r="T1489">
            <v>889.28897129999996</v>
          </cell>
          <cell r="U1489">
            <v>891.1703804</v>
          </cell>
          <cell r="V1489">
            <v>892.95437389999995</v>
          </cell>
          <cell r="W1489">
            <v>894.6576417</v>
          </cell>
          <cell r="X1489">
            <v>896.29719290000003</v>
          </cell>
          <cell r="Y1489">
            <v>897.88943449999999</v>
          </cell>
          <cell r="Z1489">
            <v>899.11346790000005</v>
          </cell>
          <cell r="AA1489">
            <v>900.38128549999999</v>
          </cell>
          <cell r="AB1489">
            <v>901.71975129999998</v>
          </cell>
          <cell r="AC1489">
            <v>903.1279323</v>
          </cell>
          <cell r="AD1489">
            <v>904.60016929999995</v>
          </cell>
          <cell r="AE1489">
            <v>905.21651759999997</v>
          </cell>
          <cell r="AF1489">
            <v>905.62589990000004</v>
          </cell>
          <cell r="AG1489">
            <v>905.94349120000004</v>
          </cell>
          <cell r="AH1489">
            <v>906.23398899999995</v>
          </cell>
          <cell r="AI1489">
            <v>906.54089160000001</v>
          </cell>
          <cell r="AJ1489">
            <v>906.89355430000001</v>
          </cell>
          <cell r="AK1489">
            <v>907.30994109999995</v>
          </cell>
          <cell r="AL1489">
            <v>907.79879240000002</v>
          </cell>
          <cell r="AM1489">
            <v>908.36180999999999</v>
          </cell>
          <cell r="AN1489">
            <v>908.99577109999996</v>
          </cell>
          <cell r="AO1489">
            <v>909.69439690000002</v>
          </cell>
          <cell r="AP1489">
            <v>910.25577269999997</v>
          </cell>
          <cell r="AQ1489">
            <v>910.7080191</v>
          </cell>
          <cell r="AR1489">
            <v>911.08818210000004</v>
          </cell>
          <cell r="AS1489">
            <v>911.42770410000003</v>
          </cell>
          <cell r="AT1489">
            <v>911.75090850000004</v>
          </cell>
          <cell r="AU1489">
            <v>912.07565569999997</v>
          </cell>
          <cell r="AV1489">
            <v>912.41423970000005</v>
          </cell>
          <cell r="AW1489">
            <v>912.77429210000003</v>
          </cell>
          <cell r="AX1489">
            <v>913.1597021</v>
          </cell>
          <cell r="AY1489">
            <v>913.57154100000002</v>
          </cell>
          <cell r="AZ1489">
            <v>914.02462700000001</v>
          </cell>
          <cell r="BA1489">
            <v>914.51409760000001</v>
          </cell>
          <cell r="BB1489">
            <v>915.03384289999997</v>
          </cell>
          <cell r="BC1489">
            <v>915.57776909999995</v>
          </cell>
          <cell r="BD1489">
            <v>916.14035469999999</v>
          </cell>
          <cell r="BE1489">
            <v>906.06296829999997</v>
          </cell>
          <cell r="BF1489">
            <v>906.10522619999995</v>
          </cell>
          <cell r="BG1489">
            <v>906.16741290000004</v>
          </cell>
          <cell r="BH1489">
            <v>906.24966629999994</v>
          </cell>
          <cell r="BI1489">
            <v>906.35235750000004</v>
          </cell>
        </row>
        <row r="1494">
          <cell r="F1494">
            <v>21270.980510000001</v>
          </cell>
          <cell r="G1494">
            <v>21297.637309999998</v>
          </cell>
          <cell r="H1494">
            <v>21331.772209999999</v>
          </cell>
          <cell r="I1494">
            <v>21379.30891</v>
          </cell>
          <cell r="J1494">
            <v>21441.94224</v>
          </cell>
          <cell r="K1494">
            <v>21518.764050000002</v>
          </cell>
          <cell r="L1494">
            <v>21598.988659999999</v>
          </cell>
          <cell r="M1494">
            <v>21681.864089999999</v>
          </cell>
          <cell r="N1494">
            <v>21766.871660000001</v>
          </cell>
          <cell r="O1494">
            <v>21853.455000000002</v>
          </cell>
          <cell r="P1494">
            <v>21955.455330000001</v>
          </cell>
          <cell r="Q1494">
            <v>22055.009829999999</v>
          </cell>
          <cell r="R1494">
            <v>22151.369979999999</v>
          </cell>
          <cell r="S1494">
            <v>22244.611550000001</v>
          </cell>
          <cell r="T1494">
            <v>22334.976930000001</v>
          </cell>
          <cell r="U1494">
            <v>22422.757689999999</v>
          </cell>
          <cell r="V1494">
            <v>22508.272639999999</v>
          </cell>
          <cell r="W1494">
            <v>22591.853930000001</v>
          </cell>
          <cell r="X1494">
            <v>22673.83078</v>
          </cell>
          <cell r="Y1494">
            <v>22754.514169999999</v>
          </cell>
          <cell r="Z1494">
            <v>22824.640670000001</v>
          </cell>
          <cell r="AA1494">
            <v>22895.915850000001</v>
          </cell>
          <cell r="AB1494">
            <v>22968.731889999999</v>
          </cell>
          <cell r="AC1494">
            <v>23042.959490000001</v>
          </cell>
          <cell r="AD1494">
            <v>23118.387610000002</v>
          </cell>
          <cell r="AE1494">
            <v>23168.77648</v>
          </cell>
          <cell r="AF1494">
            <v>23212.9568</v>
          </cell>
          <cell r="AG1494">
            <v>23253.68463</v>
          </cell>
          <cell r="AH1494">
            <v>23292.648980000002</v>
          </cell>
          <cell r="AI1494">
            <v>23331.03357</v>
          </cell>
          <cell r="AJ1494">
            <v>23369.661489999999</v>
          </cell>
          <cell r="AK1494">
            <v>23409.06</v>
          </cell>
          <cell r="AL1494">
            <v>23449.516660000001</v>
          </cell>
          <cell r="AM1494">
            <v>23491.136740000002</v>
          </cell>
          <cell r="AN1494">
            <v>23533.898410000002</v>
          </cell>
          <cell r="AO1494">
            <v>23577.700819999998</v>
          </cell>
          <cell r="AP1494">
            <v>23616.858919999999</v>
          </cell>
          <cell r="AQ1494">
            <v>23652.334340000001</v>
          </cell>
          <cell r="AR1494">
            <v>23685.196599999999</v>
          </cell>
          <cell r="AS1494">
            <v>23716.34978</v>
          </cell>
          <cell r="AT1494">
            <v>23746.50648</v>
          </cell>
          <cell r="AU1494">
            <v>23776.204300000001</v>
          </cell>
          <cell r="AV1494">
            <v>23805.827860000001</v>
          </cell>
          <cell r="AW1494">
            <v>23835.632420000002</v>
          </cell>
          <cell r="AX1494">
            <v>23865.76857</v>
          </cell>
          <cell r="AY1494">
            <v>23896.307799999999</v>
          </cell>
          <cell r="AZ1494">
            <v>23927.715789999998</v>
          </cell>
          <cell r="BA1494">
            <v>23959.89143</v>
          </cell>
          <cell r="BB1494">
            <v>23992.706450000001</v>
          </cell>
          <cell r="BC1494">
            <v>24026.022379999999</v>
          </cell>
          <cell r="BD1494">
            <v>24059.709320000002</v>
          </cell>
          <cell r="BE1494">
            <v>24069.530859999999</v>
          </cell>
          <cell r="BF1494">
            <v>24095.26267</v>
          </cell>
          <cell r="BG1494">
            <v>24120.821110000001</v>
          </cell>
          <cell r="BH1494">
            <v>24146.22565</v>
          </cell>
          <cell r="BI1494">
            <v>24171.505140000001</v>
          </cell>
        </row>
        <row r="1497">
          <cell r="F1497">
            <v>17.994161099999999</v>
          </cell>
          <cell r="G1497">
            <v>17.949905309999998</v>
          </cell>
          <cell r="H1497">
            <v>17.86685568</v>
          </cell>
          <cell r="I1497">
            <v>17.77748777</v>
          </cell>
          <cell r="J1497">
            <v>17.701658089999999</v>
          </cell>
          <cell r="K1497">
            <v>17.64779085</v>
          </cell>
          <cell r="L1497">
            <v>17.611051459999999</v>
          </cell>
          <cell r="M1497">
            <v>17.589661110000002</v>
          </cell>
          <cell r="N1497">
            <v>17.580510270000001</v>
          </cell>
          <cell r="O1497">
            <v>17.580221269999999</v>
          </cell>
          <cell r="P1497">
            <v>17.595222759999999</v>
          </cell>
          <cell r="Q1497">
            <v>17.611663610000001</v>
          </cell>
          <cell r="R1497">
            <v>17.627821820000001</v>
          </cell>
          <cell r="S1497">
            <v>17.643106620000001</v>
          </cell>
          <cell r="T1497">
            <v>17.657250959999999</v>
          </cell>
          <cell r="U1497">
            <v>17.67014515</v>
          </cell>
          <cell r="V1497">
            <v>17.68178374</v>
          </cell>
          <cell r="W1497">
            <v>17.692233049999999</v>
          </cell>
          <cell r="X1497">
            <v>17.701605430000001</v>
          </cell>
          <cell r="Y1497">
            <v>17.710038789999999</v>
          </cell>
          <cell r="Z1497">
            <v>17.711501380000001</v>
          </cell>
          <cell r="AA1497">
            <v>17.713757009999998</v>
          </cell>
          <cell r="AB1497">
            <v>17.716975720000001</v>
          </cell>
          <cell r="AC1497">
            <v>17.72093143</v>
          </cell>
          <cell r="AD1497">
            <v>17.725439430000002</v>
          </cell>
          <cell r="AE1497">
            <v>17.713594270000002</v>
          </cell>
          <cell r="AF1497">
            <v>17.698174229999999</v>
          </cell>
          <cell r="AG1497">
            <v>17.681034029999999</v>
          </cell>
          <cell r="AH1497">
            <v>17.663034740000001</v>
          </cell>
          <cell r="AI1497">
            <v>17.64473216</v>
          </cell>
          <cell r="AJ1497">
            <v>17.626527769999999</v>
          </cell>
          <cell r="AK1497">
            <v>17.608709730000001</v>
          </cell>
          <cell r="AL1497">
            <v>17.591471250000001</v>
          </cell>
          <cell r="AM1497">
            <v>17.57492624</v>
          </cell>
          <cell r="AN1497">
            <v>17.559125659999999</v>
          </cell>
          <cell r="AO1497">
            <v>17.54407376</v>
          </cell>
          <cell r="AP1497">
            <v>17.52619284</v>
          </cell>
          <cell r="AQ1497">
            <v>17.50628446</v>
          </cell>
          <cell r="AR1497">
            <v>17.48514278</v>
          </cell>
          <cell r="AS1497">
            <v>17.463345960000002</v>
          </cell>
          <cell r="AT1497">
            <v>17.441295019999998</v>
          </cell>
          <cell r="AU1497">
            <v>17.419266400000001</v>
          </cell>
          <cell r="AV1497">
            <v>17.397448359999999</v>
          </cell>
          <cell r="AW1497">
            <v>17.375964159999999</v>
          </cell>
          <cell r="AX1497">
            <v>17.354886950000001</v>
          </cell>
          <cell r="AY1497">
            <v>17.334248240000001</v>
          </cell>
          <cell r="AZ1497">
            <v>17.31431649</v>
          </cell>
          <cell r="BA1497">
            <v>17.294972390000002</v>
          </cell>
          <cell r="BB1497">
            <v>17.276064210000001</v>
          </cell>
          <cell r="BC1497">
            <v>17.257568939999999</v>
          </cell>
          <cell r="BD1497">
            <v>17.23951929</v>
          </cell>
          <cell r="BE1497">
            <v>17.061439549999999</v>
          </cell>
          <cell r="BF1497">
            <v>17.03713956</v>
          </cell>
          <cell r="BG1497">
            <v>17.01324752</v>
          </cell>
          <cell r="BH1497">
            <v>16.989794199999999</v>
          </cell>
          <cell r="BI1497">
            <v>16.96681293</v>
          </cell>
        </row>
        <row r="1499">
          <cell r="F1499">
            <v>6.6863688420000003</v>
          </cell>
          <cell r="G1499">
            <v>6.6636884590000003</v>
          </cell>
          <cell r="H1499">
            <v>6.6230406159999999</v>
          </cell>
          <cell r="I1499">
            <v>6.5796770130000004</v>
          </cell>
          <cell r="J1499">
            <v>6.5429209080000001</v>
          </cell>
          <cell r="K1499">
            <v>6.5163609989999998</v>
          </cell>
          <cell r="L1499">
            <v>6.4981650650000002</v>
          </cell>
          <cell r="M1499">
            <v>6.4871787799999998</v>
          </cell>
          <cell r="N1499">
            <v>6.4817429320000004</v>
          </cell>
          <cell r="O1499">
            <v>6.4802288370000003</v>
          </cell>
          <cell r="P1499">
            <v>6.4844130560000002</v>
          </cell>
          <cell r="Q1499">
            <v>6.4894319070000002</v>
          </cell>
          <cell r="R1499">
            <v>6.494634595</v>
          </cell>
          <cell r="S1499">
            <v>6.4997009400000003</v>
          </cell>
          <cell r="T1499">
            <v>6.5044421210000003</v>
          </cell>
          <cell r="U1499">
            <v>6.5087515700000003</v>
          </cell>
          <cell r="V1499">
            <v>6.512581076</v>
          </cell>
          <cell r="W1499">
            <v>6.5159227260000003</v>
          </cell>
          <cell r="X1499">
            <v>6.5187945870000004</v>
          </cell>
          <cell r="Y1499">
            <v>6.52123001</v>
          </cell>
          <cell r="Z1499">
            <v>6.5212052409999997</v>
          </cell>
          <cell r="AA1499">
            <v>6.5213172029999997</v>
          </cell>
          <cell r="AB1499">
            <v>6.5215674220000004</v>
          </cell>
          <cell r="AC1499">
            <v>6.5218916699999996</v>
          </cell>
          <cell r="AD1499">
            <v>6.5222483139999996</v>
          </cell>
          <cell r="AE1499">
            <v>6.5169956060000001</v>
          </cell>
          <cell r="AF1499">
            <v>6.510447256</v>
          </cell>
          <cell r="AG1499">
            <v>6.5031028360000001</v>
          </cell>
          <cell r="AH1499">
            <v>6.4952354659999996</v>
          </cell>
          <cell r="AI1499">
            <v>6.4870515060000002</v>
          </cell>
          <cell r="AJ1499">
            <v>6.478716296</v>
          </cell>
          <cell r="AK1499">
            <v>6.4703575750000004</v>
          </cell>
          <cell r="AL1499">
            <v>6.4620677549999996</v>
          </cell>
          <cell r="AM1499">
            <v>6.4539081559999998</v>
          </cell>
          <cell r="AN1499">
            <v>6.4459147249999997</v>
          </cell>
          <cell r="AO1499">
            <v>6.4381041679999997</v>
          </cell>
          <cell r="AP1499">
            <v>6.4292883930000002</v>
          </cell>
          <cell r="AQ1499">
            <v>6.4197542009999999</v>
          </cell>
          <cell r="AR1499">
            <v>6.4097546799999998</v>
          </cell>
          <cell r="AS1499">
            <v>6.3994753040000001</v>
          </cell>
          <cell r="AT1499">
            <v>6.389051018</v>
          </cell>
          <cell r="AU1499">
            <v>6.3785813569999998</v>
          </cell>
          <cell r="AV1499">
            <v>6.3681395009999999</v>
          </cell>
          <cell r="AW1499">
            <v>6.3577777400000004</v>
          </cell>
          <cell r="AX1499">
            <v>6.347531354</v>
          </cell>
          <cell r="AY1499">
            <v>6.3374218500000001</v>
          </cell>
          <cell r="AZ1499">
            <v>6.3275552069999996</v>
          </cell>
          <cell r="BA1499">
            <v>6.3179103269999999</v>
          </cell>
          <cell r="BB1499">
            <v>6.3084635389999999</v>
          </cell>
          <cell r="BC1499">
            <v>6.2991946260000002</v>
          </cell>
          <cell r="BD1499">
            <v>6.2900861539999999</v>
          </cell>
          <cell r="BE1499">
            <v>6.2314564189999997</v>
          </cell>
          <cell r="BF1499">
            <v>6.21968941</v>
          </cell>
          <cell r="BG1499">
            <v>6.2080740509999996</v>
          </cell>
          <cell r="BH1499">
            <v>6.1966238159999998</v>
          </cell>
          <cell r="BI1499">
            <v>6.1853541830000003</v>
          </cell>
        </row>
        <row r="1501">
          <cell r="F1501">
            <v>0.72011375529999999</v>
          </cell>
          <cell r="G1501">
            <v>0.71952820309999999</v>
          </cell>
          <cell r="H1501">
            <v>0.71808296979999997</v>
          </cell>
          <cell r="I1501">
            <v>0.7164377086</v>
          </cell>
          <cell r="J1501">
            <v>0.71500132689999996</v>
          </cell>
          <cell r="K1501">
            <v>0.71402231220000001</v>
          </cell>
          <cell r="L1501">
            <v>0.71332271579999995</v>
          </cell>
          <cell r="M1501">
            <v>0.7129318563</v>
          </cell>
          <cell r="N1501">
            <v>0.71283224649999999</v>
          </cell>
          <cell r="O1501">
            <v>0.71296734169999998</v>
          </cell>
          <cell r="P1501">
            <v>0.71371919130000006</v>
          </cell>
          <cell r="Q1501">
            <v>0.71448810340000002</v>
          </cell>
          <cell r="R1501">
            <v>0.71518993630000005</v>
          </cell>
          <cell r="S1501">
            <v>0.71581337820000002</v>
          </cell>
          <cell r="T1501">
            <v>0.71636218500000004</v>
          </cell>
          <cell r="U1501">
            <v>0.71684346509999997</v>
          </cell>
          <cell r="V1501">
            <v>0.71726540029999997</v>
          </cell>
          <cell r="W1501">
            <v>0.71763680269999996</v>
          </cell>
          <cell r="X1501">
            <v>0.71796691339999996</v>
          </cell>
          <cell r="Y1501">
            <v>0.71826516330000001</v>
          </cell>
          <cell r="Z1501">
            <v>0.71824735390000005</v>
          </cell>
          <cell r="AA1501">
            <v>0.71827279710000003</v>
          </cell>
          <cell r="AB1501">
            <v>0.71837072619999998</v>
          </cell>
          <cell r="AC1501">
            <v>0.71853226960000005</v>
          </cell>
          <cell r="AD1501">
            <v>0.71874629690000003</v>
          </cell>
          <cell r="AE1501">
            <v>0.71821127809999996</v>
          </cell>
          <cell r="AF1501">
            <v>0.71749857449999999</v>
          </cell>
          <cell r="AG1501">
            <v>0.71673278460000001</v>
          </cell>
          <cell r="AH1501">
            <v>0.71596546920000004</v>
          </cell>
          <cell r="AI1501">
            <v>0.71522345740000004</v>
          </cell>
          <cell r="AJ1501">
            <v>0.71452254140000004</v>
          </cell>
          <cell r="AK1501">
            <v>0.71387219209999997</v>
          </cell>
          <cell r="AL1501">
            <v>0.71327755240000001</v>
          </cell>
          <cell r="AM1501">
            <v>0.71274055589999996</v>
          </cell>
          <cell r="AN1501">
            <v>0.71226073229999998</v>
          </cell>
          <cell r="AO1501">
            <v>0.71183587559999995</v>
          </cell>
          <cell r="AP1501">
            <v>0.71129642670000004</v>
          </cell>
          <cell r="AQ1501">
            <v>0.71067126810000003</v>
          </cell>
          <cell r="AR1501">
            <v>0.70999985899999996</v>
          </cell>
          <cell r="AS1501">
            <v>0.70931208840000004</v>
          </cell>
          <cell r="AT1501">
            <v>0.708627966</v>
          </cell>
          <cell r="AU1501">
            <v>0.70796015960000003</v>
          </cell>
          <cell r="AV1501">
            <v>0.70731625330000003</v>
          </cell>
          <cell r="AW1501">
            <v>0.70670034680000005</v>
          </cell>
          <cell r="AX1501">
            <v>0.70611408679999998</v>
          </cell>
          <cell r="AY1501">
            <v>0.7055571866</v>
          </cell>
          <cell r="AZ1501">
            <v>0.70504022600000005</v>
          </cell>
          <cell r="BA1501">
            <v>0.70455032740000001</v>
          </cell>
          <cell r="BB1501">
            <v>0.70406854090000004</v>
          </cell>
          <cell r="BC1501">
            <v>0.70359757170000004</v>
          </cell>
          <cell r="BD1501">
            <v>0.70314928899999996</v>
          </cell>
          <cell r="BE1501">
            <v>0.69139399580000005</v>
          </cell>
          <cell r="BF1501">
            <v>0.6906937943</v>
          </cell>
          <cell r="BG1501">
            <v>0.69001173999999998</v>
          </cell>
          <cell r="BH1501">
            <v>0.68934913139999998</v>
          </cell>
          <cell r="BI1501">
            <v>0.68870704589999998</v>
          </cell>
        </row>
        <row r="1502">
          <cell r="F1502">
            <v>86.953616359999998</v>
          </cell>
          <cell r="G1502">
            <v>86.76053288</v>
          </cell>
          <cell r="H1502">
            <v>86.366416650000005</v>
          </cell>
          <cell r="I1502">
            <v>85.888598009999995</v>
          </cell>
          <cell r="J1502">
            <v>85.40746154</v>
          </cell>
          <cell r="K1502">
            <v>84.970071520000005</v>
          </cell>
          <cell r="L1502">
            <v>84.57103352</v>
          </cell>
          <cell r="M1502">
            <v>84.214655519999994</v>
          </cell>
          <cell r="N1502">
            <v>83.897710959999998</v>
          </cell>
          <cell r="O1502">
            <v>83.6118053</v>
          </cell>
          <cell r="P1502">
            <v>83.390268989999996</v>
          </cell>
          <cell r="Q1502">
            <v>83.176827020000005</v>
          </cell>
          <cell r="R1502">
            <v>82.958994730000001</v>
          </cell>
          <cell r="S1502">
            <v>82.734078920000002</v>
          </cell>
          <cell r="T1502">
            <v>82.502259260000002</v>
          </cell>
          <cell r="U1502">
            <v>82.264651169999993</v>
          </cell>
          <cell r="V1502">
            <v>82.022714210000004</v>
          </cell>
          <cell r="W1502">
            <v>81.778044019999996</v>
          </cell>
          <cell r="X1502">
            <v>81.532275819999995</v>
          </cell>
          <cell r="Y1502">
            <v>81.287020650000002</v>
          </cell>
          <cell r="Z1502">
            <v>81.016301159999998</v>
          </cell>
          <cell r="AA1502">
            <v>80.752448119999997</v>
          </cell>
          <cell r="AB1502">
            <v>80.500717050000006</v>
          </cell>
          <cell r="AC1502">
            <v>80.261309690000004</v>
          </cell>
          <cell r="AD1502">
            <v>80.033516649999996</v>
          </cell>
          <cell r="AE1502">
            <v>79.742776430000006</v>
          </cell>
          <cell r="AF1502">
            <v>79.436980419999998</v>
          </cell>
          <cell r="AG1502">
            <v>79.130658699999998</v>
          </cell>
          <cell r="AH1502">
            <v>78.830344819999993</v>
          </cell>
          <cell r="AI1502">
            <v>78.539497979999993</v>
          </cell>
          <cell r="AJ1502">
            <v>78.260054310000001</v>
          </cell>
          <cell r="AK1502">
            <v>77.993016150000003</v>
          </cell>
          <cell r="AL1502">
            <v>77.738737</v>
          </cell>
          <cell r="AM1502">
            <v>77.497099489999997</v>
          </cell>
          <cell r="AN1502">
            <v>77.267650540000005</v>
          </cell>
          <cell r="AO1502">
            <v>77.049714069999993</v>
          </cell>
          <cell r="AP1502">
            <v>76.827197979999994</v>
          </cell>
          <cell r="AQ1502">
            <v>76.601174700000001</v>
          </cell>
          <cell r="AR1502">
            <v>76.374874689999999</v>
          </cell>
          <cell r="AS1502">
            <v>76.151073519999997</v>
          </cell>
          <cell r="AT1502">
            <v>75.931729689999997</v>
          </cell>
          <cell r="AU1502">
            <v>75.718102700000003</v>
          </cell>
          <cell r="AV1502">
            <v>75.510930860000002</v>
          </cell>
          <cell r="AW1502">
            <v>75.310585520000004</v>
          </cell>
          <cell r="AX1502">
            <v>75.117172100000005</v>
          </cell>
          <cell r="AY1502">
            <v>74.930563669999998</v>
          </cell>
          <cell r="AZ1502">
            <v>74.751423270000004</v>
          </cell>
          <cell r="BA1502">
            <v>74.577561430000003</v>
          </cell>
          <cell r="BB1502">
            <v>74.406906770000006</v>
          </cell>
          <cell r="BC1502">
            <v>74.239389419999995</v>
          </cell>
          <cell r="BD1502">
            <v>74.075951399999994</v>
          </cell>
          <cell r="BE1502">
            <v>71.369933189999998</v>
          </cell>
          <cell r="BF1502">
            <v>71.162944929999995</v>
          </cell>
          <cell r="BG1502">
            <v>70.960819119999996</v>
          </cell>
          <cell r="BH1502">
            <v>70.76353349</v>
          </cell>
          <cell r="BI1502">
            <v>70.57103103</v>
          </cell>
        </row>
        <row r="1512">
          <cell r="F1512">
            <v>1934361.32</v>
          </cell>
          <cell r="G1512">
            <v>1951796.9620000001</v>
          </cell>
          <cell r="H1512">
            <v>1972259.291</v>
          </cell>
          <cell r="I1512">
            <v>1995340.3419999999</v>
          </cell>
          <cell r="J1512">
            <v>2020822.622</v>
          </cell>
          <cell r="K1512">
            <v>2048404.2420000001</v>
          </cell>
          <cell r="L1512">
            <v>2076344.723</v>
          </cell>
          <cell r="M1512">
            <v>2105487.2760000001</v>
          </cell>
          <cell r="N1512">
            <v>2135671.361</v>
          </cell>
          <cell r="O1512">
            <v>2166756.9939999999</v>
          </cell>
          <cell r="P1512">
            <v>2201095.446</v>
          </cell>
          <cell r="Q1512">
            <v>2234090.46</v>
          </cell>
          <cell r="R1512">
            <v>2267545.4640000002</v>
          </cell>
          <cell r="S1512">
            <v>2301398.3119999999</v>
          </cell>
          <cell r="T1512">
            <v>2335624.9419999998</v>
          </cell>
          <cell r="U1512">
            <v>2370221.0049999999</v>
          </cell>
          <cell r="V1512">
            <v>2405046.4610000001</v>
          </cell>
          <cell r="W1512">
            <v>2440249.9040000001</v>
          </cell>
          <cell r="X1512">
            <v>2475854.1940000001</v>
          </cell>
          <cell r="Y1512">
            <v>2511886.2379999999</v>
          </cell>
          <cell r="Z1512">
            <v>2546546.4649999999</v>
          </cell>
          <cell r="AA1512">
            <v>2583062.6609999998</v>
          </cell>
          <cell r="AB1512">
            <v>2620166.7620000001</v>
          </cell>
          <cell r="AC1512">
            <v>2657883.165</v>
          </cell>
          <cell r="AD1512">
            <v>2696221.9550000001</v>
          </cell>
          <cell r="AE1512">
            <v>2729934.0129999998</v>
          </cell>
          <cell r="AF1512">
            <v>2765795.6009999998</v>
          </cell>
          <cell r="AG1512">
            <v>2801893.841</v>
          </cell>
          <cell r="AH1512">
            <v>2838350.4109999998</v>
          </cell>
          <cell r="AI1512">
            <v>2875254.307</v>
          </cell>
          <cell r="AJ1512">
            <v>2912673.1129999999</v>
          </cell>
          <cell r="AK1512">
            <v>2950688.179</v>
          </cell>
          <cell r="AL1512">
            <v>2989301.57</v>
          </cell>
          <cell r="AM1512">
            <v>3028530.6749999998</v>
          </cell>
          <cell r="AN1512">
            <v>3068382.8089999999</v>
          </cell>
          <cell r="AO1512">
            <v>3108859.3130000001</v>
          </cell>
          <cell r="AP1512">
            <v>3148987.8130000001</v>
          </cell>
          <cell r="AQ1512">
            <v>3189443.31</v>
          </cell>
          <cell r="AR1512">
            <v>3230276.13</v>
          </cell>
          <cell r="AS1512">
            <v>3271533.8679999998</v>
          </cell>
          <cell r="AT1512">
            <v>3313258.8679999998</v>
          </cell>
          <cell r="AU1512">
            <v>3355533.7459999998</v>
          </cell>
          <cell r="AV1512">
            <v>3398345.949</v>
          </cell>
          <cell r="AW1512">
            <v>3441715.7910000002</v>
          </cell>
          <cell r="AX1512">
            <v>3485656.5589999999</v>
          </cell>
          <cell r="AY1512">
            <v>3530176.9</v>
          </cell>
          <cell r="AZ1512">
            <v>3575556.267</v>
          </cell>
          <cell r="BA1512">
            <v>3621576.8769999999</v>
          </cell>
          <cell r="BB1512">
            <v>3668235.2239999999</v>
          </cell>
          <cell r="BC1512">
            <v>3715524.9249999998</v>
          </cell>
          <cell r="BD1512">
            <v>3763441.2230000002</v>
          </cell>
          <cell r="BE1512">
            <v>4435341.7680000002</v>
          </cell>
          <cell r="BF1512">
            <v>4509946.5190000003</v>
          </cell>
          <cell r="BG1512">
            <v>4585737.1710000001</v>
          </cell>
          <cell r="BH1512">
            <v>4662731.2929999996</v>
          </cell>
          <cell r="BI1512">
            <v>4740947.9249999998</v>
          </cell>
        </row>
        <row r="1513">
          <cell r="F1513">
            <v>35296.550920000001</v>
          </cell>
          <cell r="G1513">
            <v>35398.034699999997</v>
          </cell>
          <cell r="H1513">
            <v>35556.157370000001</v>
          </cell>
          <cell r="I1513">
            <v>35784.385869999998</v>
          </cell>
          <cell r="J1513">
            <v>36081.08726</v>
          </cell>
          <cell r="K1513">
            <v>36437.113799999999</v>
          </cell>
          <cell r="L1513">
            <v>36821.444519999997</v>
          </cell>
          <cell r="M1513">
            <v>37241.926160000003</v>
          </cell>
          <cell r="N1513">
            <v>37691.964209999998</v>
          </cell>
          <cell r="O1513">
            <v>38165.777800000003</v>
          </cell>
          <cell r="P1513">
            <v>38698.75346</v>
          </cell>
          <cell r="Q1513">
            <v>39215.33268</v>
          </cell>
          <cell r="R1513">
            <v>39741.099479999997</v>
          </cell>
          <cell r="S1513">
            <v>40273.714079999998</v>
          </cell>
          <cell r="T1513">
            <v>40811.9041</v>
          </cell>
          <cell r="U1513">
            <v>41355.04077</v>
          </cell>
          <cell r="V1513">
            <v>41899.379130000001</v>
          </cell>
          <cell r="W1513">
            <v>42448.294809999999</v>
          </cell>
          <cell r="X1513">
            <v>43001.871720000003</v>
          </cell>
          <cell r="Y1513">
            <v>43560.464390000001</v>
          </cell>
          <cell r="Z1513">
            <v>44095.102800000001</v>
          </cell>
          <cell r="AA1513">
            <v>44655.916819999999</v>
          </cell>
          <cell r="AB1513">
            <v>45224.995510000001</v>
          </cell>
          <cell r="AC1513">
            <v>45802.785989999997</v>
          </cell>
          <cell r="AD1513">
            <v>46389.493199999997</v>
          </cell>
          <cell r="AE1513">
            <v>46901.12586</v>
          </cell>
          <cell r="AF1513">
            <v>47441.134129999999</v>
          </cell>
          <cell r="AG1513">
            <v>47982.962039999999</v>
          </cell>
          <cell r="AH1513">
            <v>48529.338750000003</v>
          </cell>
          <cell r="AI1513">
            <v>49082.340940000002</v>
          </cell>
          <cell r="AJ1513">
            <v>49643.516660000001</v>
          </cell>
          <cell r="AK1513">
            <v>50214.742980000003</v>
          </cell>
          <cell r="AL1513">
            <v>50795.990680000003</v>
          </cell>
          <cell r="AM1513">
            <v>51387.690730000002</v>
          </cell>
          <cell r="AN1513">
            <v>51990.028429999998</v>
          </cell>
          <cell r="AO1513">
            <v>52603.049830000004</v>
          </cell>
          <cell r="AP1513">
            <v>53213.679689999997</v>
          </cell>
          <cell r="AQ1513">
            <v>53828.832300000002</v>
          </cell>
          <cell r="AR1513">
            <v>54449.912539999998</v>
          </cell>
          <cell r="AS1513">
            <v>55078.023609999997</v>
          </cell>
          <cell r="AT1513">
            <v>55714.103889999999</v>
          </cell>
          <cell r="AU1513">
            <v>56360.035640000002</v>
          </cell>
          <cell r="AV1513">
            <v>57015.379659999999</v>
          </cell>
          <cell r="AW1513">
            <v>57680.588170000003</v>
          </cell>
          <cell r="AX1513">
            <v>58355.9133</v>
          </cell>
          <cell r="AY1513">
            <v>59041.494579999999</v>
          </cell>
          <cell r="AZ1513">
            <v>59742.976629999997</v>
          </cell>
          <cell r="BA1513">
            <v>60455.70089</v>
          </cell>
          <cell r="BB1513">
            <v>61179.659509999998</v>
          </cell>
          <cell r="BC1513">
            <v>61914.667049999996</v>
          </cell>
          <cell r="BD1513">
            <v>62660.537060000002</v>
          </cell>
          <cell r="BE1513">
            <v>73046.369460000002</v>
          </cell>
          <cell r="BF1513">
            <v>74178.173190000001</v>
          </cell>
          <cell r="BG1513">
            <v>75329.311960000006</v>
          </cell>
          <cell r="BH1513">
            <v>76500.127600000007</v>
          </cell>
          <cell r="BI1513">
            <v>77691.000880000007</v>
          </cell>
        </row>
        <row r="1516">
          <cell r="F1516">
            <v>322331.76880000002</v>
          </cell>
          <cell r="G1516">
            <v>326284.23149999999</v>
          </cell>
          <cell r="H1516">
            <v>330025.11249999999</v>
          </cell>
          <cell r="I1516">
            <v>334042.61060000001</v>
          </cell>
          <cell r="J1516">
            <v>338366.00559999997</v>
          </cell>
          <cell r="K1516">
            <v>342952.40269999998</v>
          </cell>
          <cell r="L1516">
            <v>347516.98910000001</v>
          </cell>
          <cell r="M1516">
            <v>352237.30420000001</v>
          </cell>
          <cell r="N1516">
            <v>357086.46730000002</v>
          </cell>
          <cell r="O1516">
            <v>362051.38660000003</v>
          </cell>
          <cell r="P1516">
            <v>367531.30609999999</v>
          </cell>
          <cell r="Q1516">
            <v>372725.44020000001</v>
          </cell>
          <cell r="R1516">
            <v>378018.07020000002</v>
          </cell>
          <cell r="S1516">
            <v>383382.23820000002</v>
          </cell>
          <cell r="T1516">
            <v>388816.09370000003</v>
          </cell>
          <cell r="U1516">
            <v>394323.04090000002</v>
          </cell>
          <cell r="V1516">
            <v>399865.89870000002</v>
          </cell>
          <cell r="W1516">
            <v>405495.93920000002</v>
          </cell>
          <cell r="X1516">
            <v>411216.09940000001</v>
          </cell>
          <cell r="Y1516">
            <v>417032.91389999999</v>
          </cell>
          <cell r="Z1516">
            <v>422653.54180000001</v>
          </cell>
          <cell r="AA1516">
            <v>428630.23849999998</v>
          </cell>
          <cell r="AB1516">
            <v>434715.9755</v>
          </cell>
          <cell r="AC1516">
            <v>440929.12079999998</v>
          </cell>
          <cell r="AD1516">
            <v>447273.62280000001</v>
          </cell>
          <cell r="AE1516">
            <v>452893.59279999998</v>
          </cell>
          <cell r="AF1516">
            <v>458961.0785</v>
          </cell>
          <cell r="AG1516">
            <v>465069.15429999999</v>
          </cell>
          <cell r="AH1516">
            <v>471252.54969999997</v>
          </cell>
          <cell r="AI1516">
            <v>477524.13819999999</v>
          </cell>
          <cell r="AJ1516">
            <v>483891.38860000001</v>
          </cell>
          <cell r="AK1516">
            <v>490368.29519999999</v>
          </cell>
          <cell r="AL1516">
            <v>496947.02899999998</v>
          </cell>
          <cell r="AM1516">
            <v>503628.61070000002</v>
          </cell>
          <cell r="AN1516">
            <v>510411.86910000001</v>
          </cell>
          <cell r="AO1516">
            <v>517294.71600000001</v>
          </cell>
          <cell r="AP1516">
            <v>524153.25180000003</v>
          </cell>
          <cell r="AQ1516">
            <v>531061.9987</v>
          </cell>
          <cell r="AR1516">
            <v>538022.60450000002</v>
          </cell>
          <cell r="AS1516">
            <v>545038.98479999998</v>
          </cell>
          <cell r="AT1516">
            <v>552115.10309999995</v>
          </cell>
          <cell r="AU1516">
            <v>559267.81189999997</v>
          </cell>
          <cell r="AV1516">
            <v>566485.87060000002</v>
          </cell>
          <cell r="AW1516">
            <v>573772.33239999996</v>
          </cell>
          <cell r="AX1516">
            <v>581128.4547</v>
          </cell>
          <cell r="AY1516">
            <v>588554.93709999998</v>
          </cell>
          <cell r="AZ1516">
            <v>596116.34380000003</v>
          </cell>
          <cell r="BA1516">
            <v>603751.20220000006</v>
          </cell>
          <cell r="BB1516">
            <v>611464.06629999995</v>
          </cell>
          <cell r="BC1516">
            <v>619254.88970000006</v>
          </cell>
          <cell r="BD1516">
            <v>627123.52480000001</v>
          </cell>
          <cell r="BE1516">
            <v>779782.38390000002</v>
          </cell>
          <cell r="BF1516">
            <v>793578.7855</v>
          </cell>
          <cell r="BG1516">
            <v>807567.57739999995</v>
          </cell>
          <cell r="BH1516">
            <v>821748.6128</v>
          </cell>
          <cell r="BI1516">
            <v>836122.06779999996</v>
          </cell>
        </row>
        <row r="1528">
          <cell r="F1528">
            <v>47287.195879999999</v>
          </cell>
          <cell r="G1528">
            <v>47805.171399999999</v>
          </cell>
          <cell r="H1528">
            <v>48287.338629999998</v>
          </cell>
          <cell r="I1528">
            <v>48814.971369999999</v>
          </cell>
          <cell r="J1528">
            <v>49398.579960000003</v>
          </cell>
          <cell r="K1528">
            <v>50033.303330000002</v>
          </cell>
          <cell r="L1528">
            <v>50675.148970000002</v>
          </cell>
          <cell r="M1528">
            <v>51347.765950000001</v>
          </cell>
          <cell r="N1528">
            <v>52044.340250000001</v>
          </cell>
          <cell r="O1528">
            <v>52760.078439999997</v>
          </cell>
          <cell r="P1528">
            <v>53552.58728</v>
          </cell>
          <cell r="Q1528">
            <v>54299.844449999997</v>
          </cell>
          <cell r="R1528">
            <v>55056.899219999999</v>
          </cell>
          <cell r="S1528">
            <v>55819.26571</v>
          </cell>
          <cell r="T1528">
            <v>56585.863830000002</v>
          </cell>
          <cell r="U1528">
            <v>57356.569309999999</v>
          </cell>
          <cell r="V1528">
            <v>58126.001550000001</v>
          </cell>
          <cell r="W1528">
            <v>58900.725939999997</v>
          </cell>
          <cell r="X1528">
            <v>59681.102180000002</v>
          </cell>
          <cell r="Y1528">
            <v>60468.031009999999</v>
          </cell>
          <cell r="Z1528">
            <v>61217.251600000003</v>
          </cell>
          <cell r="AA1528">
            <v>62012.75561</v>
          </cell>
          <cell r="AB1528">
            <v>62817.711089999997</v>
          </cell>
          <cell r="AC1528">
            <v>63634.669289999998</v>
          </cell>
          <cell r="AD1528">
            <v>64464.426919999998</v>
          </cell>
          <cell r="AE1528">
            <v>65177.711710000003</v>
          </cell>
          <cell r="AF1528">
            <v>65953.35931</v>
          </cell>
          <cell r="AG1528">
            <v>66732.035829999993</v>
          </cell>
          <cell r="AH1528">
            <v>67519.141010000007</v>
          </cell>
          <cell r="AI1528">
            <v>68317.324009999997</v>
          </cell>
          <cell r="AJ1528">
            <v>69128.386780000001</v>
          </cell>
          <cell r="AK1528">
            <v>69954.850160000002</v>
          </cell>
          <cell r="AL1528">
            <v>70796.189429999999</v>
          </cell>
          <cell r="AM1528">
            <v>71652.931649999999</v>
          </cell>
          <cell r="AN1528">
            <v>72525.247570000007</v>
          </cell>
          <cell r="AO1528">
            <v>73413.134690000006</v>
          </cell>
          <cell r="AP1528">
            <v>74296.705669999996</v>
          </cell>
          <cell r="AQ1528">
            <v>75189.653390000007</v>
          </cell>
          <cell r="AR1528">
            <v>76092.757840000006</v>
          </cell>
          <cell r="AS1528">
            <v>77007.000629999995</v>
          </cell>
          <cell r="AT1528">
            <v>77933.296830000007</v>
          </cell>
          <cell r="AU1528">
            <v>78874.221099999995</v>
          </cell>
          <cell r="AV1528">
            <v>79828.524850000002</v>
          </cell>
          <cell r="AW1528">
            <v>80796.753339999996</v>
          </cell>
          <cell r="AX1528">
            <v>81779.160359999994</v>
          </cell>
          <cell r="AY1528">
            <v>82775.876149999996</v>
          </cell>
          <cell r="AZ1528">
            <v>83795.9185</v>
          </cell>
          <cell r="BA1528">
            <v>84830.818369999994</v>
          </cell>
          <cell r="BB1528">
            <v>85881.023749999993</v>
          </cell>
          <cell r="BC1528">
            <v>86946.393290000007</v>
          </cell>
          <cell r="BD1528">
            <v>88026.758270000006</v>
          </cell>
          <cell r="BE1528">
            <v>104246.85159999999</v>
          </cell>
          <cell r="BF1528">
            <v>105947.7721</v>
          </cell>
          <cell r="BG1528">
            <v>107679.07919999999</v>
          </cell>
          <cell r="BH1528">
            <v>109441.3615</v>
          </cell>
          <cell r="BI1528">
            <v>111235.22809999999</v>
          </cell>
        </row>
        <row r="1533">
          <cell r="F1533">
            <v>1491519.551</v>
          </cell>
          <cell r="G1533">
            <v>1504199.1710000001</v>
          </cell>
          <cell r="H1533">
            <v>1520125.1140000001</v>
          </cell>
          <cell r="I1533">
            <v>1538247.3970000001</v>
          </cell>
          <cell r="J1533">
            <v>1558295.726</v>
          </cell>
          <cell r="K1533">
            <v>1580028.78</v>
          </cell>
          <cell r="L1533">
            <v>1602087.504</v>
          </cell>
          <cell r="M1533">
            <v>1625098.6850000001</v>
          </cell>
          <cell r="N1533">
            <v>1648948.7930000001</v>
          </cell>
          <cell r="O1533">
            <v>1673527.7139999999</v>
          </cell>
          <cell r="P1533">
            <v>1700660.0589999999</v>
          </cell>
          <cell r="Q1533">
            <v>1726824.1329999999</v>
          </cell>
          <cell r="R1533">
            <v>1753331.3859999999</v>
          </cell>
          <cell r="S1533">
            <v>1780154.1850000001</v>
          </cell>
          <cell r="T1533">
            <v>1807273.2220000001</v>
          </cell>
          <cell r="U1533">
            <v>1834681.659</v>
          </cell>
          <cell r="V1533">
            <v>1862288.527</v>
          </cell>
          <cell r="W1533">
            <v>1890177.9650000001</v>
          </cell>
          <cell r="X1533">
            <v>1918368.91</v>
          </cell>
          <cell r="Y1533">
            <v>1946879.63</v>
          </cell>
          <cell r="Z1533">
            <v>1974304.111</v>
          </cell>
          <cell r="AA1533">
            <v>2003132.5279999999</v>
          </cell>
          <cell r="AB1533">
            <v>2032417.0319999999</v>
          </cell>
          <cell r="AC1533">
            <v>2062160.4069999999</v>
          </cell>
          <cell r="AD1533">
            <v>2092367.1939999999</v>
          </cell>
          <cell r="AE1533">
            <v>2118937.4139999999</v>
          </cell>
          <cell r="AF1533">
            <v>2147087.3020000001</v>
          </cell>
          <cell r="AG1533">
            <v>2175423.8930000002</v>
          </cell>
          <cell r="AH1533">
            <v>2204024.5970000001</v>
          </cell>
          <cell r="AI1533">
            <v>2232959.4180000001</v>
          </cell>
          <cell r="AJ1533">
            <v>2262284.051</v>
          </cell>
          <cell r="AK1533">
            <v>2292059.9939999999</v>
          </cell>
          <cell r="AL1533">
            <v>2322297.7429999998</v>
          </cell>
          <cell r="AM1533">
            <v>2353012.3280000002</v>
          </cell>
          <cell r="AN1533">
            <v>2384211.7069999999</v>
          </cell>
          <cell r="AO1533">
            <v>2415899.253</v>
          </cell>
          <cell r="AP1533">
            <v>2447272.5970000001</v>
          </cell>
          <cell r="AQ1533">
            <v>2478903.125</v>
          </cell>
          <cell r="AR1533">
            <v>2510835.94</v>
          </cell>
          <cell r="AS1533">
            <v>2543111.9870000002</v>
          </cell>
          <cell r="AT1533">
            <v>2575767.395</v>
          </cell>
          <cell r="AU1533">
            <v>2608862.287</v>
          </cell>
          <cell r="AV1533">
            <v>2642397.7230000002</v>
          </cell>
          <cell r="AW1533">
            <v>2676389.8050000002</v>
          </cell>
          <cell r="AX1533">
            <v>2710850.0219999999</v>
          </cell>
          <cell r="AY1533">
            <v>2745786.037</v>
          </cell>
          <cell r="AZ1533">
            <v>2781393.31</v>
          </cell>
          <cell r="BA1533">
            <v>2817532.8420000002</v>
          </cell>
          <cell r="BB1533">
            <v>2854196.1329999999</v>
          </cell>
          <cell r="BC1533">
            <v>2891377.2749999999</v>
          </cell>
          <cell r="BD1533">
            <v>2929072.0959999999</v>
          </cell>
          <cell r="BE1533">
            <v>3416677.1430000002</v>
          </cell>
          <cell r="BF1533">
            <v>3473898.909</v>
          </cell>
          <cell r="BG1533">
            <v>3532050.4369999999</v>
          </cell>
          <cell r="BH1533">
            <v>3591148.4539999999</v>
          </cell>
          <cell r="BI1533">
            <v>3651210.7570000002</v>
          </cell>
        </row>
        <row r="1537">
          <cell r="F1537">
            <v>-2144.2983960000001</v>
          </cell>
          <cell r="G1537">
            <v>-2088.0925950000001</v>
          </cell>
          <cell r="H1537">
            <v>-2082.4581309999999</v>
          </cell>
          <cell r="I1537">
            <v>-2086.4785929999998</v>
          </cell>
          <cell r="J1537">
            <v>-2095.221016</v>
          </cell>
          <cell r="K1537">
            <v>-2108.5847309999999</v>
          </cell>
          <cell r="L1537">
            <v>-2126.4874060000002</v>
          </cell>
          <cell r="M1537">
            <v>-2145.8831719999998</v>
          </cell>
          <cell r="N1537">
            <v>-2167.3358020000001</v>
          </cell>
          <cell r="O1537">
            <v>-2190.444422</v>
          </cell>
          <cell r="P1537">
            <v>-2213.892875</v>
          </cell>
          <cell r="Q1537">
            <v>-2242.2260809999998</v>
          </cell>
          <cell r="R1537">
            <v>-2268.4743720000001</v>
          </cell>
          <cell r="S1537">
            <v>-2294.4771850000002</v>
          </cell>
          <cell r="T1537">
            <v>-2320.5804389999998</v>
          </cell>
          <cell r="U1537">
            <v>-2346.8141799999999</v>
          </cell>
          <cell r="V1537">
            <v>-2373.260992</v>
          </cell>
          <cell r="W1537">
            <v>-2399.4252940000001</v>
          </cell>
          <cell r="X1537">
            <v>-2425.6470380000001</v>
          </cell>
          <cell r="Y1537">
            <v>-2452.0050679999999</v>
          </cell>
          <cell r="Z1537">
            <v>-2479.1269130000001</v>
          </cell>
          <cell r="AA1537">
            <v>-2503.5567799999999</v>
          </cell>
          <cell r="AB1537">
            <v>-2529.8283689999998</v>
          </cell>
          <cell r="AC1537">
            <v>-2556.7429990000001</v>
          </cell>
          <cell r="AD1537">
            <v>-2584.040254</v>
          </cell>
          <cell r="AE1537">
            <v>-2613.3794250000001</v>
          </cell>
          <cell r="AF1537">
            <v>-2635.6239949999999</v>
          </cell>
          <cell r="AG1537">
            <v>-2659.9332060000002</v>
          </cell>
          <cell r="AH1537">
            <v>-2684.8537820000001</v>
          </cell>
          <cell r="AI1537">
            <v>-2710.0995659999999</v>
          </cell>
          <cell r="AJ1537">
            <v>-2735.6585719999998</v>
          </cell>
          <cell r="AK1537">
            <v>-2761.545822</v>
          </cell>
          <cell r="AL1537">
            <v>-2787.9064640000001</v>
          </cell>
          <cell r="AM1537">
            <v>-2814.6922810000001</v>
          </cell>
          <cell r="AN1537">
            <v>-2841.9038350000001</v>
          </cell>
          <cell r="AO1537">
            <v>-2869.544758</v>
          </cell>
          <cell r="AP1537">
            <v>-2897.8226549999999</v>
          </cell>
          <cell r="AQ1537">
            <v>-2925.7622230000002</v>
          </cell>
          <cell r="AR1537">
            <v>-2953.7860479999999</v>
          </cell>
          <cell r="AS1537">
            <v>-2982.0348859999999</v>
          </cell>
          <cell r="AT1537">
            <v>-3010.5651029999999</v>
          </cell>
          <cell r="AU1537">
            <v>-3039.3770730000001</v>
          </cell>
          <cell r="AV1537">
            <v>-3068.6456790000002</v>
          </cell>
          <cell r="AW1537">
            <v>-3098.2836940000002</v>
          </cell>
          <cell r="AX1537">
            <v>-3128.2813489999999</v>
          </cell>
          <cell r="AY1537">
            <v>-3158.639823</v>
          </cell>
          <cell r="AZ1537">
            <v>-3189.2182640000001</v>
          </cell>
          <cell r="BA1537">
            <v>-3220.7061570000001</v>
          </cell>
          <cell r="BB1537">
            <v>-3252.6602640000001</v>
          </cell>
          <cell r="BC1537">
            <v>-3284.9878819999999</v>
          </cell>
          <cell r="BD1537">
            <v>-3317.667477</v>
          </cell>
          <cell r="BE1537">
            <v>-4070.1845090000002</v>
          </cell>
          <cell r="BF1537">
            <v>-4129.4091010000002</v>
          </cell>
          <cell r="BG1537">
            <v>-4189.5967199999996</v>
          </cell>
          <cell r="BH1537">
            <v>-4250.7691379999997</v>
          </cell>
          <cell r="BI1537">
            <v>-4312.9515389999997</v>
          </cell>
        </row>
        <row r="1538">
          <cell r="F1538">
            <v>-607.19222649999995</v>
          </cell>
          <cell r="G1538">
            <v>-601.88575319999995</v>
          </cell>
          <cell r="H1538">
            <v>-601.36764340000002</v>
          </cell>
          <cell r="I1538">
            <v>-601.97419379999997</v>
          </cell>
          <cell r="J1538">
            <v>-603.84528369999998</v>
          </cell>
          <cell r="K1538">
            <v>-607.07496839999999</v>
          </cell>
          <cell r="L1538">
            <v>-611.37574370000004</v>
          </cell>
          <cell r="M1538">
            <v>-616.37569499999995</v>
          </cell>
          <cell r="N1538">
            <v>-622.00048549999997</v>
          </cell>
          <cell r="O1538">
            <v>-628.10321510000006</v>
          </cell>
          <cell r="P1538">
            <v>-634.76342020000004</v>
          </cell>
          <cell r="Q1538">
            <v>-641.8752637</v>
          </cell>
          <cell r="R1538">
            <v>-648.88871870000003</v>
          </cell>
          <cell r="S1538">
            <v>-655.98978650000004</v>
          </cell>
          <cell r="T1538">
            <v>-663.18682349999995</v>
          </cell>
          <cell r="U1538">
            <v>-670.46391649999998</v>
          </cell>
          <cell r="V1538">
            <v>-677.78198950000001</v>
          </cell>
          <cell r="W1538">
            <v>-685.10996990000001</v>
          </cell>
          <cell r="X1538">
            <v>-692.48081560000003</v>
          </cell>
          <cell r="Y1538">
            <v>-699.89815850000002</v>
          </cell>
          <cell r="Z1538">
            <v>-707.21508679999999</v>
          </cell>
          <cell r="AA1538">
            <v>-714.42798849999997</v>
          </cell>
          <cell r="AB1538">
            <v>-721.87573640000005</v>
          </cell>
          <cell r="AC1538">
            <v>-729.41983819999996</v>
          </cell>
          <cell r="AD1538">
            <v>-737.03771840000002</v>
          </cell>
          <cell r="AE1538">
            <v>-744.30760710000004</v>
          </cell>
          <cell r="AF1538">
            <v>-751.02990769999997</v>
          </cell>
          <cell r="AG1538">
            <v>-757.96784449999996</v>
          </cell>
          <cell r="AH1538">
            <v>-764.95162949999997</v>
          </cell>
          <cell r="AI1538">
            <v>-771.96704639999996</v>
          </cell>
          <cell r="AJ1538">
            <v>-779.02687479999997</v>
          </cell>
          <cell r="AK1538">
            <v>-786.15137709999999</v>
          </cell>
          <cell r="AL1538">
            <v>-793.35729289999995</v>
          </cell>
          <cell r="AM1538">
            <v>-800.64468550000004</v>
          </cell>
          <cell r="AN1538">
            <v>-808.01786709999999</v>
          </cell>
          <cell r="AO1538">
            <v>-815.48010910000005</v>
          </cell>
          <cell r="AP1538">
            <v>-822.98350310000001</v>
          </cell>
          <cell r="AQ1538">
            <v>-830.46888739999997</v>
          </cell>
          <cell r="AR1538">
            <v>-837.98470150000003</v>
          </cell>
          <cell r="AS1538">
            <v>-845.54792080000004</v>
          </cell>
          <cell r="AT1538">
            <v>-853.1682611</v>
          </cell>
          <cell r="AU1538">
            <v>-860.86101789999998</v>
          </cell>
          <cell r="AV1538">
            <v>-868.63898410000002</v>
          </cell>
          <cell r="AW1538">
            <v>-876.49464049999995</v>
          </cell>
          <cell r="AX1538">
            <v>-884.42878459999997</v>
          </cell>
          <cell r="AY1538">
            <v>-892.44243610000001</v>
          </cell>
          <cell r="AZ1538">
            <v>-900.57123049999996</v>
          </cell>
          <cell r="BA1538">
            <v>-908.84719340000004</v>
          </cell>
          <cell r="BB1538">
            <v>-917.21816769999998</v>
          </cell>
          <cell r="BC1538">
            <v>-925.67310210000005</v>
          </cell>
          <cell r="BD1538">
            <v>-934.20762539999998</v>
          </cell>
          <cell r="BE1538">
            <v>-1146.8100690000001</v>
          </cell>
          <cell r="BF1538">
            <v>-1162.752213</v>
          </cell>
          <cell r="BG1538">
            <v>-1178.9435550000001</v>
          </cell>
          <cell r="BH1538">
            <v>-1195.3919310000001</v>
          </cell>
          <cell r="BI1538">
            <v>-1212.105595</v>
          </cell>
        </row>
        <row r="1540">
          <cell r="F1540">
            <v>482.9795881</v>
          </cell>
          <cell r="G1540">
            <v>484.59302100000002</v>
          </cell>
          <cell r="H1540">
            <v>487.23814440000001</v>
          </cell>
          <cell r="I1540">
            <v>490.46786639999999</v>
          </cell>
          <cell r="J1540">
            <v>494.28561239999999</v>
          </cell>
          <cell r="K1540">
            <v>498.65394300000003</v>
          </cell>
          <cell r="L1540">
            <v>503.23755749999998</v>
          </cell>
          <cell r="M1540">
            <v>508.19946190000002</v>
          </cell>
          <cell r="N1540">
            <v>513.48796389999995</v>
          </cell>
          <cell r="O1540">
            <v>519.03489460000003</v>
          </cell>
          <cell r="P1540">
            <v>525.33202830000005</v>
          </cell>
          <cell r="Q1540">
            <v>531.34952699999997</v>
          </cell>
          <cell r="R1540">
            <v>537.40258100000005</v>
          </cell>
          <cell r="S1540">
            <v>543.5134746</v>
          </cell>
          <cell r="T1540">
            <v>549.67613819999997</v>
          </cell>
          <cell r="U1540">
            <v>555.88239599999997</v>
          </cell>
          <cell r="V1540">
            <v>562.07410149999998</v>
          </cell>
          <cell r="W1540">
            <v>568.29533839999999</v>
          </cell>
          <cell r="X1540">
            <v>574.55254009999999</v>
          </cell>
          <cell r="Y1540">
            <v>580.85057629999994</v>
          </cell>
          <cell r="Z1540">
            <v>586.79875549999997</v>
          </cell>
          <cell r="AA1540">
            <v>593.07502050000005</v>
          </cell>
          <cell r="AB1540">
            <v>599.46460200000001</v>
          </cell>
          <cell r="AC1540">
            <v>605.94374000000005</v>
          </cell>
          <cell r="AD1540">
            <v>612.51045529999999</v>
          </cell>
          <cell r="AE1540">
            <v>618.04137430000003</v>
          </cell>
          <cell r="AF1540">
            <v>623.93538620000004</v>
          </cell>
          <cell r="AG1540">
            <v>629.9118876</v>
          </cell>
          <cell r="AH1540">
            <v>635.95611829999996</v>
          </cell>
          <cell r="AI1540">
            <v>642.07585610000001</v>
          </cell>
          <cell r="AJ1540">
            <v>648.2818777</v>
          </cell>
          <cell r="AK1540">
            <v>654.59575410000002</v>
          </cell>
          <cell r="AL1540">
            <v>661.01496710000004</v>
          </cell>
          <cell r="AM1540">
            <v>667.54381690000002</v>
          </cell>
          <cell r="AN1540">
            <v>674.18555719999995</v>
          </cell>
          <cell r="AO1540">
            <v>680.94211570000004</v>
          </cell>
          <cell r="AP1540">
            <v>687.65607899999998</v>
          </cell>
          <cell r="AQ1540">
            <v>694.41958109999996</v>
          </cell>
          <cell r="AR1540">
            <v>701.25706509999998</v>
          </cell>
          <cell r="AS1540">
            <v>708.17976309999995</v>
          </cell>
          <cell r="AT1540">
            <v>715.1943526</v>
          </cell>
          <cell r="AU1540">
            <v>722.3223117</v>
          </cell>
          <cell r="AV1540">
            <v>729.55300750000004</v>
          </cell>
          <cell r="AW1540">
            <v>736.8872447</v>
          </cell>
          <cell r="AX1540">
            <v>744.32599949999997</v>
          </cell>
          <cell r="AY1540">
            <v>751.8698637</v>
          </cell>
          <cell r="AZ1540">
            <v>759.5997357</v>
          </cell>
          <cell r="BA1540">
            <v>767.45287919999998</v>
          </cell>
          <cell r="BB1540">
            <v>775.42118760000005</v>
          </cell>
          <cell r="BC1540">
            <v>783.50179609999998</v>
          </cell>
          <cell r="BD1540">
            <v>791.69297640000002</v>
          </cell>
          <cell r="BE1540">
            <v>947.16079630000002</v>
          </cell>
          <cell r="BF1540">
            <v>961.08038239999996</v>
          </cell>
          <cell r="BG1540">
            <v>975.23425729999997</v>
          </cell>
          <cell r="BH1540">
            <v>989.62701319999996</v>
          </cell>
          <cell r="BI1540">
            <v>1004.263659</v>
          </cell>
        </row>
        <row r="1541">
          <cell r="F1541">
            <v>39990.264060000001</v>
          </cell>
          <cell r="G1541">
            <v>40110.294130000002</v>
          </cell>
          <cell r="H1541">
            <v>40255.527370000003</v>
          </cell>
          <cell r="I1541">
            <v>40440.946940000002</v>
          </cell>
          <cell r="J1541">
            <v>40676.361709999997</v>
          </cell>
          <cell r="K1541">
            <v>40958.150750000001</v>
          </cell>
          <cell r="L1541">
            <v>41264.82619</v>
          </cell>
          <cell r="M1541">
            <v>41600.117339999997</v>
          </cell>
          <cell r="N1541">
            <v>41957.866390000003</v>
          </cell>
          <cell r="O1541">
            <v>42331.423210000001</v>
          </cell>
          <cell r="P1541">
            <v>42753.257680000002</v>
          </cell>
          <cell r="Q1541">
            <v>43153.121590000002</v>
          </cell>
          <cell r="R1541">
            <v>43550.071040000003</v>
          </cell>
          <cell r="S1541">
            <v>43945.37687</v>
          </cell>
          <cell r="T1541">
            <v>44338.853869999999</v>
          </cell>
          <cell r="U1541">
            <v>44730.36591</v>
          </cell>
          <cell r="V1541">
            <v>45117.276059999997</v>
          </cell>
          <cell r="W1541">
            <v>45502.235439999997</v>
          </cell>
          <cell r="X1541">
            <v>45886.149019999997</v>
          </cell>
          <cell r="Y1541">
            <v>46269.943520000001</v>
          </cell>
          <cell r="Z1541">
            <v>46627.181420000001</v>
          </cell>
          <cell r="AA1541">
            <v>47004.641459999999</v>
          </cell>
          <cell r="AB1541">
            <v>47389.084369999997</v>
          </cell>
          <cell r="AC1541">
            <v>47779.450169999996</v>
          </cell>
          <cell r="AD1541">
            <v>48176.049749999998</v>
          </cell>
          <cell r="AE1541">
            <v>48501.76094</v>
          </cell>
          <cell r="AF1541">
            <v>48850.880279999998</v>
          </cell>
          <cell r="AG1541">
            <v>49206.679929999998</v>
          </cell>
          <cell r="AH1541">
            <v>49568.962670000001</v>
          </cell>
          <cell r="AI1541">
            <v>49938.808299999997</v>
          </cell>
          <cell r="AJ1541">
            <v>50317.270450000004</v>
          </cell>
          <cell r="AK1541">
            <v>50705.816149999999</v>
          </cell>
          <cell r="AL1541">
            <v>51104.561379999999</v>
          </cell>
          <cell r="AM1541">
            <v>51513.83309</v>
          </cell>
          <cell r="AN1541">
            <v>51933.801200000002</v>
          </cell>
          <cell r="AO1541">
            <v>52364.485460000004</v>
          </cell>
          <cell r="AP1541">
            <v>52793.128810000002</v>
          </cell>
          <cell r="AQ1541">
            <v>53227.044379999999</v>
          </cell>
          <cell r="AR1541">
            <v>53668.061090000003</v>
          </cell>
          <cell r="AS1541">
            <v>54116.97105</v>
          </cell>
          <cell r="AT1541">
            <v>54574.22911</v>
          </cell>
          <cell r="AU1541">
            <v>55041.003900000003</v>
          </cell>
          <cell r="AV1541">
            <v>55516.813130000002</v>
          </cell>
          <cell r="AW1541">
            <v>56001.723489999997</v>
          </cell>
          <cell r="AX1541">
            <v>56495.758889999997</v>
          </cell>
          <cell r="AY1541">
            <v>56998.933799999999</v>
          </cell>
          <cell r="AZ1541">
            <v>57515.794580000002</v>
          </cell>
          <cell r="BA1541">
            <v>58042.970020000001</v>
          </cell>
          <cell r="BB1541">
            <v>58579.976049999997</v>
          </cell>
          <cell r="BC1541">
            <v>59126.610330000003</v>
          </cell>
          <cell r="BD1541">
            <v>59682.767079999998</v>
          </cell>
          <cell r="BE1541">
            <v>65457.206310000001</v>
          </cell>
          <cell r="BF1541">
            <v>66266.410640000002</v>
          </cell>
          <cell r="BG1541">
            <v>67090.519190000006</v>
          </cell>
          <cell r="BH1541">
            <v>67929.616699999999</v>
          </cell>
          <cell r="BI1541">
            <v>68783.803939999998</v>
          </cell>
        </row>
        <row r="1551">
          <cell r="F1551">
            <v>1969443.8559999999</v>
          </cell>
          <cell r="G1551">
            <v>1994425.953</v>
          </cell>
          <cell r="H1551">
            <v>2022137.4</v>
          </cell>
          <cell r="I1551">
            <v>2051600.6240000001</v>
          </cell>
          <cell r="J1551">
            <v>2082683.2790000001</v>
          </cell>
          <cell r="K1551">
            <v>2115213.7659999998</v>
          </cell>
          <cell r="L1551">
            <v>2147570.3930000002</v>
          </cell>
          <cell r="M1551">
            <v>2180707.344</v>
          </cell>
          <cell r="N1551">
            <v>2214571.2039999999</v>
          </cell>
          <cell r="O1551">
            <v>2249123.054</v>
          </cell>
          <cell r="P1551">
            <v>2286889.034</v>
          </cell>
          <cell r="Q1551">
            <v>2323348.554</v>
          </cell>
          <cell r="R1551">
            <v>2360285.31</v>
          </cell>
          <cell r="S1551">
            <v>2397668.4309999999</v>
          </cell>
          <cell r="T1551">
            <v>2435493.202</v>
          </cell>
          <cell r="U1551">
            <v>2473767.162</v>
          </cell>
          <cell r="V1551">
            <v>2512506.375</v>
          </cell>
          <cell r="W1551">
            <v>2551732.33</v>
          </cell>
          <cell r="X1551">
            <v>2591469.1290000002</v>
          </cell>
          <cell r="Y1551">
            <v>2631741.3620000002</v>
          </cell>
          <cell r="Z1551">
            <v>2670666.4240000001</v>
          </cell>
          <cell r="AA1551">
            <v>2711601.949</v>
          </cell>
          <cell r="AB1551">
            <v>2753225.2340000002</v>
          </cell>
          <cell r="AC1551">
            <v>2795561.6460000002</v>
          </cell>
          <cell r="AD1551">
            <v>2838619.165</v>
          </cell>
          <cell r="AE1551">
            <v>2876883.2220000001</v>
          </cell>
          <cell r="AF1551">
            <v>2917378.7560000001</v>
          </cell>
          <cell r="AG1551">
            <v>2958149.449</v>
          </cell>
          <cell r="AH1551">
            <v>2999322.642</v>
          </cell>
          <cell r="AI1551">
            <v>3040991.0210000002</v>
          </cell>
          <cell r="AJ1551">
            <v>3083223.8769999999</v>
          </cell>
          <cell r="AK1551">
            <v>3126069.2740000002</v>
          </cell>
          <cell r="AL1551">
            <v>3169557.128</v>
          </cell>
          <cell r="AM1551">
            <v>3213703.3280000002</v>
          </cell>
          <cell r="AN1551">
            <v>3258513.9890000001</v>
          </cell>
          <cell r="AO1551">
            <v>3303989.219</v>
          </cell>
          <cell r="AP1551">
            <v>3348785.355</v>
          </cell>
          <cell r="AQ1551">
            <v>3393886.6170000001</v>
          </cell>
          <cell r="AR1551">
            <v>3439346.0929999999</v>
          </cell>
          <cell r="AS1551">
            <v>3485223.463</v>
          </cell>
          <cell r="AT1551">
            <v>3531574.017</v>
          </cell>
          <cell r="AU1551">
            <v>3578445.4419999998</v>
          </cell>
          <cell r="AV1551">
            <v>3625876.5789999999</v>
          </cell>
          <cell r="AW1551">
            <v>3673897.4980000001</v>
          </cell>
          <cell r="AX1551">
            <v>3722530.5559999999</v>
          </cell>
          <cell r="AY1551">
            <v>3771792.0430000001</v>
          </cell>
          <cell r="AZ1551">
            <v>3821815.98</v>
          </cell>
          <cell r="BA1551">
            <v>3872521.5959999999</v>
          </cell>
          <cell r="BB1551">
            <v>3923912.3969999999</v>
          </cell>
          <cell r="BC1551">
            <v>3975989.0070000002</v>
          </cell>
          <cell r="BD1551">
            <v>4028752.8330000001</v>
          </cell>
          <cell r="BE1551">
            <v>4443934.8679999998</v>
          </cell>
          <cell r="BF1551">
            <v>4518812.6409999998</v>
          </cell>
          <cell r="BG1551">
            <v>4594869.43</v>
          </cell>
          <cell r="BH1551">
            <v>4672125.4069999997</v>
          </cell>
          <cell r="BI1551">
            <v>4750601.8959999997</v>
          </cell>
        </row>
        <row r="1552">
          <cell r="F1552">
            <v>36136.78933</v>
          </cell>
          <cell r="G1552">
            <v>36370.171040000001</v>
          </cell>
          <cell r="H1552">
            <v>36676.619830000003</v>
          </cell>
          <cell r="I1552">
            <v>37037.658799999997</v>
          </cell>
          <cell r="J1552">
            <v>37448.082130000003</v>
          </cell>
          <cell r="K1552">
            <v>37903.642740000003</v>
          </cell>
          <cell r="L1552">
            <v>38374.085830000004</v>
          </cell>
          <cell r="M1552">
            <v>38869.833809999996</v>
          </cell>
          <cell r="N1552">
            <v>39386.631560000002</v>
          </cell>
          <cell r="O1552">
            <v>39921.072690000001</v>
          </cell>
          <cell r="P1552">
            <v>40512.812429999998</v>
          </cell>
          <cell r="Q1552">
            <v>41088.01425</v>
          </cell>
          <cell r="R1552">
            <v>41671.93677</v>
          </cell>
          <cell r="S1552">
            <v>42263.200149999997</v>
          </cell>
          <cell r="T1552">
            <v>42861.130940000003</v>
          </cell>
          <cell r="U1552">
            <v>43465.496209999998</v>
          </cell>
          <cell r="V1552">
            <v>44076.359799999998</v>
          </cell>
          <cell r="W1552">
            <v>44693.977830000003</v>
          </cell>
          <cell r="X1552">
            <v>45318.718719999997</v>
          </cell>
          <cell r="Y1552">
            <v>45951.005830000002</v>
          </cell>
          <cell r="Z1552">
            <v>46560.019549999997</v>
          </cell>
          <cell r="AA1552">
            <v>47199.14662</v>
          </cell>
          <cell r="AB1552">
            <v>47849.032939999997</v>
          </cell>
          <cell r="AC1552">
            <v>48510.222659999999</v>
          </cell>
          <cell r="AD1552">
            <v>49182.92067</v>
          </cell>
          <cell r="AE1552">
            <v>49777.050490000001</v>
          </cell>
          <cell r="AF1552">
            <v>50402.413529999998</v>
          </cell>
          <cell r="AG1552">
            <v>51031.13955</v>
          </cell>
          <cell r="AH1552">
            <v>51666.100789999997</v>
          </cell>
          <cell r="AI1552">
            <v>52309.482779999998</v>
          </cell>
          <cell r="AJ1552">
            <v>52962.897839999998</v>
          </cell>
          <cell r="AK1552">
            <v>53627.4594</v>
          </cell>
          <cell r="AL1552">
            <v>54303.870340000001</v>
          </cell>
          <cell r="AM1552">
            <v>54992.521309999996</v>
          </cell>
          <cell r="AN1552">
            <v>55693.585370000001</v>
          </cell>
          <cell r="AO1552">
            <v>56407.099040000001</v>
          </cell>
          <cell r="AP1552">
            <v>57111.258719999998</v>
          </cell>
          <cell r="AQ1552">
            <v>57820.87068</v>
          </cell>
          <cell r="AR1552">
            <v>58537.104270000003</v>
          </cell>
          <cell r="AS1552">
            <v>59261.27233</v>
          </cell>
          <cell r="AT1552">
            <v>59994.60209</v>
          </cell>
          <cell r="AU1552">
            <v>60738.139280000003</v>
          </cell>
          <cell r="AV1552">
            <v>61492.713830000001</v>
          </cell>
          <cell r="AW1552">
            <v>62258.939010000002</v>
          </cell>
          <cell r="AX1552">
            <v>63037.228609999998</v>
          </cell>
          <cell r="AY1552">
            <v>63827.80444</v>
          </cell>
          <cell r="AZ1552">
            <v>64632.532120000003</v>
          </cell>
          <cell r="BA1552">
            <v>65450.165829999998</v>
          </cell>
          <cell r="BB1552">
            <v>66280.791230000003</v>
          </cell>
          <cell r="BC1552">
            <v>67124.418390000006</v>
          </cell>
          <cell r="BD1552">
            <v>67981.054619999995</v>
          </cell>
          <cell r="BE1552">
            <v>73673.009269999995</v>
          </cell>
          <cell r="BF1552">
            <v>74830.096340000004</v>
          </cell>
          <cell r="BG1552">
            <v>76006.871119999996</v>
          </cell>
          <cell r="BH1552">
            <v>77203.811189999993</v>
          </cell>
          <cell r="BI1552">
            <v>78421.397010000001</v>
          </cell>
        </row>
        <row r="1555">
          <cell r="F1555">
            <v>332226.51299999998</v>
          </cell>
          <cell r="G1555">
            <v>336606.995</v>
          </cell>
          <cell r="H1555">
            <v>341544.85859999998</v>
          </cell>
          <cell r="I1555">
            <v>346740.18349999998</v>
          </cell>
          <cell r="J1555">
            <v>352165.58</v>
          </cell>
          <cell r="K1555">
            <v>357796.63429999998</v>
          </cell>
          <cell r="L1555">
            <v>363368.59950000001</v>
          </cell>
          <cell r="M1555">
            <v>369072.96120000002</v>
          </cell>
          <cell r="N1555">
            <v>374895.6557</v>
          </cell>
          <cell r="O1555">
            <v>380835.71769999998</v>
          </cell>
          <cell r="P1555">
            <v>387326.41119999997</v>
          </cell>
          <cell r="Q1555">
            <v>393574.64669999998</v>
          </cell>
          <cell r="R1555">
            <v>399948.45549999998</v>
          </cell>
          <cell r="S1555">
            <v>406425.71789999999</v>
          </cell>
          <cell r="T1555">
            <v>413005.64539999998</v>
          </cell>
          <cell r="U1555">
            <v>419691.25290000002</v>
          </cell>
          <cell r="V1555">
            <v>426486.68239999999</v>
          </cell>
          <cell r="W1555">
            <v>433396.538</v>
          </cell>
          <cell r="X1555">
            <v>440425.4804</v>
          </cell>
          <cell r="Y1555">
            <v>447577.91080000001</v>
          </cell>
          <cell r="Z1555">
            <v>454535.58980000002</v>
          </cell>
          <cell r="AA1555">
            <v>461889.86109999998</v>
          </cell>
          <cell r="AB1555">
            <v>469371.17389999999</v>
          </cell>
          <cell r="AC1555">
            <v>476998.03169999999</v>
          </cell>
          <cell r="AD1555">
            <v>484772.78639999998</v>
          </cell>
          <cell r="AE1555">
            <v>491762.09639999998</v>
          </cell>
          <cell r="AF1555">
            <v>499220.90980000002</v>
          </cell>
          <cell r="AG1555">
            <v>506720.10580000002</v>
          </cell>
          <cell r="AH1555">
            <v>514295.065</v>
          </cell>
          <cell r="AI1555">
            <v>521958.47850000003</v>
          </cell>
          <cell r="AJ1555">
            <v>529717.30240000004</v>
          </cell>
          <cell r="AK1555">
            <v>537575.30599999998</v>
          </cell>
          <cell r="AL1555">
            <v>545533.76100000006</v>
          </cell>
          <cell r="AM1555">
            <v>553592.01520000002</v>
          </cell>
          <cell r="AN1555">
            <v>561748.09369999997</v>
          </cell>
          <cell r="AO1555">
            <v>569999.26399999997</v>
          </cell>
          <cell r="AP1555">
            <v>578115.05299999996</v>
          </cell>
          <cell r="AQ1555">
            <v>586276.22790000006</v>
          </cell>
          <cell r="AR1555">
            <v>594475.22309999994</v>
          </cell>
          <cell r="AS1555">
            <v>602716.46869999997</v>
          </cell>
          <cell r="AT1555">
            <v>611005.60120000003</v>
          </cell>
          <cell r="AU1555">
            <v>619347.76560000004</v>
          </cell>
          <cell r="AV1555">
            <v>627747.29579999996</v>
          </cell>
          <cell r="AW1555">
            <v>636207.6875</v>
          </cell>
          <cell r="AX1555">
            <v>644731.71019999997</v>
          </cell>
          <cell r="AY1555">
            <v>653321.61120000004</v>
          </cell>
          <cell r="AZ1555">
            <v>662000.13589999999</v>
          </cell>
          <cell r="BA1555">
            <v>670752.51549999998</v>
          </cell>
          <cell r="BB1555">
            <v>679581.17960000003</v>
          </cell>
          <cell r="BC1555">
            <v>688487.19259999995</v>
          </cell>
          <cell r="BD1555">
            <v>697471.93530000001</v>
          </cell>
          <cell r="BE1555">
            <v>781663.80500000005</v>
          </cell>
          <cell r="BF1555">
            <v>795467.88820000004</v>
          </cell>
          <cell r="BG1555">
            <v>809456.06830000004</v>
          </cell>
          <cell r="BH1555">
            <v>823628.62589999998</v>
          </cell>
          <cell r="BI1555">
            <v>837986.17110000004</v>
          </cell>
        </row>
        <row r="1567">
          <cell r="F1567">
            <v>48571.106160000003</v>
          </cell>
          <cell r="G1567">
            <v>49156.962379999997</v>
          </cell>
          <cell r="H1567">
            <v>49805.651899999997</v>
          </cell>
          <cell r="I1567">
            <v>50492.574130000001</v>
          </cell>
          <cell r="J1567">
            <v>51216.412400000001</v>
          </cell>
          <cell r="K1567">
            <v>51973.058440000001</v>
          </cell>
          <cell r="L1567">
            <v>52721.454619999997</v>
          </cell>
          <cell r="M1567">
            <v>53488.57417</v>
          </cell>
          <cell r="N1567">
            <v>54271.017500000002</v>
          </cell>
          <cell r="O1567">
            <v>55067.195809999997</v>
          </cell>
          <cell r="P1567">
            <v>55940.548569999999</v>
          </cell>
          <cell r="Q1567">
            <v>56771.173439999999</v>
          </cell>
          <cell r="R1567">
            <v>57612.814100000003</v>
          </cell>
          <cell r="S1567">
            <v>58462.266759999999</v>
          </cell>
          <cell r="T1567">
            <v>59319.136700000003</v>
          </cell>
          <cell r="U1567">
            <v>60183.712780000002</v>
          </cell>
          <cell r="V1567">
            <v>61056.593860000001</v>
          </cell>
          <cell r="W1567">
            <v>61938.551480000002</v>
          </cell>
          <cell r="X1567">
            <v>62830.439590000002</v>
          </cell>
          <cell r="Y1567">
            <v>63733.13132</v>
          </cell>
          <cell r="Z1567">
            <v>64599.400450000001</v>
          </cell>
          <cell r="AA1567">
            <v>65518.390359999998</v>
          </cell>
          <cell r="AB1567">
            <v>66450.514509999994</v>
          </cell>
          <cell r="AC1567">
            <v>67398.457550000006</v>
          </cell>
          <cell r="AD1567">
            <v>68362.920549999995</v>
          </cell>
          <cell r="AE1567">
            <v>69205.133950000003</v>
          </cell>
          <cell r="AF1567">
            <v>70114.507689999999</v>
          </cell>
          <cell r="AG1567">
            <v>71029.039050000007</v>
          </cell>
          <cell r="AH1567">
            <v>71954.308069999999</v>
          </cell>
          <cell r="AI1567">
            <v>72893.040219999995</v>
          </cell>
          <cell r="AJ1567">
            <v>73847.064809999996</v>
          </cell>
          <cell r="AK1567">
            <v>74817.613769999996</v>
          </cell>
          <cell r="AL1567">
            <v>75805.441319999998</v>
          </cell>
          <cell r="AM1567">
            <v>76810.936879999994</v>
          </cell>
          <cell r="AN1567">
            <v>77834.234450000004</v>
          </cell>
          <cell r="AO1567">
            <v>78875.307509999999</v>
          </cell>
          <cell r="AP1567">
            <v>79900.19111</v>
          </cell>
          <cell r="AQ1567">
            <v>80936.603130000003</v>
          </cell>
          <cell r="AR1567">
            <v>81984.286779999995</v>
          </cell>
          <cell r="AS1567">
            <v>83044.396869999997</v>
          </cell>
          <cell r="AT1567">
            <v>84118.169529999999</v>
          </cell>
          <cell r="AU1567">
            <v>85206.681549999994</v>
          </cell>
          <cell r="AV1567">
            <v>86310.792820000002</v>
          </cell>
          <cell r="AW1567">
            <v>87431.144020000007</v>
          </cell>
          <cell r="AX1567">
            <v>88568.183189999996</v>
          </cell>
          <cell r="AY1567">
            <v>89722.207670000003</v>
          </cell>
          <cell r="AZ1567">
            <v>90896.503970000005</v>
          </cell>
          <cell r="BA1567">
            <v>92088.679350000006</v>
          </cell>
          <cell r="BB1567">
            <v>93298.853440000006</v>
          </cell>
          <cell r="BC1567">
            <v>94526.951889999997</v>
          </cell>
          <cell r="BD1567">
            <v>95772.900760000004</v>
          </cell>
          <cell r="BE1567">
            <v>104551.2357</v>
          </cell>
          <cell r="BF1567">
            <v>106267.7761</v>
          </cell>
          <cell r="BG1567">
            <v>108015.0258</v>
          </cell>
          <cell r="BH1567">
            <v>109793.6344</v>
          </cell>
          <cell r="BI1567">
            <v>111604.26330000001</v>
          </cell>
        </row>
        <row r="1572">
          <cell r="F1572">
            <v>1513908.5689999999</v>
          </cell>
          <cell r="G1572">
            <v>1533424.8459999999</v>
          </cell>
          <cell r="H1572">
            <v>1554985.311</v>
          </cell>
          <cell r="I1572">
            <v>1577934.7080000001</v>
          </cell>
          <cell r="J1572">
            <v>1602168.7050000001</v>
          </cell>
          <cell r="K1572">
            <v>1627543.084</v>
          </cell>
          <cell r="L1572">
            <v>1652794.8019999999</v>
          </cell>
          <cell r="M1572">
            <v>1678634.3419999999</v>
          </cell>
          <cell r="N1572">
            <v>1705033.0249999999</v>
          </cell>
          <cell r="O1572">
            <v>1731961.3259999999</v>
          </cell>
          <cell r="P1572">
            <v>1761370.497</v>
          </cell>
          <cell r="Q1572">
            <v>1789801.183</v>
          </cell>
          <cell r="R1572">
            <v>1818562.7949999999</v>
          </cell>
          <cell r="S1572">
            <v>1847650.8489999999</v>
          </cell>
          <cell r="T1572">
            <v>1877062.3430000001</v>
          </cell>
          <cell r="U1572">
            <v>1906801.443</v>
          </cell>
          <cell r="V1572">
            <v>1936878.977</v>
          </cell>
          <cell r="W1572">
            <v>1967310.2450000001</v>
          </cell>
          <cell r="X1572">
            <v>1998112.82</v>
          </cell>
          <cell r="Y1572">
            <v>2029304.8870000001</v>
          </cell>
          <cell r="Z1572">
            <v>2059429.1640000001</v>
          </cell>
          <cell r="AA1572">
            <v>2091056.0009999999</v>
          </cell>
          <cell r="AB1572">
            <v>2123211.2420000001</v>
          </cell>
          <cell r="AC1572">
            <v>2155898.4589999998</v>
          </cell>
          <cell r="AD1572">
            <v>2189122.0630000001</v>
          </cell>
          <cell r="AE1572">
            <v>2218614.2740000002</v>
          </cell>
          <cell r="AF1572">
            <v>2249735.5290000001</v>
          </cell>
          <cell r="AG1572">
            <v>2281077.2149999999</v>
          </cell>
          <cell r="AH1572">
            <v>2312721.548</v>
          </cell>
          <cell r="AI1572">
            <v>2344742.344</v>
          </cell>
          <cell r="AJ1572">
            <v>2377197.523</v>
          </cell>
          <cell r="AK1572">
            <v>2410128.335</v>
          </cell>
          <cell r="AL1572">
            <v>2443561.5129999998</v>
          </cell>
          <cell r="AM1572">
            <v>2477512.5759999999</v>
          </cell>
          <cell r="AN1572">
            <v>2511989.2379999999</v>
          </cell>
          <cell r="AO1572">
            <v>2546994.3829999999</v>
          </cell>
          <cell r="AP1572">
            <v>2581490.7850000001</v>
          </cell>
          <cell r="AQ1572">
            <v>2616224.2459999998</v>
          </cell>
          <cell r="AR1572">
            <v>2651253.4500000002</v>
          </cell>
          <cell r="AS1572">
            <v>2686630.4210000001</v>
          </cell>
          <cell r="AT1572">
            <v>2722401.736</v>
          </cell>
          <cell r="AU1572">
            <v>2758607.3319999999</v>
          </cell>
          <cell r="AV1572">
            <v>2795279.6609999998</v>
          </cell>
          <cell r="AW1572">
            <v>2832443.77</v>
          </cell>
          <cell r="AX1572">
            <v>2870118.1979999999</v>
          </cell>
          <cell r="AY1572">
            <v>2908316.4279999998</v>
          </cell>
          <cell r="AZ1572">
            <v>2947143.1970000002</v>
          </cell>
          <cell r="BA1572">
            <v>2986539.7450000001</v>
          </cell>
          <cell r="BB1572">
            <v>3026507.8509999998</v>
          </cell>
          <cell r="BC1572">
            <v>3067045.4610000001</v>
          </cell>
          <cell r="BD1572">
            <v>3108151.25</v>
          </cell>
          <cell r="BE1572">
            <v>3421146.1329999999</v>
          </cell>
          <cell r="BF1572">
            <v>3478549.7910000002</v>
          </cell>
          <cell r="BG1572">
            <v>3536883.7719999999</v>
          </cell>
          <cell r="BH1572">
            <v>3596166.577</v>
          </cell>
          <cell r="BI1572">
            <v>3656417.5589999999</v>
          </cell>
        </row>
        <row r="1575">
          <cell r="F1575">
            <v>-2029.2272129999999</v>
          </cell>
          <cell r="G1575">
            <v>-2061.350747</v>
          </cell>
          <cell r="H1575">
            <v>-2071.5629060000001</v>
          </cell>
          <cell r="I1575">
            <v>-2078.5601919999999</v>
          </cell>
          <cell r="J1575">
            <v>-2089.2642580000002</v>
          </cell>
          <cell r="K1575">
            <v>-2105.089817</v>
          </cell>
          <cell r="L1575">
            <v>-2126.520027</v>
          </cell>
          <cell r="M1575">
            <v>-2149.6003409999998</v>
          </cell>
          <cell r="N1575">
            <v>-2174.7545660000001</v>
          </cell>
          <cell r="O1575">
            <v>-2201.4962620000001</v>
          </cell>
          <cell r="P1575">
            <v>-2227.8009579999998</v>
          </cell>
          <cell r="Q1575">
            <v>-2259.9861839999999</v>
          </cell>
          <cell r="R1575">
            <v>-2290.0864900000001</v>
          </cell>
          <cell r="S1575">
            <v>-2319.9692300000002</v>
          </cell>
          <cell r="T1575">
            <v>-2350.0041369999999</v>
          </cell>
          <cell r="U1575">
            <v>-2380.2406689999998</v>
          </cell>
          <cell r="V1575">
            <v>-2410.6802189999999</v>
          </cell>
          <cell r="W1575">
            <v>-2441.3270699999998</v>
          </cell>
          <cell r="X1575">
            <v>-2472.193608</v>
          </cell>
          <cell r="Y1575">
            <v>-2503.2977569999998</v>
          </cell>
          <cell r="Z1575">
            <v>-2535.7777350000001</v>
          </cell>
          <cell r="AA1575">
            <v>-2564.7380779999999</v>
          </cell>
          <cell r="AB1575">
            <v>-2595.9381830000002</v>
          </cell>
          <cell r="AC1575">
            <v>-2627.9115969999998</v>
          </cell>
          <cell r="AD1575">
            <v>-2660.3500119999999</v>
          </cell>
          <cell r="AE1575">
            <v>-2696.4174870000002</v>
          </cell>
          <cell r="AF1575">
            <v>-2723.4790800000001</v>
          </cell>
          <cell r="AG1575">
            <v>-2752.9183130000001</v>
          </cell>
          <cell r="AH1575">
            <v>-2783.0531679999999</v>
          </cell>
          <cell r="AI1575">
            <v>-2813.5538160000001</v>
          </cell>
          <cell r="AJ1575">
            <v>-2844.4019029999999</v>
          </cell>
          <cell r="AK1575">
            <v>-2875.634505</v>
          </cell>
          <cell r="AL1575">
            <v>-2907.288869</v>
          </cell>
          <cell r="AM1575">
            <v>-2939.3913889999999</v>
          </cell>
          <cell r="AN1575">
            <v>-2971.9573559999999</v>
          </cell>
          <cell r="AO1575">
            <v>-3004.993363</v>
          </cell>
          <cell r="AP1575">
            <v>-3039.2719059999999</v>
          </cell>
          <cell r="AQ1575">
            <v>-3072.1567049999999</v>
          </cell>
          <cell r="AR1575">
            <v>-3104.9850339999998</v>
          </cell>
          <cell r="AS1575">
            <v>-3138.0621249999999</v>
          </cell>
          <cell r="AT1575">
            <v>-3171.4683719999998</v>
          </cell>
          <cell r="AU1575">
            <v>-3205.240589</v>
          </cell>
          <cell r="AV1575">
            <v>-3239.4062220000001</v>
          </cell>
          <cell r="AW1575">
            <v>-3273.9879070000002</v>
          </cell>
          <cell r="AX1575">
            <v>-3309.0034649999998</v>
          </cell>
          <cell r="AY1575">
            <v>-3344.4663139999998</v>
          </cell>
          <cell r="AZ1575">
            <v>-3380.3194119999998</v>
          </cell>
          <cell r="BA1575">
            <v>-3416.808102</v>
          </cell>
          <cell r="BB1575">
            <v>-3453.8371390000002</v>
          </cell>
          <cell r="BC1575">
            <v>-3491.3092000000001</v>
          </cell>
          <cell r="BD1575">
            <v>-3529.2219359999999</v>
          </cell>
          <cell r="BE1575">
            <v>-3861.2418819999998</v>
          </cell>
          <cell r="BF1575">
            <v>-3916.1006659999998</v>
          </cell>
          <cell r="BG1575">
            <v>-3971.8087999999998</v>
          </cell>
          <cell r="BH1575">
            <v>-4028.391533</v>
          </cell>
          <cell r="BI1575">
            <v>-4085.8743770000001</v>
          </cell>
        </row>
        <row r="1577">
          <cell r="F1577">
            <v>-613.16616929999998</v>
          </cell>
          <cell r="G1577">
            <v>-619.24248409999996</v>
          </cell>
          <cell r="H1577">
            <v>-622.12187410000001</v>
          </cell>
          <cell r="I1577">
            <v>-624.95296480000002</v>
          </cell>
          <cell r="J1577">
            <v>-628.92143350000003</v>
          </cell>
          <cell r="K1577">
            <v>-634.21492720000003</v>
          </cell>
          <cell r="L1577">
            <v>-640.51520589999996</v>
          </cell>
          <cell r="M1577">
            <v>-647.42360129999997</v>
          </cell>
          <cell r="N1577">
            <v>-654.86206179999999</v>
          </cell>
          <cell r="O1577">
            <v>-662.6916185</v>
          </cell>
          <cell r="P1577">
            <v>-671.02334729999995</v>
          </cell>
          <cell r="Q1577">
            <v>-679.79294870000001</v>
          </cell>
          <cell r="R1577">
            <v>-688.44883479999999</v>
          </cell>
          <cell r="S1577">
            <v>-697.17306889999998</v>
          </cell>
          <cell r="T1577">
            <v>-705.98297630000002</v>
          </cell>
          <cell r="U1577">
            <v>-714.87174389999996</v>
          </cell>
          <cell r="V1577">
            <v>-723.83298200000002</v>
          </cell>
          <cell r="W1577">
            <v>-732.86371729999996</v>
          </cell>
          <cell r="X1577">
            <v>-741.96377459999997</v>
          </cell>
          <cell r="Y1577">
            <v>-751.13485300000002</v>
          </cell>
          <cell r="Z1577">
            <v>-760.21649830000001</v>
          </cell>
          <cell r="AA1577">
            <v>-769.20765930000005</v>
          </cell>
          <cell r="AB1577">
            <v>-778.4871124</v>
          </cell>
          <cell r="AC1577">
            <v>-787.90036780000003</v>
          </cell>
          <cell r="AD1577">
            <v>-797.42373699999996</v>
          </cell>
          <cell r="AE1577">
            <v>-806.5844803</v>
          </cell>
          <cell r="AF1577">
            <v>-815.1495966</v>
          </cell>
          <cell r="AG1577">
            <v>-823.97126219999996</v>
          </cell>
          <cell r="AH1577">
            <v>-832.87020340000004</v>
          </cell>
          <cell r="AI1577">
            <v>-841.83097720000001</v>
          </cell>
          <cell r="AJ1577">
            <v>-850.86679000000004</v>
          </cell>
          <cell r="AK1577">
            <v>-859.99300879999998</v>
          </cell>
          <cell r="AL1577">
            <v>-869.22215210000002</v>
          </cell>
          <cell r="AM1577">
            <v>-878.56335179999996</v>
          </cell>
          <cell r="AN1577">
            <v>-888.02283</v>
          </cell>
          <cell r="AO1577">
            <v>-897.6045848</v>
          </cell>
          <cell r="AP1577">
            <v>-907.19701099999997</v>
          </cell>
          <cell r="AQ1577">
            <v>-916.68407569999999</v>
          </cell>
          <cell r="AR1577">
            <v>-926.21001539999997</v>
          </cell>
          <cell r="AS1577">
            <v>-935.8082647</v>
          </cell>
          <cell r="AT1577">
            <v>-945.49257980000004</v>
          </cell>
          <cell r="AU1577">
            <v>-955.27313579999998</v>
          </cell>
          <cell r="AV1577">
            <v>-965.15874380000002</v>
          </cell>
          <cell r="AW1577">
            <v>-975.156837</v>
          </cell>
          <cell r="AX1577">
            <v>-985.27334350000001</v>
          </cell>
          <cell r="AY1577">
            <v>-995.5127334</v>
          </cell>
          <cell r="AZ1577">
            <v>-1005.888477</v>
          </cell>
          <cell r="BA1577">
            <v>-1016.4132949999999</v>
          </cell>
          <cell r="BB1577">
            <v>-1027.0756940000001</v>
          </cell>
          <cell r="BC1577">
            <v>-1037.8739619999999</v>
          </cell>
          <cell r="BD1577">
            <v>-1048.8081500000001</v>
          </cell>
          <cell r="BE1577">
            <v>-1144.325685</v>
          </cell>
          <cell r="BF1577">
            <v>-1160.095908</v>
          </cell>
          <cell r="BG1577">
            <v>-1176.1073469999999</v>
          </cell>
          <cell r="BH1577">
            <v>-1192.3669970000001</v>
          </cell>
          <cell r="BI1577">
            <v>-1208.8823600000001</v>
          </cell>
        </row>
        <row r="1579">
          <cell r="F1579">
            <v>495.7000534</v>
          </cell>
        </row>
        <row r="1580">
          <cell r="F1580">
            <v>40630.106370000001</v>
          </cell>
          <cell r="G1580">
            <v>40928.329380000003</v>
          </cell>
          <cell r="H1580">
            <v>41196.52175</v>
          </cell>
          <cell r="I1580">
            <v>41474.059390000002</v>
          </cell>
          <cell r="J1580">
            <v>41773.763550000003</v>
          </cell>
          <cell r="K1580">
            <v>42102.436000000002</v>
          </cell>
          <cell r="L1580">
            <v>42437.970869999997</v>
          </cell>
          <cell r="M1580">
            <v>42791.233289999996</v>
          </cell>
          <cell r="N1580">
            <v>43159.629379999998</v>
          </cell>
          <cell r="O1580">
            <v>43539.238230000003</v>
          </cell>
          <cell r="P1580">
            <v>43966.56523</v>
          </cell>
          <cell r="Q1580">
            <v>44373.523289999997</v>
          </cell>
          <cell r="R1580">
            <v>44779.395530000002</v>
          </cell>
          <cell r="S1580">
            <v>45186.365689999999</v>
          </cell>
          <cell r="T1580">
            <v>45594.950859999997</v>
          </cell>
          <cell r="U1580">
            <v>46005.497600000002</v>
          </cell>
          <cell r="V1580">
            <v>46418.44253</v>
          </cell>
          <cell r="W1580">
            <v>46834.344590000001</v>
          </cell>
          <cell r="X1580">
            <v>47253.863709999998</v>
          </cell>
          <cell r="Y1580">
            <v>47677.725700000003</v>
          </cell>
          <cell r="Z1580">
            <v>48078.028100000003</v>
          </cell>
          <cell r="AA1580">
            <v>48503.288339999999</v>
          </cell>
          <cell r="AB1580">
            <v>48939.209390000004</v>
          </cell>
          <cell r="AC1580">
            <v>49384.387260000003</v>
          </cell>
          <cell r="AD1580">
            <v>49838.824289999997</v>
          </cell>
          <cell r="AE1580">
            <v>50221.085140000003</v>
          </cell>
          <cell r="AF1580">
            <v>50628.874709999996</v>
          </cell>
          <cell r="AG1580">
            <v>51044.868340000001</v>
          </cell>
          <cell r="AH1580">
            <v>51468.673320000002</v>
          </cell>
          <cell r="AI1580">
            <v>51901.229220000001</v>
          </cell>
          <cell r="AJ1580">
            <v>52343.490539999999</v>
          </cell>
          <cell r="AK1580">
            <v>52796.194530000001</v>
          </cell>
          <cell r="AL1580">
            <v>53259.831859999998</v>
          </cell>
          <cell r="AM1580">
            <v>53734.670030000001</v>
          </cell>
          <cell r="AN1580">
            <v>54220.795149999998</v>
          </cell>
          <cell r="AO1580">
            <v>54718.158810000001</v>
          </cell>
          <cell r="AP1580">
            <v>55207.33885</v>
          </cell>
          <cell r="AQ1580">
            <v>55700.825949999999</v>
          </cell>
          <cell r="AR1580">
            <v>56201.013989999999</v>
          </cell>
          <cell r="AS1580">
            <v>56708.966269999997</v>
          </cell>
          <cell r="AT1580">
            <v>57225.376839999997</v>
          </cell>
          <cell r="AU1580">
            <v>57750.76382</v>
          </cell>
          <cell r="AV1580">
            <v>58285.52089</v>
          </cell>
          <cell r="AW1580">
            <v>58829.946100000001</v>
          </cell>
          <cell r="AX1580">
            <v>59384.239509999999</v>
          </cell>
          <cell r="AY1580">
            <v>59948.458299999998</v>
          </cell>
          <cell r="AZ1580">
            <v>60523.929810000001</v>
          </cell>
          <cell r="BA1580">
            <v>61107.298649999997</v>
          </cell>
          <cell r="BB1580">
            <v>61697.559439999997</v>
          </cell>
          <cell r="BC1580">
            <v>62296.292500000003</v>
          </cell>
          <cell r="BD1580">
            <v>62904.914720000001</v>
          </cell>
          <cell r="BE1580">
            <v>66761.92697</v>
          </cell>
          <cell r="BF1580">
            <v>67613.189150000006</v>
          </cell>
          <cell r="BG1580">
            <v>68479.501260000005</v>
          </cell>
          <cell r="BH1580">
            <v>69361.150169999994</v>
          </cell>
          <cell r="BI1580">
            <v>70258.379430000001</v>
          </cell>
        </row>
        <row r="1600">
          <cell r="F1600">
            <v>467592.15759999998</v>
          </cell>
          <cell r="G1600">
            <v>470182.75429999997</v>
          </cell>
          <cell r="H1600">
            <v>474335.2795</v>
          </cell>
          <cell r="I1600">
            <v>479418.70659999998</v>
          </cell>
          <cell r="J1600">
            <v>485111.41960000002</v>
          </cell>
          <cell r="K1600">
            <v>491258.27059999999</v>
          </cell>
          <cell r="L1600">
            <v>497588.15600000002</v>
          </cell>
          <cell r="M1600">
            <v>504115.06229999999</v>
          </cell>
          <cell r="N1600">
            <v>510855.6666</v>
          </cell>
          <cell r="O1600">
            <v>517817.72</v>
          </cell>
          <cell r="P1600">
            <v>525336.33499999996</v>
          </cell>
          <cell r="Q1600">
            <v>532971.15529999998</v>
          </cell>
          <cell r="R1600">
            <v>540750.11529999995</v>
          </cell>
          <cell r="S1600">
            <v>548696.76890000002</v>
          </cell>
          <cell r="T1600">
            <v>556822.89309999999</v>
          </cell>
          <cell r="U1600">
            <v>565135.6433</v>
          </cell>
          <cell r="V1600">
            <v>573617.28899999999</v>
          </cell>
          <cell r="W1600">
            <v>582283.95440000005</v>
          </cell>
          <cell r="X1600">
            <v>591146.87600000005</v>
          </cell>
          <cell r="Y1600">
            <v>600213.80229999998</v>
          </cell>
          <cell r="Z1600">
            <v>609243.93810000003</v>
          </cell>
          <cell r="AA1600">
            <v>618545.90049999999</v>
          </cell>
          <cell r="AB1600">
            <v>628107.15159999998</v>
          </cell>
          <cell r="AC1600">
            <v>637914.14549999998</v>
          </cell>
          <cell r="AD1600">
            <v>647959.64919999999</v>
          </cell>
          <cell r="AE1600">
            <v>657527.43969999999</v>
          </cell>
          <cell r="AF1600">
            <v>667162.11950000003</v>
          </cell>
          <cell r="AG1600">
            <v>676886.60959999997</v>
          </cell>
          <cell r="AH1600">
            <v>686706.58169999998</v>
          </cell>
          <cell r="AI1600">
            <v>696630.05110000004</v>
          </cell>
          <cell r="AJ1600">
            <v>706665.14139999996</v>
          </cell>
          <cell r="AK1600">
            <v>716823.45490000001</v>
          </cell>
          <cell r="AL1600">
            <v>727106.31649999996</v>
          </cell>
          <cell r="AM1600">
            <v>737513.46270000003</v>
          </cell>
          <cell r="AN1600">
            <v>748043.17299999995</v>
          </cell>
          <cell r="AO1600">
            <v>758692.58860000002</v>
          </cell>
          <cell r="AP1600">
            <v>769333.152</v>
          </cell>
          <cell r="AQ1600">
            <v>779978.82779999997</v>
          </cell>
          <cell r="AR1600">
            <v>790643.64099999995</v>
          </cell>
          <cell r="AS1600">
            <v>801337.96409999998</v>
          </cell>
          <cell r="AT1600">
            <v>812070.17969999998</v>
          </cell>
          <cell r="AU1600">
            <v>822855.06920000003</v>
          </cell>
          <cell r="AV1600">
            <v>833695.63639999996</v>
          </cell>
          <cell r="AW1600">
            <v>844595.25780000002</v>
          </cell>
          <cell r="AX1600">
            <v>855557.23820000002</v>
          </cell>
          <cell r="AY1600">
            <v>866584.48950000003</v>
          </cell>
          <cell r="AZ1600">
            <v>877721.02830000001</v>
          </cell>
          <cell r="BA1600">
            <v>888955.34039999999</v>
          </cell>
          <cell r="BB1600">
            <v>900281.49210000003</v>
          </cell>
          <cell r="BC1600">
            <v>911697.60019999999</v>
          </cell>
          <cell r="BD1600">
            <v>923203.86899999995</v>
          </cell>
          <cell r="BE1600">
            <v>1177882.68</v>
          </cell>
          <cell r="BF1600">
            <v>1199509.7779999999</v>
          </cell>
          <cell r="BG1600">
            <v>1221370.1200000001</v>
          </cell>
          <cell r="BH1600">
            <v>1243459.7209999999</v>
          </cell>
          <cell r="BI1600">
            <v>1265775.415</v>
          </cell>
        </row>
        <row r="1601">
          <cell r="F1601">
            <v>4377.1868919999997</v>
          </cell>
          <cell r="G1601">
            <v>4379.4777679999997</v>
          </cell>
          <cell r="H1601">
            <v>4395.009376</v>
          </cell>
          <cell r="I1601">
            <v>4421.2197050000004</v>
          </cell>
          <cell r="J1601">
            <v>4456.459793</v>
          </cell>
          <cell r="K1601">
            <v>4499.4914980000003</v>
          </cell>
          <cell r="L1601">
            <v>4547.4449860000004</v>
          </cell>
          <cell r="M1601">
            <v>4599.8352670000004</v>
          </cell>
          <cell r="N1601">
            <v>4656.22336</v>
          </cell>
          <cell r="O1601">
            <v>4716.1466870000004</v>
          </cell>
          <cell r="P1601">
            <v>4782.2861439999997</v>
          </cell>
          <cell r="Q1601">
            <v>4850.2270280000002</v>
          </cell>
          <cell r="R1601">
            <v>4919.8254829999996</v>
          </cell>
          <cell r="S1601">
            <v>4991.0326789999999</v>
          </cell>
          <cell r="T1601">
            <v>5063.7624919999998</v>
          </cell>
          <cell r="U1601">
            <v>5137.9403389999998</v>
          </cell>
          <cell r="V1601">
            <v>5213.2440269999997</v>
          </cell>
          <cell r="W1601">
            <v>5289.7862169999999</v>
          </cell>
          <cell r="X1601">
            <v>5367.629664</v>
          </cell>
          <cell r="Y1601">
            <v>5446.8101479999996</v>
          </cell>
          <cell r="Z1601">
            <v>5525.057871</v>
          </cell>
          <cell r="AA1601">
            <v>5605.1345149999997</v>
          </cell>
          <cell r="AB1601">
            <v>5687.0303029999995</v>
          </cell>
          <cell r="AC1601">
            <v>5770.6559109999998</v>
          </cell>
          <cell r="AD1601">
            <v>5855.9594500000003</v>
          </cell>
          <cell r="AE1601">
            <v>5936.2942309999999</v>
          </cell>
          <cell r="AF1601">
            <v>6016.4740330000004</v>
          </cell>
          <cell r="AG1601">
            <v>6096.9192229999999</v>
          </cell>
          <cell r="AH1601">
            <v>6177.8409330000004</v>
          </cell>
          <cell r="AI1601">
            <v>6259.4571599999999</v>
          </cell>
          <cell r="AJ1601">
            <v>6341.9677739999997</v>
          </cell>
          <cell r="AK1601">
            <v>6425.5948779999999</v>
          </cell>
          <cell r="AL1601">
            <v>6510.4224679999998</v>
          </cell>
          <cell r="AM1601">
            <v>6596.5076660000004</v>
          </cell>
          <cell r="AN1601">
            <v>6683.8832300000004</v>
          </cell>
          <cell r="AO1601">
            <v>6772.5628839999999</v>
          </cell>
          <cell r="AP1601">
            <v>6861.5120530000004</v>
          </cell>
          <cell r="AQ1601">
            <v>6950.7549740000004</v>
          </cell>
          <cell r="AR1601">
            <v>7040.442454</v>
          </cell>
          <cell r="AS1601">
            <v>7130.73279</v>
          </cell>
          <cell r="AT1601">
            <v>7221.7736400000003</v>
          </cell>
          <cell r="AU1601">
            <v>7313.7860280000004</v>
          </cell>
          <cell r="AV1601">
            <v>7406.8415089999999</v>
          </cell>
          <cell r="AW1601">
            <v>7501.0108440000004</v>
          </cell>
          <cell r="AX1601">
            <v>7596.3552820000004</v>
          </cell>
          <cell r="AY1601">
            <v>7692.9226630000003</v>
          </cell>
          <cell r="AZ1601">
            <v>7791.1970309999997</v>
          </cell>
          <cell r="BA1601">
            <v>7891.0439800000004</v>
          </cell>
          <cell r="BB1601">
            <v>7992.3928800000003</v>
          </cell>
          <cell r="BC1601">
            <v>8095.2121930000003</v>
          </cell>
          <cell r="BD1601">
            <v>8199.4860850000005</v>
          </cell>
          <cell r="BE1601">
            <v>10315.183279999999</v>
          </cell>
          <cell r="BF1601">
            <v>10501.124680000001</v>
          </cell>
          <cell r="BG1601">
            <v>10690.10708</v>
          </cell>
          <cell r="BH1601">
            <v>10882.175730000001</v>
          </cell>
          <cell r="BI1601">
            <v>11077.383040000001</v>
          </cell>
        </row>
        <row r="1604">
          <cell r="F1604">
            <v>232025.78890000001</v>
          </cell>
          <cell r="G1604">
            <v>233285.99840000001</v>
          </cell>
          <cell r="H1604">
            <v>235405.86110000001</v>
          </cell>
          <cell r="I1604">
            <v>237999.73749999999</v>
          </cell>
          <cell r="J1604">
            <v>240872.80600000001</v>
          </cell>
          <cell r="K1604">
            <v>243933.40729999999</v>
          </cell>
          <cell r="L1604">
            <v>247056.51809999999</v>
          </cell>
          <cell r="M1604">
            <v>250246.4662</v>
          </cell>
          <cell r="N1604">
            <v>253516.43220000001</v>
          </cell>
          <cell r="O1604">
            <v>256878.02919999999</v>
          </cell>
          <cell r="P1604">
            <v>260485.4491</v>
          </cell>
          <cell r="Q1604">
            <v>264160.25709999999</v>
          </cell>
          <cell r="R1604">
            <v>267914.89860000001</v>
          </cell>
          <cell r="S1604">
            <v>271762.17219999997</v>
          </cell>
          <cell r="T1604">
            <v>275710.7071</v>
          </cell>
          <cell r="U1604">
            <v>279766.93589999998</v>
          </cell>
          <cell r="V1604">
            <v>283923.27779999998</v>
          </cell>
          <cell r="W1604">
            <v>288190.60350000003</v>
          </cell>
          <cell r="X1604">
            <v>292576.56949999998</v>
          </cell>
          <cell r="Y1604">
            <v>297086.72499999998</v>
          </cell>
          <cell r="Z1604">
            <v>301618.20280000003</v>
          </cell>
          <cell r="AA1604">
            <v>306298.8971</v>
          </cell>
          <cell r="AB1604">
            <v>311129.16639999999</v>
          </cell>
          <cell r="AC1604">
            <v>316105.65759999998</v>
          </cell>
          <cell r="AD1604">
            <v>321226.00260000001</v>
          </cell>
          <cell r="AE1604">
            <v>326179.61859999999</v>
          </cell>
          <cell r="AF1604">
            <v>331180.815</v>
          </cell>
          <cell r="AG1604">
            <v>336241.74050000001</v>
          </cell>
          <cell r="AH1604">
            <v>341364.99890000001</v>
          </cell>
          <cell r="AI1604">
            <v>346552.3701</v>
          </cell>
          <cell r="AJ1604">
            <v>351805.07</v>
          </cell>
          <cell r="AK1604">
            <v>357126.38439999998</v>
          </cell>
          <cell r="AL1604">
            <v>362514.29930000001</v>
          </cell>
          <cell r="AM1604">
            <v>367966.342</v>
          </cell>
          <cell r="AN1604">
            <v>373479.49920000002</v>
          </cell>
          <cell r="AO1604">
            <v>379050.29800000001</v>
          </cell>
          <cell r="AP1604">
            <v>384626.20929999999</v>
          </cell>
          <cell r="AQ1604">
            <v>390202.48479999998</v>
          </cell>
          <cell r="AR1604">
            <v>395779.61780000001</v>
          </cell>
          <cell r="AS1604">
            <v>401358.68810000003</v>
          </cell>
          <cell r="AT1604">
            <v>406940.72320000001</v>
          </cell>
          <cell r="AU1604">
            <v>412530.81880000001</v>
          </cell>
          <cell r="AV1604">
            <v>418127.98340000003</v>
          </cell>
          <cell r="AW1604">
            <v>423731.90490000002</v>
          </cell>
          <cell r="AX1604">
            <v>429342.60580000002</v>
          </cell>
          <cell r="AY1604">
            <v>434960.23629999999</v>
          </cell>
          <cell r="AZ1604">
            <v>440606.0428</v>
          </cell>
          <cell r="BA1604">
            <v>446273.58390000003</v>
          </cell>
          <cell r="BB1604">
            <v>451959.48609999998</v>
          </cell>
          <cell r="BC1604">
            <v>457662.53749999998</v>
          </cell>
          <cell r="BD1604">
            <v>463382.77539999998</v>
          </cell>
          <cell r="BE1604">
            <v>617742.98450000002</v>
          </cell>
          <cell r="BF1604">
            <v>629611.85600000003</v>
          </cell>
          <cell r="BG1604">
            <v>641570.32310000004</v>
          </cell>
          <cell r="BH1604">
            <v>653612.58900000004</v>
          </cell>
          <cell r="BI1604">
            <v>665733.37950000004</v>
          </cell>
        </row>
        <row r="1616">
          <cell r="F1616">
            <v>7840.6203820000001</v>
          </cell>
          <cell r="G1616">
            <v>7861.6121640000001</v>
          </cell>
          <cell r="H1616">
            <v>7927.6210719999999</v>
          </cell>
          <cell r="I1616">
            <v>8013.4765230000003</v>
          </cell>
          <cell r="J1616">
            <v>8110.1633499999998</v>
          </cell>
          <cell r="K1616">
            <v>8214.1571669999994</v>
          </cell>
          <cell r="L1616">
            <v>8319.5987289999994</v>
          </cell>
          <cell r="M1616">
            <v>8427.4421390000007</v>
          </cell>
          <cell r="N1616">
            <v>8537.9226249999992</v>
          </cell>
          <cell r="O1616">
            <v>8650.9078300000001</v>
          </cell>
          <cell r="P1616">
            <v>8773.1546749999998</v>
          </cell>
          <cell r="Q1616">
            <v>8893.4997700000004</v>
          </cell>
          <cell r="R1616">
            <v>9013.8367330000001</v>
          </cell>
          <cell r="S1616">
            <v>9135.0022129999998</v>
          </cell>
          <cell r="T1616">
            <v>9257.2943579999992</v>
          </cell>
          <cell r="U1616">
            <v>9380.8575149999997</v>
          </cell>
          <cell r="V1616">
            <v>9505.0175529999997</v>
          </cell>
          <cell r="W1616">
            <v>9630.3922559999992</v>
          </cell>
          <cell r="X1616">
            <v>9757.3210679999993</v>
          </cell>
          <cell r="Y1616">
            <v>9886.0255359999992</v>
          </cell>
          <cell r="Z1616">
            <v>10011.55624</v>
          </cell>
          <cell r="AA1616">
            <v>10141.48043</v>
          </cell>
          <cell r="AB1616">
            <v>10274.758540000001</v>
          </cell>
          <cell r="AC1616">
            <v>10410.944820000001</v>
          </cell>
          <cell r="AD1616">
            <v>10549.9295</v>
          </cell>
          <cell r="AE1616">
            <v>10677.002829999999</v>
          </cell>
          <cell r="AF1616">
            <v>10806.751829999999</v>
          </cell>
          <cell r="AG1616">
            <v>10938.65789</v>
          </cell>
          <cell r="AH1616">
            <v>11072.511640000001</v>
          </cell>
          <cell r="AI1616">
            <v>11208.402669999999</v>
          </cell>
          <cell r="AJ1616">
            <v>11346.49813</v>
          </cell>
          <cell r="AK1616">
            <v>11487.13096</v>
          </cell>
          <cell r="AL1616">
            <v>11630.305490000001</v>
          </cell>
          <cell r="AM1616">
            <v>11776.04493</v>
          </cell>
          <cell r="AN1616">
            <v>11924.3621</v>
          </cell>
          <cell r="AO1616">
            <v>12075.25289</v>
          </cell>
          <cell r="AP1616">
            <v>12226.75116</v>
          </cell>
          <cell r="AQ1616">
            <v>12379.396049999999</v>
          </cell>
          <cell r="AR1616">
            <v>12533.52852</v>
          </cell>
          <cell r="AS1616">
            <v>12689.35583</v>
          </cell>
          <cell r="AT1616">
            <v>12847.02817</v>
          </cell>
          <cell r="AU1616">
            <v>13006.920550000001</v>
          </cell>
          <cell r="AV1616">
            <v>13168.982480000001</v>
          </cell>
          <cell r="AW1616">
            <v>13333.23208</v>
          </cell>
          <cell r="AX1616">
            <v>13499.70621</v>
          </cell>
          <cell r="AY1616">
            <v>13668.439280000001</v>
          </cell>
          <cell r="AZ1616">
            <v>13840.643389999999</v>
          </cell>
          <cell r="BA1616">
            <v>14015.70341</v>
          </cell>
          <cell r="BB1616">
            <v>14193.37175</v>
          </cell>
          <cell r="BC1616">
            <v>14373.560589999999</v>
          </cell>
          <cell r="BD1616">
            <v>14556.240320000001</v>
          </cell>
          <cell r="BE1616">
            <v>18304.411169999999</v>
          </cell>
          <cell r="BF1616">
            <v>18627.571029999999</v>
          </cell>
          <cell r="BG1616">
            <v>18956.537619999999</v>
          </cell>
          <cell r="BH1616">
            <v>19291.396369999999</v>
          </cell>
          <cell r="BI1616">
            <v>19632.235570000001</v>
          </cell>
        </row>
        <row r="1621">
          <cell r="F1621">
            <v>217526.9258</v>
          </cell>
          <cell r="G1621">
            <v>218831.79310000001</v>
          </cell>
          <cell r="H1621">
            <v>220774.13680000001</v>
          </cell>
          <cell r="I1621">
            <v>223137.0784</v>
          </cell>
          <cell r="J1621">
            <v>225803.54810000001</v>
          </cell>
          <cell r="K1621">
            <v>228714.58790000001</v>
          </cell>
          <cell r="L1621">
            <v>231734.95420000001</v>
          </cell>
          <cell r="M1621">
            <v>234873.96220000001</v>
          </cell>
          <cell r="N1621">
            <v>238135.8138</v>
          </cell>
          <cell r="O1621">
            <v>241517.9601</v>
          </cell>
          <cell r="P1621">
            <v>245188.90839999999</v>
          </cell>
          <cell r="Q1621">
            <v>248907.97750000001</v>
          </cell>
          <cell r="R1621">
            <v>252689.06479999999</v>
          </cell>
          <cell r="S1621">
            <v>256542.05489999999</v>
          </cell>
          <cell r="T1621">
            <v>260469.91279999999</v>
          </cell>
          <cell r="U1621">
            <v>264473.36320000002</v>
          </cell>
          <cell r="V1621">
            <v>268543.64520000003</v>
          </cell>
          <cell r="W1621">
            <v>272685.16310000001</v>
          </cell>
          <cell r="X1621">
            <v>276901.00760000001</v>
          </cell>
          <cell r="Y1621">
            <v>281193.04940000002</v>
          </cell>
          <cell r="Z1621">
            <v>285433.14640000003</v>
          </cell>
          <cell r="AA1621">
            <v>289788.22149999999</v>
          </cell>
          <cell r="AB1621">
            <v>294246.45880000002</v>
          </cell>
          <cell r="AC1621">
            <v>298798.35639999999</v>
          </cell>
          <cell r="AD1621">
            <v>303439.24920000002</v>
          </cell>
          <cell r="AE1621">
            <v>307792.30440000002</v>
          </cell>
          <cell r="AF1621">
            <v>312162.18190000003</v>
          </cell>
          <cell r="AG1621">
            <v>316559.14549999998</v>
          </cell>
          <cell r="AH1621">
            <v>320986.13660000003</v>
          </cell>
          <cell r="AI1621">
            <v>325448.9436</v>
          </cell>
          <cell r="AJ1621">
            <v>329953.9474</v>
          </cell>
          <cell r="AK1621">
            <v>334508.68369999999</v>
          </cell>
          <cell r="AL1621">
            <v>339116.30420000001</v>
          </cell>
          <cell r="AM1621">
            <v>343778.85210000002</v>
          </cell>
          <cell r="AN1621">
            <v>348497.50579999998</v>
          </cell>
          <cell r="AO1621">
            <v>353272.8198</v>
          </cell>
          <cell r="AP1621">
            <v>358032.83039999998</v>
          </cell>
          <cell r="AQ1621">
            <v>362795.48070000001</v>
          </cell>
          <cell r="AR1621">
            <v>367573.57049999997</v>
          </cell>
          <cell r="AS1621">
            <v>372375.86790000001</v>
          </cell>
          <cell r="AT1621">
            <v>377209.32610000001</v>
          </cell>
          <cell r="AU1621">
            <v>382082.85920000001</v>
          </cell>
          <cell r="AV1621">
            <v>387000.43209999998</v>
          </cell>
          <cell r="AW1621">
            <v>391965.62920000002</v>
          </cell>
          <cell r="AX1621">
            <v>396981.61910000001</v>
          </cell>
          <cell r="AY1621">
            <v>402051.06790000002</v>
          </cell>
          <cell r="AZ1621">
            <v>407194.5356</v>
          </cell>
          <cell r="BA1621">
            <v>412407.88439999998</v>
          </cell>
          <cell r="BB1621">
            <v>417688.98969999998</v>
          </cell>
          <cell r="BC1621">
            <v>423037.35849999997</v>
          </cell>
          <cell r="BD1621">
            <v>428453.23609999998</v>
          </cell>
          <cell r="BE1621">
            <v>520690.10560000001</v>
          </cell>
          <cell r="BF1621">
            <v>529771.0233</v>
          </cell>
          <cell r="BG1621">
            <v>538983.70779999997</v>
          </cell>
          <cell r="BH1621">
            <v>548329.81590000005</v>
          </cell>
          <cell r="BI1621">
            <v>557811.28489999997</v>
          </cell>
        </row>
        <row r="1624">
          <cell r="F1624">
            <v>2211.2217230000001</v>
          </cell>
          <cell r="G1624">
            <v>2207.630901</v>
          </cell>
          <cell r="H1624">
            <v>2208.8743250000002</v>
          </cell>
          <cell r="I1624">
            <v>2213.3401869999998</v>
          </cell>
          <cell r="J1624">
            <v>2220.9987339999998</v>
          </cell>
          <cell r="K1624">
            <v>2231.8068079999998</v>
          </cell>
          <cell r="L1624">
            <v>2244.7299579999999</v>
          </cell>
          <cell r="M1624">
            <v>2259.7796760000001</v>
          </cell>
          <cell r="N1624">
            <v>2276.7748409999999</v>
          </cell>
          <cell r="O1624">
            <v>2295.4539850000001</v>
          </cell>
          <cell r="P1624">
            <v>2317.010601</v>
          </cell>
          <cell r="Q1624">
            <v>2339.1069539999999</v>
          </cell>
          <cell r="R1624">
            <v>2361.8609529999999</v>
          </cell>
          <cell r="S1624">
            <v>2385.3268360000002</v>
          </cell>
          <cell r="T1624">
            <v>2409.4738320000001</v>
          </cell>
          <cell r="U1624">
            <v>2434.2468050000002</v>
          </cell>
          <cell r="V1624">
            <v>2459.4240570000002</v>
          </cell>
          <cell r="W1624">
            <v>2485.0518780000002</v>
          </cell>
          <cell r="X1624">
            <v>2511.142613</v>
          </cell>
          <cell r="Y1624">
            <v>2537.692583</v>
          </cell>
          <cell r="Z1624">
            <v>2563.6564069999999</v>
          </cell>
          <cell r="AA1624">
            <v>2590.4366679999998</v>
          </cell>
          <cell r="AB1624">
            <v>2617.8856569999998</v>
          </cell>
          <cell r="AC1624">
            <v>2645.897759</v>
          </cell>
          <cell r="AD1624">
            <v>2674.4328599999999</v>
          </cell>
          <cell r="AE1624">
            <v>2700.5150490000001</v>
          </cell>
          <cell r="AF1624">
            <v>2726.8097229999998</v>
          </cell>
          <cell r="AG1624">
            <v>2753.3392050000002</v>
          </cell>
          <cell r="AH1624">
            <v>2780.0688949999999</v>
          </cell>
          <cell r="AI1624">
            <v>2807.0155209999998</v>
          </cell>
          <cell r="AJ1624">
            <v>2834.2181609999998</v>
          </cell>
          <cell r="AK1624">
            <v>2861.7571939999998</v>
          </cell>
          <cell r="AL1624">
            <v>2889.6509930000002</v>
          </cell>
          <cell r="AM1624">
            <v>2917.920427</v>
          </cell>
          <cell r="AN1624">
            <v>2946.5844910000001</v>
          </cell>
          <cell r="AO1624">
            <v>2975.6577969999998</v>
          </cell>
          <cell r="AP1624">
            <v>3004.7861149999999</v>
          </cell>
          <cell r="AQ1624">
            <v>3034.0477019999998</v>
          </cell>
          <cell r="AR1624">
            <v>3063.5096319999998</v>
          </cell>
          <cell r="AS1624">
            <v>3093.2148619999998</v>
          </cell>
          <cell r="AT1624">
            <v>3123.1936559999999</v>
          </cell>
          <cell r="AU1624">
            <v>3153.523443</v>
          </cell>
          <cell r="AV1624">
            <v>3184.1971079999998</v>
          </cell>
          <cell r="AW1624">
            <v>3215.217075</v>
          </cell>
          <cell r="AX1624">
            <v>3246.5893179999998</v>
          </cell>
          <cell r="AY1624">
            <v>3278.3190399999999</v>
          </cell>
          <cell r="AZ1624">
            <v>3310.6541149999998</v>
          </cell>
          <cell r="BA1624">
            <v>3343.48648</v>
          </cell>
          <cell r="BB1624">
            <v>3376.7605330000001</v>
          </cell>
          <cell r="BC1624">
            <v>3410.4510479999999</v>
          </cell>
          <cell r="BD1624">
            <v>3444.5436289999998</v>
          </cell>
          <cell r="BE1624">
            <v>4426.5473080000002</v>
          </cell>
          <cell r="BF1624">
            <v>4495.1861529999996</v>
          </cell>
          <cell r="BG1624">
            <v>4564.88544</v>
          </cell>
          <cell r="BH1624">
            <v>4635.66716</v>
          </cell>
          <cell r="BI1624">
            <v>4707.5559839999996</v>
          </cell>
        </row>
        <row r="1629">
          <cell r="F1629">
            <v>3610.413861</v>
          </cell>
          <cell r="G1629">
            <v>3616.2419460000001</v>
          </cell>
          <cell r="H1629">
            <v>3623.776832</v>
          </cell>
          <cell r="I1629">
            <v>3633.854257</v>
          </cell>
          <cell r="J1629">
            <v>3647.443636</v>
          </cell>
          <cell r="K1629">
            <v>3664.819966</v>
          </cell>
          <cell r="L1629">
            <v>3684.9101019999998</v>
          </cell>
          <cell r="M1629">
            <v>3707.5767900000001</v>
          </cell>
          <cell r="N1629">
            <v>3732.4997279999998</v>
          </cell>
          <cell r="O1629">
            <v>3759.2222230000002</v>
          </cell>
          <cell r="P1629">
            <v>3789.5260990000002</v>
          </cell>
          <cell r="Q1629">
            <v>3820.0869659999998</v>
          </cell>
          <cell r="R1629">
            <v>3850.6287729999999</v>
          </cell>
          <cell r="S1629">
            <v>3881.1800539999999</v>
          </cell>
          <cell r="T1629">
            <v>3911.7425109999999</v>
          </cell>
          <cell r="U1629">
            <v>3942.2995729999998</v>
          </cell>
          <cell r="V1629">
            <v>3972.6804499999998</v>
          </cell>
          <cell r="W1629">
            <v>4002.9573869999999</v>
          </cell>
          <cell r="X1629">
            <v>4033.2055930000001</v>
          </cell>
          <cell r="Y1629">
            <v>4063.4995859999999</v>
          </cell>
          <cell r="Z1629">
            <v>4092.3184059999999</v>
          </cell>
          <cell r="AA1629">
            <v>4121.7303400000001</v>
          </cell>
          <cell r="AB1629">
            <v>4151.8518119999999</v>
          </cell>
          <cell r="AC1629">
            <v>4182.6330209999996</v>
          </cell>
          <cell r="AD1629">
            <v>4214.0755380000001</v>
          </cell>
          <cell r="AE1629">
            <v>4241.7045680000001</v>
          </cell>
          <cell r="AF1629">
            <v>4269.0869549999998</v>
          </cell>
          <cell r="AG1629">
            <v>4296.8073329999997</v>
          </cell>
          <cell r="AH1629">
            <v>4325.0247319999999</v>
          </cell>
          <cell r="AI1629">
            <v>4353.8621380000004</v>
          </cell>
          <cell r="AJ1629">
            <v>4383.4398250000004</v>
          </cell>
          <cell r="AK1629">
            <v>4413.9037660000004</v>
          </cell>
          <cell r="AL1629">
            <v>4445.334081</v>
          </cell>
          <cell r="AM1629">
            <v>4477.7954749999999</v>
          </cell>
          <cell r="AN1629">
            <v>4511.3381520000003</v>
          </cell>
          <cell r="AO1629">
            <v>4545.9971859999996</v>
          </cell>
          <cell r="AP1629">
            <v>4581.0629950000002</v>
          </cell>
          <cell r="AQ1629">
            <v>4616.6635850000002</v>
          </cell>
          <cell r="AR1629">
            <v>4652.9720770000004</v>
          </cell>
          <cell r="AS1629">
            <v>4690.1047189999999</v>
          </cell>
          <cell r="AT1629">
            <v>4728.1348719999996</v>
          </cell>
          <cell r="AU1629">
            <v>4767.1611670000002</v>
          </cell>
          <cell r="AV1629">
            <v>4807.1998169999997</v>
          </cell>
          <cell r="AW1629">
            <v>4848.2636110000003</v>
          </cell>
          <cell r="AX1629">
            <v>4890.3625519999996</v>
          </cell>
          <cell r="AY1629">
            <v>4933.504312</v>
          </cell>
          <cell r="AZ1629">
            <v>4977.955395</v>
          </cell>
          <cell r="BA1629">
            <v>5023.638191</v>
          </cell>
          <cell r="BB1629">
            <v>5070.4910760000002</v>
          </cell>
          <cell r="BC1629">
            <v>5118.4803110000003</v>
          </cell>
          <cell r="BD1629">
            <v>5167.5873920000004</v>
          </cell>
          <cell r="BE1629">
            <v>6403.448018</v>
          </cell>
          <cell r="BF1629">
            <v>6503.0164150000001</v>
          </cell>
          <cell r="BG1629">
            <v>6604.5586430000003</v>
          </cell>
          <cell r="BH1629">
            <v>6708.0768269999999</v>
          </cell>
          <cell r="BI1629">
            <v>6813.5759399999997</v>
          </cell>
        </row>
        <row r="1639">
          <cell r="F1639">
            <v>473222.20490000001</v>
          </cell>
          <cell r="G1639">
            <v>479535.71830000001</v>
          </cell>
          <cell r="H1639">
            <v>486404.21629999997</v>
          </cell>
          <cell r="I1639">
            <v>493756.32169999997</v>
          </cell>
          <cell r="J1639">
            <v>501524.69660000002</v>
          </cell>
          <cell r="K1639">
            <v>509663.84759999998</v>
          </cell>
          <cell r="L1639">
            <v>517948.18290000001</v>
          </cell>
          <cell r="M1639">
            <v>526410.65700000001</v>
          </cell>
          <cell r="N1639">
            <v>535078.52879999997</v>
          </cell>
          <cell r="O1639">
            <v>543968.31129999994</v>
          </cell>
          <cell r="P1639">
            <v>553440.23620000004</v>
          </cell>
          <cell r="Q1639">
            <v>563065.29280000005</v>
          </cell>
          <cell r="R1639">
            <v>572866.74789999996</v>
          </cell>
          <cell r="S1639">
            <v>582865.13520000002</v>
          </cell>
          <cell r="T1639">
            <v>593069.48049999995</v>
          </cell>
          <cell r="U1639">
            <v>603483.72750000004</v>
          </cell>
          <cell r="V1639">
            <v>614110.22360000003</v>
          </cell>
          <cell r="W1639">
            <v>624950.97450000001</v>
          </cell>
          <cell r="X1639">
            <v>636007.82849999995</v>
          </cell>
          <cell r="Y1639">
            <v>647282.27870000002</v>
          </cell>
          <cell r="Z1639">
            <v>658510.55299999996</v>
          </cell>
          <cell r="AA1639">
            <v>670018.11320000002</v>
          </cell>
          <cell r="AB1639">
            <v>681788.45440000005</v>
          </cell>
          <cell r="AC1639">
            <v>693804.71589999995</v>
          </cell>
          <cell r="AD1639">
            <v>706056.9031</v>
          </cell>
          <cell r="AE1639">
            <v>717765.83059999999</v>
          </cell>
          <cell r="AF1639">
            <v>729504.46369999996</v>
          </cell>
          <cell r="AG1639">
            <v>741298.69660000002</v>
          </cell>
          <cell r="AH1639">
            <v>753155.01020000002</v>
          </cell>
          <cell r="AI1639">
            <v>765081.60789999994</v>
          </cell>
          <cell r="AJ1639">
            <v>777086.35900000005</v>
          </cell>
          <cell r="AK1639">
            <v>789174.86990000005</v>
          </cell>
          <cell r="AL1639">
            <v>801349.80099999998</v>
          </cell>
          <cell r="AM1639">
            <v>813611.05660000001</v>
          </cell>
          <cell r="AN1639">
            <v>825956.42429999996</v>
          </cell>
          <cell r="AO1639">
            <v>838382.36230000004</v>
          </cell>
          <cell r="AP1639">
            <v>850694.96970000002</v>
          </cell>
          <cell r="AQ1639">
            <v>862930.71730000002</v>
          </cell>
          <cell r="AR1639">
            <v>875116.26699999999</v>
          </cell>
          <cell r="AS1639">
            <v>887268.72750000004</v>
          </cell>
          <cell r="AT1639">
            <v>899400.95719999995</v>
          </cell>
          <cell r="AU1639">
            <v>911523.86569999997</v>
          </cell>
          <cell r="AV1639">
            <v>923647.12959999999</v>
          </cell>
          <cell r="AW1639">
            <v>935779.36769999994</v>
          </cell>
          <cell r="AX1639">
            <v>947928.24879999994</v>
          </cell>
          <cell r="AY1639">
            <v>960100.68870000006</v>
          </cell>
          <cell r="AZ1639">
            <v>972320.42839999998</v>
          </cell>
          <cell r="BA1639">
            <v>984590.03740000003</v>
          </cell>
          <cell r="BB1639">
            <v>996913.12540000002</v>
          </cell>
          <cell r="BC1639">
            <v>1009294.171</v>
          </cell>
          <cell r="BD1639">
            <v>1021738.414</v>
          </cell>
          <cell r="BE1639">
            <v>1178106.1470000001</v>
          </cell>
          <cell r="BF1639">
            <v>1199473.1200000001</v>
          </cell>
          <cell r="BG1639">
            <v>1221043.7919999999</v>
          </cell>
          <cell r="BH1639">
            <v>1242814.6680000001</v>
          </cell>
          <cell r="BI1639">
            <v>1264783.2679999999</v>
          </cell>
        </row>
        <row r="1640">
          <cell r="F1640">
            <v>4444.0176270000002</v>
          </cell>
          <cell r="G1640">
            <v>4488.0620580000004</v>
          </cell>
          <cell r="H1640">
            <v>4532.6467709999997</v>
          </cell>
          <cell r="I1640">
            <v>4582.237263</v>
          </cell>
          <cell r="J1640">
            <v>4637.9010760000001</v>
          </cell>
          <cell r="K1640">
            <v>4699.4452179999998</v>
          </cell>
          <cell r="L1640">
            <v>4764.3885300000002</v>
          </cell>
          <cell r="M1640">
            <v>4832.4695460000003</v>
          </cell>
          <cell r="N1640">
            <v>4903.4569199999996</v>
          </cell>
          <cell r="O1640">
            <v>4977.110111</v>
          </cell>
          <cell r="P1640">
            <v>5056.5187219999998</v>
          </cell>
          <cell r="Q1640">
            <v>5137.5110089999998</v>
          </cell>
          <cell r="R1640">
            <v>5219.9802669999999</v>
          </cell>
          <cell r="S1640">
            <v>5303.930257</v>
          </cell>
          <cell r="T1640">
            <v>5389.3211119999996</v>
          </cell>
          <cell r="U1640">
            <v>5476.1104580000001</v>
          </cell>
          <cell r="V1640">
            <v>5564.2748149999998</v>
          </cell>
          <cell r="W1640">
            <v>5653.8114859999996</v>
          </cell>
          <cell r="X1640">
            <v>5744.7326750000002</v>
          </cell>
          <cell r="Y1640">
            <v>5837.0585549999996</v>
          </cell>
          <cell r="Z1640">
            <v>5928.3355849999998</v>
          </cell>
          <cell r="AA1640">
            <v>6021.5515100000002</v>
          </cell>
          <cell r="AB1640">
            <v>6116.6896909999996</v>
          </cell>
          <cell r="AC1640">
            <v>6213.6633680000004</v>
          </cell>
          <cell r="AD1640">
            <v>6312.4292189999996</v>
          </cell>
          <cell r="AE1640">
            <v>6405.7649460000002</v>
          </cell>
          <cell r="AF1640">
            <v>6498.8306700000003</v>
          </cell>
          <cell r="AG1640">
            <v>6592.1205049999999</v>
          </cell>
          <cell r="AH1640">
            <v>6685.8917449999999</v>
          </cell>
          <cell r="AI1640">
            <v>6780.4005070000003</v>
          </cell>
          <cell r="AJ1640">
            <v>6875.8779530000002</v>
          </cell>
          <cell r="AK1640">
            <v>6972.5078370000001</v>
          </cell>
          <cell r="AL1640">
            <v>7070.421722</v>
          </cell>
          <cell r="AM1640">
            <v>7169.7052460000004</v>
          </cell>
          <cell r="AN1640">
            <v>7270.4089199999999</v>
          </cell>
          <cell r="AO1640">
            <v>7372.5594659999997</v>
          </cell>
          <cell r="AP1640">
            <v>7474.4116629999999</v>
          </cell>
          <cell r="AQ1640">
            <v>7576.3010400000003</v>
          </cell>
          <cell r="AR1640">
            <v>7678.5395360000002</v>
          </cell>
          <cell r="AS1640">
            <v>7781.3699770000003</v>
          </cell>
          <cell r="AT1640">
            <v>7884.9984279999999</v>
          </cell>
          <cell r="AU1640">
            <v>7989.6052280000004</v>
          </cell>
          <cell r="AV1640">
            <v>8095.3451059999998</v>
          </cell>
          <cell r="AW1640">
            <v>8202.3458310000005</v>
          </cell>
          <cell r="AX1640">
            <v>8310.7088939999994</v>
          </cell>
          <cell r="AY1640">
            <v>8420.5122250000004</v>
          </cell>
          <cell r="AZ1640">
            <v>8531.9724769999993</v>
          </cell>
          <cell r="BA1640">
            <v>8645.1093629999996</v>
          </cell>
          <cell r="BB1640">
            <v>8759.9395220000006</v>
          </cell>
          <cell r="BC1640">
            <v>8876.4714640000002</v>
          </cell>
          <cell r="BD1640">
            <v>8994.7104490000002</v>
          </cell>
          <cell r="BE1640">
            <v>10203.664870000001</v>
          </cell>
          <cell r="BF1640">
            <v>10378.79773</v>
          </cell>
          <cell r="BG1640">
            <v>10556.48702</v>
          </cell>
          <cell r="BH1640">
            <v>10736.797769999999</v>
          </cell>
          <cell r="BI1640">
            <v>10919.79932</v>
          </cell>
        </row>
        <row r="1643">
          <cell r="F1643">
            <v>235100.95439999999</v>
          </cell>
          <cell r="G1643">
            <v>238344.52280000001</v>
          </cell>
          <cell r="H1643">
            <v>241920.5943</v>
          </cell>
          <cell r="I1643">
            <v>245745.02069999999</v>
          </cell>
          <cell r="J1643">
            <v>249762.5914</v>
          </cell>
          <cell r="K1643">
            <v>253946.9259</v>
          </cell>
          <cell r="L1643">
            <v>258201.81140000001</v>
          </cell>
          <cell r="M1643">
            <v>262543.01459999999</v>
          </cell>
          <cell r="N1643">
            <v>266988.00469999999</v>
          </cell>
          <cell r="O1643">
            <v>271550.33149999997</v>
          </cell>
          <cell r="P1643">
            <v>276394.68900000001</v>
          </cell>
          <cell r="Q1643">
            <v>281345.98479999998</v>
          </cell>
          <cell r="R1643">
            <v>286411.80940000003</v>
          </cell>
          <cell r="S1643">
            <v>291601.40600000002</v>
          </cell>
          <cell r="T1643">
            <v>296920.24190000002</v>
          </cell>
          <cell r="U1643">
            <v>302371.5025</v>
          </cell>
          <cell r="V1643">
            <v>307957.24560000002</v>
          </cell>
          <cell r="W1643">
            <v>313678.9595</v>
          </cell>
          <cell r="X1643">
            <v>319537.72529999999</v>
          </cell>
          <cell r="Y1643">
            <v>325534.18520000001</v>
          </cell>
          <cell r="Z1643">
            <v>331551.12569999998</v>
          </cell>
          <cell r="AA1643">
            <v>337724.21909999999</v>
          </cell>
          <cell r="AB1643">
            <v>344050.01890000002</v>
          </cell>
          <cell r="AC1643">
            <v>350521.8898</v>
          </cell>
          <cell r="AD1643">
            <v>357134.49540000001</v>
          </cell>
          <cell r="AE1643">
            <v>363540.1017</v>
          </cell>
          <cell r="AF1643">
            <v>369966.99890000001</v>
          </cell>
          <cell r="AG1643">
            <v>376427.0282</v>
          </cell>
          <cell r="AH1643">
            <v>382921.5368</v>
          </cell>
          <cell r="AI1643">
            <v>389450.804</v>
          </cell>
          <cell r="AJ1643">
            <v>396014.40879999998</v>
          </cell>
          <cell r="AK1643">
            <v>402610.96629999997</v>
          </cell>
          <cell r="AL1643">
            <v>409237.97979999997</v>
          </cell>
          <cell r="AM1643">
            <v>415891.91729999997</v>
          </cell>
          <cell r="AN1643">
            <v>422568.46039999998</v>
          </cell>
          <cell r="AO1643">
            <v>429262.83840000001</v>
          </cell>
          <cell r="AP1643">
            <v>435885.40120000002</v>
          </cell>
          <cell r="AQ1643">
            <v>442443.24699999997</v>
          </cell>
          <cell r="AR1643">
            <v>448942.93089999998</v>
          </cell>
          <cell r="AS1643">
            <v>455388.5551</v>
          </cell>
          <cell r="AT1643">
            <v>461783.05949999997</v>
          </cell>
          <cell r="AU1643">
            <v>468128.98590000003</v>
          </cell>
          <cell r="AV1643">
            <v>474428.79379999998</v>
          </cell>
          <cell r="AW1643">
            <v>480684.96189999999</v>
          </cell>
          <cell r="AX1643">
            <v>486900.03259999998</v>
          </cell>
          <cell r="AY1643">
            <v>493076.67239999998</v>
          </cell>
          <cell r="AZ1643">
            <v>499225.49550000002</v>
          </cell>
          <cell r="BA1643">
            <v>505348.59840000002</v>
          </cell>
          <cell r="BB1643">
            <v>511448.57010000001</v>
          </cell>
          <cell r="BC1643">
            <v>517528.63699999999</v>
          </cell>
          <cell r="BD1643">
            <v>523592.67509999999</v>
          </cell>
          <cell r="BE1643">
            <v>617696.26529999997</v>
          </cell>
          <cell r="BF1643">
            <v>629357.23699999996</v>
          </cell>
          <cell r="BG1643">
            <v>641083.97759999998</v>
          </cell>
          <cell r="BH1643">
            <v>652870.74470000004</v>
          </cell>
          <cell r="BI1643">
            <v>664712.53189999994</v>
          </cell>
        </row>
        <row r="1655">
          <cell r="F1655">
            <v>8024.163904</v>
          </cell>
          <cell r="G1655">
            <v>8132.0422669999998</v>
          </cell>
          <cell r="H1655">
            <v>8248.5171609999998</v>
          </cell>
          <cell r="I1655">
            <v>8372.0966559999997</v>
          </cell>
          <cell r="J1655">
            <v>8501.6821049999999</v>
          </cell>
          <cell r="K1655">
            <v>8636.3994610000009</v>
          </cell>
          <cell r="L1655">
            <v>8771.289761</v>
          </cell>
          <cell r="M1655">
            <v>8907.7087530000008</v>
          </cell>
          <cell r="N1655">
            <v>9046.1770890000007</v>
          </cell>
          <cell r="O1655">
            <v>9186.8322270000008</v>
          </cell>
          <cell r="P1655">
            <v>9337.1962409999996</v>
          </cell>
          <cell r="Q1655">
            <v>9486.3876639999999</v>
          </cell>
          <cell r="R1655">
            <v>9636.1222099999995</v>
          </cell>
          <cell r="S1655">
            <v>9787.2138709999999</v>
          </cell>
          <cell r="T1655">
            <v>9939.9767800000009</v>
          </cell>
          <cell r="U1655">
            <v>10094.56666</v>
          </cell>
          <cell r="V1655">
            <v>10251.10511</v>
          </cell>
          <cell r="W1655">
            <v>10409.7155</v>
          </cell>
          <cell r="X1655">
            <v>10570.527190000001</v>
          </cell>
          <cell r="Y1655">
            <v>10733.67078</v>
          </cell>
          <cell r="Z1655">
            <v>10893.636490000001</v>
          </cell>
          <cell r="AA1655">
            <v>11058.68102</v>
          </cell>
          <cell r="AB1655">
            <v>11227.617469999999</v>
          </cell>
          <cell r="AC1655">
            <v>11399.929700000001</v>
          </cell>
          <cell r="AD1655">
            <v>11575.47306</v>
          </cell>
          <cell r="AE1655">
            <v>11737.84527</v>
          </cell>
          <cell r="AF1655">
            <v>11902.896059999999</v>
          </cell>
          <cell r="AG1655">
            <v>12070.222540000001</v>
          </cell>
          <cell r="AH1655">
            <v>12239.661</v>
          </cell>
          <cell r="AI1655">
            <v>12411.33244</v>
          </cell>
          <cell r="AJ1655">
            <v>12585.427439999999</v>
          </cell>
          <cell r="AK1655">
            <v>12762.11657</v>
          </cell>
          <cell r="AL1655">
            <v>12941.522800000001</v>
          </cell>
          <cell r="AM1655">
            <v>13123.72055</v>
          </cell>
          <cell r="AN1655">
            <v>13308.745269999999</v>
          </cell>
          <cell r="AO1655">
            <v>13496.605729999999</v>
          </cell>
          <cell r="AP1655">
            <v>13683.2808</v>
          </cell>
          <cell r="AQ1655">
            <v>13870.48345</v>
          </cell>
          <cell r="AR1655">
            <v>14059.033009999999</v>
          </cell>
          <cell r="AS1655">
            <v>14249.329400000001</v>
          </cell>
          <cell r="AT1655">
            <v>14441.620199999999</v>
          </cell>
          <cell r="AU1655">
            <v>14636.091119999999</v>
          </cell>
          <cell r="AV1655">
            <v>14832.89234</v>
          </cell>
          <cell r="AW1655">
            <v>15032.145490000001</v>
          </cell>
          <cell r="AX1655">
            <v>15233.94686</v>
          </cell>
          <cell r="AY1655">
            <v>15438.37138</v>
          </cell>
          <cell r="AZ1655">
            <v>15645.845020000001</v>
          </cell>
          <cell r="BA1655">
            <v>15856.25864</v>
          </cell>
          <cell r="BB1655">
            <v>16069.578310000001</v>
          </cell>
          <cell r="BC1655">
            <v>16285.801589999999</v>
          </cell>
          <cell r="BD1655">
            <v>16504.938399999999</v>
          </cell>
          <cell r="BE1655">
            <v>18375.041580000001</v>
          </cell>
          <cell r="BF1655">
            <v>18700.720560000002</v>
          </cell>
          <cell r="BG1655">
            <v>19032.156940000001</v>
          </cell>
          <cell r="BH1655">
            <v>19369.446889999999</v>
          </cell>
          <cell r="BI1655">
            <v>19712.689709999999</v>
          </cell>
        </row>
        <row r="1660">
          <cell r="F1660">
            <v>219751.9693</v>
          </cell>
          <cell r="G1660">
            <v>222616.73800000001</v>
          </cell>
          <cell r="H1660">
            <v>225704.5876</v>
          </cell>
          <cell r="I1660">
            <v>229017.53779999999</v>
          </cell>
          <cell r="J1660">
            <v>232539.38320000001</v>
          </cell>
          <cell r="K1660">
            <v>236250.1574</v>
          </cell>
          <cell r="L1660">
            <v>240029.6177</v>
          </cell>
          <cell r="M1660">
            <v>243893.4762</v>
          </cell>
          <cell r="N1660">
            <v>247851.334</v>
          </cell>
          <cell r="O1660">
            <v>251906.64929999999</v>
          </cell>
          <cell r="P1660">
            <v>256240.83590000001</v>
          </cell>
          <cell r="Q1660">
            <v>260620.41329999999</v>
          </cell>
          <cell r="R1660">
            <v>265059.50229999999</v>
          </cell>
          <cell r="S1660">
            <v>269568.36979999999</v>
          </cell>
          <cell r="T1660">
            <v>274150.20850000001</v>
          </cell>
          <cell r="U1660">
            <v>278805.63020000001</v>
          </cell>
          <cell r="V1660">
            <v>283534.80050000001</v>
          </cell>
          <cell r="W1660">
            <v>288338.07860000001</v>
          </cell>
          <cell r="X1660">
            <v>293216.03639999998</v>
          </cell>
          <cell r="Y1660">
            <v>298169.30599999998</v>
          </cell>
          <cell r="Z1660">
            <v>303062.07120000001</v>
          </cell>
          <cell r="AA1660">
            <v>308069.12119999999</v>
          </cell>
          <cell r="AB1660">
            <v>313178.66509999998</v>
          </cell>
          <cell r="AC1660">
            <v>318381.2634</v>
          </cell>
          <cell r="AD1660">
            <v>323672.50170000002</v>
          </cell>
          <cell r="AE1660">
            <v>328652.71090000001</v>
          </cell>
          <cell r="AF1660">
            <v>333638.8848</v>
          </cell>
          <cell r="AG1660">
            <v>338644.32659999997</v>
          </cell>
          <cell r="AH1660">
            <v>343673.94630000001</v>
          </cell>
          <cell r="AI1660">
            <v>348735.15130000003</v>
          </cell>
          <cell r="AJ1660">
            <v>353835.6507</v>
          </cell>
          <cell r="AK1660">
            <v>358981.92959999997</v>
          </cell>
          <cell r="AL1660">
            <v>364178.7622</v>
          </cell>
          <cell r="AM1660">
            <v>369429.32459999999</v>
          </cell>
          <cell r="AN1660">
            <v>374735.56359999999</v>
          </cell>
          <cell r="AO1660">
            <v>380098.62219999998</v>
          </cell>
          <cell r="AP1660">
            <v>385421.92330000002</v>
          </cell>
          <cell r="AQ1660">
            <v>390732.23220000003</v>
          </cell>
          <cell r="AR1660">
            <v>396048.0834</v>
          </cell>
          <cell r="AS1660">
            <v>401381.58510000003</v>
          </cell>
          <cell r="AT1660">
            <v>406742.04129999998</v>
          </cell>
          <cell r="AU1660">
            <v>412137.337</v>
          </cell>
          <cell r="AV1660">
            <v>417574.29220000003</v>
          </cell>
          <cell r="AW1660">
            <v>423058.72210000001</v>
          </cell>
          <cell r="AX1660">
            <v>428595.49560000002</v>
          </cell>
          <cell r="AY1660">
            <v>434188.66690000001</v>
          </cell>
          <cell r="AZ1660">
            <v>439850.54830000002</v>
          </cell>
          <cell r="BA1660">
            <v>445581.87420000002</v>
          </cell>
          <cell r="BB1660">
            <v>451383.82030000002</v>
          </cell>
          <cell r="BC1660">
            <v>457257.57049999997</v>
          </cell>
          <cell r="BD1660">
            <v>463204.34370000003</v>
          </cell>
          <cell r="BE1660">
            <v>521119.83889999997</v>
          </cell>
          <cell r="BF1660">
            <v>530169.70979999995</v>
          </cell>
          <cell r="BG1660">
            <v>539346.7709</v>
          </cell>
          <cell r="BH1660">
            <v>548653.06019999995</v>
          </cell>
          <cell r="BI1660">
            <v>558090.89249999996</v>
          </cell>
        </row>
        <row r="1663">
          <cell r="F1663">
            <v>2252.4374440000001</v>
          </cell>
          <cell r="G1663">
            <v>2272.7715090000002</v>
          </cell>
          <cell r="H1663">
            <v>2289.945013</v>
          </cell>
          <cell r="I1663">
            <v>2307.390758</v>
          </cell>
          <cell r="J1663">
            <v>2326.783179</v>
          </cell>
          <cell r="K1663">
            <v>2348.7159959999999</v>
          </cell>
          <cell r="L1663">
            <v>2372.2729730000001</v>
          </cell>
          <cell r="M1663">
            <v>2397.4970330000001</v>
          </cell>
          <cell r="N1663">
            <v>2424.2398400000002</v>
          </cell>
          <cell r="O1663">
            <v>2452.285535</v>
          </cell>
          <cell r="P1663">
            <v>2483.0136819999998</v>
          </cell>
          <cell r="Q1663">
            <v>2514.1315129999998</v>
          </cell>
          <cell r="R1663">
            <v>2545.7482500000001</v>
          </cell>
          <cell r="S1663">
            <v>2577.9376149999998</v>
          </cell>
          <cell r="T1663">
            <v>2610.6974580000001</v>
          </cell>
          <cell r="U1663">
            <v>2644.001902</v>
          </cell>
          <cell r="V1663">
            <v>2677.82503</v>
          </cell>
          <cell r="W1663">
            <v>2712.1478360000001</v>
          </cell>
          <cell r="X1663">
            <v>2746.958815</v>
          </cell>
          <cell r="Y1663">
            <v>2782.2527209999998</v>
          </cell>
          <cell r="Z1663">
            <v>2816.8592480000002</v>
          </cell>
          <cell r="AA1663">
            <v>2852.365346</v>
          </cell>
          <cell r="AB1663">
            <v>2888.6056910000002</v>
          </cell>
          <cell r="AC1663">
            <v>2925.4671760000001</v>
          </cell>
          <cell r="AD1663">
            <v>2962.9107410000001</v>
          </cell>
          <cell r="AE1663">
            <v>2997.5465340000001</v>
          </cell>
          <cell r="AF1663">
            <v>3032.3524779999998</v>
          </cell>
          <cell r="AG1663">
            <v>3067.383906</v>
          </cell>
          <cell r="AH1663">
            <v>3102.6169920000002</v>
          </cell>
          <cell r="AI1663">
            <v>3138.076838</v>
          </cell>
          <cell r="AJ1663">
            <v>3173.8103460000002</v>
          </cell>
          <cell r="AK1663">
            <v>3209.8672769999998</v>
          </cell>
          <cell r="AL1663">
            <v>3246.2920439999998</v>
          </cell>
          <cell r="AM1663">
            <v>3283.1212230000001</v>
          </cell>
          <cell r="AN1663">
            <v>3320.383628</v>
          </cell>
          <cell r="AO1663">
            <v>3358.1014190000001</v>
          </cell>
          <cell r="AP1663">
            <v>3395.473954</v>
          </cell>
          <cell r="AQ1663">
            <v>3432.7992290000002</v>
          </cell>
          <cell r="AR1663">
            <v>3470.25324</v>
          </cell>
          <cell r="AS1663">
            <v>3507.9270849999998</v>
          </cell>
          <cell r="AT1663">
            <v>3545.8782630000001</v>
          </cell>
          <cell r="AU1663">
            <v>3584.1513799999998</v>
          </cell>
          <cell r="AV1663">
            <v>3622.7845419999999</v>
          </cell>
          <cell r="AW1663">
            <v>3661.81079</v>
          </cell>
          <cell r="AX1663">
            <v>3701.2580699999999</v>
          </cell>
          <cell r="AY1663">
            <v>3741.1482540000002</v>
          </cell>
          <cell r="AZ1663">
            <v>3781.5656979999999</v>
          </cell>
          <cell r="BA1663">
            <v>3822.4931539999998</v>
          </cell>
          <cell r="BB1663">
            <v>3863.9172490000001</v>
          </cell>
          <cell r="BC1663">
            <v>3905.8592899999999</v>
          </cell>
          <cell r="BD1663">
            <v>3948.3491370000002</v>
          </cell>
          <cell r="BE1663">
            <v>4416.6468480000003</v>
          </cell>
          <cell r="BF1663">
            <v>4483.9938819999998</v>
          </cell>
          <cell r="BG1663">
            <v>4552.3246609999997</v>
          </cell>
          <cell r="BH1663">
            <v>4621.6617919999999</v>
          </cell>
          <cell r="BI1663">
            <v>4692.0295589999996</v>
          </cell>
        </row>
        <row r="1668">
          <cell r="F1668">
            <v>3648.6622240000002</v>
          </cell>
          <cell r="G1668">
            <v>3681.5817390000002</v>
          </cell>
          <cell r="H1668">
            <v>3707.9254639999999</v>
          </cell>
          <cell r="I1668">
            <v>3732.038556</v>
          </cell>
          <cell r="J1668">
            <v>3756.3557129999999</v>
          </cell>
          <cell r="K1668">
            <v>3782.2036349999998</v>
          </cell>
          <cell r="L1668">
            <v>3808.8024740000001</v>
          </cell>
          <cell r="M1668">
            <v>3836.4908099999998</v>
          </cell>
          <cell r="N1668">
            <v>3865.316276</v>
          </cell>
          <cell r="O1668">
            <v>3895.1027290000002</v>
          </cell>
          <cell r="P1668">
            <v>3927.9826330000001</v>
          </cell>
          <cell r="Q1668">
            <v>3960.8645299999998</v>
          </cell>
          <cell r="R1668">
            <v>3993.5854949999998</v>
          </cell>
          <cell r="S1668">
            <v>4026.2777000000001</v>
          </cell>
          <cell r="T1668">
            <v>4059.0346530000002</v>
          </cell>
          <cell r="U1668">
            <v>4091.9158010000001</v>
          </cell>
          <cell r="V1668">
            <v>4124.9726110000001</v>
          </cell>
          <cell r="W1668">
            <v>4158.2616159999998</v>
          </cell>
          <cell r="X1668">
            <v>4191.8481039999997</v>
          </cell>
          <cell r="Y1668">
            <v>4225.8053950000003</v>
          </cell>
          <cell r="Z1668">
            <v>4258.524821</v>
          </cell>
          <cell r="AA1668">
            <v>4292.1751039999999</v>
          </cell>
          <cell r="AB1668">
            <v>4326.8575769999998</v>
          </cell>
          <cell r="AC1668">
            <v>4362.5024270000004</v>
          </cell>
          <cell r="AD1668">
            <v>4399.0929820000001</v>
          </cell>
          <cell r="AE1668">
            <v>4431.8611410000003</v>
          </cell>
          <cell r="AF1668">
            <v>4464.5008779999998</v>
          </cell>
          <cell r="AG1668">
            <v>4497.6148830000002</v>
          </cell>
          <cell r="AH1668">
            <v>4531.3573939999997</v>
          </cell>
          <cell r="AI1668">
            <v>4565.8428080000003</v>
          </cell>
          <cell r="AJ1668">
            <v>4601.1838100000004</v>
          </cell>
          <cell r="AK1668">
            <v>4637.482403</v>
          </cell>
          <cell r="AL1668">
            <v>4674.8224790000004</v>
          </cell>
          <cell r="AM1668">
            <v>4713.2676549999996</v>
          </cell>
          <cell r="AN1668">
            <v>4752.8624550000004</v>
          </cell>
          <cell r="AO1668">
            <v>4793.6351439999999</v>
          </cell>
          <cell r="AP1668">
            <v>4834.4787999999999</v>
          </cell>
          <cell r="AQ1668">
            <v>4875.6543830000001</v>
          </cell>
          <cell r="AR1668">
            <v>4917.4268840000004</v>
          </cell>
          <cell r="AS1668">
            <v>4959.9607480000004</v>
          </cell>
          <cell r="AT1668">
            <v>5003.359477</v>
          </cell>
          <cell r="AU1668">
            <v>5047.6950770000003</v>
          </cell>
          <cell r="AV1668">
            <v>5093.0216630000004</v>
          </cell>
          <cell r="AW1668">
            <v>5139.3815370000002</v>
          </cell>
          <cell r="AX1668">
            <v>5186.8068869999997</v>
          </cell>
          <cell r="AY1668">
            <v>5235.317481</v>
          </cell>
          <cell r="AZ1668">
            <v>5285.0014799999999</v>
          </cell>
          <cell r="BA1668">
            <v>5335.7036420000004</v>
          </cell>
          <cell r="BB1668">
            <v>5387.2999010000003</v>
          </cell>
          <cell r="BC1668">
            <v>5439.8312340000002</v>
          </cell>
          <cell r="BD1668">
            <v>5493.3968619999996</v>
          </cell>
          <cell r="BE1668">
            <v>6294.689676</v>
          </cell>
          <cell r="BF1668">
            <v>6382.6613719999996</v>
          </cell>
          <cell r="BG1668">
            <v>6472.0753290000002</v>
          </cell>
          <cell r="BH1668">
            <v>6562.95615</v>
          </cell>
          <cell r="BI1668">
            <v>6655.3246710000003</v>
          </cell>
        </row>
        <row r="1702">
          <cell r="F1702">
            <v>1196185.173</v>
          </cell>
          <cell r="G1702">
            <v>1203310.54</v>
          </cell>
          <cell r="H1702">
            <v>1211876.6669999999</v>
          </cell>
          <cell r="I1702">
            <v>1222201.736</v>
          </cell>
          <cell r="J1702">
            <v>1234346.162</v>
          </cell>
          <cell r="K1702">
            <v>1248301.8810000001</v>
          </cell>
          <cell r="L1702">
            <v>1263399.9369999999</v>
          </cell>
          <cell r="M1702">
            <v>1279658.419</v>
          </cell>
          <cell r="N1702">
            <v>1297005.638</v>
          </cell>
          <cell r="O1702">
            <v>1315329.517</v>
          </cell>
          <cell r="P1702">
            <v>1335536.388</v>
          </cell>
          <cell r="Q1702">
            <v>1356195.1340000001</v>
          </cell>
          <cell r="R1702">
            <v>1377268.1229999999</v>
          </cell>
          <cell r="S1702">
            <v>1398693.699</v>
          </cell>
          <cell r="T1702">
            <v>1420420.942</v>
          </cell>
          <cell r="U1702">
            <v>1442414.4580000001</v>
          </cell>
          <cell r="V1702">
            <v>1464623.233</v>
          </cell>
          <cell r="W1702">
            <v>1487025.6070000001</v>
          </cell>
          <cell r="X1702">
            <v>1509610.6569999999</v>
          </cell>
          <cell r="Y1702">
            <v>1532370.804</v>
          </cell>
          <cell r="Z1702">
            <v>1554533.781</v>
          </cell>
          <cell r="AA1702">
            <v>1577046.274</v>
          </cell>
          <cell r="AB1702">
            <v>1599854.845</v>
          </cell>
          <cell r="AC1702">
            <v>1622938.8689999999</v>
          </cell>
          <cell r="AD1702">
            <v>1646282.9709999999</v>
          </cell>
          <cell r="AE1702">
            <v>1667663.6529999999</v>
          </cell>
          <cell r="AF1702">
            <v>1688778.6029999999</v>
          </cell>
          <cell r="AG1702">
            <v>1709723.308</v>
          </cell>
          <cell r="AH1702">
            <v>1730618.371</v>
          </cell>
          <cell r="AI1702">
            <v>1751572.6740000001</v>
          </cell>
          <cell r="AJ1702">
            <v>1772672.28</v>
          </cell>
          <cell r="AK1702">
            <v>1793986.01</v>
          </cell>
          <cell r="AL1702">
            <v>1815557.763</v>
          </cell>
          <cell r="AM1702">
            <v>1837415.0260000001</v>
          </cell>
          <cell r="AN1702">
            <v>1859574.956</v>
          </cell>
          <cell r="AO1702">
            <v>1882048.7109999999</v>
          </cell>
          <cell r="AP1702">
            <v>1904371.541</v>
          </cell>
          <cell r="AQ1702">
            <v>1926683.2649999999</v>
          </cell>
          <cell r="AR1702">
            <v>1949075.57</v>
          </cell>
          <cell r="AS1702">
            <v>1971623.5519999999</v>
          </cell>
          <cell r="AT1702">
            <v>1994391.112</v>
          </cell>
          <cell r="AU1702">
            <v>2017439.2390000001</v>
          </cell>
          <cell r="AV1702">
            <v>2040809.817</v>
          </cell>
          <cell r="AW1702">
            <v>2064531.2479999999</v>
          </cell>
          <cell r="AX1702">
            <v>2088621.9140000001</v>
          </cell>
          <cell r="AY1702">
            <v>2113092.8659999999</v>
          </cell>
          <cell r="AZ1702">
            <v>2138026.466</v>
          </cell>
          <cell r="BA1702">
            <v>2163419.702</v>
          </cell>
          <cell r="BB1702">
            <v>2189262.66</v>
          </cell>
          <cell r="BC1702">
            <v>2215543.452</v>
          </cell>
          <cell r="BD1702">
            <v>2242250.6460000002</v>
          </cell>
          <cell r="BE1702">
            <v>2578303.1260000002</v>
          </cell>
          <cell r="BF1702">
            <v>2616559.395</v>
          </cell>
          <cell r="BG1702">
            <v>2655344.5720000002</v>
          </cell>
          <cell r="BH1702">
            <v>2694674.9</v>
          </cell>
          <cell r="BI1702">
            <v>2734568.8939999999</v>
          </cell>
        </row>
        <row r="1731">
          <cell r="F1731">
            <v>1202984.926</v>
          </cell>
          <cell r="G1731">
            <v>1218429.125</v>
          </cell>
          <cell r="H1731">
            <v>1234998.9720000001</v>
          </cell>
          <cell r="I1731">
            <v>1252452.5930000001</v>
          </cell>
          <cell r="J1731">
            <v>1270716.763</v>
          </cell>
          <cell r="K1731">
            <v>1289816.5049999999</v>
          </cell>
          <cell r="L1731">
            <v>1309182.9140000001</v>
          </cell>
          <cell r="M1731">
            <v>1328965.3359999999</v>
          </cell>
          <cell r="N1731">
            <v>1349231.845</v>
          </cell>
          <cell r="O1731">
            <v>1370000.6510000001</v>
          </cell>
          <cell r="P1731">
            <v>1392318.794</v>
          </cell>
          <cell r="Q1731">
            <v>1414841.2560000001</v>
          </cell>
          <cell r="R1731">
            <v>1437589.7560000001</v>
          </cell>
          <cell r="S1731">
            <v>1460541.0830000001</v>
          </cell>
          <cell r="T1731">
            <v>1483671.7139999999</v>
          </cell>
          <cell r="U1731">
            <v>1506967.818</v>
          </cell>
          <cell r="V1731">
            <v>1530424.6529999999</v>
          </cell>
          <cell r="W1731">
            <v>1554043.49</v>
          </cell>
          <cell r="X1731">
            <v>1577828.804</v>
          </cell>
          <cell r="Y1731">
            <v>1601786.466</v>
          </cell>
          <cell r="Z1731">
            <v>1625133.1229999999</v>
          </cell>
          <cell r="AA1731">
            <v>1648849.0079999999</v>
          </cell>
          <cell r="AB1731">
            <v>1672897.05</v>
          </cell>
          <cell r="AC1731">
            <v>1697269.878</v>
          </cell>
          <cell r="AD1731">
            <v>1721961.953</v>
          </cell>
          <cell r="AE1731">
            <v>1744684.3259999999</v>
          </cell>
          <cell r="AF1731">
            <v>1767155.689</v>
          </cell>
          <cell r="AG1731">
            <v>1789481.3019999999</v>
          </cell>
          <cell r="AH1731">
            <v>1811794.179</v>
          </cell>
          <cell r="AI1731">
            <v>1834213.182</v>
          </cell>
          <cell r="AJ1731">
            <v>1856831.0490000001</v>
          </cell>
          <cell r="AK1731">
            <v>1879714.1880000001</v>
          </cell>
          <cell r="AL1731">
            <v>1902907.084</v>
          </cell>
          <cell r="AM1731">
            <v>1926438.023</v>
          </cell>
          <cell r="AN1731">
            <v>1950324.48</v>
          </cell>
          <cell r="AO1731">
            <v>1974577.466</v>
          </cell>
          <cell r="AP1731">
            <v>1998657.446</v>
          </cell>
          <cell r="AQ1731">
            <v>2022691.6580000001</v>
          </cell>
          <cell r="AR1731">
            <v>2046778.5889999999</v>
          </cell>
          <cell r="AS1731">
            <v>2071007.237</v>
          </cell>
          <cell r="AT1731">
            <v>2095457.1950000001</v>
          </cell>
          <cell r="AU1731">
            <v>2120195.8280000002</v>
          </cell>
          <cell r="AV1731">
            <v>2145276.804</v>
          </cell>
          <cell r="AW1731">
            <v>2170740.5219999999</v>
          </cell>
          <cell r="AX1731">
            <v>2196615.8810000001</v>
          </cell>
          <cell r="AY1731">
            <v>2222922.696</v>
          </cell>
          <cell r="AZ1731">
            <v>2249723.2620000001</v>
          </cell>
          <cell r="BA1731">
            <v>2277015.77</v>
          </cell>
          <cell r="BB1731">
            <v>2304798.35</v>
          </cell>
          <cell r="BC1731">
            <v>2333068.1290000002</v>
          </cell>
          <cell r="BD1731">
            <v>2361822.0070000002</v>
          </cell>
          <cell r="BE1731">
            <v>2577085.8969999999</v>
          </cell>
          <cell r="BF1731">
            <v>2615222.8059999999</v>
          </cell>
          <cell r="BG1731">
            <v>2653889.335</v>
          </cell>
          <cell r="BH1731">
            <v>2693104.4959999998</v>
          </cell>
          <cell r="BI1731">
            <v>2732888.68</v>
          </cell>
        </row>
        <row r="1760">
          <cell r="F1760">
            <v>0.99675931029999998</v>
          </cell>
          <cell r="G1760">
            <v>1.0118090390000001</v>
          </cell>
          <cell r="H1760">
            <v>1.026601726</v>
          </cell>
          <cell r="I1760">
            <v>1.041764052</v>
          </cell>
          <cell r="J1760">
            <v>1.057624009</v>
          </cell>
          <cell r="K1760">
            <v>1.0743380680000001</v>
          </cell>
          <cell r="L1760">
            <v>1.091946013</v>
          </cell>
          <cell r="M1760">
            <v>1.1104711700000001</v>
          </cell>
          <cell r="N1760">
            <v>1.1299327969999999</v>
          </cell>
          <cell r="O1760">
            <v>1.1503459469999999</v>
          </cell>
          <cell r="P1760">
            <v>1.1717732030000001</v>
          </cell>
          <cell r="Q1760">
            <v>1.1941702999999999</v>
          </cell>
          <cell r="R1760">
            <v>1.2175045900000001</v>
          </cell>
          <cell r="S1760">
            <v>1.241744814</v>
          </cell>
          <cell r="T1760">
            <v>1.266856089</v>
          </cell>
          <cell r="U1760">
            <v>1.2927986849999999</v>
          </cell>
          <cell r="V1760">
            <v>1.3195176900000001</v>
          </cell>
          <cell r="W1760">
            <v>1.3469640300000001</v>
          </cell>
          <cell r="X1760">
            <v>1.3750926000000001</v>
          </cell>
          <cell r="Y1760">
            <v>1.4038618460000001</v>
          </cell>
          <cell r="Z1760">
            <v>1.4331911390000001</v>
          </cell>
          <cell r="AA1760">
            <v>1.4630699819999999</v>
          </cell>
          <cell r="AB1760">
            <v>1.493481066</v>
          </cell>
          <cell r="AC1760">
            <v>1.52440624</v>
          </cell>
          <cell r="AD1760">
            <v>1.5558301299999999</v>
          </cell>
          <cell r="AE1760">
            <v>1.5876153770000001</v>
          </cell>
          <cell r="AF1760">
            <v>1.61976754</v>
          </cell>
          <cell r="AG1760">
            <v>1.6522915140000001</v>
          </cell>
          <cell r="AH1760">
            <v>1.6851933050000001</v>
          </cell>
          <cell r="AI1760">
            <v>1.718482496</v>
          </cell>
          <cell r="AJ1760">
            <v>1.752174151</v>
          </cell>
          <cell r="AK1760">
            <v>1.786292124</v>
          </cell>
          <cell r="AL1760">
            <v>1.820863729</v>
          </cell>
          <cell r="AM1760">
            <v>1.855919471</v>
          </cell>
          <cell r="AN1760">
            <v>1.8914922009999999</v>
          </cell>
          <cell r="AO1760">
            <v>1.9276161359999999</v>
          </cell>
          <cell r="AP1760">
            <v>1.9643188389999999</v>
          </cell>
          <cell r="AQ1760">
            <v>2.001627864</v>
          </cell>
          <cell r="AR1760">
            <v>2.0395707710000002</v>
          </cell>
          <cell r="AS1760">
            <v>2.0781749899999999</v>
          </cell>
          <cell r="AT1760">
            <v>2.1174678459999998</v>
          </cell>
          <cell r="AU1760">
            <v>2.157480955</v>
          </cell>
          <cell r="AV1760">
            <v>2.1982432630000002</v>
          </cell>
          <cell r="AW1760">
            <v>2.239782328</v>
          </cell>
          <cell r="AX1760">
            <v>2.282124874</v>
          </cell>
          <cell r="AY1760">
            <v>2.325296915</v>
          </cell>
          <cell r="AZ1760">
            <v>2.3693419160000002</v>
          </cell>
          <cell r="BA1760">
            <v>2.4142913570000002</v>
          </cell>
          <cell r="BB1760">
            <v>2.460170406</v>
          </cell>
          <cell r="BC1760">
            <v>2.5070010460000001</v>
          </cell>
          <cell r="BD1760">
            <v>2.5548036070000002</v>
          </cell>
          <cell r="BE1760">
            <v>2.807915903</v>
          </cell>
          <cell r="BF1760">
            <v>2.8628385230000002</v>
          </cell>
          <cell r="BG1760">
            <v>2.9186834789999998</v>
          </cell>
          <cell r="BH1760">
            <v>2.9754758730000002</v>
          </cell>
          <cell r="BI1760">
            <v>3.0332420710000001</v>
          </cell>
        </row>
        <row r="1789">
          <cell r="F1789">
            <v>0.99928330870000004</v>
          </cell>
          <cell r="G1789">
            <v>1.0179891590000001</v>
          </cell>
          <cell r="H1789">
            <v>1.036837593</v>
          </cell>
          <cell r="I1789">
            <v>1.056122352</v>
          </cell>
          <cell r="J1789">
            <v>1.0760451769999999</v>
          </cell>
          <cell r="K1789">
            <v>1.0967217010000001</v>
          </cell>
          <cell r="L1789">
            <v>1.1181780400000001</v>
          </cell>
          <cell r="M1789">
            <v>1.1404204389999999</v>
          </cell>
          <cell r="N1789">
            <v>1.163445136</v>
          </cell>
          <cell r="O1789">
            <v>1.1872427350000001</v>
          </cell>
          <cell r="P1789">
            <v>1.211853488</v>
          </cell>
          <cell r="Q1789">
            <v>1.2372341600000001</v>
          </cell>
          <cell r="R1789">
            <v>1.2633510699999999</v>
          </cell>
          <cell r="S1789">
            <v>1.290175217</v>
          </cell>
          <cell r="T1789">
            <v>1.3176784210000001</v>
          </cell>
          <cell r="U1789">
            <v>1.3458319910000001</v>
          </cell>
          <cell r="V1789">
            <v>1.3746071559999999</v>
          </cell>
          <cell r="W1789">
            <v>1.403976232</v>
          </cell>
          <cell r="X1789">
            <v>1.4339138469999999</v>
          </cell>
          <cell r="Y1789">
            <v>1.464397886</v>
          </cell>
          <cell r="Z1789">
            <v>1.495368941</v>
          </cell>
          <cell r="AA1789">
            <v>1.526832296</v>
          </cell>
          <cell r="AB1789">
            <v>1.5587890310000001</v>
          </cell>
          <cell r="AC1789">
            <v>1.5912391029999999</v>
          </cell>
          <cell r="AD1789">
            <v>1.624184466</v>
          </cell>
          <cell r="AE1789">
            <v>1.657508985</v>
          </cell>
          <cell r="AF1789">
            <v>1.691219611</v>
          </cell>
          <cell r="AG1789">
            <v>1.7253282350000001</v>
          </cell>
          <cell r="AH1789">
            <v>1.7598483110000001</v>
          </cell>
          <cell r="AI1789">
            <v>1.794796778</v>
          </cell>
          <cell r="AJ1789">
            <v>1.830195534</v>
          </cell>
          <cell r="AK1789">
            <v>1.8660716129999999</v>
          </cell>
          <cell r="AL1789">
            <v>1.902456366</v>
          </cell>
          <cell r="AM1789">
            <v>1.9393841890000001</v>
          </cell>
          <cell r="AN1789">
            <v>1.976891205</v>
          </cell>
          <cell r="AO1789">
            <v>2.01501412</v>
          </cell>
          <cell r="AP1789">
            <v>2.0537577520000001</v>
          </cell>
          <cell r="AQ1789">
            <v>2.0931402050000001</v>
          </cell>
          <cell r="AR1789">
            <v>2.1331864679999999</v>
          </cell>
          <cell r="AS1789">
            <v>2.1739241690000002</v>
          </cell>
          <cell r="AT1789">
            <v>2.215381931</v>
          </cell>
          <cell r="AU1789">
            <v>2.2575890250000001</v>
          </cell>
          <cell r="AV1789">
            <v>2.3005753819999999</v>
          </cell>
          <cell r="AW1789">
            <v>2.34437155</v>
          </cell>
          <cell r="AX1789">
            <v>2.3890084919999999</v>
          </cell>
          <cell r="AY1789">
            <v>2.4345172960000001</v>
          </cell>
          <cell r="AZ1789">
            <v>2.4809319909999998</v>
          </cell>
          <cell r="BA1789">
            <v>2.528284786</v>
          </cell>
          <cell r="BB1789">
            <v>2.5766066049999998</v>
          </cell>
          <cell r="BC1789">
            <v>2.6259271050000002</v>
          </cell>
          <cell r="BD1789">
            <v>2.676274705</v>
          </cell>
          <cell r="BE1789">
            <v>2.7865971890000001</v>
          </cell>
          <cell r="BF1789">
            <v>2.8403224690000002</v>
          </cell>
          <cell r="BG1789">
            <v>2.894939376</v>
          </cell>
          <cell r="BH1789">
            <v>2.950470615</v>
          </cell>
          <cell r="BI1789">
            <v>3.0069409239999998</v>
          </cell>
        </row>
      </sheetData>
      <sheetData sheetId="7"/>
      <sheetData sheetId="8">
        <row r="820">
          <cell r="B820">
            <v>350.59143469999998</v>
          </cell>
          <cell r="C820">
            <v>352.9591886</v>
          </cell>
          <cell r="D820">
            <v>355.10135250000002</v>
          </cell>
          <cell r="E820">
            <v>357.50077909999999</v>
          </cell>
          <cell r="F820">
            <v>360.28418240000002</v>
          </cell>
          <cell r="G820">
            <v>363.50913209999999</v>
          </cell>
          <cell r="H820">
            <v>366.97360420000001</v>
          </cell>
          <cell r="I820">
            <v>370.7066562</v>
          </cell>
          <cell r="J820">
            <v>374.66677659999999</v>
          </cell>
          <cell r="K820">
            <v>378.80649940000001</v>
          </cell>
          <cell r="L820">
            <v>383.39145610000003</v>
          </cell>
          <cell r="M820">
            <v>387.92491519999999</v>
          </cell>
          <cell r="N820">
            <v>392.50193359999997</v>
          </cell>
          <cell r="O820">
            <v>397.13402450000001</v>
          </cell>
          <cell r="P820">
            <v>401.81830150000002</v>
          </cell>
          <cell r="Q820">
            <v>406.55097389999997</v>
          </cell>
          <cell r="R820">
            <v>411.32977310000001</v>
          </cell>
          <cell r="S820">
            <v>416.15408710000003</v>
          </cell>
          <cell r="T820">
            <v>421.02463920000002</v>
          </cell>
          <cell r="U820">
            <v>425.94312580000002</v>
          </cell>
          <cell r="V820">
            <v>430.688783</v>
          </cell>
          <cell r="W820">
            <v>435.60816110000002</v>
          </cell>
          <cell r="X820">
            <v>440.61967729999998</v>
          </cell>
          <cell r="Y820">
            <v>445.70789380000002</v>
          </cell>
          <cell r="Z820">
            <v>450.87080959999997</v>
          </cell>
          <cell r="AA820">
            <v>455.46839039999998</v>
          </cell>
          <cell r="AB820">
            <v>460.18465120000002</v>
          </cell>
          <cell r="AC820">
            <v>464.93809320000003</v>
          </cell>
          <cell r="AD820">
            <v>469.72401439999999</v>
          </cell>
          <cell r="AE820">
            <v>474.55095319999998</v>
          </cell>
          <cell r="AF820">
            <v>479.42876849999999</v>
          </cell>
          <cell r="AG820">
            <v>484.36595899999998</v>
          </cell>
          <cell r="AH820">
            <v>489.36906959999999</v>
          </cell>
          <cell r="AI820">
            <v>494.44276480000002</v>
          </cell>
          <cell r="AJ820">
            <v>499.59011889999999</v>
          </cell>
          <cell r="AK820">
            <v>504.81296459999999</v>
          </cell>
          <cell r="AL820">
            <v>509.95921540000001</v>
          </cell>
          <cell r="AM820">
            <v>515.11030800000003</v>
          </cell>
          <cell r="AN820">
            <v>520.28988630000003</v>
          </cell>
          <cell r="AO820">
            <v>525.50918839999997</v>
          </cell>
          <cell r="AP820">
            <v>530.77613989999998</v>
          </cell>
          <cell r="AQ820">
            <v>536.0971816</v>
          </cell>
          <cell r="AR820">
            <v>541.47760479999999</v>
          </cell>
          <cell r="AS820">
            <v>546.9215825</v>
          </cell>
          <cell r="AT820">
            <v>552.43208990000005</v>
          </cell>
          <cell r="AU820">
            <v>558.01046470000006</v>
          </cell>
          <cell r="AV820">
            <v>563.66745089999995</v>
          </cell>
          <cell r="AW820">
            <v>569.39278209999998</v>
          </cell>
          <cell r="AX820">
            <v>575.17944169999998</v>
          </cell>
          <cell r="AY820">
            <v>581.03923450000002</v>
          </cell>
          <cell r="AZ820">
            <v>586.98229619999995</v>
          </cell>
          <cell r="BA820">
            <v>639.6781585</v>
          </cell>
          <cell r="BB820">
            <v>648.44547050000006</v>
          </cell>
          <cell r="BC820">
            <v>657.34065229999999</v>
          </cell>
          <cell r="BD820">
            <v>666.36737129999995</v>
          </cell>
          <cell r="BE820">
            <v>675.52932920000001</v>
          </cell>
        </row>
        <row r="821">
          <cell r="B821">
            <v>215.8206874</v>
          </cell>
          <cell r="C821">
            <v>218.20709260000001</v>
          </cell>
          <cell r="D821">
            <v>220.73455340000001</v>
          </cell>
          <cell r="E821">
            <v>223.4761981</v>
          </cell>
          <cell r="F821">
            <v>226.4608604</v>
          </cell>
          <cell r="G821">
            <v>229.6802797</v>
          </cell>
          <cell r="H821">
            <v>232.97611319999999</v>
          </cell>
          <cell r="I821">
            <v>236.39875280000001</v>
          </cell>
          <cell r="J821">
            <v>239.942193</v>
          </cell>
          <cell r="K821">
            <v>243.5906975</v>
          </cell>
          <cell r="L821">
            <v>247.5708186</v>
          </cell>
          <cell r="M821">
            <v>251.49256990000001</v>
          </cell>
          <cell r="N821">
            <v>255.44357450000001</v>
          </cell>
          <cell r="O821">
            <v>259.43598730000002</v>
          </cell>
          <cell r="P821">
            <v>263.46891749999998</v>
          </cell>
          <cell r="Q821">
            <v>267.54049420000001</v>
          </cell>
          <cell r="R821">
            <v>271.64998759999997</v>
          </cell>
          <cell r="S821">
            <v>275.79793460000002</v>
          </cell>
          <cell r="T821">
            <v>279.9858898</v>
          </cell>
          <cell r="U821">
            <v>284.2161423</v>
          </cell>
          <cell r="V821">
            <v>288.31110260000003</v>
          </cell>
          <cell r="W821">
            <v>292.55461960000002</v>
          </cell>
          <cell r="X821">
            <v>296.87729619999999</v>
          </cell>
          <cell r="Y821">
            <v>301.26773700000001</v>
          </cell>
          <cell r="Z821">
            <v>305.72553929999998</v>
          </cell>
          <cell r="AA821">
            <v>309.7305533</v>
          </cell>
          <cell r="AB821">
            <v>313.84786550000001</v>
          </cell>
          <cell r="AC821">
            <v>318.00346450000001</v>
          </cell>
          <cell r="AD821">
            <v>322.19306010000003</v>
          </cell>
          <cell r="AE821">
            <v>326.42455960000001</v>
          </cell>
          <cell r="AF821">
            <v>330.7066562</v>
          </cell>
          <cell r="AG821">
            <v>335.04653669999999</v>
          </cell>
          <cell r="AH821">
            <v>339.44955950000002</v>
          </cell>
          <cell r="AI821">
            <v>343.91941559999998</v>
          </cell>
          <cell r="AJ821">
            <v>348.45841899999999</v>
          </cell>
          <cell r="AK821">
            <v>353.0678183</v>
          </cell>
          <cell r="AL821">
            <v>357.62179889999999</v>
          </cell>
          <cell r="AM821">
            <v>362.18903940000001</v>
          </cell>
          <cell r="AN821">
            <v>366.78795509999998</v>
          </cell>
          <cell r="AO821">
            <v>371.42693869999999</v>
          </cell>
          <cell r="AP821">
            <v>376.11202450000002</v>
          </cell>
          <cell r="AQ821">
            <v>380.8482454</v>
          </cell>
          <cell r="AR821">
            <v>385.63982549999997</v>
          </cell>
          <cell r="AS821">
            <v>390.49023080000001</v>
          </cell>
          <cell r="AT821">
            <v>395.40225040000001</v>
          </cell>
          <cell r="AU821">
            <v>400.37813699999998</v>
          </cell>
          <cell r="AV821">
            <v>405.43125309999999</v>
          </cell>
          <cell r="AW821">
            <v>410.55334140000002</v>
          </cell>
          <cell r="AX821">
            <v>415.74273479999999</v>
          </cell>
          <cell r="AY821">
            <v>421.0005271</v>
          </cell>
          <cell r="AZ821">
            <v>426.32828919999997</v>
          </cell>
          <cell r="BA821">
            <v>474.56909780000001</v>
          </cell>
          <cell r="BB821">
            <v>482.29074939999998</v>
          </cell>
          <cell r="BC821">
            <v>490.12448920000003</v>
          </cell>
          <cell r="BD821">
            <v>498.07311490000001</v>
          </cell>
          <cell r="BE821">
            <v>506.13955979999997</v>
          </cell>
        </row>
        <row r="822">
          <cell r="B822">
            <v>2.7572479300000001E-2</v>
          </cell>
          <cell r="C822">
            <v>2.7809588999999999E-2</v>
          </cell>
          <cell r="D822">
            <v>2.8093171900000002E-2</v>
          </cell>
          <cell r="E822">
            <v>2.84252342E-2</v>
          </cell>
          <cell r="F822">
            <v>2.8802333199999999E-2</v>
          </cell>
          <cell r="G822">
            <v>2.92177624E-2</v>
          </cell>
          <cell r="H822">
            <v>2.9647495199999999E-2</v>
          </cell>
          <cell r="I822">
            <v>3.0095369899999998E-2</v>
          </cell>
          <cell r="J822">
            <v>3.05588431E-2</v>
          </cell>
          <cell r="K822">
            <v>3.1035655400000001E-2</v>
          </cell>
          <cell r="L822">
            <v>3.1554350100000003E-2</v>
          </cell>
          <cell r="M822">
            <v>3.2066256500000001E-2</v>
          </cell>
          <cell r="N822">
            <v>3.2583339599999997E-2</v>
          </cell>
          <cell r="O822">
            <v>3.3105612600000001E-2</v>
          </cell>
          <cell r="P822">
            <v>3.3632771800000003E-2</v>
          </cell>
          <cell r="Q822">
            <v>3.4164703900000003E-2</v>
          </cell>
          <cell r="R822">
            <v>3.4701521200000002E-2</v>
          </cell>
          <cell r="S822">
            <v>3.5243499900000003E-2</v>
          </cell>
          <cell r="T822">
            <v>3.5791012499999997E-2</v>
          </cell>
          <cell r="U822">
            <v>3.6344476399999999E-2</v>
          </cell>
          <cell r="V822">
            <v>3.6881732899999999E-2</v>
          </cell>
          <cell r="W822">
            <v>3.7438228599999998E-2</v>
          </cell>
          <cell r="X822">
            <v>3.8004683599999999E-2</v>
          </cell>
          <cell r="Y822">
            <v>3.8580796700000003E-2</v>
          </cell>
          <cell r="Z822">
            <v>3.9166629100000003E-2</v>
          </cell>
          <cell r="AA822">
            <v>3.9696930900000003E-2</v>
          </cell>
          <cell r="AB822">
            <v>4.0241883399999998E-2</v>
          </cell>
          <cell r="AC822">
            <v>4.0790200800000002E-2</v>
          </cell>
          <cell r="AD822">
            <v>4.1343509799999997E-2</v>
          </cell>
          <cell r="AE822">
            <v>4.1903663600000002E-2</v>
          </cell>
          <cell r="AF822">
            <v>4.2472173600000003E-2</v>
          </cell>
          <cell r="AG822">
            <v>4.3050117899999997E-2</v>
          </cell>
          <cell r="AH822">
            <v>4.3638188000000001E-2</v>
          </cell>
          <cell r="AI822">
            <v>4.4236773899999998E-2</v>
          </cell>
          <cell r="AJ822">
            <v>4.4846051999999997E-2</v>
          </cell>
          <cell r="AK822">
            <v>4.5466062600000003E-2</v>
          </cell>
          <cell r="AL822">
            <v>4.6080918800000002E-2</v>
          </cell>
          <cell r="AM822">
            <v>4.66990979E-2</v>
          </cell>
          <cell r="AN822">
            <v>4.73223859E-2</v>
          </cell>
          <cell r="AO822">
            <v>4.7952115599999998E-2</v>
          </cell>
          <cell r="AP822">
            <v>4.8589435399999999E-2</v>
          </cell>
          <cell r="AQ822">
            <v>4.9235315199999997E-2</v>
          </cell>
          <cell r="AR822">
            <v>4.9890527599999998E-2</v>
          </cell>
          <cell r="AS822">
            <v>5.05556494E-2</v>
          </cell>
          <cell r="AT822">
            <v>5.1231084199999999E-2</v>
          </cell>
          <cell r="AU822">
            <v>5.1917100200000003E-2</v>
          </cell>
          <cell r="AV822">
            <v>5.26153273E-2</v>
          </cell>
          <cell r="AW822">
            <v>5.3325138199999997E-2</v>
          </cell>
          <cell r="AX822">
            <v>5.4046461099999998E-2</v>
          </cell>
          <cell r="AY822">
            <v>5.4779132000000001E-2</v>
          </cell>
          <cell r="AZ822">
            <v>5.5522994999999999E-2</v>
          </cell>
          <cell r="BA822">
            <v>6.0566186100000002E-2</v>
          </cell>
          <cell r="BB822">
            <v>6.1565169099999997E-2</v>
          </cell>
          <cell r="BC822">
            <v>6.25808957E-2</v>
          </cell>
          <cell r="BD822">
            <v>6.3613768000000001E-2</v>
          </cell>
          <cell r="BE822">
            <v>6.4664205099999997E-2</v>
          </cell>
        </row>
        <row r="823">
          <cell r="B823">
            <v>15.252688839999999</v>
          </cell>
          <cell r="C823">
            <v>15.45464434</v>
          </cell>
          <cell r="D823">
            <v>15.675064730000001</v>
          </cell>
          <cell r="E823">
            <v>15.9100652</v>
          </cell>
          <cell r="F823">
            <v>16.1579342</v>
          </cell>
          <cell r="G823">
            <v>16.417116419999999</v>
          </cell>
          <cell r="H823">
            <v>16.676856900000001</v>
          </cell>
          <cell r="I823">
            <v>16.94149316</v>
          </cell>
          <cell r="J823">
            <v>17.211566120000001</v>
          </cell>
          <cell r="K823">
            <v>17.48707194</v>
          </cell>
          <cell r="L823">
            <v>17.784381929999999</v>
          </cell>
          <cell r="M823">
            <v>18.077374720000002</v>
          </cell>
          <cell r="N823">
            <v>18.37322627</v>
          </cell>
          <cell r="O823">
            <v>18.673209629999999</v>
          </cell>
          <cell r="P823">
            <v>18.97766871</v>
          </cell>
          <cell r="Q823">
            <v>19.286804249999999</v>
          </cell>
          <cell r="R823">
            <v>19.600809850000001</v>
          </cell>
          <cell r="S823">
            <v>19.919890710000001</v>
          </cell>
          <cell r="T823">
            <v>20.244256839999998</v>
          </cell>
          <cell r="U823">
            <v>20.574111680000001</v>
          </cell>
          <cell r="V823">
            <v>20.897386560000001</v>
          </cell>
          <cell r="W823">
            <v>21.23362461</v>
          </cell>
          <cell r="X823">
            <v>21.577612469999998</v>
          </cell>
          <cell r="Y823">
            <v>21.928512430000001</v>
          </cell>
          <cell r="Z823">
            <v>22.28616315</v>
          </cell>
          <cell r="AA823">
            <v>22.614994289999999</v>
          </cell>
          <cell r="AB823">
            <v>22.95414104</v>
          </cell>
          <cell r="AC823">
            <v>23.297610670000001</v>
          </cell>
          <cell r="AD823">
            <v>23.644914910000001</v>
          </cell>
          <cell r="AE823">
            <v>23.99631522</v>
          </cell>
          <cell r="AF823">
            <v>24.352098850000001</v>
          </cell>
          <cell r="AG823">
            <v>24.712459939999999</v>
          </cell>
          <cell r="AH823">
            <v>25.0774881</v>
          </cell>
          <cell r="AI823">
            <v>25.447183639999999</v>
          </cell>
          <cell r="AJ823">
            <v>25.821481070000001</v>
          </cell>
          <cell r="AK823">
            <v>26.200273589999998</v>
          </cell>
          <cell r="AL823">
            <v>26.574777990000001</v>
          </cell>
          <cell r="AM823">
            <v>26.949753439999999</v>
          </cell>
          <cell r="AN823">
            <v>27.326279509999999</v>
          </cell>
          <cell r="AO823">
            <v>27.70480779</v>
          </cell>
          <cell r="AP823">
            <v>28.085646669999999</v>
          </cell>
          <cell r="AQ823">
            <v>28.469045220000002</v>
          </cell>
          <cell r="AR823">
            <v>28.85520846</v>
          </cell>
          <cell r="AS823">
            <v>29.244301979999999</v>
          </cell>
          <cell r="AT823">
            <v>29.636457530000001</v>
          </cell>
          <cell r="AU823">
            <v>30.031781339999998</v>
          </cell>
          <cell r="AV823">
            <v>30.43115375</v>
          </cell>
          <cell r="AW823">
            <v>30.83421594</v>
          </cell>
          <cell r="AX823">
            <v>31.240946359999999</v>
          </cell>
          <cell r="AY823">
            <v>31.6513785</v>
          </cell>
          <cell r="AZ823">
            <v>32.065570880000003</v>
          </cell>
          <cell r="BA823">
            <v>35.991009220000002</v>
          </cell>
          <cell r="BB823">
            <v>36.627511069999997</v>
          </cell>
          <cell r="BC823">
            <v>37.272521689999998</v>
          </cell>
          <cell r="BD823">
            <v>37.926061699999998</v>
          </cell>
          <cell r="BE823">
            <v>38.588168609999997</v>
          </cell>
        </row>
        <row r="824">
          <cell r="B824">
            <v>119.490486</v>
          </cell>
          <cell r="C824">
            <v>119.269642</v>
          </cell>
          <cell r="D824">
            <v>118.66364110000001</v>
          </cell>
          <cell r="E824">
            <v>118.08609060000001</v>
          </cell>
          <cell r="F824">
            <v>117.6365855</v>
          </cell>
          <cell r="G824">
            <v>117.38251820000001</v>
          </cell>
          <cell r="H824">
            <v>117.2909866</v>
          </cell>
          <cell r="I824">
            <v>117.3363148</v>
          </cell>
          <cell r="J824">
            <v>117.4824586</v>
          </cell>
          <cell r="K824">
            <v>117.69769429999999</v>
          </cell>
          <cell r="L824">
            <v>118.0047012</v>
          </cell>
          <cell r="M824">
            <v>118.3229044</v>
          </cell>
          <cell r="N824">
            <v>118.6525496</v>
          </cell>
          <cell r="O824">
            <v>118.9917219</v>
          </cell>
          <cell r="P824">
            <v>119.33808260000001</v>
          </cell>
          <cell r="Q824">
            <v>119.6895107</v>
          </cell>
          <cell r="R824">
            <v>120.0442741</v>
          </cell>
          <cell r="S824">
            <v>120.4010183</v>
          </cell>
          <cell r="T824">
            <v>120.7587015</v>
          </cell>
          <cell r="U824">
            <v>121.1165273</v>
          </cell>
          <cell r="V824">
            <v>121.4434122</v>
          </cell>
          <cell r="W824">
            <v>121.7824786</v>
          </cell>
          <cell r="X824">
            <v>122.12676399999999</v>
          </cell>
          <cell r="Y824">
            <v>122.4730636</v>
          </cell>
          <cell r="Z824">
            <v>122.8199406</v>
          </cell>
          <cell r="AA824">
            <v>123.0831458</v>
          </cell>
          <cell r="AB824">
            <v>123.34240269999999</v>
          </cell>
          <cell r="AC824">
            <v>123.59622779999999</v>
          </cell>
          <cell r="AD824">
            <v>123.8446959</v>
          </cell>
          <cell r="AE824">
            <v>124.0881747</v>
          </cell>
          <cell r="AF824">
            <v>124.32754129999999</v>
          </cell>
          <cell r="AG824">
            <v>124.5639122</v>
          </cell>
          <cell r="AH824">
            <v>124.7983838</v>
          </cell>
          <cell r="AI824">
            <v>125.03192869999999</v>
          </cell>
          <cell r="AJ824">
            <v>125.2653727</v>
          </cell>
          <cell r="AK824">
            <v>125.4994066</v>
          </cell>
          <cell r="AL824">
            <v>125.71655749999999</v>
          </cell>
          <cell r="AM824">
            <v>125.92481600000001</v>
          </cell>
          <cell r="AN824">
            <v>126.1283293</v>
          </cell>
          <cell r="AO824">
            <v>126.3294899</v>
          </cell>
          <cell r="AP824">
            <v>126.5298793</v>
          </cell>
          <cell r="AQ824">
            <v>126.7306557</v>
          </cell>
          <cell r="AR824">
            <v>126.9326803</v>
          </cell>
          <cell r="AS824">
            <v>127.136494</v>
          </cell>
          <cell r="AT824">
            <v>127.34215089999999</v>
          </cell>
          <cell r="AU824">
            <v>127.54862919999999</v>
          </cell>
          <cell r="AV824">
            <v>127.7524287</v>
          </cell>
          <cell r="AW824">
            <v>127.9518996</v>
          </cell>
          <cell r="AX824">
            <v>128.1417142</v>
          </cell>
          <cell r="AY824">
            <v>128.33254980000001</v>
          </cell>
          <cell r="AZ824">
            <v>128.5329131</v>
          </cell>
          <cell r="BA824">
            <v>129.0574852</v>
          </cell>
          <cell r="BB824">
            <v>129.4656449</v>
          </cell>
          <cell r="BC824">
            <v>129.88106049999999</v>
          </cell>
          <cell r="BD824">
            <v>130.30458100000001</v>
          </cell>
          <cell r="BE824">
            <v>130.73693650000001</v>
          </cell>
        </row>
        <row r="825">
          <cell r="B825">
            <v>345.52982759999998</v>
          </cell>
          <cell r="C825">
            <v>345.8305464</v>
          </cell>
          <cell r="D825">
            <v>346.47707459999998</v>
          </cell>
          <cell r="E825">
            <v>347.59656699999999</v>
          </cell>
          <cell r="F825">
            <v>349.2829069</v>
          </cell>
          <cell r="G825">
            <v>351.50925119999999</v>
          </cell>
          <cell r="H825">
            <v>354.08935300000002</v>
          </cell>
          <cell r="I825">
            <v>357.04095610000002</v>
          </cell>
          <cell r="J825">
            <v>360.30461450000001</v>
          </cell>
          <cell r="K825">
            <v>363.81429259999999</v>
          </cell>
          <cell r="L825">
            <v>367.803247</v>
          </cell>
          <cell r="M825">
            <v>371.76052370000002</v>
          </cell>
          <cell r="N825">
            <v>375.77659560000001</v>
          </cell>
          <cell r="O825">
            <v>379.85479880000003</v>
          </cell>
          <cell r="P825">
            <v>383.98466780000001</v>
          </cell>
          <cell r="Q825">
            <v>388.15602489999998</v>
          </cell>
          <cell r="R825">
            <v>392.3402279</v>
          </cell>
          <cell r="S825">
            <v>396.54829580000001</v>
          </cell>
          <cell r="T825">
            <v>400.78149359999998</v>
          </cell>
          <cell r="U825">
            <v>405.04091670000003</v>
          </cell>
          <cell r="V825">
            <v>409.11881460000001</v>
          </cell>
          <cell r="W825">
            <v>413.34148679999998</v>
          </cell>
          <cell r="X825">
            <v>417.6332883</v>
          </cell>
          <cell r="Y825">
            <v>421.97999549999997</v>
          </cell>
          <cell r="Z825">
            <v>426.3801914</v>
          </cell>
          <cell r="AA825">
            <v>430.23757499999999</v>
          </cell>
          <cell r="AB825">
            <v>434.20042219999999</v>
          </cell>
          <cell r="AC825">
            <v>438.19010329999998</v>
          </cell>
          <cell r="AD825">
            <v>442.20230900000001</v>
          </cell>
          <cell r="AE825">
            <v>446.2457412</v>
          </cell>
          <cell r="AF825">
            <v>450.33039209999998</v>
          </cell>
          <cell r="AG825">
            <v>454.4697645</v>
          </cell>
          <cell r="AH825">
            <v>458.66727459999998</v>
          </cell>
          <cell r="AI825">
            <v>462.92711650000001</v>
          </cell>
          <cell r="AJ825">
            <v>467.25234849999998</v>
          </cell>
          <cell r="AK825">
            <v>471.64485430000002</v>
          </cell>
          <cell r="AL825">
            <v>476.00816459999999</v>
          </cell>
          <cell r="AM825">
            <v>480.3878656</v>
          </cell>
          <cell r="AN825">
            <v>484.80026229999999</v>
          </cell>
          <cell r="AO825">
            <v>489.2536139</v>
          </cell>
          <cell r="AP825">
            <v>493.75333899999998</v>
          </cell>
          <cell r="AQ825">
            <v>498.31032390000001</v>
          </cell>
          <cell r="AR825">
            <v>502.92295560000002</v>
          </cell>
          <cell r="AS825">
            <v>507.59240510000001</v>
          </cell>
          <cell r="AT825">
            <v>512.31958789999999</v>
          </cell>
          <cell r="AU825">
            <v>517.10496820000003</v>
          </cell>
          <cell r="AV825">
            <v>521.98450869999999</v>
          </cell>
          <cell r="AW825">
            <v>526.93605000000002</v>
          </cell>
          <cell r="AX825">
            <v>531.95409010000003</v>
          </cell>
          <cell r="AY825">
            <v>537.03604529999996</v>
          </cell>
          <cell r="AZ825">
            <v>542.17997839999998</v>
          </cell>
          <cell r="BA825">
            <v>638.12864630000001</v>
          </cell>
          <cell r="BB825">
            <v>646.94552759999999</v>
          </cell>
          <cell r="BC825">
            <v>655.8961663</v>
          </cell>
          <cell r="BD825">
            <v>664.98381870000003</v>
          </cell>
          <cell r="BE825">
            <v>674.21214689999999</v>
          </cell>
        </row>
        <row r="826">
          <cell r="B826">
            <v>210.97900970000001</v>
          </cell>
          <cell r="C826">
            <v>211.45168870000001</v>
          </cell>
          <cell r="D826">
            <v>212.62902209999999</v>
          </cell>
          <cell r="E826">
            <v>214.22681349999999</v>
          </cell>
          <cell r="F826">
            <v>216.21966040000001</v>
          </cell>
          <cell r="G826">
            <v>218.5811908</v>
          </cell>
          <cell r="H826">
            <v>221.13228580000001</v>
          </cell>
          <cell r="I826">
            <v>223.89580960000001</v>
          </cell>
          <cell r="J826">
            <v>226.8437303</v>
          </cell>
          <cell r="K826">
            <v>229.9423859</v>
          </cell>
          <cell r="L826">
            <v>233.3893976</v>
          </cell>
          <cell r="M826">
            <v>236.7835728</v>
          </cell>
          <cell r="N826">
            <v>240.2103687</v>
          </cell>
          <cell r="O826">
            <v>243.67590799999999</v>
          </cell>
          <cell r="P826">
            <v>247.1740035</v>
          </cell>
          <cell r="Q826">
            <v>250.69867640000001</v>
          </cell>
          <cell r="R826">
            <v>254.22535479999999</v>
          </cell>
          <cell r="S826">
            <v>257.76671800000003</v>
          </cell>
          <cell r="T826">
            <v>261.32572959999999</v>
          </cell>
          <cell r="U826">
            <v>264.9047673</v>
          </cell>
          <cell r="V826">
            <v>268.33912579999998</v>
          </cell>
          <cell r="W826">
            <v>271.89384480000001</v>
          </cell>
          <cell r="X826">
            <v>275.5057352</v>
          </cell>
          <cell r="Y826">
            <v>279.16501570000003</v>
          </cell>
          <cell r="Z826">
            <v>282.87223890000001</v>
          </cell>
          <cell r="AA826">
            <v>286.14906660000003</v>
          </cell>
          <cell r="AB826">
            <v>289.52655659999999</v>
          </cell>
          <cell r="AC826">
            <v>292.93372449999998</v>
          </cell>
          <cell r="AD826">
            <v>296.36723510000002</v>
          </cell>
          <cell r="AE826">
            <v>299.83537610000002</v>
          </cell>
          <cell r="AF826">
            <v>303.34704420000003</v>
          </cell>
          <cell r="AG826">
            <v>306.91427010000001</v>
          </cell>
          <cell r="AH826">
            <v>310.53947920000002</v>
          </cell>
          <cell r="AI826">
            <v>314.22598729999999</v>
          </cell>
          <cell r="AJ826">
            <v>317.9761681</v>
          </cell>
          <cell r="AK826">
            <v>321.79139529999998</v>
          </cell>
          <cell r="AL826">
            <v>325.5986398</v>
          </cell>
          <cell r="AM826">
            <v>329.43199069999997</v>
          </cell>
          <cell r="AN826">
            <v>333.30286519999999</v>
          </cell>
          <cell r="AO826">
            <v>337.21695549999998</v>
          </cell>
          <cell r="AP826">
            <v>341.17812270000002</v>
          </cell>
          <cell r="AQ826">
            <v>345.19584900000001</v>
          </cell>
          <cell r="AR826">
            <v>349.26794749999999</v>
          </cell>
          <cell r="AS826">
            <v>353.39511090000002</v>
          </cell>
          <cell r="AT826">
            <v>357.57803910000001</v>
          </cell>
          <cell r="AU826">
            <v>361.81711539999998</v>
          </cell>
          <cell r="AV826">
            <v>366.14494359999998</v>
          </cell>
          <cell r="AW826">
            <v>370.54106350000001</v>
          </cell>
          <cell r="AX826">
            <v>375.00073909999998</v>
          </cell>
          <cell r="AY826">
            <v>379.52199209999998</v>
          </cell>
          <cell r="AZ826">
            <v>384.10348160000001</v>
          </cell>
          <cell r="BA826">
            <v>475.66387520000001</v>
          </cell>
          <cell r="BB826">
            <v>483.47314180000001</v>
          </cell>
          <cell r="BC826">
            <v>491.39786800000002</v>
          </cell>
          <cell r="BD826">
            <v>499.44100100000003</v>
          </cell>
          <cell r="BE826">
            <v>507.60555479999999</v>
          </cell>
        </row>
        <row r="827">
          <cell r="B827">
            <v>2.6941842099999998E-2</v>
          </cell>
          <cell r="C827">
            <v>2.6988167699999999E-2</v>
          </cell>
          <cell r="D827">
            <v>2.7123363599999999E-2</v>
          </cell>
          <cell r="E827">
            <v>2.7330642700000001E-2</v>
          </cell>
          <cell r="F827">
            <v>2.7601364E-2</v>
          </cell>
          <cell r="G827">
            <v>2.7926168899999999E-2</v>
          </cell>
          <cell r="H827">
            <v>2.82782845E-2</v>
          </cell>
          <cell r="I827">
            <v>2.86590179E-2</v>
          </cell>
          <cell r="J827">
            <v>2.9063332099999999E-2</v>
          </cell>
          <cell r="K827">
            <v>2.94866433E-2</v>
          </cell>
          <cell r="L827">
            <v>2.9953922500000001E-2</v>
          </cell>
          <cell r="M827">
            <v>3.0414722299999999E-2</v>
          </cell>
          <cell r="N827">
            <v>3.0880997399999999E-2</v>
          </cell>
          <cell r="O827">
            <v>3.1352050100000001E-2</v>
          </cell>
          <cell r="P827">
            <v>3.1827052299999999E-2</v>
          </cell>
          <cell r="Q827">
            <v>3.2305528999999999E-2</v>
          </cell>
          <cell r="R827">
            <v>3.2784694599999997E-2</v>
          </cell>
          <cell r="S827">
            <v>3.3266745799999997E-2</v>
          </cell>
          <cell r="T827">
            <v>3.37521109E-2</v>
          </cell>
          <cell r="U827">
            <v>3.4241204800000001E-2</v>
          </cell>
          <cell r="V827">
            <v>3.4713268499999998E-2</v>
          </cell>
          <cell r="W827">
            <v>3.5201521399999998E-2</v>
          </cell>
          <cell r="X827">
            <v>3.5697449700000002E-2</v>
          </cell>
          <cell r="Y827">
            <v>3.62007632E-2</v>
          </cell>
          <cell r="Z827">
            <v>3.6711536000000003E-2</v>
          </cell>
          <cell r="AA827">
            <v>3.7169089099999997E-2</v>
          </cell>
          <cell r="AB827">
            <v>3.7639538700000003E-2</v>
          </cell>
          <cell r="AC827">
            <v>3.8112036199999998E-2</v>
          </cell>
          <cell r="AD827">
            <v>3.8588115100000001E-2</v>
          </cell>
          <cell r="AE827">
            <v>3.9069539100000002E-2</v>
          </cell>
          <cell r="AF827">
            <v>3.95577602E-2</v>
          </cell>
          <cell r="AG827">
            <v>4.0054420899999998E-2</v>
          </cell>
          <cell r="AH827">
            <v>4.0559748299999997E-2</v>
          </cell>
          <cell r="AI827">
            <v>4.1074105100000001E-2</v>
          </cell>
          <cell r="AJ827">
            <v>4.1597668900000002E-2</v>
          </cell>
          <cell r="AK827">
            <v>4.2130488600000002E-2</v>
          </cell>
          <cell r="AL827">
            <v>4.2663220799999999E-2</v>
          </cell>
          <cell r="AM827">
            <v>4.3199401800000002E-2</v>
          </cell>
          <cell r="AN827">
            <v>4.3740368600000003E-2</v>
          </cell>
          <cell r="AO827">
            <v>4.4287161800000002E-2</v>
          </cell>
          <cell r="AP827">
            <v>4.4840657200000002E-2</v>
          </cell>
          <cell r="AQ827">
            <v>4.5402407999999998E-2</v>
          </cell>
          <cell r="AR827">
            <v>4.5972319800000001E-2</v>
          </cell>
          <cell r="AS827">
            <v>4.6550727399999998E-2</v>
          </cell>
          <cell r="AT827">
            <v>4.7137856899999997E-2</v>
          </cell>
          <cell r="AU827">
            <v>4.77338343E-2</v>
          </cell>
          <cell r="AV827">
            <v>4.8342858099999997E-2</v>
          </cell>
          <cell r="AW827">
            <v>4.89620609E-2</v>
          </cell>
          <cell r="AX827">
            <v>4.9591071399999999E-2</v>
          </cell>
          <cell r="AY827">
            <v>5.0229643900000003E-2</v>
          </cell>
          <cell r="AZ827">
            <v>5.0877580200000001E-2</v>
          </cell>
          <cell r="BA827">
            <v>6.0330790299999999E-2</v>
          </cell>
          <cell r="BB827">
            <v>6.1318025399999997E-2</v>
          </cell>
          <cell r="BC827">
            <v>6.2321753899999999E-2</v>
          </cell>
          <cell r="BD827">
            <v>6.3342322300000004E-2</v>
          </cell>
          <cell r="BE827">
            <v>6.4380092700000002E-2</v>
          </cell>
        </row>
        <row r="828">
          <cell r="B828">
            <v>15.033390109999999</v>
          </cell>
          <cell r="C828">
            <v>15.14507397</v>
          </cell>
          <cell r="D828">
            <v>15.30784865</v>
          </cell>
          <cell r="E828">
            <v>15.497498</v>
          </cell>
          <cell r="F828">
            <v>15.70623331</v>
          </cell>
          <cell r="G828">
            <v>15.929911239999999</v>
          </cell>
          <cell r="H828">
            <v>16.156380429999999</v>
          </cell>
          <cell r="I828">
            <v>16.389123659999999</v>
          </cell>
          <cell r="J828">
            <v>16.628046489999999</v>
          </cell>
          <cell r="K828">
            <v>16.872605190000002</v>
          </cell>
          <cell r="L828">
            <v>17.1381841</v>
          </cell>
          <cell r="M828">
            <v>17.398097190000001</v>
          </cell>
          <cell r="N828">
            <v>17.659675669999999</v>
          </cell>
          <cell r="O828">
            <v>17.92414788</v>
          </cell>
          <cell r="P828">
            <v>18.191823110000001</v>
          </cell>
          <cell r="Q828">
            <v>18.462907739999999</v>
          </cell>
          <cell r="R828">
            <v>18.736700209999999</v>
          </cell>
          <cell r="S828">
            <v>19.014111419999999</v>
          </cell>
          <cell r="T828">
            <v>19.295596849999999</v>
          </cell>
          <cell r="U828">
            <v>19.581509480000001</v>
          </cell>
          <cell r="V828">
            <v>19.860401110000002</v>
          </cell>
          <cell r="W828">
            <v>20.151237720000001</v>
          </cell>
          <cell r="X828">
            <v>20.449062949999998</v>
          </cell>
          <cell r="Y828">
            <v>20.753152440000001</v>
          </cell>
          <cell r="Z828">
            <v>21.063437360000002</v>
          </cell>
          <cell r="AA828">
            <v>21.346081649999999</v>
          </cell>
          <cell r="AB828">
            <v>21.639165120000001</v>
          </cell>
          <cell r="AC828">
            <v>21.936731040000002</v>
          </cell>
          <cell r="AD828">
            <v>22.23830886</v>
          </cell>
          <cell r="AE828">
            <v>22.544181030000001</v>
          </cell>
          <cell r="AF828">
            <v>22.854663630000001</v>
          </cell>
          <cell r="AG828">
            <v>23.17019646</v>
          </cell>
          <cell r="AH828">
            <v>23.490770120000001</v>
          </cell>
          <cell r="AI828">
            <v>23.816391979999999</v>
          </cell>
          <cell r="AJ828">
            <v>24.147025029999998</v>
          </cell>
          <cell r="AK828">
            <v>24.482593779999998</v>
          </cell>
          <cell r="AL828">
            <v>24.816673739999999</v>
          </cell>
          <cell r="AM828">
            <v>25.152592859999999</v>
          </cell>
          <cell r="AN828">
            <v>25.491079320000001</v>
          </cell>
          <cell r="AO828">
            <v>25.832443420000001</v>
          </cell>
          <cell r="AP828">
            <v>26.17689974</v>
          </cell>
          <cell r="AQ828">
            <v>26.524913919999999</v>
          </cell>
          <cell r="AR828">
            <v>26.87642219</v>
          </cell>
          <cell r="AS828">
            <v>27.231471079999999</v>
          </cell>
          <cell r="AT828">
            <v>27.59010872</v>
          </cell>
          <cell r="AU828">
            <v>27.952369770000001</v>
          </cell>
          <cell r="AV828">
            <v>28.320024230000001</v>
          </cell>
          <cell r="AW828">
            <v>28.692008439999999</v>
          </cell>
          <cell r="AX828">
            <v>29.068070219999999</v>
          </cell>
          <cell r="AY828">
            <v>29.448127490000001</v>
          </cell>
          <cell r="AZ828">
            <v>29.832155050000001</v>
          </cell>
          <cell r="BA828">
            <v>35.928563740000001</v>
          </cell>
          <cell r="BB828">
            <v>36.565780830000001</v>
          </cell>
          <cell r="BC828">
            <v>37.211903579999998</v>
          </cell>
          <cell r="BD828">
            <v>37.866942590000001</v>
          </cell>
          <cell r="BE828">
            <v>38.530919849999997</v>
          </cell>
        </row>
        <row r="829">
          <cell r="B829">
            <v>119.490486</v>
          </cell>
          <cell r="C829">
            <v>119.2067955</v>
          </cell>
          <cell r="D829">
            <v>118.5130805</v>
          </cell>
          <cell r="E829">
            <v>117.8449249</v>
          </cell>
          <cell r="F829">
            <v>117.3294118</v>
          </cell>
          <cell r="G829">
            <v>116.9702231</v>
          </cell>
          <cell r="H829">
            <v>116.77240860000001</v>
          </cell>
          <cell r="I829">
            <v>116.72736380000001</v>
          </cell>
          <cell r="J829">
            <v>116.80377439999999</v>
          </cell>
          <cell r="K829">
            <v>116.96981479999999</v>
          </cell>
          <cell r="L829">
            <v>117.2457113</v>
          </cell>
          <cell r="M829">
            <v>117.54843889999999</v>
          </cell>
          <cell r="N829">
            <v>117.8756702</v>
          </cell>
          <cell r="O829">
            <v>118.2233909</v>
          </cell>
          <cell r="P829">
            <v>118.5870141</v>
          </cell>
          <cell r="Q829">
            <v>118.96213520000001</v>
          </cell>
          <cell r="R829">
            <v>119.34538809999999</v>
          </cell>
          <cell r="S829">
            <v>119.7341996</v>
          </cell>
          <cell r="T829">
            <v>120.1264151</v>
          </cell>
          <cell r="U829">
            <v>120.5203987</v>
          </cell>
          <cell r="V829">
            <v>120.88457440000001</v>
          </cell>
          <cell r="W829">
            <v>121.2612027</v>
          </cell>
          <cell r="X829">
            <v>121.6427927</v>
          </cell>
          <cell r="Y829">
            <v>122.0256266</v>
          </cell>
          <cell r="Z829">
            <v>122.40780359999999</v>
          </cell>
          <cell r="AA829">
            <v>122.7052577</v>
          </cell>
          <cell r="AB829">
            <v>122.997061</v>
          </cell>
          <cell r="AC829">
            <v>123.28153570000001</v>
          </cell>
          <cell r="AD829">
            <v>123.55817690000001</v>
          </cell>
          <cell r="AE829">
            <v>123.82711449999999</v>
          </cell>
          <cell r="AF829">
            <v>124.08912650000001</v>
          </cell>
          <cell r="AG829">
            <v>124.3452435</v>
          </cell>
          <cell r="AH829">
            <v>124.59646549999999</v>
          </cell>
          <cell r="AI829">
            <v>124.8436631</v>
          </cell>
          <cell r="AJ829">
            <v>125.0875578</v>
          </cell>
          <cell r="AK829">
            <v>125.3287347</v>
          </cell>
          <cell r="AL829">
            <v>125.5501879</v>
          </cell>
          <cell r="AM829">
            <v>125.7600826</v>
          </cell>
          <cell r="AN829">
            <v>125.9625774</v>
          </cell>
          <cell r="AO829">
            <v>126.15992780000001</v>
          </cell>
          <cell r="AP829">
            <v>126.35347590000001</v>
          </cell>
          <cell r="AQ829">
            <v>126.5441586</v>
          </cell>
          <cell r="AR829">
            <v>126.73261359999999</v>
          </cell>
          <cell r="AS829">
            <v>126.9192723</v>
          </cell>
          <cell r="AT829">
            <v>127.10430220000001</v>
          </cell>
          <cell r="AU829">
            <v>127.28774919999999</v>
          </cell>
          <cell r="AV829">
            <v>127.471198</v>
          </cell>
          <cell r="AW829">
            <v>127.65401610000001</v>
          </cell>
          <cell r="AX829">
            <v>127.83568959999999</v>
          </cell>
          <cell r="AY829">
            <v>128.01569599999999</v>
          </cell>
          <cell r="AZ829">
            <v>128.19346419999999</v>
          </cell>
          <cell r="BA829">
            <v>126.47587660000001</v>
          </cell>
          <cell r="BB829">
            <v>126.845287</v>
          </cell>
          <cell r="BC829">
            <v>127.2240729</v>
          </cell>
          <cell r="BD829">
            <v>127.6125328</v>
          </cell>
          <cell r="BE829">
            <v>128.01129209999999</v>
          </cell>
        </row>
        <row r="830">
          <cell r="A830" t="str">
            <v>ems_ci_co2_sagr_2</v>
          </cell>
          <cell r="B830">
            <v>13.948717869999999</v>
          </cell>
          <cell r="C830">
            <v>13.92661425</v>
          </cell>
          <cell r="D830">
            <v>13.955502490000001</v>
          </cell>
          <cell r="E830">
            <v>14.02537425</v>
          </cell>
          <cell r="F830">
            <v>14.13360441</v>
          </cell>
          <cell r="G830">
            <v>14.276324860000001</v>
          </cell>
          <cell r="H830">
            <v>14.44024958</v>
          </cell>
          <cell r="I830">
            <v>14.623904080000001</v>
          </cell>
          <cell r="J830">
            <v>14.82407989</v>
          </cell>
          <cell r="K830">
            <v>15.03765576</v>
          </cell>
          <cell r="L830">
            <v>15.275679950000001</v>
          </cell>
          <cell r="M830">
            <v>15.51513841</v>
          </cell>
          <cell r="N830">
            <v>15.75861183</v>
          </cell>
          <cell r="O830">
            <v>16.00568999</v>
          </cell>
          <cell r="P830">
            <v>16.255611510000001</v>
          </cell>
          <cell r="Q830">
            <v>16.50778729</v>
          </cell>
          <cell r="R830">
            <v>16.760551329999998</v>
          </cell>
          <cell r="S830">
            <v>17.01452029</v>
          </cell>
          <cell r="T830">
            <v>17.269789750000001</v>
          </cell>
          <cell r="U830">
            <v>17.52643733</v>
          </cell>
          <cell r="V830">
            <v>17.774458840000001</v>
          </cell>
          <cell r="W830">
            <v>18.02839616</v>
          </cell>
          <cell r="X830">
            <v>18.285869770000001</v>
          </cell>
          <cell r="Y830">
            <v>18.546485499999999</v>
          </cell>
          <cell r="Z830">
            <v>18.810258569999998</v>
          </cell>
          <cell r="AA830">
            <v>19.048200120000001</v>
          </cell>
          <cell r="AB830">
            <v>19.288307710000002</v>
          </cell>
          <cell r="AC830">
            <v>19.52864658</v>
          </cell>
          <cell r="AD830">
            <v>19.76977608</v>
          </cell>
          <cell r="AE830">
            <v>20.012665859999998</v>
          </cell>
          <cell r="AF830">
            <v>20.258189049999999</v>
          </cell>
          <cell r="AG830">
            <v>20.50731231</v>
          </cell>
          <cell r="AH830">
            <v>20.76034379</v>
          </cell>
          <cell r="AI830">
            <v>21.017578220000001</v>
          </cell>
          <cell r="AJ830">
            <v>21.27921461</v>
          </cell>
          <cell r="AK830">
            <v>21.545370590000001</v>
          </cell>
          <cell r="AL830">
            <v>21.811718079999999</v>
          </cell>
          <cell r="AM830">
            <v>22.07947927</v>
          </cell>
          <cell r="AN830">
            <v>22.34943552</v>
          </cell>
          <cell r="AO830">
            <v>22.622159960000001</v>
          </cell>
          <cell r="AP830">
            <v>22.89811791</v>
          </cell>
          <cell r="AQ830">
            <v>23.178095070000001</v>
          </cell>
          <cell r="AR830">
            <v>23.462133340000001</v>
          </cell>
          <cell r="AS830">
            <v>23.75039086</v>
          </cell>
          <cell r="AT830">
            <v>24.042987</v>
          </cell>
          <cell r="AU830">
            <v>24.33998996</v>
          </cell>
          <cell r="AV830">
            <v>24.643433000000002</v>
          </cell>
          <cell r="AW830">
            <v>24.952222089999999</v>
          </cell>
          <cell r="AX830">
            <v>25.266062760000001</v>
          </cell>
          <cell r="AY830">
            <v>25.584794550000002</v>
          </cell>
          <cell r="AZ830">
            <v>25.908286820000001</v>
          </cell>
          <cell r="BA830">
            <v>32.314755179999999</v>
          </cell>
          <cell r="BB830">
            <v>32.851295200000003</v>
          </cell>
          <cell r="BC830">
            <v>33.39604851</v>
          </cell>
          <cell r="BD830">
            <v>33.949292190000001</v>
          </cell>
          <cell r="BE830">
            <v>34.511300030000001</v>
          </cell>
        </row>
        <row r="832">
          <cell r="A832" t="str">
            <v>ems_ci_co2_sfor_2</v>
          </cell>
          <cell r="B832">
            <v>0.53884936920000004</v>
          </cell>
          <cell r="C832">
            <v>0.53584159769999995</v>
          </cell>
          <cell r="D832">
            <v>0.53175909499999996</v>
          </cell>
          <cell r="E832">
            <v>0.52791534500000004</v>
          </cell>
          <cell r="F832">
            <v>0.52477778980000001</v>
          </cell>
          <cell r="G832">
            <v>0.52238026049999997</v>
          </cell>
          <cell r="H832">
            <v>0.52071528479999996</v>
          </cell>
          <cell r="I832">
            <v>0.51979038330000005</v>
          </cell>
          <cell r="J832">
            <v>0.51950122180000002</v>
          </cell>
          <cell r="K832">
            <v>0.51970687800000004</v>
          </cell>
          <cell r="L832">
            <v>0.52062452550000005</v>
          </cell>
          <cell r="M832">
            <v>0.52160185010000004</v>
          </cell>
          <cell r="N832">
            <v>0.52267393299999998</v>
          </cell>
          <cell r="O832">
            <v>0.52383805019999996</v>
          </cell>
          <cell r="P832">
            <v>0.52507802459999997</v>
          </cell>
          <cell r="Q832">
            <v>0.52637633520000005</v>
          </cell>
          <cell r="R832">
            <v>0.52769890740000003</v>
          </cell>
          <cell r="S832">
            <v>0.52904722780000002</v>
          </cell>
          <cell r="T832">
            <v>0.53041373700000005</v>
          </cell>
          <cell r="U832">
            <v>0.53179405550000003</v>
          </cell>
          <cell r="V832">
            <v>0.53294689650000004</v>
          </cell>
          <cell r="W832">
            <v>0.53424117650000003</v>
          </cell>
          <cell r="X832">
            <v>0.53561038530000005</v>
          </cell>
          <cell r="Y832">
            <v>0.53702498779999996</v>
          </cell>
          <cell r="Z832">
            <v>0.53847495980000004</v>
          </cell>
          <cell r="AA832">
            <v>0.53929018439999998</v>
          </cell>
          <cell r="AB832">
            <v>0.54018947819999996</v>
          </cell>
          <cell r="AC832">
            <v>0.54114134270000003</v>
          </cell>
          <cell r="AD832">
            <v>0.54213194170000001</v>
          </cell>
          <cell r="AE832">
            <v>0.54315852099999995</v>
          </cell>
          <cell r="AF832">
            <v>0.54422288110000006</v>
          </cell>
          <cell r="AG832">
            <v>0.54533261150000001</v>
          </cell>
          <cell r="AH832">
            <v>0.54648831539999998</v>
          </cell>
          <cell r="AI832">
            <v>0.54769249080000004</v>
          </cell>
          <cell r="AJ832">
            <v>0.54894729060000003</v>
          </cell>
          <cell r="AK832">
            <v>0.55025414979999998</v>
          </cell>
          <cell r="AL832">
            <v>0.55150157200000005</v>
          </cell>
          <cell r="AM832">
            <v>0.55274288739999999</v>
          </cell>
          <cell r="AN832">
            <v>0.55400773410000004</v>
          </cell>
          <cell r="AO832">
            <v>0.55530883819999999</v>
          </cell>
          <cell r="AP832">
            <v>0.55665100950000002</v>
          </cell>
          <cell r="AQ832">
            <v>0.55804169979999996</v>
          </cell>
          <cell r="AR832">
            <v>0.55947716049999996</v>
          </cell>
          <cell r="AS832">
            <v>0.5609567486</v>
          </cell>
          <cell r="AT832">
            <v>0.56247952400000001</v>
          </cell>
          <cell r="AU832">
            <v>0.5640448683</v>
          </cell>
          <cell r="AV832">
            <v>0.5656848995</v>
          </cell>
          <cell r="AW832">
            <v>0.56737868540000003</v>
          </cell>
          <cell r="AX832">
            <v>0.56912016949999999</v>
          </cell>
          <cell r="AY832">
            <v>0.57090677349999996</v>
          </cell>
          <cell r="AZ832">
            <v>0.57273695120000001</v>
          </cell>
          <cell r="BA832">
            <v>0.66328333900000003</v>
          </cell>
          <cell r="BB832">
            <v>0.66823135369999997</v>
          </cell>
          <cell r="BC832">
            <v>0.67327790379999997</v>
          </cell>
          <cell r="BD832">
            <v>0.67842593929999995</v>
          </cell>
          <cell r="BE832">
            <v>0.68367935170000005</v>
          </cell>
        </row>
        <row r="834">
          <cell r="A834" t="str">
            <v>ems_ci_co2_sfoo_2</v>
          </cell>
          <cell r="B834">
            <v>8.5972125100000003</v>
          </cell>
          <cell r="C834">
            <v>8.5904437199999997</v>
          </cell>
          <cell r="D834">
            <v>8.6059010580000006</v>
          </cell>
          <cell r="E834">
            <v>8.6444342009999993</v>
          </cell>
          <cell r="F834">
            <v>8.7075593990000009</v>
          </cell>
          <cell r="G834">
            <v>8.7941018320000008</v>
          </cell>
          <cell r="H834">
            <v>8.8962065839999998</v>
          </cell>
          <cell r="I834">
            <v>9.0125039109999996</v>
          </cell>
          <cell r="J834">
            <v>9.1406342929999997</v>
          </cell>
          <cell r="K834">
            <v>9.2783562879999995</v>
          </cell>
          <cell r="L834">
            <v>9.4321147130000007</v>
          </cell>
          <cell r="M834">
            <v>9.588212854</v>
          </cell>
          <cell r="N834">
            <v>9.7475216729999996</v>
          </cell>
          <cell r="O834">
            <v>9.9094233379999999</v>
          </cell>
          <cell r="P834">
            <v>10.073224809999999</v>
          </cell>
          <cell r="Q834">
            <v>10.23839834</v>
          </cell>
          <cell r="R834">
            <v>10.403904280000001</v>
          </cell>
          <cell r="S834">
            <v>10.56986478</v>
          </cell>
          <cell r="T834">
            <v>10.736216049999999</v>
          </cell>
          <cell r="U834">
            <v>10.902940770000001</v>
          </cell>
          <cell r="V834">
            <v>11.06386416</v>
          </cell>
          <cell r="W834">
            <v>11.22755624</v>
          </cell>
          <cell r="X834">
            <v>11.392811569999999</v>
          </cell>
          <cell r="Y834">
            <v>11.55949781</v>
          </cell>
          <cell r="Z834">
            <v>11.727677630000001</v>
          </cell>
          <cell r="AA834">
            <v>11.879559970000001</v>
          </cell>
          <cell r="AB834">
            <v>12.03139812</v>
          </cell>
          <cell r="AC834">
            <v>12.18237646</v>
          </cell>
          <cell r="AD834">
            <v>12.3330626</v>
          </cell>
          <cell r="AE834">
            <v>12.484211370000001</v>
          </cell>
          <cell r="AF834">
            <v>12.636488480000001</v>
          </cell>
          <cell r="AG834">
            <v>12.790573910000001</v>
          </cell>
          <cell r="AH834">
            <v>12.94678856</v>
          </cell>
          <cell r="AI834">
            <v>13.10540831</v>
          </cell>
          <cell r="AJ834">
            <v>13.266629959999999</v>
          </cell>
          <cell r="AK834">
            <v>13.430585929999999</v>
          </cell>
          <cell r="AL834">
            <v>13.594429979999999</v>
          </cell>
          <cell r="AM834">
            <v>13.759017569999999</v>
          </cell>
          <cell r="AN834">
            <v>13.924869019999999</v>
          </cell>
          <cell r="AO834">
            <v>14.09236267</v>
          </cell>
          <cell r="AP834">
            <v>14.26180987</v>
          </cell>
          <cell r="AQ834">
            <v>14.433680839999999</v>
          </cell>
          <cell r="AR834">
            <v>14.608069540000001</v>
          </cell>
          <cell r="AS834">
            <v>14.78510384</v>
          </cell>
          <cell r="AT834">
            <v>14.9648732</v>
          </cell>
          <cell r="AU834">
            <v>15.14742903</v>
          </cell>
          <cell r="AV834">
            <v>15.33389865</v>
          </cell>
          <cell r="AW834">
            <v>15.52378481</v>
          </cell>
          <cell r="AX834">
            <v>15.71694671</v>
          </cell>
          <cell r="AY834">
            <v>15.913279559999999</v>
          </cell>
          <cell r="AZ834">
            <v>16.112683789999998</v>
          </cell>
          <cell r="BA834">
            <v>19.880422360000001</v>
          </cell>
          <cell r="BB834">
            <v>20.200756160000001</v>
          </cell>
          <cell r="BC834">
            <v>20.52564692</v>
          </cell>
          <cell r="BD834">
            <v>20.855267479999998</v>
          </cell>
          <cell r="BE834">
            <v>21.189792629999999</v>
          </cell>
        </row>
        <row r="836">
          <cell r="A836" t="str">
            <v>ems_ci_co2_sveh_2</v>
          </cell>
          <cell r="B836">
            <v>1.0705020080000001</v>
          </cell>
          <cell r="C836">
            <v>1.058587583</v>
          </cell>
          <cell r="D836">
            <v>1.0538426190000001</v>
          </cell>
          <cell r="E836">
            <v>1.054745869</v>
          </cell>
          <cell r="F836">
            <v>1.0624759969999999</v>
          </cell>
          <cell r="G836">
            <v>1.0771549039999999</v>
          </cell>
          <cell r="H836">
            <v>1.0969196510000001</v>
          </cell>
          <cell r="I836">
            <v>1.1212050659999999</v>
          </cell>
          <cell r="J836">
            <v>1.1488777699999999</v>
          </cell>
          <cell r="K836">
            <v>1.1788771419999999</v>
          </cell>
          <cell r="L836">
            <v>1.212118378</v>
          </cell>
          <cell r="M836">
            <v>1.244659564</v>
          </cell>
          <cell r="N836">
            <v>1.276913822</v>
          </cell>
          <cell r="O836">
            <v>1.308449848</v>
          </cell>
          <cell r="P836">
            <v>1.338837383</v>
          </cell>
          <cell r="Q836">
            <v>1.367745086</v>
          </cell>
          <cell r="R836">
            <v>1.3946645630000001</v>
          </cell>
          <cell r="S836">
            <v>1.4196370009999999</v>
          </cell>
          <cell r="T836">
            <v>1.442652091</v>
          </cell>
          <cell r="U836">
            <v>1.463772887</v>
          </cell>
          <cell r="V836">
            <v>1.4817098639999999</v>
          </cell>
          <cell r="W836">
            <v>1.498975001</v>
          </cell>
          <cell r="X836">
            <v>1.5150500259999999</v>
          </cell>
          <cell r="Y836">
            <v>1.5300942909999999</v>
          </cell>
          <cell r="Z836">
            <v>1.5443451429999999</v>
          </cell>
          <cell r="AA836">
            <v>1.5540262069999999</v>
          </cell>
          <cell r="AB836">
            <v>1.5641691719999999</v>
          </cell>
          <cell r="AC836">
            <v>1.5740072510000001</v>
          </cell>
          <cell r="AD836">
            <v>1.5837194960000001</v>
          </cell>
          <cell r="AE836">
            <v>1.5935701440000001</v>
          </cell>
          <cell r="AF836">
            <v>1.60379402</v>
          </cell>
          <cell r="AG836">
            <v>1.614647213</v>
          </cell>
          <cell r="AH836">
            <v>1.6262481010000001</v>
          </cell>
          <cell r="AI836">
            <v>1.63871192</v>
          </cell>
          <cell r="AJ836">
            <v>1.652121575</v>
          </cell>
          <cell r="AK836">
            <v>1.6665275509999999</v>
          </cell>
          <cell r="AL836">
            <v>1.681568341</v>
          </cell>
          <cell r="AM836">
            <v>1.6974724329999999</v>
          </cell>
          <cell r="AN836">
            <v>1.7142601719999999</v>
          </cell>
          <cell r="AO836">
            <v>1.7319066350000001</v>
          </cell>
          <cell r="AP836">
            <v>1.7503744370000001</v>
          </cell>
          <cell r="AQ836">
            <v>1.7697066429999999</v>
          </cell>
          <cell r="AR836">
            <v>1.7898090680000001</v>
          </cell>
          <cell r="AS836">
            <v>1.8106321080000001</v>
          </cell>
          <cell r="AT836">
            <v>1.8321292810000001</v>
          </cell>
          <cell r="AU836">
            <v>1.8542541370000001</v>
          </cell>
          <cell r="AV836">
            <v>1.8773259</v>
          </cell>
          <cell r="AW836">
            <v>1.90106989</v>
          </cell>
          <cell r="AX836">
            <v>1.9254025800000001</v>
          </cell>
          <cell r="AY836">
            <v>1.9502554050000001</v>
          </cell>
          <cell r="AZ836">
            <v>1.975562335</v>
          </cell>
          <cell r="BA836">
            <v>2.502649833</v>
          </cell>
          <cell r="BB836">
            <v>2.5424036750000001</v>
          </cell>
          <cell r="BC836">
            <v>2.5831347830000002</v>
          </cell>
          <cell r="BD836">
            <v>2.6249114059999998</v>
          </cell>
          <cell r="BE836">
            <v>2.6677897210000001</v>
          </cell>
        </row>
        <row r="838">
          <cell r="A838" t="str">
            <v>ems_ci_co2_sgla_2</v>
          </cell>
          <cell r="B838">
            <v>7.6835403470000001</v>
          </cell>
          <cell r="C838">
            <v>7.7121128490000004</v>
          </cell>
          <cell r="D838">
            <v>7.7693590390000002</v>
          </cell>
          <cell r="E838">
            <v>7.8433470920000001</v>
          </cell>
          <cell r="F838">
            <v>7.9305478430000003</v>
          </cell>
          <cell r="G838">
            <v>8.0288574669999999</v>
          </cell>
          <cell r="H838">
            <v>8.1325191649999997</v>
          </cell>
          <cell r="I838">
            <v>8.2418275249999997</v>
          </cell>
          <cell r="J838">
            <v>8.3562398370000004</v>
          </cell>
          <cell r="K838">
            <v>8.4751205449999993</v>
          </cell>
          <cell r="L838">
            <v>8.6046400260000002</v>
          </cell>
          <cell r="M838">
            <v>8.7340500710000004</v>
          </cell>
          <cell r="N838">
            <v>8.8651281920000002</v>
          </cell>
          <cell r="O838">
            <v>8.9981309839999994</v>
          </cell>
          <cell r="P838">
            <v>9.1330447469999996</v>
          </cell>
          <cell r="Q838">
            <v>9.2698478560000002</v>
          </cell>
          <cell r="R838">
            <v>9.4079172900000003</v>
          </cell>
          <cell r="S838">
            <v>9.5477334630000001</v>
          </cell>
          <cell r="T838">
            <v>9.6894971119999997</v>
          </cell>
          <cell r="U838">
            <v>9.8333665460000006</v>
          </cell>
          <cell r="V838">
            <v>9.9745241940000007</v>
          </cell>
          <cell r="W838">
            <v>10.120172500000001</v>
          </cell>
          <cell r="X838">
            <v>10.269152739999999</v>
          </cell>
          <cell r="Y838">
            <v>10.42125098</v>
          </cell>
          <cell r="Z838">
            <v>10.57645808</v>
          </cell>
          <cell r="AA838">
            <v>10.72053886</v>
          </cell>
          <cell r="AB838">
            <v>10.86720373</v>
          </cell>
          <cell r="AC838">
            <v>11.015360680000001</v>
          </cell>
          <cell r="AD838">
            <v>11.16505203</v>
          </cell>
          <cell r="AE838">
            <v>11.3165145</v>
          </cell>
          <cell r="AF838">
            <v>11.46997623</v>
          </cell>
          <cell r="AG838">
            <v>11.62575661</v>
          </cell>
          <cell r="AH838">
            <v>11.78388</v>
          </cell>
          <cell r="AI838">
            <v>11.944384680000001</v>
          </cell>
          <cell r="AJ838">
            <v>12.10727734</v>
          </cell>
          <cell r="AK838">
            <v>12.272534309999999</v>
          </cell>
          <cell r="AL838">
            <v>12.437957580000001</v>
          </cell>
          <cell r="AM838">
            <v>12.604036799999999</v>
          </cell>
          <cell r="AN838">
            <v>12.77102496</v>
          </cell>
          <cell r="AO838">
            <v>12.939076549999999</v>
          </cell>
          <cell r="AP838">
            <v>13.108304240000001</v>
          </cell>
          <cell r="AQ838">
            <v>13.278999410000001</v>
          </cell>
          <cell r="AR838">
            <v>13.451102669999999</v>
          </cell>
          <cell r="AS838">
            <v>13.624631450000001</v>
          </cell>
          <cell r="AT838">
            <v>13.79960591</v>
          </cell>
          <cell r="AU838">
            <v>13.976038730000001</v>
          </cell>
          <cell r="AV838">
            <v>14.154935269999999</v>
          </cell>
          <cell r="AW838">
            <v>14.335748799999999</v>
          </cell>
          <cell r="AX838">
            <v>14.51832978</v>
          </cell>
          <cell r="AY838">
            <v>14.702615420000001</v>
          </cell>
          <cell r="AZ838">
            <v>14.88857346</v>
          </cell>
          <cell r="BA838">
            <v>18.902690150000002</v>
          </cell>
          <cell r="BB838">
            <v>19.241249150000002</v>
          </cell>
          <cell r="BC838">
            <v>19.583814780000001</v>
          </cell>
          <cell r="BD838">
            <v>19.930375250000001</v>
          </cell>
          <cell r="BE838">
            <v>20.28092526</v>
          </cell>
        </row>
        <row r="840">
          <cell r="A840" t="str">
            <v>ems_ci_co2_spap_2</v>
          </cell>
          <cell r="B840">
            <v>2.4861680810000002</v>
          </cell>
          <cell r="C840">
            <v>2.4920029659999998</v>
          </cell>
          <cell r="D840">
            <v>2.5103798689999999</v>
          </cell>
          <cell r="E840">
            <v>2.534539192</v>
          </cell>
          <cell r="F840">
            <v>2.5630326330000002</v>
          </cell>
          <cell r="G840">
            <v>2.5951938550000002</v>
          </cell>
          <cell r="H840">
            <v>2.6287161129999999</v>
          </cell>
          <cell r="I840">
            <v>2.6641391080000001</v>
          </cell>
          <cell r="J840">
            <v>2.7012676529999999</v>
          </cell>
          <cell r="K840">
            <v>2.7398000260000002</v>
          </cell>
          <cell r="L840">
            <v>2.782327268</v>
          </cell>
          <cell r="M840">
            <v>2.8236700099999998</v>
          </cell>
          <cell r="N840">
            <v>2.865174809</v>
          </cell>
          <cell r="O840">
            <v>2.9070094829999999</v>
          </cell>
          <cell r="P840">
            <v>2.9491496709999998</v>
          </cell>
          <cell r="Q840">
            <v>2.9915644800000001</v>
          </cell>
          <cell r="R840">
            <v>3.0339279669999999</v>
          </cell>
          <cell r="S840">
            <v>3.0764992919999998</v>
          </cell>
          <cell r="T840">
            <v>3.1193524880000001</v>
          </cell>
          <cell r="U840">
            <v>3.1625374079999999</v>
          </cell>
          <cell r="V840">
            <v>3.2039997709999999</v>
          </cell>
          <cell r="W840">
            <v>3.2471777460000002</v>
          </cell>
          <cell r="X840">
            <v>3.2911786749999998</v>
          </cell>
          <cell r="Y840">
            <v>3.3358589620000001</v>
          </cell>
          <cell r="Z840">
            <v>3.3812184319999998</v>
          </cell>
          <cell r="AA840">
            <v>3.421259327</v>
          </cell>
          <cell r="AB840">
            <v>3.4629550650000001</v>
          </cell>
          <cell r="AC840">
            <v>3.5052408599999998</v>
          </cell>
          <cell r="AD840">
            <v>3.5480224250000001</v>
          </cell>
          <cell r="AE840">
            <v>3.5913791270000002</v>
          </cell>
          <cell r="AF840">
            <v>3.635403851</v>
          </cell>
          <cell r="AG840">
            <v>3.6802420250000001</v>
          </cell>
          <cell r="AH840">
            <v>3.72589127</v>
          </cell>
          <cell r="AI840">
            <v>3.772373532</v>
          </cell>
          <cell r="AJ840">
            <v>3.8197026169999999</v>
          </cell>
          <cell r="AK840">
            <v>3.8678825450000001</v>
          </cell>
          <cell r="AL840">
            <v>3.9160992110000001</v>
          </cell>
          <cell r="AM840">
            <v>3.9647154709999999</v>
          </cell>
          <cell r="AN840">
            <v>4.013860395</v>
          </cell>
          <cell r="AO840">
            <v>4.0636001769999996</v>
          </cell>
          <cell r="AP840">
            <v>4.1139820189999998</v>
          </cell>
          <cell r="AQ840">
            <v>4.1651431350000001</v>
          </cell>
          <cell r="AR840">
            <v>4.2170363489999998</v>
          </cell>
          <cell r="AS840">
            <v>4.2696678029999999</v>
          </cell>
          <cell r="AT840">
            <v>4.3230466989999998</v>
          </cell>
          <cell r="AU840">
            <v>4.3771783199999996</v>
          </cell>
          <cell r="AV840">
            <v>4.4325325370000002</v>
          </cell>
          <cell r="AW840">
            <v>4.4887771020000002</v>
          </cell>
          <cell r="AX840">
            <v>4.5458422980000002</v>
          </cell>
          <cell r="AY840">
            <v>4.6037046869999996</v>
          </cell>
          <cell r="AZ840">
            <v>4.6623508259999999</v>
          </cell>
          <cell r="BA840">
            <v>5.7686918350000003</v>
          </cell>
          <cell r="BB840">
            <v>5.8662594649999997</v>
          </cell>
          <cell r="BC840">
            <v>5.9654531390000001</v>
          </cell>
          <cell r="BD840">
            <v>6.0663068249999998</v>
          </cell>
          <cell r="BE840">
            <v>6.1688547480000002</v>
          </cell>
        </row>
        <row r="842">
          <cell r="A842" t="str">
            <v>ems_ci_co2_sche_2</v>
          </cell>
          <cell r="B842">
            <v>13.123310249999999</v>
          </cell>
          <cell r="C842">
            <v>13.16973277</v>
          </cell>
          <cell r="D842">
            <v>13.29610557</v>
          </cell>
          <cell r="E842">
            <v>13.45051132</v>
          </cell>
          <cell r="F842">
            <v>13.6233735</v>
          </cell>
          <cell r="G842">
            <v>13.811003469999999</v>
          </cell>
          <cell r="H842">
            <v>13.999880839999999</v>
          </cell>
          <cell r="I842">
            <v>14.195415909999999</v>
          </cell>
          <cell r="J842">
            <v>14.39685931</v>
          </cell>
          <cell r="K842">
            <v>14.60277542</v>
          </cell>
          <cell r="L842">
            <v>14.829445979999999</v>
          </cell>
          <cell r="M842">
            <v>15.042960860000001</v>
          </cell>
          <cell r="N842">
            <v>15.255187619999999</v>
          </cell>
          <cell r="O842">
            <v>15.46759999</v>
          </cell>
          <cell r="P842">
            <v>15.680299209999999</v>
          </cell>
          <cell r="Q842">
            <v>15.89333684</v>
          </cell>
          <cell r="R842">
            <v>16.104653649999999</v>
          </cell>
          <cell r="S842">
            <v>16.316431359999999</v>
          </cell>
          <cell r="T842">
            <v>16.529305610000002</v>
          </cell>
          <cell r="U842">
            <v>16.74371154</v>
          </cell>
          <cell r="V842">
            <v>16.947265829999999</v>
          </cell>
          <cell r="W842">
            <v>17.16277371</v>
          </cell>
          <cell r="X842">
            <v>17.382774770000001</v>
          </cell>
          <cell r="Y842">
            <v>17.606415770000002</v>
          </cell>
          <cell r="Z842">
            <v>17.833803329999999</v>
          </cell>
          <cell r="AA842">
            <v>18.028629930000001</v>
          </cell>
          <cell r="AB842">
            <v>18.238517730000002</v>
          </cell>
          <cell r="AC842">
            <v>18.45325974</v>
          </cell>
          <cell r="AD842">
            <v>18.67178423</v>
          </cell>
          <cell r="AE842">
            <v>18.8943151</v>
          </cell>
          <cell r="AF842">
            <v>19.121188199999999</v>
          </cell>
          <cell r="AG842">
            <v>19.35316048</v>
          </cell>
          <cell r="AH842">
            <v>19.589973480000001</v>
          </cell>
          <cell r="AI842">
            <v>19.831638269999999</v>
          </cell>
          <cell r="AJ842">
            <v>20.078150319999999</v>
          </cell>
          <cell r="AK842">
            <v>20.329465119999998</v>
          </cell>
          <cell r="AL842">
            <v>20.581192059999999</v>
          </cell>
          <cell r="AM842">
            <v>20.835892189999999</v>
          </cell>
          <cell r="AN842">
            <v>21.094077909999999</v>
          </cell>
          <cell r="AO842">
            <v>21.355924049999999</v>
          </cell>
          <cell r="AP842">
            <v>21.6215391</v>
          </cell>
          <cell r="AQ842">
            <v>21.891705980000001</v>
          </cell>
          <cell r="AR842">
            <v>22.16589626</v>
          </cell>
          <cell r="AS842">
            <v>22.444055250000002</v>
          </cell>
          <cell r="AT842">
            <v>22.726180580000001</v>
          </cell>
          <cell r="AU842">
            <v>23.012265410000001</v>
          </cell>
          <cell r="AV842">
            <v>23.305454650000001</v>
          </cell>
          <cell r="AW842">
            <v>23.603175740000001</v>
          </cell>
          <cell r="AX842">
            <v>23.90500132</v>
          </cell>
          <cell r="AY842">
            <v>24.210826860000001</v>
          </cell>
          <cell r="AZ842">
            <v>24.520606780000001</v>
          </cell>
          <cell r="BA842">
            <v>30.561713749999999</v>
          </cell>
          <cell r="BB842">
            <v>31.087305239999999</v>
          </cell>
          <cell r="BC842">
            <v>31.622493739999999</v>
          </cell>
          <cell r="BD842">
            <v>32.167449670000003</v>
          </cell>
          <cell r="BE842">
            <v>32.722338440000001</v>
          </cell>
        </row>
        <row r="844">
          <cell r="A844" t="str">
            <v>ems_ci_co2_spla_2</v>
          </cell>
          <cell r="B844">
            <v>1.4550602210000001</v>
          </cell>
          <cell r="C844">
            <v>1.457231011</v>
          </cell>
          <cell r="D844">
            <v>1.468038935</v>
          </cell>
          <cell r="E844">
            <v>1.4823747350000001</v>
          </cell>
          <cell r="F844">
            <v>1.499326033</v>
          </cell>
          <cell r="G844">
            <v>1.5185435190000001</v>
          </cell>
          <cell r="H844">
            <v>1.538633159</v>
          </cell>
          <cell r="I844">
            <v>1.5599472059999999</v>
          </cell>
          <cell r="J844">
            <v>1.5823171009999999</v>
          </cell>
          <cell r="K844">
            <v>1.6055040819999999</v>
          </cell>
          <cell r="L844">
            <v>1.6310452150000001</v>
          </cell>
          <cell r="M844">
            <v>1.6556325249999999</v>
          </cell>
          <cell r="N844">
            <v>1.6801766</v>
          </cell>
          <cell r="O844">
            <v>1.7047730299999999</v>
          </cell>
          <cell r="P844">
            <v>1.7293943199999999</v>
          </cell>
          <cell r="Q844">
            <v>1.754014629</v>
          </cell>
          <cell r="R844">
            <v>1.778401788</v>
          </cell>
          <cell r="S844">
            <v>1.802746967</v>
          </cell>
          <cell r="T844">
            <v>1.8271114669999999</v>
          </cell>
          <cell r="U844">
            <v>1.85154211</v>
          </cell>
          <cell r="V844">
            <v>1.874802554</v>
          </cell>
          <cell r="W844">
            <v>1.899073123</v>
          </cell>
          <cell r="X844">
            <v>1.923759295</v>
          </cell>
          <cell r="Y844">
            <v>1.948788116</v>
          </cell>
          <cell r="Z844">
            <v>1.974180947</v>
          </cell>
          <cell r="AA844">
            <v>1.9963043650000001</v>
          </cell>
          <cell r="AB844">
            <v>2.0196080140000001</v>
          </cell>
          <cell r="AC844">
            <v>2.0433246180000002</v>
          </cell>
          <cell r="AD844">
            <v>2.0673766640000002</v>
          </cell>
          <cell r="AE844">
            <v>2.091806633</v>
          </cell>
          <cell r="AF844">
            <v>2.116668652</v>
          </cell>
          <cell r="AG844">
            <v>2.1420581859999999</v>
          </cell>
          <cell r="AH844">
            <v>2.1679683330000001</v>
          </cell>
          <cell r="AI844">
            <v>2.1944120279999999</v>
          </cell>
          <cell r="AJ844">
            <v>2.2213972420000001</v>
          </cell>
          <cell r="AK844">
            <v>2.2489246180000002</v>
          </cell>
          <cell r="AL844">
            <v>2.2765623310000001</v>
          </cell>
          <cell r="AM844">
            <v>2.304508765</v>
          </cell>
          <cell r="AN844">
            <v>2.332817361</v>
          </cell>
          <cell r="AO844">
            <v>2.3615073720000002</v>
          </cell>
          <cell r="AP844">
            <v>2.390589125</v>
          </cell>
          <cell r="AQ844">
            <v>2.4201406109999999</v>
          </cell>
          <cell r="AR844">
            <v>2.4501116490000001</v>
          </cell>
          <cell r="AS844">
            <v>2.480494105</v>
          </cell>
          <cell r="AT844">
            <v>2.5112852210000001</v>
          </cell>
          <cell r="AU844">
            <v>2.542481805</v>
          </cell>
          <cell r="AV844">
            <v>2.574399074</v>
          </cell>
          <cell r="AW844">
            <v>2.6067986840000001</v>
          </cell>
          <cell r="AX844">
            <v>2.639630146</v>
          </cell>
          <cell r="AY844">
            <v>2.672876203</v>
          </cell>
          <cell r="AZ844">
            <v>2.706526615</v>
          </cell>
          <cell r="BA844">
            <v>3.4308599389999999</v>
          </cell>
          <cell r="BB844">
            <v>3.489882326</v>
          </cell>
          <cell r="BC844">
            <v>3.5498856779999999</v>
          </cell>
          <cell r="BD844">
            <v>3.6108895250000002</v>
          </cell>
          <cell r="BE844">
            <v>3.6729123210000001</v>
          </cell>
        </row>
        <row r="846">
          <cell r="A846" t="str">
            <v>ems_ci_co2_smet_2</v>
          </cell>
          <cell r="B846">
            <v>19.07969907</v>
          </cell>
          <cell r="C846">
            <v>19.129976580000001</v>
          </cell>
          <cell r="D846">
            <v>19.30337098</v>
          </cell>
          <cell r="E846">
            <v>19.518355679999999</v>
          </cell>
          <cell r="F846">
            <v>19.755488490000001</v>
          </cell>
          <cell r="G846">
            <v>20.008659359999999</v>
          </cell>
          <cell r="H846">
            <v>20.261648430000001</v>
          </cell>
          <cell r="I846">
            <v>20.521705910000001</v>
          </cell>
          <cell r="J846">
            <v>20.789543770000002</v>
          </cell>
          <cell r="K846">
            <v>21.064474489999998</v>
          </cell>
          <cell r="L846">
            <v>21.367659790000001</v>
          </cell>
          <cell r="M846">
            <v>21.65840845</v>
          </cell>
          <cell r="N846">
            <v>21.949466009999998</v>
          </cell>
          <cell r="O846">
            <v>22.24320079</v>
          </cell>
          <cell r="P846">
            <v>22.539988600000001</v>
          </cell>
          <cell r="Q846">
            <v>22.839940680000002</v>
          </cell>
          <cell r="R846">
            <v>23.14035539</v>
          </cell>
          <cell r="S846">
            <v>23.443812749999999</v>
          </cell>
          <cell r="T846">
            <v>23.75112863</v>
          </cell>
          <cell r="U846">
            <v>24.062791690000001</v>
          </cell>
          <cell r="V846">
            <v>24.363162519999999</v>
          </cell>
          <cell r="W846">
            <v>24.679495129999999</v>
          </cell>
          <cell r="X846">
            <v>25.003987339999998</v>
          </cell>
          <cell r="Y846">
            <v>25.335211480000002</v>
          </cell>
          <cell r="Z846">
            <v>25.67305095</v>
          </cell>
          <cell r="AA846">
            <v>25.97176198</v>
          </cell>
          <cell r="AB846">
            <v>26.28740655</v>
          </cell>
          <cell r="AC846">
            <v>26.610171609999998</v>
          </cell>
          <cell r="AD846">
            <v>26.938407779999999</v>
          </cell>
          <cell r="AE846">
            <v>27.27209886</v>
          </cell>
          <cell r="AF846">
            <v>27.6114915</v>
          </cell>
          <cell r="AG846">
            <v>27.957451880000001</v>
          </cell>
          <cell r="AH846">
            <v>28.309612470000001</v>
          </cell>
          <cell r="AI846">
            <v>28.667923300000002</v>
          </cell>
          <cell r="AJ846">
            <v>29.03234067</v>
          </cell>
          <cell r="AK846">
            <v>29.402782699999999</v>
          </cell>
          <cell r="AL846">
            <v>29.77387169</v>
          </cell>
          <cell r="AM846">
            <v>30.14809266</v>
          </cell>
          <cell r="AN846">
            <v>30.526133309999999</v>
          </cell>
          <cell r="AO846">
            <v>30.90824061</v>
          </cell>
          <cell r="AP846">
            <v>31.294549289999999</v>
          </cell>
          <cell r="AQ846">
            <v>31.686061680000002</v>
          </cell>
          <cell r="AR846">
            <v>32.082142070000003</v>
          </cell>
          <cell r="AS846">
            <v>32.482697760000001</v>
          </cell>
          <cell r="AT846">
            <v>32.887728930000002</v>
          </cell>
          <cell r="AU846">
            <v>33.297244069999998</v>
          </cell>
          <cell r="AV846">
            <v>33.715299369999997</v>
          </cell>
          <cell r="AW846">
            <v>34.138871199999997</v>
          </cell>
          <cell r="AX846">
            <v>34.567323940000001</v>
          </cell>
          <cell r="AY846">
            <v>35.000512550000003</v>
          </cell>
          <cell r="AZ846">
            <v>35.438406399999998</v>
          </cell>
          <cell r="BA846">
            <v>45.68449012</v>
          </cell>
          <cell r="BB846">
            <v>46.492077760000001</v>
          </cell>
          <cell r="BC846">
            <v>47.312222509999998</v>
          </cell>
          <cell r="BD846">
            <v>48.1450423</v>
          </cell>
          <cell r="BE846">
            <v>48.99065882</v>
          </cell>
        </row>
        <row r="848">
          <cell r="A848" t="str">
            <v>ems_ci_co2_sigo_2</v>
          </cell>
          <cell r="B848">
            <v>1.1697921410000001</v>
          </cell>
          <cell r="C848">
            <v>1.171678145</v>
          </cell>
          <cell r="D848">
            <v>1.1807015670000001</v>
          </cell>
          <cell r="E848">
            <v>1.192088899</v>
          </cell>
          <cell r="F848">
            <v>1.2055682640000001</v>
          </cell>
          <cell r="G848">
            <v>1.221084168</v>
          </cell>
          <cell r="H848">
            <v>1.2373685800000001</v>
          </cell>
          <cell r="I848">
            <v>1.2549092369999999</v>
          </cell>
          <cell r="J848">
            <v>1.2734916350000001</v>
          </cell>
          <cell r="K848">
            <v>1.292846358</v>
          </cell>
          <cell r="L848">
            <v>1.314446658</v>
          </cell>
          <cell r="M848">
            <v>1.3348133289999999</v>
          </cell>
          <cell r="N848">
            <v>1.355136635</v>
          </cell>
          <cell r="O848">
            <v>1.375465057</v>
          </cell>
          <cell r="P848">
            <v>1.3957309849999999</v>
          </cell>
          <cell r="Q848">
            <v>1.415878532</v>
          </cell>
          <cell r="R848">
            <v>1.4356210579999999</v>
          </cell>
          <cell r="S848">
            <v>1.4551627499999999</v>
          </cell>
          <cell r="T848">
            <v>1.4745426690000001</v>
          </cell>
          <cell r="U848">
            <v>1.4937932060000001</v>
          </cell>
          <cell r="V848">
            <v>1.5117019730000001</v>
          </cell>
          <cell r="W848">
            <v>1.5305558429999999</v>
          </cell>
          <cell r="X848">
            <v>1.5495647180000001</v>
          </cell>
          <cell r="Y848">
            <v>1.568679377</v>
          </cell>
          <cell r="Z848">
            <v>1.5879432090000001</v>
          </cell>
          <cell r="AA848">
            <v>1.603836035</v>
          </cell>
          <cell r="AB848">
            <v>1.6211847290000001</v>
          </cell>
          <cell r="AC848">
            <v>1.6388459390000001</v>
          </cell>
          <cell r="AD848">
            <v>1.6567350869999999</v>
          </cell>
          <cell r="AE848">
            <v>1.6748980499999999</v>
          </cell>
          <cell r="AF848">
            <v>1.6933902190000001</v>
          </cell>
          <cell r="AG848">
            <v>1.7123167480000001</v>
          </cell>
          <cell r="AH848">
            <v>1.7316691500000001</v>
          </cell>
          <cell r="AI848">
            <v>1.7514701880000001</v>
          </cell>
          <cell r="AJ848">
            <v>1.771738246</v>
          </cell>
          <cell r="AK848">
            <v>1.7924838830000001</v>
          </cell>
          <cell r="AL848">
            <v>1.8133674639999999</v>
          </cell>
          <cell r="AM848">
            <v>1.8346166930000001</v>
          </cell>
          <cell r="AN848">
            <v>1.8562603740000001</v>
          </cell>
          <cell r="AO848">
            <v>1.8782985219999999</v>
          </cell>
          <cell r="AP848">
            <v>1.9007266810000001</v>
          </cell>
          <cell r="AQ848">
            <v>1.923619543</v>
          </cell>
          <cell r="AR848">
            <v>1.9469063099999999</v>
          </cell>
          <cell r="AS848">
            <v>1.9705726610000001</v>
          </cell>
          <cell r="AT848">
            <v>1.994610615</v>
          </cell>
          <cell r="AU848">
            <v>2.0190125609999998</v>
          </cell>
          <cell r="AV848">
            <v>2.0441166210000001</v>
          </cell>
          <cell r="AW848">
            <v>2.0696366020000001</v>
          </cell>
          <cell r="AX848">
            <v>2.095527299</v>
          </cell>
          <cell r="AY848">
            <v>2.1217728839999999</v>
          </cell>
          <cell r="AZ848">
            <v>2.1483617079999999</v>
          </cell>
          <cell r="BA848">
            <v>2.8515174139999999</v>
          </cell>
          <cell r="BB848">
            <v>2.9011489689999999</v>
          </cell>
          <cell r="BC848">
            <v>2.9516550380000002</v>
          </cell>
          <cell r="BD848">
            <v>3.0030616079999999</v>
          </cell>
          <cell r="BE848">
            <v>3.0553923369999998</v>
          </cell>
        </row>
        <row r="850">
          <cell r="A850" t="str">
            <v>ems_ci_co2_scgo_2</v>
          </cell>
          <cell r="B850">
            <v>2.2364002369999998</v>
          </cell>
          <cell r="C850">
            <v>2.2339833320000002</v>
          </cell>
          <cell r="D850">
            <v>2.2421698609999998</v>
          </cell>
          <cell r="E850">
            <v>2.2572304600000002</v>
          </cell>
          <cell r="F850">
            <v>2.278316792</v>
          </cell>
          <cell r="G850">
            <v>2.3047530570000001</v>
          </cell>
          <cell r="H850">
            <v>2.334300212</v>
          </cell>
          <cell r="I850">
            <v>2.3668554949999998</v>
          </cell>
          <cell r="J850">
            <v>2.4018954529999998</v>
          </cell>
          <cell r="K850">
            <v>2.438886187</v>
          </cell>
          <cell r="L850">
            <v>2.4797557650000002</v>
          </cell>
          <cell r="M850">
            <v>2.5202849129999998</v>
          </cell>
          <cell r="N850">
            <v>2.5611331800000001</v>
          </cell>
          <cell r="O850">
            <v>2.602278584</v>
          </cell>
          <cell r="P850">
            <v>2.6435959800000002</v>
          </cell>
          <cell r="Q850">
            <v>2.6849796119999998</v>
          </cell>
          <cell r="R850">
            <v>2.726109761</v>
          </cell>
          <cell r="S850">
            <v>2.76712041</v>
          </cell>
          <cell r="T850">
            <v>2.8080540119999999</v>
          </cell>
          <cell r="U850">
            <v>2.8489557840000002</v>
          </cell>
          <cell r="V850">
            <v>2.8881167219999999</v>
          </cell>
          <cell r="W850">
            <v>2.92826685</v>
          </cell>
          <cell r="X850">
            <v>2.9688829499999998</v>
          </cell>
          <cell r="Y850">
            <v>3.0099063099999999</v>
          </cell>
          <cell r="Z850">
            <v>3.05137934</v>
          </cell>
          <cell r="AA850">
            <v>3.0882975049999999</v>
          </cell>
          <cell r="AB850">
            <v>3.1260227270000001</v>
          </cell>
          <cell r="AC850">
            <v>3.1640061159999999</v>
          </cell>
          <cell r="AD850">
            <v>3.2022671489999999</v>
          </cell>
          <cell r="AE850">
            <v>3.2409352239999998</v>
          </cell>
          <cell r="AF850">
            <v>3.2801414389999999</v>
          </cell>
          <cell r="AG850">
            <v>3.3200515249999998</v>
          </cell>
          <cell r="AH850">
            <v>3.3607132320000002</v>
          </cell>
          <cell r="AI850">
            <v>3.402177558</v>
          </cell>
          <cell r="AJ850">
            <v>3.444479431</v>
          </cell>
          <cell r="AK850">
            <v>3.4876374870000002</v>
          </cell>
          <cell r="AL850">
            <v>3.5309489329999999</v>
          </cell>
          <cell r="AM850">
            <v>3.5746763330000002</v>
          </cell>
          <cell r="AN850">
            <v>3.6189216960000001</v>
          </cell>
          <cell r="AO850">
            <v>3.663734592</v>
          </cell>
          <cell r="AP850">
            <v>3.7091470110000002</v>
          </cell>
          <cell r="AQ850">
            <v>3.7552618660000001</v>
          </cell>
          <cell r="AR850">
            <v>3.8020460580000002</v>
          </cell>
          <cell r="AS850">
            <v>3.8494980679999999</v>
          </cell>
          <cell r="AT850">
            <v>3.8976175500000001</v>
          </cell>
          <cell r="AU850">
            <v>3.9464009510000002</v>
          </cell>
          <cell r="AV850">
            <v>3.9962197100000001</v>
          </cell>
          <cell r="AW850">
            <v>4.0468451679999999</v>
          </cell>
          <cell r="AX850">
            <v>4.0982106570000001</v>
          </cell>
          <cell r="AY850">
            <v>4.1502809450000004</v>
          </cell>
          <cell r="AZ850">
            <v>4.2030294990000003</v>
          </cell>
          <cell r="BA850">
            <v>5.2745794760000004</v>
          </cell>
          <cell r="BB850">
            <v>5.3645123290000001</v>
          </cell>
          <cell r="BC850">
            <v>5.4558339399999998</v>
          </cell>
          <cell r="BD850">
            <v>5.5485816579999998</v>
          </cell>
          <cell r="BE850">
            <v>5.642790593</v>
          </cell>
        </row>
        <row r="852">
          <cell r="A852" t="str">
            <v>ems_ci_co2_scon_2</v>
          </cell>
          <cell r="B852">
            <v>7.6343222209999997</v>
          </cell>
          <cell r="C852">
            <v>7.5529656689999998</v>
          </cell>
          <cell r="D852">
            <v>7.469131322</v>
          </cell>
          <cell r="E852">
            <v>7.4125544730000001</v>
          </cell>
          <cell r="F852">
            <v>7.3964304360000002</v>
          </cell>
          <cell r="G852">
            <v>7.422615521</v>
          </cell>
          <cell r="H852">
            <v>7.4841091359999998</v>
          </cell>
          <cell r="I852">
            <v>7.5748247170000003</v>
          </cell>
          <cell r="J852">
            <v>7.689271218</v>
          </cell>
          <cell r="K852">
            <v>7.8228894149999997</v>
          </cell>
          <cell r="L852">
            <v>7.9773566259999997</v>
          </cell>
          <cell r="M852">
            <v>8.1445755060000007</v>
          </cell>
          <cell r="N852">
            <v>8.3210108690000002</v>
          </cell>
          <cell r="O852">
            <v>8.5042036729999992</v>
          </cell>
          <cell r="P852">
            <v>8.6922278540000004</v>
          </cell>
          <cell r="Q852">
            <v>8.8835313419999995</v>
          </cell>
          <cell r="R852">
            <v>9.0764178589999993</v>
          </cell>
          <cell r="S852">
            <v>9.2697794529999999</v>
          </cell>
          <cell r="T852">
            <v>9.4629162840000003</v>
          </cell>
          <cell r="U852">
            <v>9.6554483169999994</v>
          </cell>
          <cell r="V852">
            <v>9.8430441260000006</v>
          </cell>
          <cell r="W852">
            <v>10.02938921</v>
          </cell>
          <cell r="X852">
            <v>10.215344529999999</v>
          </cell>
          <cell r="Y852">
            <v>10.40141762</v>
          </cell>
          <cell r="Z852">
            <v>10.58805212</v>
          </cell>
          <cell r="AA852">
            <v>10.76339967</v>
          </cell>
          <cell r="AB852">
            <v>10.932852649999999</v>
          </cell>
          <cell r="AC852">
            <v>11.09796322</v>
          </cell>
          <cell r="AD852">
            <v>11.259808789999999</v>
          </cell>
          <cell r="AE852">
            <v>11.41932948</v>
          </cell>
          <cell r="AF852">
            <v>11.57736115</v>
          </cell>
          <cell r="AG852">
            <v>11.734756709999999</v>
          </cell>
          <cell r="AH852">
            <v>11.89220935</v>
          </cell>
          <cell r="AI852">
            <v>12.050281050000001</v>
          </cell>
          <cell r="AJ852">
            <v>12.209406169999999</v>
          </cell>
          <cell r="AK852">
            <v>12.36989464</v>
          </cell>
          <cell r="AL852">
            <v>12.529895420000001</v>
          </cell>
          <cell r="AM852">
            <v>12.68933449</v>
          </cell>
          <cell r="AN852">
            <v>12.84822439</v>
          </cell>
          <cell r="AO852">
            <v>13.0065195</v>
          </cell>
          <cell r="AP852">
            <v>13.164142630000001</v>
          </cell>
          <cell r="AQ852">
            <v>13.321160839999999</v>
          </cell>
          <cell r="AR852">
            <v>13.47754845</v>
          </cell>
          <cell r="AS852">
            <v>13.633245130000001</v>
          </cell>
          <cell r="AT852">
            <v>13.78817939</v>
          </cell>
          <cell r="AU852">
            <v>13.942282730000001</v>
          </cell>
          <cell r="AV852">
            <v>14.096261419999999</v>
          </cell>
          <cell r="AW852">
            <v>14.25025889</v>
          </cell>
          <cell r="AX852">
            <v>14.404222580000001</v>
          </cell>
          <cell r="AY852">
            <v>14.55801982</v>
          </cell>
          <cell r="AZ852">
            <v>14.711508630000001</v>
          </cell>
          <cell r="BA852">
            <v>23.246582029999999</v>
          </cell>
          <cell r="BB852">
            <v>23.652213870000001</v>
          </cell>
          <cell r="BC852">
            <v>24.054386350000001</v>
          </cell>
          <cell r="BD852">
            <v>24.453275439999999</v>
          </cell>
          <cell r="BE852">
            <v>24.84906221</v>
          </cell>
        </row>
        <row r="854">
          <cell r="A854" t="str">
            <v>ems_ci_co2_srai_2</v>
          </cell>
          <cell r="B854">
            <v>1.707963363</v>
          </cell>
          <cell r="C854">
            <v>1.7153174360000001</v>
          </cell>
          <cell r="D854">
            <v>1.7276471499999999</v>
          </cell>
          <cell r="E854">
            <v>1.742843602</v>
          </cell>
          <cell r="F854">
            <v>1.760503841</v>
          </cell>
          <cell r="G854">
            <v>1.780373746</v>
          </cell>
          <cell r="H854">
            <v>1.8011952120000001</v>
          </cell>
          <cell r="I854">
            <v>1.8231829500000001</v>
          </cell>
          <cell r="J854">
            <v>1.846209588</v>
          </cell>
          <cell r="K854">
            <v>1.870087265</v>
          </cell>
          <cell r="L854">
            <v>1.896256189</v>
          </cell>
          <cell r="M854">
            <v>1.921935664</v>
          </cell>
          <cell r="N854">
            <v>1.9476939559999999</v>
          </cell>
          <cell r="O854">
            <v>1.9736102870000001</v>
          </cell>
          <cell r="P854">
            <v>1.999670893</v>
          </cell>
          <cell r="Q854">
            <v>2.0258595220000002</v>
          </cell>
          <cell r="R854">
            <v>2.0520409540000002</v>
          </cell>
          <cell r="S854">
            <v>2.078315307</v>
          </cell>
          <cell r="T854">
            <v>2.1047208560000001</v>
          </cell>
          <cell r="U854">
            <v>2.1312866509999999</v>
          </cell>
          <cell r="V854">
            <v>2.1568562600000001</v>
          </cell>
          <cell r="W854">
            <v>2.1832942160000002</v>
          </cell>
          <cell r="X854">
            <v>2.2101904110000001</v>
          </cell>
          <cell r="Y854">
            <v>2.2374651270000001</v>
          </cell>
          <cell r="Z854">
            <v>2.2651142050000002</v>
          </cell>
          <cell r="AA854">
            <v>2.2897550400000002</v>
          </cell>
          <cell r="AB854">
            <v>2.3150943590000002</v>
          </cell>
          <cell r="AC854">
            <v>2.3407127189999999</v>
          </cell>
          <cell r="AD854">
            <v>2.3665839590000002</v>
          </cell>
          <cell r="AE854">
            <v>2.3927642210000002</v>
          </cell>
          <cell r="AF854">
            <v>2.4193134230000002</v>
          </cell>
          <cell r="AG854">
            <v>2.4463075700000001</v>
          </cell>
          <cell r="AH854">
            <v>2.4737581739999999</v>
          </cell>
          <cell r="AI854">
            <v>2.5016795709999999</v>
          </cell>
          <cell r="AJ854">
            <v>2.5300797140000002</v>
          </cell>
          <cell r="AK854">
            <v>2.5589606979999999</v>
          </cell>
          <cell r="AL854">
            <v>2.5877709119999999</v>
          </cell>
          <cell r="AM854">
            <v>2.6167611549999998</v>
          </cell>
          <cell r="AN854">
            <v>2.646024465</v>
          </cell>
          <cell r="AO854">
            <v>2.6756091400000002</v>
          </cell>
          <cell r="AP854">
            <v>2.7055491630000001</v>
          </cell>
          <cell r="AQ854">
            <v>2.7359120219999999</v>
          </cell>
          <cell r="AR854">
            <v>2.7666889970000001</v>
          </cell>
          <cell r="AS854">
            <v>2.7978868530000001</v>
          </cell>
          <cell r="AT854">
            <v>2.8295115860000002</v>
          </cell>
          <cell r="AU854">
            <v>2.8615662309999998</v>
          </cell>
          <cell r="AV854">
            <v>2.8942641820000001</v>
          </cell>
          <cell r="AW854">
            <v>2.927470381</v>
          </cell>
          <cell r="AX854">
            <v>2.9611483609999998</v>
          </cell>
          <cell r="AY854">
            <v>2.9952828970000001</v>
          </cell>
          <cell r="AZ854">
            <v>3.0298645049999999</v>
          </cell>
          <cell r="BA854">
            <v>3.575424505</v>
          </cell>
          <cell r="BB854">
            <v>3.6299902319999999</v>
          </cell>
          <cell r="BC854">
            <v>3.6854330360000001</v>
          </cell>
          <cell r="BD854">
            <v>3.7417713899999998</v>
          </cell>
          <cell r="BE854">
            <v>3.7990240829999999</v>
          </cell>
        </row>
        <row r="856">
          <cell r="A856" t="str">
            <v>ems_ci_co2_sroa_2</v>
          </cell>
          <cell r="B856">
            <v>17.05309493</v>
          </cell>
          <cell r="C856">
            <v>17.129389740000001</v>
          </cell>
          <cell r="D856">
            <v>17.255722429999999</v>
          </cell>
          <cell r="E856">
            <v>17.410305699999999</v>
          </cell>
          <cell r="F856">
            <v>17.588743489999999</v>
          </cell>
          <cell r="G856">
            <v>17.788413819999999</v>
          </cell>
          <cell r="H856">
            <v>17.99684366</v>
          </cell>
          <cell r="I856">
            <v>18.216336720000001</v>
          </cell>
          <cell r="J856">
            <v>18.445777190000001</v>
          </cell>
          <cell r="K856">
            <v>18.683419839999999</v>
          </cell>
          <cell r="L856">
            <v>18.943730219999999</v>
          </cell>
          <cell r="M856">
            <v>19.199021250000001</v>
          </cell>
          <cell r="N856">
            <v>19.455053889999999</v>
          </cell>
          <cell r="O856">
            <v>19.712683250000001</v>
          </cell>
          <cell r="P856">
            <v>19.971818129999999</v>
          </cell>
          <cell r="Q856">
            <v>20.232329329999999</v>
          </cell>
          <cell r="R856">
            <v>20.49289486</v>
          </cell>
          <cell r="S856">
            <v>20.75453302</v>
          </cell>
          <cell r="T856">
            <v>21.017634130000001</v>
          </cell>
          <cell r="U856">
            <v>21.282488239999999</v>
          </cell>
          <cell r="V856">
            <v>21.5375607</v>
          </cell>
          <cell r="W856">
            <v>21.80145602</v>
          </cell>
          <cell r="X856">
            <v>22.07005663</v>
          </cell>
          <cell r="Y856">
            <v>22.342545179999998</v>
          </cell>
          <cell r="Z856">
            <v>22.618861519999999</v>
          </cell>
          <cell r="AA856">
            <v>22.86526439</v>
          </cell>
          <cell r="AB856">
            <v>23.118764519999999</v>
          </cell>
          <cell r="AC856">
            <v>23.3751511</v>
          </cell>
          <cell r="AD856">
            <v>23.634137129999999</v>
          </cell>
          <cell r="AE856">
            <v>23.89625981</v>
          </cell>
          <cell r="AF856">
            <v>24.16209714</v>
          </cell>
          <cell r="AG856">
            <v>24.432389400000002</v>
          </cell>
          <cell r="AH856">
            <v>24.70723551</v>
          </cell>
          <cell r="AI856">
            <v>24.986765699999999</v>
          </cell>
          <cell r="AJ856">
            <v>25.271049399999999</v>
          </cell>
          <cell r="AK856">
            <v>25.560100469999998</v>
          </cell>
          <cell r="AL856">
            <v>25.848407569999999</v>
          </cell>
          <cell r="AM856">
            <v>26.13847745</v>
          </cell>
          <cell r="AN856">
            <v>26.431242690000001</v>
          </cell>
          <cell r="AO856">
            <v>26.72718953</v>
          </cell>
          <cell r="AP856">
            <v>27.02666116</v>
          </cell>
          <cell r="AQ856">
            <v>27.330333639999999</v>
          </cell>
          <cell r="AR856">
            <v>27.63812184</v>
          </cell>
          <cell r="AS856">
            <v>27.9500958</v>
          </cell>
          <cell r="AT856">
            <v>28.266318250000001</v>
          </cell>
          <cell r="AU856">
            <v>28.586822359999999</v>
          </cell>
          <cell r="AV856">
            <v>28.913736270000001</v>
          </cell>
          <cell r="AW856">
            <v>29.24570915</v>
          </cell>
          <cell r="AX856">
            <v>29.582378670000001</v>
          </cell>
          <cell r="AY856">
            <v>29.923597090000001</v>
          </cell>
          <cell r="AZ856">
            <v>30.269274800000002</v>
          </cell>
          <cell r="BA856">
            <v>35.672975299999997</v>
          </cell>
          <cell r="BB856">
            <v>36.217518470000002</v>
          </cell>
          <cell r="BC856">
            <v>36.770833889999999</v>
          </cell>
          <cell r="BD856">
            <v>37.33310058</v>
          </cell>
          <cell r="BE856">
            <v>37.904501580000002</v>
          </cell>
        </row>
        <row r="858">
          <cell r="A858" t="str">
            <v>ems_ci_co2_swat_2</v>
          </cell>
          <cell r="B858">
            <v>3.6257118940000002</v>
          </cell>
          <cell r="C858">
            <v>3.6496775700000001</v>
          </cell>
          <cell r="D858">
            <v>3.7002722810000002</v>
          </cell>
          <cell r="E858">
            <v>3.7561651139999999</v>
          </cell>
          <cell r="F858">
            <v>3.814395712</v>
          </cell>
          <cell r="G858">
            <v>3.8740416</v>
          </cell>
          <cell r="H858">
            <v>3.9308433960000002</v>
          </cell>
          <cell r="I858">
            <v>3.9875311560000002</v>
          </cell>
          <cell r="J858">
            <v>4.0441631740000004</v>
          </cell>
          <cell r="K858">
            <v>4.1005840060000001</v>
          </cell>
          <cell r="L858">
            <v>4.1625727189999999</v>
          </cell>
          <cell r="M858">
            <v>4.2179890960000002</v>
          </cell>
          <cell r="N858">
            <v>4.272320219</v>
          </cell>
          <cell r="O858">
            <v>4.3262398969999998</v>
          </cell>
          <cell r="P858">
            <v>4.3798839559999996</v>
          </cell>
          <cell r="Q858">
            <v>4.4333473330000004</v>
          </cell>
          <cell r="R858">
            <v>4.4858154289999996</v>
          </cell>
          <cell r="S858">
            <v>4.5382659859999999</v>
          </cell>
          <cell r="T858">
            <v>4.590932789</v>
          </cell>
          <cell r="U858">
            <v>4.6439652630000001</v>
          </cell>
          <cell r="V858">
            <v>4.6932516590000004</v>
          </cell>
          <cell r="W858">
            <v>4.7470278339999998</v>
          </cell>
          <cell r="X858">
            <v>4.8020213419999997</v>
          </cell>
          <cell r="Y858">
            <v>4.8579493310000004</v>
          </cell>
          <cell r="Z858">
            <v>4.914867664</v>
          </cell>
          <cell r="AA858">
            <v>4.9607756820000004</v>
          </cell>
          <cell r="AB858">
            <v>5.0134081110000004</v>
          </cell>
          <cell r="AC858">
            <v>5.0679274669999996</v>
          </cell>
          <cell r="AD858">
            <v>5.1238227470000002</v>
          </cell>
          <cell r="AE858">
            <v>5.1810746630000004</v>
          </cell>
          <cell r="AF858">
            <v>5.2397081600000002</v>
          </cell>
          <cell r="AG858">
            <v>5.2999464060000001</v>
          </cell>
          <cell r="AH858">
            <v>5.3616063040000004</v>
          </cell>
          <cell r="AI858">
            <v>5.4246596140000003</v>
          </cell>
          <cell r="AJ858">
            <v>5.4890881059999996</v>
          </cell>
          <cell r="AK858">
            <v>5.5548686260000002</v>
          </cell>
          <cell r="AL858">
            <v>5.6209199129999998</v>
          </cell>
          <cell r="AM858">
            <v>5.6880911870000004</v>
          </cell>
          <cell r="AN858">
            <v>5.7564570210000001</v>
          </cell>
          <cell r="AO858">
            <v>5.826004009</v>
          </cell>
          <cell r="AP858">
            <v>5.8967113070000003</v>
          </cell>
          <cell r="AQ858">
            <v>5.9688491770000001</v>
          </cell>
          <cell r="AR858">
            <v>6.0421366790000004</v>
          </cell>
          <cell r="AS858">
            <v>6.1165264659999998</v>
          </cell>
          <cell r="AT858">
            <v>6.1920000650000002</v>
          </cell>
          <cell r="AU858">
            <v>6.26854405</v>
          </cell>
          <cell r="AV858">
            <v>6.3473870129999996</v>
          </cell>
          <cell r="AW858">
            <v>6.4274025589999999</v>
          </cell>
          <cell r="AX858">
            <v>6.5084514259999997</v>
          </cell>
          <cell r="AY858">
            <v>6.5905136249999998</v>
          </cell>
          <cell r="AZ858">
            <v>6.6735870869999996</v>
          </cell>
          <cell r="BA858">
            <v>8.6662657089999993</v>
          </cell>
          <cell r="BB858">
            <v>8.818578381</v>
          </cell>
          <cell r="BC858">
            <v>8.9739205159999997</v>
          </cell>
          <cell r="BD858">
            <v>9.1323441750000001</v>
          </cell>
          <cell r="BE858">
            <v>9.2938972399999997</v>
          </cell>
        </row>
        <row r="860">
          <cell r="A860" t="str">
            <v>ems_ci_co2_sair_2</v>
          </cell>
          <cell r="B860">
            <v>18.709301419999999</v>
          </cell>
          <cell r="C860">
            <v>18.842241340000001</v>
          </cell>
          <cell r="D860">
            <v>19.064570920000001</v>
          </cell>
          <cell r="E860">
            <v>19.321009190000002</v>
          </cell>
          <cell r="F860">
            <v>19.60506342</v>
          </cell>
          <cell r="G860">
            <v>19.915126959999998</v>
          </cell>
          <cell r="H860">
            <v>20.23361951</v>
          </cell>
          <cell r="I860">
            <v>20.566791439999999</v>
          </cell>
          <cell r="J860">
            <v>20.913521299999999</v>
          </cell>
          <cell r="K860">
            <v>21.271565549999998</v>
          </cell>
          <cell r="L860">
            <v>21.664519210000002</v>
          </cell>
          <cell r="M860">
            <v>22.046655099999999</v>
          </cell>
          <cell r="N860">
            <v>22.430208589999999</v>
          </cell>
          <cell r="O860">
            <v>22.81634451</v>
          </cell>
          <cell r="P860">
            <v>23.204906699999999</v>
          </cell>
          <cell r="Q860">
            <v>23.595810650000001</v>
          </cell>
          <cell r="R860">
            <v>23.98642667</v>
          </cell>
          <cell r="S860">
            <v>24.379233450000001</v>
          </cell>
          <cell r="T860">
            <v>24.77495717</v>
          </cell>
          <cell r="U860">
            <v>25.174138429999999</v>
          </cell>
          <cell r="V860">
            <v>25.557958920000001</v>
          </cell>
          <cell r="W860">
            <v>25.957591399999998</v>
          </cell>
          <cell r="X860">
            <v>26.36517405</v>
          </cell>
          <cell r="Y860">
            <v>26.779820789999999</v>
          </cell>
          <cell r="Z860">
            <v>27.20165879</v>
          </cell>
          <cell r="AA860">
            <v>27.574943470000001</v>
          </cell>
          <cell r="AB860">
            <v>27.962619870000001</v>
          </cell>
          <cell r="AC860">
            <v>28.35515204</v>
          </cell>
          <cell r="AD860">
            <v>28.752540799999998</v>
          </cell>
          <cell r="AE860">
            <v>29.156000909999999</v>
          </cell>
          <cell r="AF860">
            <v>29.56667813</v>
          </cell>
          <cell r="AG860">
            <v>29.986068790000001</v>
          </cell>
          <cell r="AH860">
            <v>30.41429772</v>
          </cell>
          <cell r="AI860">
            <v>30.851675610000001</v>
          </cell>
          <cell r="AJ860">
            <v>31.298401370000001</v>
          </cell>
          <cell r="AK860">
            <v>31.754570430000001</v>
          </cell>
          <cell r="AL860">
            <v>32.212085020000004</v>
          </cell>
          <cell r="AM860">
            <v>32.67419331</v>
          </cell>
          <cell r="AN860">
            <v>33.142234360000003</v>
          </cell>
          <cell r="AO860">
            <v>33.6170756</v>
          </cell>
          <cell r="AP860">
            <v>34.099406180000003</v>
          </cell>
          <cell r="AQ860">
            <v>34.590667349999997</v>
          </cell>
          <cell r="AR860">
            <v>35.090626479999997</v>
          </cell>
          <cell r="AS860">
            <v>35.599501420000003</v>
          </cell>
          <cell r="AT860">
            <v>36.117482340000002</v>
          </cell>
          <cell r="AU860">
            <v>36.644692460000002</v>
          </cell>
          <cell r="AV860">
            <v>37.185452640000001</v>
          </cell>
          <cell r="AW860">
            <v>37.736879029999997</v>
          </cell>
          <cell r="AX860">
            <v>38.298475770000003</v>
          </cell>
          <cell r="AY860">
            <v>38.870068410000002</v>
          </cell>
          <cell r="AZ860">
            <v>39.45154488</v>
          </cell>
          <cell r="BA860">
            <v>48.979044649999999</v>
          </cell>
          <cell r="BB860">
            <v>49.925197480000001</v>
          </cell>
          <cell r="BC860">
            <v>50.890454120000001</v>
          </cell>
          <cell r="BD860">
            <v>51.87530229</v>
          </cell>
          <cell r="BE860">
            <v>52.880249550000002</v>
          </cell>
        </row>
        <row r="862">
          <cell r="A862" t="str">
            <v>ems_ci_co2_spri_2</v>
          </cell>
          <cell r="B862">
            <v>30.724554000000001</v>
          </cell>
          <cell r="C862">
            <v>30.730618119999999</v>
          </cell>
          <cell r="D862">
            <v>30.82463933</v>
          </cell>
          <cell r="E862">
            <v>30.993776929999999</v>
          </cell>
          <cell r="F862">
            <v>31.240416209999999</v>
          </cell>
          <cell r="G862">
            <v>31.562027659999998</v>
          </cell>
          <cell r="H862">
            <v>31.932730230000001</v>
          </cell>
          <cell r="I862">
            <v>32.350236099999996</v>
          </cell>
          <cell r="J862">
            <v>32.807828039999997</v>
          </cell>
          <cell r="K862">
            <v>33.2984486</v>
          </cell>
          <cell r="L862">
            <v>33.846465670000001</v>
          </cell>
          <cell r="M862">
            <v>34.401385900000001</v>
          </cell>
          <cell r="N862">
            <v>34.967086469999998</v>
          </cell>
          <cell r="O862">
            <v>35.542149479999999</v>
          </cell>
          <cell r="P862">
            <v>36.124373460000001</v>
          </cell>
          <cell r="Q862">
            <v>36.711913119999998</v>
          </cell>
          <cell r="R862">
            <v>37.30108224</v>
          </cell>
          <cell r="S862">
            <v>37.892100849999999</v>
          </cell>
          <cell r="T862">
            <v>38.484769729999996</v>
          </cell>
          <cell r="U862">
            <v>39.079040380000002</v>
          </cell>
          <cell r="V862">
            <v>39.652247549999998</v>
          </cell>
          <cell r="W862">
            <v>40.236587370000002</v>
          </cell>
          <cell r="X862">
            <v>40.827182739999998</v>
          </cell>
          <cell r="Y862">
            <v>41.4231573</v>
          </cell>
          <cell r="Z862">
            <v>42.024665519999999</v>
          </cell>
          <cell r="AA862">
            <v>42.566381479999997</v>
          </cell>
          <cell r="AB862">
            <v>43.110116189999999</v>
          </cell>
          <cell r="AC862">
            <v>43.65251276</v>
          </cell>
          <cell r="AD862">
            <v>44.194722749999997</v>
          </cell>
          <cell r="AE862">
            <v>44.738901429999999</v>
          </cell>
          <cell r="AF862">
            <v>45.287102529999999</v>
          </cell>
          <cell r="AG862">
            <v>45.841551930000001</v>
          </cell>
          <cell r="AH862">
            <v>46.403333799999999</v>
          </cell>
          <cell r="AI862">
            <v>46.97337873</v>
          </cell>
          <cell r="AJ862">
            <v>47.552375769999998</v>
          </cell>
          <cell r="AK862">
            <v>48.140801310000001</v>
          </cell>
          <cell r="AL862">
            <v>48.727904879999997</v>
          </cell>
          <cell r="AM862">
            <v>49.317697750000001</v>
          </cell>
          <cell r="AN862">
            <v>49.912081960000002</v>
          </cell>
          <cell r="AO862">
            <v>50.512221920000002</v>
          </cell>
          <cell r="AP862">
            <v>51.118997110000002</v>
          </cell>
          <cell r="AQ862">
            <v>51.73385081</v>
          </cell>
          <cell r="AR862">
            <v>52.356995220000002</v>
          </cell>
          <cell r="AS862">
            <v>52.988739250000002</v>
          </cell>
          <cell r="AT862">
            <v>53.629308719999997</v>
          </cell>
          <cell r="AU862">
            <v>54.278834510000003</v>
          </cell>
          <cell r="AV862">
            <v>54.941281949999997</v>
          </cell>
          <cell r="AW862">
            <v>55.614978440000002</v>
          </cell>
          <cell r="AX862">
            <v>56.299339439999997</v>
          </cell>
          <cell r="AY862">
            <v>56.993989149999997</v>
          </cell>
          <cell r="AZ862">
            <v>57.698606550000001</v>
          </cell>
          <cell r="BA862">
            <v>72.575607649999995</v>
          </cell>
          <cell r="BB862">
            <v>73.768639559999997</v>
          </cell>
          <cell r="BC862">
            <v>74.977568120000001</v>
          </cell>
          <cell r="BD862">
            <v>76.2029991</v>
          </cell>
          <cell r="BE862">
            <v>77.445539460000006</v>
          </cell>
        </row>
        <row r="864">
          <cell r="A864" t="str">
            <v>ems_ci_co2_spub_2</v>
          </cell>
          <cell r="B864">
            <v>14.28179675</v>
          </cell>
          <cell r="C864">
            <v>14.419363389999999</v>
          </cell>
          <cell r="D864">
            <v>14.57065208</v>
          </cell>
          <cell r="E864">
            <v>14.73326033</v>
          </cell>
          <cell r="F864">
            <v>14.911532319999999</v>
          </cell>
          <cell r="G864">
            <v>15.107438399999999</v>
          </cell>
          <cell r="H864">
            <v>15.308304680000001</v>
          </cell>
          <cell r="I864">
            <v>15.522273480000001</v>
          </cell>
          <cell r="J864">
            <v>15.748867779999999</v>
          </cell>
          <cell r="K864">
            <v>15.986643989999999</v>
          </cell>
          <cell r="L864">
            <v>16.255727780000001</v>
          </cell>
          <cell r="M864">
            <v>16.516444360000001</v>
          </cell>
          <cell r="N864">
            <v>16.782337080000001</v>
          </cell>
          <cell r="O864">
            <v>17.054267840000001</v>
          </cell>
          <cell r="P864">
            <v>17.33164859</v>
          </cell>
          <cell r="Q864">
            <v>17.61384494</v>
          </cell>
          <cell r="R864">
            <v>17.900064350000001</v>
          </cell>
          <cell r="S864">
            <v>18.18992166</v>
          </cell>
          <cell r="T864">
            <v>18.483109379999998</v>
          </cell>
          <cell r="U864">
            <v>18.779419690000001</v>
          </cell>
          <cell r="V864">
            <v>19.06260271</v>
          </cell>
          <cell r="W864">
            <v>19.361271299999999</v>
          </cell>
          <cell r="X864">
            <v>19.664522959999999</v>
          </cell>
          <cell r="Y864">
            <v>19.971103599999999</v>
          </cell>
          <cell r="Z864">
            <v>20.280978739999998</v>
          </cell>
          <cell r="AA864">
            <v>20.54750288</v>
          </cell>
          <cell r="AB864">
            <v>20.83184662</v>
          </cell>
          <cell r="AC864">
            <v>21.119458720000001</v>
          </cell>
          <cell r="AD864">
            <v>21.408888869999998</v>
          </cell>
          <cell r="AE864">
            <v>21.700351189999999</v>
          </cell>
          <cell r="AF864">
            <v>21.994246149999999</v>
          </cell>
          <cell r="AG864">
            <v>22.291023450000001</v>
          </cell>
          <cell r="AH864">
            <v>22.591030109999998</v>
          </cell>
          <cell r="AI864">
            <v>22.89457896</v>
          </cell>
          <cell r="AJ864">
            <v>23.201941659999999</v>
          </cell>
          <cell r="AK864">
            <v>23.513350450000001</v>
          </cell>
          <cell r="AL864">
            <v>23.818207879999999</v>
          </cell>
          <cell r="AM864">
            <v>24.125301010000001</v>
          </cell>
          <cell r="AN864">
            <v>24.435847890000002</v>
          </cell>
          <cell r="AO864">
            <v>24.750113769999999</v>
          </cell>
          <cell r="AP864">
            <v>25.068244029999999</v>
          </cell>
          <cell r="AQ864">
            <v>25.390451809999998</v>
          </cell>
          <cell r="AR864">
            <v>25.716849109999998</v>
          </cell>
          <cell r="AS864">
            <v>26.04754372</v>
          </cell>
          <cell r="AT864">
            <v>26.382628140000001</v>
          </cell>
          <cell r="AU864">
            <v>26.722180940000001</v>
          </cell>
          <cell r="AV864">
            <v>27.06757872</v>
          </cell>
          <cell r="AW864">
            <v>27.41806712</v>
          </cell>
          <cell r="AX864">
            <v>27.773587419999998</v>
          </cell>
          <cell r="AY864">
            <v>28.134143259999998</v>
          </cell>
          <cell r="AZ864">
            <v>28.499735090000001</v>
          </cell>
          <cell r="BA864">
            <v>33.704159480000001</v>
          </cell>
          <cell r="BB864">
            <v>34.277441899999999</v>
          </cell>
          <cell r="BC864">
            <v>34.858916180000001</v>
          </cell>
          <cell r="BD864">
            <v>35.448836919999998</v>
          </cell>
          <cell r="BE864">
            <v>36.047462230000001</v>
          </cell>
        </row>
        <row r="866">
          <cell r="A866" t="str">
            <v>ems_ci_co2_smin_2</v>
          </cell>
          <cell r="B866">
            <v>1.0271013929999999</v>
          </cell>
          <cell r="C866">
            <v>1.0291651340000001</v>
          </cell>
          <cell r="D866">
            <v>1.036762025</v>
          </cell>
          <cell r="E866">
            <v>1.0472180689999999</v>
          </cell>
          <cell r="F866">
            <v>1.059678125</v>
          </cell>
          <cell r="G866">
            <v>1.0736912590000001</v>
          </cell>
          <cell r="H866">
            <v>1.0883041929999999</v>
          </cell>
          <cell r="I866">
            <v>1.10357449</v>
          </cell>
          <cell r="J866">
            <v>1.119402563</v>
          </cell>
          <cell r="K866">
            <v>1.13566225</v>
          </cell>
          <cell r="L866">
            <v>1.1532803549999999</v>
          </cell>
          <cell r="M866">
            <v>1.1704741110000001</v>
          </cell>
          <cell r="N866">
            <v>1.187591579</v>
          </cell>
          <cell r="O866">
            <v>1.204718929</v>
          </cell>
          <cell r="P866">
            <v>1.2218715389999999</v>
          </cell>
          <cell r="Q866">
            <v>1.2390575539999999</v>
          </cell>
          <cell r="R866">
            <v>1.2561835189999999</v>
          </cell>
          <cell r="S866">
            <v>1.273350137</v>
          </cell>
          <cell r="T866">
            <v>1.2906066519999999</v>
          </cell>
          <cell r="U866">
            <v>1.307990003</v>
          </cell>
          <cell r="V866">
            <v>1.324773231</v>
          </cell>
          <cell r="W866">
            <v>1.342150457</v>
          </cell>
          <cell r="X866">
            <v>1.359904953</v>
          </cell>
          <cell r="Y866">
            <v>1.3779843060000001</v>
          </cell>
          <cell r="Z866">
            <v>1.3963879809999999</v>
          </cell>
          <cell r="AA866">
            <v>1.4129503880000001</v>
          </cell>
          <cell r="AB866">
            <v>1.43001014</v>
          </cell>
          <cell r="AC866">
            <v>1.4473711069999999</v>
          </cell>
          <cell r="AD866">
            <v>1.4650074719999999</v>
          </cell>
          <cell r="AE866">
            <v>1.4829469980000001</v>
          </cell>
          <cell r="AF866">
            <v>1.501222549</v>
          </cell>
          <cell r="AG866">
            <v>1.5198833780000001</v>
          </cell>
          <cell r="AH866">
            <v>1.5389275520000001</v>
          </cell>
          <cell r="AI866">
            <v>1.55835689</v>
          </cell>
          <cell r="AJ866">
            <v>1.5781697750000001</v>
          </cell>
          <cell r="AK866">
            <v>1.5983607790000001</v>
          </cell>
          <cell r="AL866">
            <v>1.618615377</v>
          </cell>
          <cell r="AM866">
            <v>1.63903581</v>
          </cell>
          <cell r="AN866">
            <v>1.659672405</v>
          </cell>
          <cell r="AO866">
            <v>1.680551849</v>
          </cell>
          <cell r="AP866">
            <v>1.7016917739999999</v>
          </cell>
          <cell r="AQ866">
            <v>1.7231391030000001</v>
          </cell>
          <cell r="AR866">
            <v>1.744878704</v>
          </cell>
          <cell r="AS866">
            <v>1.766909297</v>
          </cell>
          <cell r="AT866">
            <v>1.789231258</v>
          </cell>
          <cell r="AU866">
            <v>1.811843951</v>
          </cell>
          <cell r="AV866">
            <v>1.8349086020000001</v>
          </cell>
          <cell r="AW866">
            <v>1.8583182810000001</v>
          </cell>
          <cell r="AX866">
            <v>1.8820390899999999</v>
          </cell>
          <cell r="AY866">
            <v>1.9060577919999999</v>
          </cell>
          <cell r="AZ866">
            <v>1.930367452</v>
          </cell>
          <cell r="BA866">
            <v>2.3194195799999999</v>
          </cell>
          <cell r="BB866">
            <v>2.3587256729999999</v>
          </cell>
          <cell r="BC866">
            <v>2.398702202</v>
          </cell>
          <cell r="BD866">
            <v>2.4393586269999998</v>
          </cell>
          <cell r="BE866">
            <v>2.4807043590000002</v>
          </cell>
        </row>
        <row r="868">
          <cell r="A868" t="str">
            <v>ems_ci_co2_soil_2</v>
          </cell>
          <cell r="B868">
            <v>16.249762799999999</v>
          </cell>
          <cell r="C868">
            <v>16.254537549999998</v>
          </cell>
          <cell r="D868">
            <v>16.301071650000001</v>
          </cell>
          <cell r="E868">
            <v>16.373120879999998</v>
          </cell>
          <cell r="F868">
            <v>16.471631410000001</v>
          </cell>
          <cell r="G868">
            <v>16.594831599999999</v>
          </cell>
          <cell r="H868">
            <v>16.731335229999999</v>
          </cell>
          <cell r="I868">
            <v>16.882765750000001</v>
          </cell>
          <cell r="J868">
            <v>17.046824489999999</v>
          </cell>
          <cell r="K868">
            <v>17.220832250000001</v>
          </cell>
          <cell r="L868">
            <v>17.416888159999999</v>
          </cell>
          <cell r="M868">
            <v>17.608402909999999</v>
          </cell>
          <cell r="N868">
            <v>17.80182864</v>
          </cell>
          <cell r="O868">
            <v>17.998004300000002</v>
          </cell>
          <cell r="P868">
            <v>18.19664972</v>
          </cell>
          <cell r="Q868">
            <v>18.397394609999999</v>
          </cell>
          <cell r="R868">
            <v>18.598276009999999</v>
          </cell>
          <cell r="S868">
            <v>18.800477990000001</v>
          </cell>
          <cell r="T868">
            <v>19.004229169999999</v>
          </cell>
          <cell r="U868">
            <v>19.209608150000001</v>
          </cell>
          <cell r="V868">
            <v>19.406318049999999</v>
          </cell>
          <cell r="W868">
            <v>19.611282580000001</v>
          </cell>
          <cell r="X868">
            <v>19.819942220000001</v>
          </cell>
          <cell r="Y868">
            <v>20.031330749999999</v>
          </cell>
          <cell r="Z868">
            <v>20.245328189999999</v>
          </cell>
          <cell r="AA868">
            <v>20.43240363</v>
          </cell>
          <cell r="AB868">
            <v>20.627195350000001</v>
          </cell>
          <cell r="AC868">
            <v>20.824416339999999</v>
          </cell>
          <cell r="AD868">
            <v>21.023231469999999</v>
          </cell>
          <cell r="AE868">
            <v>21.22383503</v>
          </cell>
          <cell r="AF868">
            <v>21.42658312</v>
          </cell>
          <cell r="AG868">
            <v>21.632179440000002</v>
          </cell>
          <cell r="AH868">
            <v>21.840580280000001</v>
          </cell>
          <cell r="AI868">
            <v>22.05190022</v>
          </cell>
          <cell r="AJ868">
            <v>22.26623944</v>
          </cell>
          <cell r="AK868">
            <v>22.483659379999999</v>
          </cell>
          <cell r="AL868">
            <v>22.700573819999999</v>
          </cell>
          <cell r="AM868">
            <v>22.918666900000002</v>
          </cell>
          <cell r="AN868">
            <v>23.138554630000002</v>
          </cell>
          <cell r="AO868">
            <v>23.360532389999999</v>
          </cell>
          <cell r="AP868">
            <v>23.584796740000002</v>
          </cell>
          <cell r="AQ868">
            <v>23.812036939999999</v>
          </cell>
          <cell r="AR868">
            <v>24.0419634</v>
          </cell>
          <cell r="AS868">
            <v>24.274574650000002</v>
          </cell>
          <cell r="AT868">
            <v>24.509902189999998</v>
          </cell>
          <cell r="AU868">
            <v>24.747964249999999</v>
          </cell>
          <cell r="AV868">
            <v>24.99120696</v>
          </cell>
          <cell r="AW868">
            <v>25.237875219999999</v>
          </cell>
          <cell r="AX868">
            <v>25.487561240000002</v>
          </cell>
          <cell r="AY868">
            <v>25.74013467</v>
          </cell>
          <cell r="AZ868">
            <v>25.995517660000001</v>
          </cell>
          <cell r="BA868">
            <v>31.883603999999998</v>
          </cell>
          <cell r="BB868">
            <v>32.347674509999997</v>
          </cell>
          <cell r="BC868">
            <v>32.819326539999999</v>
          </cell>
          <cell r="BD868">
            <v>33.298744659999997</v>
          </cell>
          <cell r="BE868">
            <v>33.786124770000001</v>
          </cell>
        </row>
        <row r="870">
          <cell r="A870" t="str">
            <v>ems_ci_co2_sbfu_2</v>
          </cell>
          <cell r="B870">
            <v>3.7943829490000001</v>
          </cell>
          <cell r="C870">
            <v>3.7925732000000001</v>
          </cell>
          <cell r="D870">
            <v>3.7955802969999999</v>
          </cell>
          <cell r="E870">
            <v>3.8044133809999998</v>
          </cell>
          <cell r="F870">
            <v>3.8206525679999999</v>
          </cell>
          <cell r="G870">
            <v>3.8440234420000001</v>
          </cell>
          <cell r="H870">
            <v>3.8716950080000001</v>
          </cell>
          <cell r="I870">
            <v>3.9035615020000001</v>
          </cell>
          <cell r="J870">
            <v>3.9388300310000002</v>
          </cell>
          <cell r="K870">
            <v>3.9767628770000001</v>
          </cell>
          <cell r="L870">
            <v>4.0196754639999996</v>
          </cell>
          <cell r="M870">
            <v>4.0621174079999998</v>
          </cell>
          <cell r="N870">
            <v>4.1053918070000002</v>
          </cell>
          <cell r="O870">
            <v>4.1495394330000002</v>
          </cell>
          <cell r="P870">
            <v>4.194420526</v>
          </cell>
          <cell r="Q870">
            <v>4.2399055170000004</v>
          </cell>
          <cell r="R870">
            <v>4.2855398039999999</v>
          </cell>
          <cell r="S870">
            <v>4.331535261</v>
          </cell>
          <cell r="T870">
            <v>4.3778973619999997</v>
          </cell>
          <cell r="U870">
            <v>4.4246092170000004</v>
          </cell>
          <cell r="V870">
            <v>4.4695602049999996</v>
          </cell>
          <cell r="W870">
            <v>4.5161354740000004</v>
          </cell>
          <cell r="X870">
            <v>4.5633512840000003</v>
          </cell>
          <cell r="Y870">
            <v>4.6110394110000001</v>
          </cell>
          <cell r="Z870">
            <v>4.6591821060000003</v>
          </cell>
          <cell r="AA870">
            <v>4.701794992</v>
          </cell>
          <cell r="AB870">
            <v>4.7458507330000002</v>
          </cell>
          <cell r="AC870">
            <v>4.7901298929999996</v>
          </cell>
          <cell r="AD870">
            <v>4.8345097719999996</v>
          </cell>
          <cell r="AE870">
            <v>4.8790670680000003</v>
          </cell>
          <cell r="AF870">
            <v>4.9239004350000002</v>
          </cell>
          <cell r="AG870">
            <v>4.9691756800000002</v>
          </cell>
          <cell r="AH870">
            <v>5.0148979560000004</v>
          </cell>
          <cell r="AI870">
            <v>5.061105435</v>
          </cell>
          <cell r="AJ870">
            <v>5.107830162</v>
          </cell>
          <cell r="AK870">
            <v>5.1550940790000004</v>
          </cell>
          <cell r="AL870">
            <v>5.202200768</v>
          </cell>
          <cell r="AM870">
            <v>5.249468437</v>
          </cell>
          <cell r="AN870">
            <v>5.2970026839999997</v>
          </cell>
          <cell r="AO870">
            <v>5.3448624440000003</v>
          </cell>
          <cell r="AP870">
            <v>5.3930941849999998</v>
          </cell>
          <cell r="AQ870">
            <v>5.4418496809999999</v>
          </cell>
          <cell r="AR870">
            <v>5.4910744410000003</v>
          </cell>
          <cell r="AS870">
            <v>5.5407759619999997</v>
          </cell>
          <cell r="AT870">
            <v>5.5909653849999996</v>
          </cell>
          <cell r="AU870">
            <v>5.6416483990000001</v>
          </cell>
          <cell r="AV870">
            <v>5.6933323099999997</v>
          </cell>
          <cell r="AW870">
            <v>5.7456475119999997</v>
          </cell>
          <cell r="AX870">
            <v>5.798516845</v>
          </cell>
          <cell r="AY870">
            <v>5.8519115939999997</v>
          </cell>
          <cell r="AZ870">
            <v>5.90580967</v>
          </cell>
          <cell r="BA870">
            <v>7.2498662630000004</v>
          </cell>
          <cell r="BB870">
            <v>7.3506676459999998</v>
          </cell>
          <cell r="BC870">
            <v>7.4530505619999996</v>
          </cell>
          <cell r="BD870">
            <v>7.5570639120000003</v>
          </cell>
          <cell r="BE870">
            <v>7.662759103</v>
          </cell>
        </row>
        <row r="872">
          <cell r="A872" t="str">
            <v>ems_ci_co2_seoi_2</v>
          </cell>
          <cell r="B872">
            <v>3.0073275210000001</v>
          </cell>
          <cell r="C872">
            <v>3.0117003360000001</v>
          </cell>
          <cell r="D872">
            <v>3.019817717</v>
          </cell>
          <cell r="E872">
            <v>3.0314399060000001</v>
          </cell>
          <cell r="F872">
            <v>3.0471231109999999</v>
          </cell>
          <cell r="G872">
            <v>3.0666178569999998</v>
          </cell>
          <cell r="H872">
            <v>3.0886789989999999</v>
          </cell>
          <cell r="I872">
            <v>3.1132969190000002</v>
          </cell>
          <cell r="J872">
            <v>3.1399478150000002</v>
          </cell>
          <cell r="K872">
            <v>3.1680119759999998</v>
          </cell>
          <cell r="L872">
            <v>3.1993158639999999</v>
          </cell>
          <cell r="M872">
            <v>3.2297495920000001</v>
          </cell>
          <cell r="N872">
            <v>3.259801087</v>
          </cell>
          <cell r="O872">
            <v>3.2896337</v>
          </cell>
          <cell r="P872">
            <v>3.3192663809999998</v>
          </cell>
          <cell r="Q872">
            <v>3.3486998429999999</v>
          </cell>
          <cell r="R872">
            <v>3.3777613620000002</v>
          </cell>
          <cell r="S872">
            <v>3.4066119289999999</v>
          </cell>
          <cell r="T872">
            <v>3.435347809</v>
          </cell>
          <cell r="U872">
            <v>3.464052439</v>
          </cell>
          <cell r="V872">
            <v>3.4910981620000001</v>
          </cell>
          <cell r="W872">
            <v>3.5191438509999999</v>
          </cell>
          <cell r="X872">
            <v>3.5478139309999999</v>
          </cell>
          <cell r="Y872">
            <v>3.5769800819999999</v>
          </cell>
          <cell r="Z872">
            <v>3.606643944</v>
          </cell>
          <cell r="AA872">
            <v>3.631982088</v>
          </cell>
          <cell r="AB872">
            <v>3.658111329</v>
          </cell>
          <cell r="AC872">
            <v>3.6848431609999999</v>
          </cell>
          <cell r="AD872">
            <v>3.7121276399999998</v>
          </cell>
          <cell r="AE872">
            <v>3.7400247059999998</v>
          </cell>
          <cell r="AF872">
            <v>3.7686117530000001</v>
          </cell>
          <cell r="AG872">
            <v>3.7979973309999999</v>
          </cell>
          <cell r="AH872">
            <v>3.8282024959999998</v>
          </cell>
          <cell r="AI872">
            <v>3.8592483280000001</v>
          </cell>
          <cell r="AJ872">
            <v>3.891146113</v>
          </cell>
          <cell r="AK872">
            <v>3.9238959430000002</v>
          </cell>
          <cell r="AL872">
            <v>3.956720845</v>
          </cell>
          <cell r="AM872">
            <v>3.9899252070000002</v>
          </cell>
          <cell r="AN872">
            <v>4.0236705700000002</v>
          </cell>
          <cell r="AO872">
            <v>4.058031476</v>
          </cell>
          <cell r="AP872">
            <v>4.0930477239999998</v>
          </cell>
          <cell r="AQ872">
            <v>4.1288037329999998</v>
          </cell>
          <cell r="AR872">
            <v>4.1652786329999998</v>
          </cell>
          <cell r="AS872">
            <v>4.2024714999999997</v>
          </cell>
          <cell r="AT872">
            <v>4.2403831240000001</v>
          </cell>
          <cell r="AU872">
            <v>4.2790139890000001</v>
          </cell>
          <cell r="AV872">
            <v>4.3186673600000001</v>
          </cell>
          <cell r="AW872">
            <v>4.35916675</v>
          </cell>
          <cell r="AX872">
            <v>4.4004479359999999</v>
          </cell>
          <cell r="AY872">
            <v>4.4424865120000003</v>
          </cell>
          <cell r="AZ872">
            <v>4.4852717870000003</v>
          </cell>
          <cell r="BA872">
            <v>4.9407715779999997</v>
          </cell>
          <cell r="BB872">
            <v>5.0032921830000001</v>
          </cell>
          <cell r="BC872">
            <v>5.0669809370000003</v>
          </cell>
          <cell r="BD872">
            <v>5.1318433590000003</v>
          </cell>
          <cell r="BE872">
            <v>5.197886574</v>
          </cell>
        </row>
        <row r="874">
          <cell r="A874" t="str">
            <v>ems_ci_co2_sega_2</v>
          </cell>
          <cell r="B874">
            <v>3.5581966810000001</v>
          </cell>
          <cell r="C874">
            <v>3.5633711469999998</v>
          </cell>
          <cell r="D874">
            <v>3.572976127</v>
          </cell>
          <cell r="E874">
            <v>3.5867277849999999</v>
          </cell>
          <cell r="F874">
            <v>3.6052841039999999</v>
          </cell>
          <cell r="G874">
            <v>3.6283498679999999</v>
          </cell>
          <cell r="H874">
            <v>3.654451865</v>
          </cell>
          <cell r="I874">
            <v>3.6835787529999999</v>
          </cell>
          <cell r="J874">
            <v>3.7151108339999999</v>
          </cell>
          <cell r="K874">
            <v>3.7483149349999998</v>
          </cell>
          <cell r="L874">
            <v>3.785352107</v>
          </cell>
          <cell r="M874">
            <v>3.8213596889999999</v>
          </cell>
          <cell r="N874">
            <v>3.8569150269999999</v>
          </cell>
          <cell r="O874">
            <v>3.8922114259999998</v>
          </cell>
          <cell r="P874">
            <v>3.9272713289999999</v>
          </cell>
          <cell r="Q874">
            <v>3.9620955929999999</v>
          </cell>
          <cell r="R874">
            <v>3.996479865</v>
          </cell>
          <cell r="S874">
            <v>4.0306146299999996</v>
          </cell>
          <cell r="T874">
            <v>4.0646137849999997</v>
          </cell>
          <cell r="U874">
            <v>4.098576048</v>
          </cell>
          <cell r="V874">
            <v>4.1305756230000004</v>
          </cell>
          <cell r="W874">
            <v>4.163758402</v>
          </cell>
          <cell r="X874">
            <v>4.1976800000000001</v>
          </cell>
          <cell r="Y874">
            <v>4.2321885779999997</v>
          </cell>
          <cell r="Z874">
            <v>4.2672860669999997</v>
          </cell>
          <cell r="AA874">
            <v>4.2972655399999997</v>
          </cell>
          <cell r="AB874">
            <v>4.3281810629999997</v>
          </cell>
          <cell r="AC874">
            <v>4.3598095819999996</v>
          </cell>
          <cell r="AD874">
            <v>4.3920919940000003</v>
          </cell>
          <cell r="AE874">
            <v>4.4250992020000002</v>
          </cell>
          <cell r="AF874">
            <v>4.458922769</v>
          </cell>
          <cell r="AG874">
            <v>4.4936911220000004</v>
          </cell>
          <cell r="AH874">
            <v>4.5294291649999998</v>
          </cell>
          <cell r="AI874">
            <v>4.5661618390000003</v>
          </cell>
          <cell r="AJ874">
            <v>4.6039024919999996</v>
          </cell>
          <cell r="AK874">
            <v>4.6426512329999996</v>
          </cell>
          <cell r="AL874">
            <v>4.6814887729999999</v>
          </cell>
          <cell r="AM874">
            <v>4.7207752579999998</v>
          </cell>
          <cell r="AN874">
            <v>4.7607018229999998</v>
          </cell>
          <cell r="AO874">
            <v>4.8013566640000001</v>
          </cell>
          <cell r="AP874">
            <v>4.8427868729999997</v>
          </cell>
          <cell r="AQ874">
            <v>4.8850923330000002</v>
          </cell>
          <cell r="AR874">
            <v>4.9282483529999999</v>
          </cell>
          <cell r="AS874">
            <v>4.9722538409999997</v>
          </cell>
          <cell r="AT874">
            <v>5.017109735</v>
          </cell>
          <cell r="AU874">
            <v>5.0628166099999996</v>
          </cell>
          <cell r="AV874">
            <v>5.1097332800000004</v>
          </cell>
          <cell r="AW874">
            <v>5.157650931</v>
          </cell>
          <cell r="AX874">
            <v>5.2064935769999998</v>
          </cell>
          <cell r="AY874">
            <v>5.2562323439999998</v>
          </cell>
          <cell r="AZ874">
            <v>5.306854586</v>
          </cell>
          <cell r="BA874">
            <v>5.8457940060000002</v>
          </cell>
          <cell r="BB874">
            <v>5.9197668380000001</v>
          </cell>
          <cell r="BC874">
            <v>5.9951217950000002</v>
          </cell>
          <cell r="BD874">
            <v>6.0718654030000003</v>
          </cell>
          <cell r="BE874">
            <v>6.150006093</v>
          </cell>
        </row>
        <row r="876">
          <cell r="A876" t="str">
            <v>ems_ci_co2_seco_2</v>
          </cell>
          <cell r="B876">
            <v>7.334420776</v>
          </cell>
          <cell r="C876">
            <v>7.3450867720000002</v>
          </cell>
          <cell r="D876">
            <v>7.3648852739999997</v>
          </cell>
          <cell r="E876">
            <v>7.3932312180000004</v>
          </cell>
          <cell r="F876">
            <v>7.4314808899999996</v>
          </cell>
          <cell r="G876">
            <v>7.4790257650000003</v>
          </cell>
          <cell r="H876">
            <v>7.5328291500000004</v>
          </cell>
          <cell r="I876">
            <v>7.5928676690000003</v>
          </cell>
          <cell r="J876">
            <v>7.6578639500000003</v>
          </cell>
          <cell r="K876">
            <v>7.7263067210000003</v>
          </cell>
          <cell r="L876">
            <v>7.8026505070000001</v>
          </cell>
          <cell r="M876">
            <v>7.8768720239999999</v>
          </cell>
          <cell r="N876">
            <v>7.9501613439999996</v>
          </cell>
          <cell r="O876">
            <v>8.022916918</v>
          </cell>
          <cell r="P876">
            <v>8.0951850079999996</v>
          </cell>
          <cell r="Q876">
            <v>8.1669673829999994</v>
          </cell>
          <cell r="R876">
            <v>8.2378428120000002</v>
          </cell>
          <cell r="S876">
            <v>8.3082039390000002</v>
          </cell>
          <cell r="T876">
            <v>8.3782855380000001</v>
          </cell>
          <cell r="U876">
            <v>8.4482910909999998</v>
          </cell>
          <cell r="V876">
            <v>8.5142510040000001</v>
          </cell>
          <cell r="W876">
            <v>8.5826498269999991</v>
          </cell>
          <cell r="X876">
            <v>8.652571558</v>
          </cell>
          <cell r="Y876">
            <v>8.7237032170000006</v>
          </cell>
          <cell r="Z876">
            <v>8.7960487839999999</v>
          </cell>
          <cell r="AA876">
            <v>8.8578447120000003</v>
          </cell>
          <cell r="AB876">
            <v>8.921570097</v>
          </cell>
          <cell r="AC876">
            <v>8.9867651639999995</v>
          </cell>
          <cell r="AD876">
            <v>9.0533080819999991</v>
          </cell>
          <cell r="AE876">
            <v>9.1213450050000002</v>
          </cell>
          <cell r="AF876">
            <v>9.1910646689999993</v>
          </cell>
          <cell r="AG876">
            <v>9.2627317940000005</v>
          </cell>
          <cell r="AH876">
            <v>9.3363977190000007</v>
          </cell>
          <cell r="AI876">
            <v>9.4121138480000006</v>
          </cell>
          <cell r="AJ876">
            <v>9.489907702</v>
          </cell>
          <cell r="AK876">
            <v>9.5697795019999994</v>
          </cell>
          <cell r="AL876">
            <v>9.6498343389999999</v>
          </cell>
          <cell r="AM876">
            <v>9.7308145770000003</v>
          </cell>
          <cell r="AN876">
            <v>9.8131141950000007</v>
          </cell>
          <cell r="AO876">
            <v>9.8969149900000009</v>
          </cell>
          <cell r="AP876">
            <v>9.9823140309999996</v>
          </cell>
          <cell r="AQ876">
            <v>10.069517210000001</v>
          </cell>
          <cell r="AR876">
            <v>10.158473620000001</v>
          </cell>
          <cell r="AS876">
            <v>10.24918102</v>
          </cell>
          <cell r="AT876">
            <v>10.341641340000001</v>
          </cell>
          <cell r="AU876">
            <v>10.435855760000001</v>
          </cell>
          <cell r="AV876">
            <v>10.53256391</v>
          </cell>
          <cell r="AW876">
            <v>10.631335350000001</v>
          </cell>
          <cell r="AX876">
            <v>10.732013459999999</v>
          </cell>
          <cell r="AY876">
            <v>10.834538719999999</v>
          </cell>
          <cell r="AZ876">
            <v>10.93888507</v>
          </cell>
          <cell r="BA876">
            <v>12.04978725</v>
          </cell>
          <cell r="BB876">
            <v>12.202265580000001</v>
          </cell>
          <cell r="BC876">
            <v>12.35759285</v>
          </cell>
          <cell r="BD876">
            <v>12.5157825</v>
          </cell>
          <cell r="BE876">
            <v>12.67685193</v>
          </cell>
        </row>
        <row r="878">
          <cell r="A878" t="str">
            <v>ems_ci_co2_sech_2</v>
          </cell>
          <cell r="B878">
            <v>9.5771217990000004</v>
          </cell>
          <cell r="C878">
            <v>9.6313005799999996</v>
          </cell>
          <cell r="D878">
            <v>9.6991128720000006</v>
          </cell>
          <cell r="E878">
            <v>9.7765458939999998</v>
          </cell>
          <cell r="F878">
            <v>9.8634554619999992</v>
          </cell>
          <cell r="G878">
            <v>9.9598057600000001</v>
          </cell>
          <cell r="H878">
            <v>10.054735340000001</v>
          </cell>
          <cell r="I878">
            <v>10.14745301</v>
          </cell>
          <cell r="J878">
            <v>10.239227059999999</v>
          </cell>
          <cell r="K878">
            <v>10.331122369999999</v>
          </cell>
          <cell r="L878">
            <v>10.434966319999999</v>
          </cell>
          <cell r="M878">
            <v>10.53360183</v>
          </cell>
          <cell r="N878">
            <v>10.629588439999999</v>
          </cell>
          <cell r="O878">
            <v>10.72458102</v>
          </cell>
          <cell r="P878">
            <v>10.81923306</v>
          </cell>
          <cell r="Q878">
            <v>10.91377228</v>
          </cell>
          <cell r="R878">
            <v>11.00789352</v>
          </cell>
          <cell r="S878">
            <v>11.101861510000001</v>
          </cell>
          <cell r="T878">
            <v>11.195814349999999</v>
          </cell>
          <cell r="U878">
            <v>11.28987029</v>
          </cell>
          <cell r="V878">
            <v>11.376322849999999</v>
          </cell>
          <cell r="W878">
            <v>11.46701869</v>
          </cell>
          <cell r="X878">
            <v>11.56040503</v>
          </cell>
          <cell r="Y878">
            <v>11.655445690000001</v>
          </cell>
          <cell r="Z878">
            <v>11.75175177</v>
          </cell>
          <cell r="AA878">
            <v>11.82740708</v>
          </cell>
          <cell r="AB878">
            <v>11.90489004</v>
          </cell>
          <cell r="AC878">
            <v>11.98442079</v>
          </cell>
          <cell r="AD878">
            <v>12.06557089</v>
          </cell>
          <cell r="AE878">
            <v>12.148201780000001</v>
          </cell>
          <cell r="AF878">
            <v>12.232313619999999</v>
          </cell>
          <cell r="AG878">
            <v>12.31804019</v>
          </cell>
          <cell r="AH878">
            <v>12.40538664</v>
          </cell>
          <cell r="AI878">
            <v>12.49437713</v>
          </cell>
          <cell r="AJ878">
            <v>12.585027650000001</v>
          </cell>
          <cell r="AK878">
            <v>12.677338669999999</v>
          </cell>
          <cell r="AL878">
            <v>12.76714501</v>
          </cell>
          <cell r="AM878">
            <v>12.856365220000001</v>
          </cell>
          <cell r="AN878">
            <v>12.946136320000001</v>
          </cell>
          <cell r="AO878">
            <v>13.036968379999999</v>
          </cell>
          <cell r="AP878">
            <v>13.129081190000001</v>
          </cell>
          <cell r="AQ878">
            <v>13.22268656</v>
          </cell>
          <cell r="AR878">
            <v>13.3177567</v>
          </cell>
          <cell r="AS878">
            <v>13.4142914</v>
          </cell>
          <cell r="AT878">
            <v>13.51227767</v>
          </cell>
          <cell r="AU878">
            <v>13.611707259999999</v>
          </cell>
          <cell r="AV878">
            <v>13.713383179999999</v>
          </cell>
          <cell r="AW878">
            <v>13.816861980000001</v>
          </cell>
          <cell r="AX878">
            <v>13.92194913</v>
          </cell>
          <cell r="AY878">
            <v>14.02856358</v>
          </cell>
          <cell r="AZ878">
            <v>14.136668780000001</v>
          </cell>
          <cell r="BA878">
            <v>14.959048920000001</v>
          </cell>
          <cell r="BB878">
            <v>15.108809000000001</v>
          </cell>
          <cell r="BC878">
            <v>15.2610198</v>
          </cell>
          <cell r="BD878">
            <v>15.41566873</v>
          </cell>
          <cell r="BE878">
            <v>15.57277088</v>
          </cell>
        </row>
        <row r="880">
          <cell r="A880" t="str">
            <v>ems_ci_co2_seot_2</v>
          </cell>
          <cell r="B880">
            <v>1.304699059</v>
          </cell>
          <cell r="C880">
            <v>1.306175944</v>
          </cell>
          <cell r="D880">
            <v>1.309049522</v>
          </cell>
          <cell r="E880">
            <v>1.313284012</v>
          </cell>
          <cell r="F880">
            <v>1.319198157</v>
          </cell>
          <cell r="G880">
            <v>1.3267507629999999</v>
          </cell>
          <cell r="H880">
            <v>1.335452562</v>
          </cell>
          <cell r="I880">
            <v>1.3453311029999999</v>
          </cell>
          <cell r="J880">
            <v>1.3561772780000001</v>
          </cell>
          <cell r="K880">
            <v>1.367730669</v>
          </cell>
          <cell r="L880">
            <v>1.3807821760000001</v>
          </cell>
          <cell r="M880">
            <v>1.3935555509999999</v>
          </cell>
          <cell r="N880">
            <v>1.406255413</v>
          </cell>
          <cell r="O880">
            <v>1.418944161</v>
          </cell>
          <cell r="P880">
            <v>1.431621166</v>
          </cell>
          <cell r="Q880">
            <v>1.4442776900000001</v>
          </cell>
          <cell r="R880">
            <v>1.456829607</v>
          </cell>
          <cell r="S880">
            <v>1.4693366349999999</v>
          </cell>
          <cell r="T880">
            <v>1.4818309460000001</v>
          </cell>
          <cell r="U880">
            <v>1.4943397919999999</v>
          </cell>
          <cell r="V880">
            <v>1.5061514789999999</v>
          </cell>
          <cell r="W880">
            <v>1.5184046920000001</v>
          </cell>
          <cell r="X880">
            <v>1.5309313099999999</v>
          </cell>
          <cell r="Y880">
            <v>1.543671137</v>
          </cell>
          <cell r="Z880">
            <v>1.556620874</v>
          </cell>
          <cell r="AA880">
            <v>1.5676910529999999</v>
          </cell>
          <cell r="AB880">
            <v>1.5790824729999999</v>
          </cell>
          <cell r="AC880">
            <v>1.5907092490000001</v>
          </cell>
          <cell r="AD880">
            <v>1.602547288</v>
          </cell>
          <cell r="AE880">
            <v>1.6146211960000001</v>
          </cell>
          <cell r="AF880">
            <v>1.6269640750000001</v>
          </cell>
          <cell r="AG880">
            <v>1.639623415</v>
          </cell>
          <cell r="AH880">
            <v>1.652609682</v>
          </cell>
          <cell r="AI880">
            <v>1.6659339010000001</v>
          </cell>
          <cell r="AJ880">
            <v>1.6796032380000001</v>
          </cell>
          <cell r="AK880">
            <v>1.6936202220000001</v>
          </cell>
          <cell r="AL880">
            <v>1.7076519960000001</v>
          </cell>
          <cell r="AM880">
            <v>1.721831908</v>
          </cell>
          <cell r="AN880">
            <v>1.7362313170000001</v>
          </cell>
          <cell r="AO880">
            <v>1.7508838289999999</v>
          </cell>
          <cell r="AP880">
            <v>1.7658079179999999</v>
          </cell>
          <cell r="AQ880">
            <v>1.781041348</v>
          </cell>
          <cell r="AR880">
            <v>1.7965764230000001</v>
          </cell>
          <cell r="AS880">
            <v>1.8124139640000001</v>
          </cell>
          <cell r="AT880">
            <v>1.8285554369999999</v>
          </cell>
          <cell r="AU880">
            <v>1.8450020760000001</v>
          </cell>
          <cell r="AV880">
            <v>1.8618861470000001</v>
          </cell>
          <cell r="AW880">
            <v>1.8791331090000001</v>
          </cell>
          <cell r="AX880">
            <v>1.8967165370000001</v>
          </cell>
          <cell r="AY880">
            <v>1.9146267960000001</v>
          </cell>
          <cell r="AZ880">
            <v>1.9328598299999999</v>
          </cell>
          <cell r="BA880">
            <v>2.1598708860000002</v>
          </cell>
          <cell r="BB880">
            <v>2.187238834</v>
          </cell>
          <cell r="BC880">
            <v>2.2150941770000001</v>
          </cell>
          <cell r="BD880">
            <v>2.2434400540000001</v>
          </cell>
          <cell r="BE880">
            <v>2.272280496</v>
          </cell>
        </row>
        <row r="882">
          <cell r="A882" t="str">
            <v>ems_y_co2_sagr_2</v>
          </cell>
          <cell r="B882">
            <v>2.6941842099999998E-2</v>
          </cell>
          <cell r="C882">
            <v>2.6988167699999999E-2</v>
          </cell>
          <cell r="D882">
            <v>2.7123363599999999E-2</v>
          </cell>
          <cell r="E882">
            <v>2.7330642700000001E-2</v>
          </cell>
          <cell r="F882">
            <v>2.7601364E-2</v>
          </cell>
          <cell r="G882">
            <v>2.7926168899999999E-2</v>
          </cell>
          <cell r="H882">
            <v>2.82782845E-2</v>
          </cell>
          <cell r="I882">
            <v>2.86590179E-2</v>
          </cell>
          <cell r="J882">
            <v>2.9063332099999999E-2</v>
          </cell>
          <cell r="K882">
            <v>2.94866433E-2</v>
          </cell>
          <cell r="L882">
            <v>2.9953922500000001E-2</v>
          </cell>
          <cell r="M882">
            <v>3.0414722299999999E-2</v>
          </cell>
          <cell r="N882">
            <v>3.0880997399999999E-2</v>
          </cell>
          <cell r="O882">
            <v>3.1352050100000001E-2</v>
          </cell>
          <cell r="P882">
            <v>3.1827052299999999E-2</v>
          </cell>
          <cell r="Q882">
            <v>3.2305528999999999E-2</v>
          </cell>
          <cell r="R882">
            <v>3.2784694599999997E-2</v>
          </cell>
          <cell r="S882">
            <v>3.3266745799999997E-2</v>
          </cell>
          <cell r="T882">
            <v>3.37521109E-2</v>
          </cell>
          <cell r="U882">
            <v>3.4241204800000001E-2</v>
          </cell>
          <cell r="V882">
            <v>3.4713268499999998E-2</v>
          </cell>
          <cell r="W882">
            <v>3.5201521399999998E-2</v>
          </cell>
          <cell r="X882">
            <v>3.5697449700000002E-2</v>
          </cell>
          <cell r="Y882">
            <v>3.62007632E-2</v>
          </cell>
          <cell r="Z882">
            <v>3.6711536000000003E-2</v>
          </cell>
          <cell r="AA882">
            <v>3.7169089099999997E-2</v>
          </cell>
          <cell r="AB882">
            <v>3.7639538700000003E-2</v>
          </cell>
          <cell r="AC882">
            <v>3.8112036199999998E-2</v>
          </cell>
          <cell r="AD882">
            <v>3.8588115100000001E-2</v>
          </cell>
          <cell r="AE882">
            <v>3.9069539100000002E-2</v>
          </cell>
          <cell r="AF882">
            <v>3.95577602E-2</v>
          </cell>
          <cell r="AG882">
            <v>4.0054420899999998E-2</v>
          </cell>
          <cell r="AH882">
            <v>4.0559748299999997E-2</v>
          </cell>
          <cell r="AI882">
            <v>4.1074105100000001E-2</v>
          </cell>
          <cell r="AJ882">
            <v>4.1597668900000002E-2</v>
          </cell>
          <cell r="AK882">
            <v>4.2130488600000002E-2</v>
          </cell>
          <cell r="AL882">
            <v>4.2663220799999999E-2</v>
          </cell>
          <cell r="AM882">
            <v>4.3199401800000002E-2</v>
          </cell>
          <cell r="AN882">
            <v>4.3740368600000003E-2</v>
          </cell>
          <cell r="AO882">
            <v>4.4287161800000002E-2</v>
          </cell>
          <cell r="AP882">
            <v>4.4840657200000002E-2</v>
          </cell>
          <cell r="AQ882">
            <v>4.5402407999999998E-2</v>
          </cell>
          <cell r="AR882">
            <v>4.5972319800000001E-2</v>
          </cell>
          <cell r="AS882">
            <v>4.6550727399999998E-2</v>
          </cell>
          <cell r="AT882">
            <v>4.7137856899999997E-2</v>
          </cell>
          <cell r="AU882">
            <v>4.77338343E-2</v>
          </cell>
          <cell r="AV882">
            <v>4.8342858099999997E-2</v>
          </cell>
          <cell r="AW882">
            <v>4.89620609E-2</v>
          </cell>
          <cell r="AX882">
            <v>4.9591071399999999E-2</v>
          </cell>
          <cell r="AY882">
            <v>5.0229643900000003E-2</v>
          </cell>
          <cell r="AZ882">
            <v>5.0877580200000001E-2</v>
          </cell>
          <cell r="BA882">
            <v>6.0330790299999999E-2</v>
          </cell>
          <cell r="BB882">
            <v>6.1318025399999997E-2</v>
          </cell>
          <cell r="BC882">
            <v>6.2321753899999999E-2</v>
          </cell>
          <cell r="BD882">
            <v>6.3342322300000004E-2</v>
          </cell>
          <cell r="BE882">
            <v>6.4380092700000002E-2</v>
          </cell>
        </row>
        <row r="883">
          <cell r="A883" t="str">
            <v>ems_mat_co2_spub_2</v>
          </cell>
          <cell r="B883">
            <v>4.2724157380000003</v>
          </cell>
          <cell r="C883">
            <v>4.3276007280000002</v>
          </cell>
          <cell r="D883">
            <v>4.3901035510000002</v>
          </cell>
          <cell r="E883">
            <v>4.456037061</v>
          </cell>
          <cell r="F883">
            <v>4.5247501469999998</v>
          </cell>
          <cell r="G883">
            <v>4.595981256</v>
          </cell>
          <cell r="H883">
            <v>4.6657746360000001</v>
          </cell>
          <cell r="I883">
            <v>4.7368698690000004</v>
          </cell>
          <cell r="J883">
            <v>4.8094974070000003</v>
          </cell>
          <cell r="K883">
            <v>4.8835861119999997</v>
          </cell>
          <cell r="L883">
            <v>4.9655149209999996</v>
          </cell>
          <cell r="M883">
            <v>5.043468496</v>
          </cell>
          <cell r="N883">
            <v>5.1219086479999998</v>
          </cell>
          <cell r="O883">
            <v>5.2013858749999997</v>
          </cell>
          <cell r="P883">
            <v>5.2819634999999998</v>
          </cell>
          <cell r="Q883">
            <v>5.3636544620000004</v>
          </cell>
          <cell r="R883">
            <v>5.4464189740000002</v>
          </cell>
          <cell r="S883">
            <v>5.5303082229999996</v>
          </cell>
          <cell r="T883">
            <v>5.6153578250000002</v>
          </cell>
          <cell r="U883">
            <v>5.7015993260000002</v>
          </cell>
          <cell r="V883">
            <v>5.7842430970000001</v>
          </cell>
          <cell r="W883">
            <v>5.8720286039999996</v>
          </cell>
          <cell r="X883">
            <v>5.9616413509999999</v>
          </cell>
          <cell r="Y883">
            <v>6.0526823869999999</v>
          </cell>
          <cell r="Z883">
            <v>6.1451210090000004</v>
          </cell>
          <cell r="AA883">
            <v>6.22501762</v>
          </cell>
          <cell r="AB883">
            <v>6.3110028219999998</v>
          </cell>
          <cell r="AC883">
            <v>6.3986613380000001</v>
          </cell>
          <cell r="AD883">
            <v>6.4875091520000003</v>
          </cell>
          <cell r="AE883">
            <v>6.5775550860000003</v>
          </cell>
          <cell r="AF883">
            <v>6.6688595880000001</v>
          </cell>
          <cell r="AG883">
            <v>6.7614885359999999</v>
          </cell>
          <cell r="AH883">
            <v>6.8554756680000004</v>
          </cell>
          <cell r="AI883">
            <v>6.9508477429999997</v>
          </cell>
          <cell r="AJ883">
            <v>7.0476249270000002</v>
          </cell>
          <cell r="AK883">
            <v>7.145823107</v>
          </cell>
          <cell r="AL883">
            <v>7.2421768030000004</v>
          </cell>
          <cell r="AM883">
            <v>7.3393403570000002</v>
          </cell>
          <cell r="AN883">
            <v>7.4376838650000003</v>
          </cell>
          <cell r="AO883">
            <v>7.5372926150000001</v>
          </cell>
          <cell r="AP883">
            <v>7.6382154519999998</v>
          </cell>
          <cell r="AQ883">
            <v>7.7405115330000003</v>
          </cell>
          <cell r="AR883">
            <v>7.844208203</v>
          </cell>
          <cell r="AS883">
            <v>7.9493330430000002</v>
          </cell>
          <cell r="AT883">
            <v>8.0559101159999997</v>
          </cell>
          <cell r="AU883">
            <v>8.1639598390000003</v>
          </cell>
          <cell r="AV883">
            <v>8.2738673360000003</v>
          </cell>
          <cell r="AW883">
            <v>8.3853737580000001</v>
          </cell>
          <cell r="AX883">
            <v>8.4984500779999994</v>
          </cell>
          <cell r="AY883">
            <v>8.6130995390000002</v>
          </cell>
          <cell r="AZ883">
            <v>8.7293311899999999</v>
          </cell>
          <cell r="BA883">
            <v>9.7775559039999997</v>
          </cell>
          <cell r="BB883">
            <v>9.9451361689999995</v>
          </cell>
          <cell r="BC883">
            <v>10.115565180000001</v>
          </cell>
          <cell r="BD883">
            <v>10.288894020000001</v>
          </cell>
          <cell r="BE883">
            <v>10.46517543</v>
          </cell>
        </row>
        <row r="884">
          <cell r="A884" t="str">
            <v>ems_mat_co2_sgla_2</v>
          </cell>
          <cell r="B884">
            <v>10.76097437</v>
          </cell>
          <cell r="C884">
            <v>10.817473250000001</v>
          </cell>
          <cell r="D884">
            <v>10.917745099999999</v>
          </cell>
          <cell r="E884">
            <v>11.04146094</v>
          </cell>
          <cell r="F884">
            <v>11.181483160000001</v>
          </cell>
          <cell r="G884">
            <v>11.33392999</v>
          </cell>
          <cell r="H884">
            <v>11.49060579</v>
          </cell>
          <cell r="I884">
            <v>11.65225379</v>
          </cell>
          <cell r="J884">
            <v>11.81854908</v>
          </cell>
          <cell r="K884">
            <v>11.98901908</v>
          </cell>
          <cell r="L884">
            <v>12.172669170000001</v>
          </cell>
          <cell r="M884">
            <v>12.35462869</v>
          </cell>
          <cell r="N884">
            <v>12.53776702</v>
          </cell>
          <cell r="O884">
            <v>12.722761999999999</v>
          </cell>
          <cell r="P884">
            <v>12.90985961</v>
          </cell>
          <cell r="Q884">
            <v>13.099253279999999</v>
          </cell>
          <cell r="R884">
            <v>13.29028123</v>
          </cell>
          <cell r="S884">
            <v>13.483803200000001</v>
          </cell>
          <cell r="T884">
            <v>13.68023902</v>
          </cell>
          <cell r="U884">
            <v>13.879910150000001</v>
          </cell>
          <cell r="V884">
            <v>14.07615801</v>
          </cell>
          <cell r="W884">
            <v>14.27920911</v>
          </cell>
          <cell r="X884">
            <v>14.487421599999999</v>
          </cell>
          <cell r="Y884">
            <v>14.70047005</v>
          </cell>
          <cell r="Z884">
            <v>14.91831635</v>
          </cell>
          <cell r="AA884">
            <v>15.121064029999999</v>
          </cell>
          <cell r="AB884">
            <v>15.328162300000001</v>
          </cell>
          <cell r="AC884">
            <v>15.538069699999999</v>
          </cell>
          <cell r="AD884">
            <v>15.750799710000001</v>
          </cell>
          <cell r="AE884">
            <v>15.96662594</v>
          </cell>
          <cell r="AF884">
            <v>16.185804040000001</v>
          </cell>
          <cell r="AG884">
            <v>16.408707929999998</v>
          </cell>
          <cell r="AH884">
            <v>16.63529445</v>
          </cell>
          <cell r="AI884">
            <v>16.865544239999998</v>
          </cell>
          <cell r="AJ884">
            <v>17.0994001</v>
          </cell>
          <cell r="AK884">
            <v>17.33677067</v>
          </cell>
          <cell r="AL884">
            <v>17.57449694</v>
          </cell>
          <cell r="AM884">
            <v>17.813252500000001</v>
          </cell>
          <cell r="AN884">
            <v>18.05339545</v>
          </cell>
          <cell r="AO884">
            <v>18.295150799999998</v>
          </cell>
          <cell r="AP884">
            <v>18.538684279999998</v>
          </cell>
          <cell r="AQ884">
            <v>18.78440239</v>
          </cell>
          <cell r="AR884">
            <v>19.032213989999999</v>
          </cell>
          <cell r="AS884">
            <v>19.28213804</v>
          </cell>
          <cell r="AT884">
            <v>19.534198610000001</v>
          </cell>
          <cell r="AU884">
            <v>19.78840993</v>
          </cell>
          <cell r="AV884">
            <v>20.0461569</v>
          </cell>
          <cell r="AW884">
            <v>20.306634679999998</v>
          </cell>
          <cell r="AX884">
            <v>20.569620140000001</v>
          </cell>
          <cell r="AY884">
            <v>20.835027950000001</v>
          </cell>
          <cell r="AZ884">
            <v>21.102823860000001</v>
          </cell>
          <cell r="BA884">
            <v>26.151007839999998</v>
          </cell>
          <cell r="BB884">
            <v>26.62064466</v>
          </cell>
          <cell r="BC884">
            <v>27.0963384</v>
          </cell>
          <cell r="BD884">
            <v>27.578048559999999</v>
          </cell>
          <cell r="BE884">
            <v>28.065744420000001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8">
          <cell r="A18" t="str">
            <v>auto_ca_cfut_2</v>
          </cell>
          <cell r="B18">
            <v>7095.7005250000002</v>
          </cell>
          <cell r="C18">
            <v>7135.2802979999997</v>
          </cell>
          <cell r="D18">
            <v>7218.3159020000003</v>
          </cell>
          <cell r="E18">
            <v>7331.2424170000004</v>
          </cell>
          <cell r="F18">
            <v>7465.3516019999997</v>
          </cell>
          <cell r="G18">
            <v>7615.1770210000004</v>
          </cell>
          <cell r="H18">
            <v>7776.0798430000004</v>
          </cell>
          <cell r="I18">
            <v>7945.7206660000002</v>
          </cell>
          <cell r="J18">
            <v>8122.4404080000004</v>
          </cell>
          <cell r="K18">
            <v>8304.9952840000005</v>
          </cell>
          <cell r="L18">
            <v>8494.4561140000005</v>
          </cell>
          <cell r="M18">
            <v>8687.8171259999999</v>
          </cell>
          <cell r="N18">
            <v>8884.3384019999994</v>
          </cell>
          <cell r="O18">
            <v>9083.3621239999993</v>
          </cell>
          <cell r="P18">
            <v>9284.3300450000006</v>
          </cell>
          <cell r="Q18">
            <v>9486.7745840000007</v>
          </cell>
          <cell r="R18">
            <v>9690.2392390000005</v>
          </cell>
          <cell r="S18">
            <v>9894.3610669999998</v>
          </cell>
          <cell r="T18">
            <v>10098.83683</v>
          </cell>
          <cell r="U18">
            <v>10303.408020000001</v>
          </cell>
          <cell r="V18">
            <v>10506.23964</v>
          </cell>
          <cell r="W18">
            <v>10708.864030000001</v>
          </cell>
          <cell r="X18">
            <v>10911.155269999999</v>
          </cell>
          <cell r="Y18">
            <v>11113.0383</v>
          </cell>
          <cell r="Z18">
            <v>11314.45378</v>
          </cell>
          <cell r="AA18">
            <v>11510.6306</v>
          </cell>
          <cell r="AB18">
            <v>11704.35887</v>
          </cell>
          <cell r="AC18">
            <v>11895.823640000001</v>
          </cell>
          <cell r="AD18">
            <v>12085.31042</v>
          </cell>
          <cell r="AE18">
            <v>12273.133949999999</v>
          </cell>
          <cell r="AF18">
            <v>12459.600549999999</v>
          </cell>
          <cell r="AG18">
            <v>12645.004779999999</v>
          </cell>
          <cell r="AH18">
            <v>12829.60038</v>
          </cell>
          <cell r="AI18">
            <v>13013.607319999999</v>
          </cell>
          <cell r="AJ18">
            <v>13197.218199999999</v>
          </cell>
          <cell r="AK18">
            <v>13380.60406</v>
          </cell>
          <cell r="AL18">
            <v>13562.8995</v>
          </cell>
          <cell r="AM18">
            <v>13744.365180000001</v>
          </cell>
          <cell r="AN18">
            <v>13925.233410000001</v>
          </cell>
          <cell r="AO18">
            <v>14105.73581</v>
          </cell>
          <cell r="AP18">
            <v>14286.097110000001</v>
          </cell>
          <cell r="AQ18">
            <v>14466.54377</v>
          </cell>
          <cell r="AR18">
            <v>14647.26154</v>
          </cell>
          <cell r="AS18">
            <v>14828.39855</v>
          </cell>
          <cell r="AT18">
            <v>15010.06682</v>
          </cell>
          <cell r="AU18">
            <v>15192.34462</v>
          </cell>
          <cell r="AV18">
            <v>15375.451929999999</v>
          </cell>
          <cell r="AW18">
            <v>15559.428900000001</v>
          </cell>
          <cell r="AX18">
            <v>15744.27326</v>
          </cell>
          <cell r="AY18">
            <v>15929.95011</v>
          </cell>
          <cell r="AZ18">
            <v>16116.397730000001</v>
          </cell>
          <cell r="BA18">
            <v>18081.43362</v>
          </cell>
          <cell r="BB18">
            <v>18357.057929999999</v>
          </cell>
          <cell r="BC18">
            <v>18637.218840000001</v>
          </cell>
          <cell r="BD18">
            <v>18922.18578</v>
          </cell>
          <cell r="BE18">
            <v>19212.253079999999</v>
          </cell>
        </row>
        <row r="19">
          <cell r="A19" t="str">
            <v>auto_ca_cfut_0</v>
          </cell>
          <cell r="B19">
            <v>7095.7005250000002</v>
          </cell>
          <cell r="C19">
            <v>7145.1881139999996</v>
          </cell>
          <cell r="D19">
            <v>7246.0534660000003</v>
          </cell>
          <cell r="E19">
            <v>7381.6108940000004</v>
          </cell>
          <cell r="F19">
            <v>7540.7730149999998</v>
          </cell>
          <cell r="G19">
            <v>7716.3454810000003</v>
          </cell>
          <cell r="H19">
            <v>7902.5358139999998</v>
          </cell>
          <cell r="I19">
            <v>8096.314335</v>
          </cell>
          <cell r="J19">
            <v>8295.6681740000004</v>
          </cell>
          <cell r="K19">
            <v>8499.217713</v>
          </cell>
          <cell r="L19">
            <v>8708.0686860000005</v>
          </cell>
          <cell r="M19">
            <v>8919.2943749999995</v>
          </cell>
          <cell r="N19">
            <v>9132.2456750000001</v>
          </cell>
          <cell r="O19">
            <v>9346.3567199999998</v>
          </cell>
          <cell r="P19">
            <v>9561.1642670000001</v>
          </cell>
          <cell r="Q19">
            <v>9776.3003779999999</v>
          </cell>
          <cell r="R19">
            <v>9991.4774639999996</v>
          </cell>
          <cell r="S19">
            <v>10206.472970000001</v>
          </cell>
          <cell r="T19">
            <v>10421.116620000001</v>
          </cell>
          <cell r="U19">
            <v>10635.28109</v>
          </cell>
          <cell r="V19">
            <v>10847.227699999999</v>
          </cell>
          <cell r="W19">
            <v>11058.634669999999</v>
          </cell>
          <cell r="X19">
            <v>11269.50849</v>
          </cell>
          <cell r="Y19">
            <v>11479.89775</v>
          </cell>
          <cell r="Z19">
            <v>11689.85655</v>
          </cell>
          <cell r="AA19">
            <v>11894.61527</v>
          </cell>
          <cell r="AB19">
            <v>12097.035309999999</v>
          </cell>
          <cell r="AC19">
            <v>12297.38128</v>
          </cell>
          <cell r="AD19">
            <v>12496.02024</v>
          </cell>
          <cell r="AE19">
            <v>12693.3424</v>
          </cell>
          <cell r="AF19">
            <v>12889.7217</v>
          </cell>
          <cell r="AG19">
            <v>13085.498310000001</v>
          </cell>
          <cell r="AH19">
            <v>13280.974389999999</v>
          </cell>
          <cell r="AI19">
            <v>13476.416939999999</v>
          </cell>
          <cell r="AJ19">
            <v>13672.06379</v>
          </cell>
          <cell r="AK19">
            <v>13868.130010000001</v>
          </cell>
          <cell r="AL19">
            <v>14063.63243</v>
          </cell>
          <cell r="AM19">
            <v>14258.81358</v>
          </cell>
          <cell r="AN19">
            <v>14453.93002</v>
          </cell>
          <cell r="AO19">
            <v>14649.262930000001</v>
          </cell>
          <cell r="AP19">
            <v>14845.10396</v>
          </cell>
          <cell r="AQ19">
            <v>15041.738069999999</v>
          </cell>
          <cell r="AR19">
            <v>15239.4306</v>
          </cell>
          <cell r="AS19">
            <v>15438.41994</v>
          </cell>
          <cell r="AT19">
            <v>15638.9151</v>
          </cell>
          <cell r="AU19">
            <v>15841.096820000001</v>
          </cell>
          <cell r="AV19">
            <v>16045.22767</v>
          </cell>
          <cell r="AW19">
            <v>16251.436159999999</v>
          </cell>
          <cell r="AX19">
            <v>16459.83066</v>
          </cell>
          <cell r="AY19">
            <v>16670.50014</v>
          </cell>
          <cell r="AZ19">
            <v>16883.517749999999</v>
          </cell>
          <cell r="BA19">
            <v>18012.62011</v>
          </cell>
          <cell r="BB19">
            <v>18282.360379999998</v>
          </cell>
          <cell r="BC19">
            <v>18556.231739999999</v>
          </cell>
          <cell r="BD19">
            <v>18834.476409999999</v>
          </cell>
          <cell r="BE19">
            <v>19117.355759999999</v>
          </cell>
        </row>
        <row r="20">
          <cell r="A20" t="str">
            <v>auto_cb_cfut_2</v>
          </cell>
          <cell r="B20">
            <v>8251.256421</v>
          </cell>
          <cell r="C20">
            <v>8176.7520350000004</v>
          </cell>
          <cell r="D20">
            <v>8151.821774</v>
          </cell>
          <cell r="E20">
            <v>8162.5380800000003</v>
          </cell>
          <cell r="F20">
            <v>8199.7558239999998</v>
          </cell>
          <cell r="G20">
            <v>8257.5320429999992</v>
          </cell>
          <cell r="H20">
            <v>8330.8038020000004</v>
          </cell>
          <cell r="I20">
            <v>8416.7724780000008</v>
          </cell>
          <cell r="J20">
            <v>8513.3457839999992</v>
          </cell>
          <cell r="K20">
            <v>8618.875027</v>
          </cell>
          <cell r="L20">
            <v>8733.9290970000002</v>
          </cell>
          <cell r="M20">
            <v>8855.2763630000009</v>
          </cell>
          <cell r="N20">
            <v>8981.8571850000008</v>
          </cell>
          <cell r="O20">
            <v>9112.7213699999993</v>
          </cell>
          <cell r="P20">
            <v>9247.0408860000007</v>
          </cell>
          <cell r="Q20">
            <v>9384.0984669999998</v>
          </cell>
          <cell r="R20">
            <v>9523.2119920000005</v>
          </cell>
          <cell r="S20">
            <v>9663.8088810000008</v>
          </cell>
          <cell r="T20">
            <v>9805.3921140000002</v>
          </cell>
          <cell r="U20">
            <v>9947.5241310000001</v>
          </cell>
          <cell r="V20">
            <v>10088.35059</v>
          </cell>
          <cell r="W20">
            <v>10229.10413</v>
          </cell>
          <cell r="X20">
            <v>10369.51309</v>
          </cell>
          <cell r="Y20">
            <v>10509.362160000001</v>
          </cell>
          <cell r="Z20">
            <v>10648.459720000001</v>
          </cell>
          <cell r="AA20">
            <v>10782.41734</v>
          </cell>
          <cell r="AB20">
            <v>10913.642540000001</v>
          </cell>
          <cell r="AC20">
            <v>11042.208559999999</v>
          </cell>
          <cell r="AD20">
            <v>11168.27961</v>
          </cell>
          <cell r="AE20">
            <v>11292.046350000001</v>
          </cell>
          <cell r="AF20">
            <v>11413.692220000001</v>
          </cell>
          <cell r="AG20">
            <v>11533.390090000001</v>
          </cell>
          <cell r="AH20">
            <v>11651.27666</v>
          </cell>
          <cell r="AI20">
            <v>11767.458769999999</v>
          </cell>
          <cell r="AJ20">
            <v>11882.01909</v>
          </cell>
          <cell r="AK20">
            <v>11995.021189999999</v>
          </cell>
          <cell r="AL20">
            <v>12105.64423</v>
          </cell>
          <cell r="AM20">
            <v>12214.03638</v>
          </cell>
          <cell r="AN20">
            <v>12320.320669999999</v>
          </cell>
          <cell r="AO20">
            <v>12424.618259999999</v>
          </cell>
          <cell r="AP20">
            <v>12527.04284</v>
          </cell>
          <cell r="AQ20">
            <v>12627.707270000001</v>
          </cell>
          <cell r="AR20">
            <v>12726.688099999999</v>
          </cell>
          <cell r="AS20">
            <v>12824.02867</v>
          </cell>
          <cell r="AT20">
            <v>12919.740889999999</v>
          </cell>
          <cell r="AU20">
            <v>13013.807650000001</v>
          </cell>
          <cell r="AV20">
            <v>13106.32424</v>
          </cell>
          <cell r="AW20">
            <v>13197.2366</v>
          </cell>
          <cell r="AX20">
            <v>13286.45537</v>
          </cell>
          <cell r="AY20">
            <v>13373.865019999999</v>
          </cell>
          <cell r="AZ20">
            <v>13459.32928</v>
          </cell>
          <cell r="BA20">
            <v>14944.95203</v>
          </cell>
          <cell r="BB20">
            <v>15091.13233</v>
          </cell>
          <cell r="BC20">
            <v>15237.753839999999</v>
          </cell>
          <cell r="BD20">
            <v>15384.92359</v>
          </cell>
          <cell r="BE20">
            <v>15532.76332</v>
          </cell>
        </row>
        <row r="21">
          <cell r="A21" t="str">
            <v>auto_cb_cfut_0</v>
          </cell>
          <cell r="B21">
            <v>8251.256421</v>
          </cell>
          <cell r="C21">
            <v>8186.1344760000002</v>
          </cell>
          <cell r="D21">
            <v>8177.9674539999996</v>
          </cell>
          <cell r="E21">
            <v>8209.7989479999997</v>
          </cell>
          <cell r="F21">
            <v>8270.2092520000006</v>
          </cell>
          <cell r="G21">
            <v>8351.6250639999998</v>
          </cell>
          <cell r="H21">
            <v>8447.9102899999998</v>
          </cell>
          <cell r="I21">
            <v>8555.6340240000009</v>
          </cell>
          <cell r="J21">
            <v>8672.3901740000001</v>
          </cell>
          <cell r="K21">
            <v>8796.4214150000007</v>
          </cell>
          <cell r="L21">
            <v>8928.3437549999999</v>
          </cell>
          <cell r="M21">
            <v>9065.0210960000004</v>
          </cell>
          <cell r="N21">
            <v>9205.494659</v>
          </cell>
          <cell r="O21">
            <v>9348.9148619999996</v>
          </cell>
          <cell r="P21">
            <v>9494.5557950000002</v>
          </cell>
          <cell r="Q21">
            <v>9641.8051689999993</v>
          </cell>
          <cell r="R21">
            <v>9790.147669</v>
          </cell>
          <cell r="S21">
            <v>9939.1483800000005</v>
          </cell>
          <cell r="T21">
            <v>10088.43888</v>
          </cell>
          <cell r="U21">
            <v>10237.70664</v>
          </cell>
          <cell r="V21">
            <v>10385.19296</v>
          </cell>
          <cell r="W21">
            <v>10532.261329999999</v>
          </cell>
          <cell r="X21">
            <v>10678.761189999999</v>
          </cell>
          <cell r="Y21">
            <v>10824.58869</v>
          </cell>
          <cell r="Z21">
            <v>10969.65295</v>
          </cell>
          <cell r="AA21">
            <v>11109.57706</v>
          </cell>
          <cell r="AB21">
            <v>11246.82293</v>
          </cell>
          <cell r="AC21">
            <v>11381.53184</v>
          </cell>
          <cell r="AD21">
            <v>11513.936949999999</v>
          </cell>
          <cell r="AE21">
            <v>11644.29176</v>
          </cell>
          <cell r="AF21">
            <v>11772.83489</v>
          </cell>
          <cell r="AG21">
            <v>11899.77476</v>
          </cell>
          <cell r="AH21">
            <v>12025.285809999999</v>
          </cell>
          <cell r="AI21">
            <v>12149.511109999999</v>
          </cell>
          <cell r="AJ21">
            <v>12272.56768</v>
          </cell>
          <cell r="AK21">
            <v>12394.55207</v>
          </cell>
          <cell r="AL21">
            <v>12514.54242</v>
          </cell>
          <cell r="AM21">
            <v>12632.670630000001</v>
          </cell>
          <cell r="AN21">
            <v>12749.080190000001</v>
          </cell>
          <cell r="AO21">
            <v>12863.93367</v>
          </cell>
          <cell r="AP21">
            <v>12977.399820000001</v>
          </cell>
          <cell r="AQ21">
            <v>13089.638779999999</v>
          </cell>
          <cell r="AR21">
            <v>13200.7912</v>
          </cell>
          <cell r="AS21">
            <v>13310.97235</v>
          </cell>
          <cell r="AT21">
            <v>13420.270399999999</v>
          </cell>
          <cell r="AU21">
            <v>13528.747579999999</v>
          </cell>
          <cell r="AV21">
            <v>13636.529339999999</v>
          </cell>
          <cell r="AW21">
            <v>13743.62917</v>
          </cell>
          <cell r="AX21">
            <v>13850.042100000001</v>
          </cell>
          <cell r="AY21">
            <v>13955.74569</v>
          </cell>
          <cell r="AZ21">
            <v>14060.70319</v>
          </cell>
          <cell r="BA21">
            <v>14897.27658</v>
          </cell>
          <cell r="BB21">
            <v>15039.48724</v>
          </cell>
          <cell r="BC21">
            <v>15181.8681</v>
          </cell>
          <cell r="BD21">
            <v>15324.50747</v>
          </cell>
          <cell r="BE21">
            <v>15467.50431</v>
          </cell>
        </row>
        <row r="22">
          <cell r="A22" t="str">
            <v>auto_cc_cfut_2</v>
          </cell>
          <cell r="B22">
            <v>6777.6024520000001</v>
          </cell>
          <cell r="C22">
            <v>6642.705551</v>
          </cell>
          <cell r="D22">
            <v>6547.9900109999999</v>
          </cell>
          <cell r="E22">
            <v>6483.1612759999998</v>
          </cell>
          <cell r="F22">
            <v>6441.3217279999999</v>
          </cell>
          <cell r="G22">
            <v>6417.8556120000003</v>
          </cell>
          <cell r="H22">
            <v>6408.8180279999997</v>
          </cell>
          <cell r="I22">
            <v>6411.8730759999999</v>
          </cell>
          <cell r="J22">
            <v>6425.2127129999999</v>
          </cell>
          <cell r="K22">
            <v>6447.3690280000001</v>
          </cell>
          <cell r="L22">
            <v>6478.4088179999999</v>
          </cell>
          <cell r="M22">
            <v>6515.8468279999997</v>
          </cell>
          <cell r="N22">
            <v>6558.7012720000002</v>
          </cell>
          <cell r="O22">
            <v>6606.0888649999997</v>
          </cell>
          <cell r="P22">
            <v>6657.2307709999995</v>
          </cell>
          <cell r="Q22">
            <v>6711.4426789999998</v>
          </cell>
          <cell r="R22">
            <v>6768.0828119999996</v>
          </cell>
          <cell r="S22">
            <v>6826.6001070000002</v>
          </cell>
          <cell r="T22">
            <v>6886.509607</v>
          </cell>
          <cell r="U22">
            <v>6947.3800700000002</v>
          </cell>
          <cell r="V22">
            <v>7007.8640050000004</v>
          </cell>
          <cell r="W22">
            <v>7068.6574140000002</v>
          </cell>
          <cell r="X22">
            <v>7129.4737569999998</v>
          </cell>
          <cell r="Y22">
            <v>7190.071919</v>
          </cell>
          <cell r="Z22">
            <v>7250.2342699999999</v>
          </cell>
          <cell r="AA22">
            <v>7307.0476360000002</v>
          </cell>
          <cell r="AB22">
            <v>7362.0075889999998</v>
          </cell>
          <cell r="AC22">
            <v>7415.1019850000002</v>
          </cell>
          <cell r="AD22">
            <v>7466.3795899999996</v>
          </cell>
          <cell r="AE22">
            <v>7515.907948</v>
          </cell>
          <cell r="AF22">
            <v>7563.7516439999999</v>
          </cell>
          <cell r="AG22">
            <v>7609.9699520000004</v>
          </cell>
          <cell r="AH22">
            <v>7654.6005500000001</v>
          </cell>
          <cell r="AI22">
            <v>7697.6636449999996</v>
          </cell>
          <cell r="AJ22">
            <v>7739.165634</v>
          </cell>
          <cell r="AK22">
            <v>7779.1023420000001</v>
          </cell>
          <cell r="AL22">
            <v>7816.9263520000004</v>
          </cell>
          <cell r="AM22">
            <v>7852.6938469999996</v>
          </cell>
          <cell r="AN22">
            <v>7886.4465490000002</v>
          </cell>
          <cell r="AO22">
            <v>7918.2258929999998</v>
          </cell>
          <cell r="AP22">
            <v>7948.0694579999999</v>
          </cell>
          <cell r="AQ22">
            <v>7976.0147180000004</v>
          </cell>
          <cell r="AR22">
            <v>8002.0776370000003</v>
          </cell>
          <cell r="AS22">
            <v>8026.2549349999999</v>
          </cell>
          <cell r="AT22">
            <v>8048.525541</v>
          </cell>
          <cell r="AU22">
            <v>8068.8523649999997</v>
          </cell>
          <cell r="AV22">
            <v>8087.264698</v>
          </cell>
          <cell r="AW22">
            <v>8103.7044230000001</v>
          </cell>
          <cell r="AX22">
            <v>8118.0944490000002</v>
          </cell>
          <cell r="AY22">
            <v>8130.3447720000004</v>
          </cell>
          <cell r="AZ22">
            <v>8140.3561200000004</v>
          </cell>
          <cell r="BA22">
            <v>8944.8946360000009</v>
          </cell>
          <cell r="BB22">
            <v>8984.7352420000007</v>
          </cell>
          <cell r="BC22">
            <v>9023.4650409999995</v>
          </cell>
          <cell r="BD22">
            <v>9061.1200069999995</v>
          </cell>
          <cell r="BE22">
            <v>9097.7437040000004</v>
          </cell>
        </row>
        <row r="23">
          <cell r="A23" t="str">
            <v>auto_cc_cfut_0</v>
          </cell>
          <cell r="B23">
            <v>6777.6024520000001</v>
          </cell>
          <cell r="C23">
            <v>6649.1114459999999</v>
          </cell>
          <cell r="D23">
            <v>6565.7578860000003</v>
          </cell>
          <cell r="E23">
            <v>6515.1295110000001</v>
          </cell>
          <cell r="F23">
            <v>6488.7621470000004</v>
          </cell>
          <cell r="G23">
            <v>6480.9323480000003</v>
          </cell>
          <cell r="H23">
            <v>6486.9770259999996</v>
          </cell>
          <cell r="I23">
            <v>6504.1443790000003</v>
          </cell>
          <cell r="J23">
            <v>6530.4276440000003</v>
          </cell>
          <cell r="K23">
            <v>6564.2992759999997</v>
          </cell>
          <cell r="L23">
            <v>6605.8686850000004</v>
          </cell>
          <cell r="M23">
            <v>6652.7305319999996</v>
          </cell>
          <cell r="N23">
            <v>6703.982575</v>
          </cell>
          <cell r="O23">
            <v>6758.8198849999999</v>
          </cell>
          <cell r="P23">
            <v>6816.5419819999997</v>
          </cell>
          <cell r="Q23">
            <v>6876.5437389999997</v>
          </cell>
          <cell r="R23">
            <v>6938.3022250000004</v>
          </cell>
          <cell r="S23">
            <v>7001.363883</v>
          </cell>
          <cell r="T23">
            <v>7065.3336900000004</v>
          </cell>
          <cell r="U23">
            <v>7129.866677</v>
          </cell>
          <cell r="V23">
            <v>7193.6837830000004</v>
          </cell>
          <cell r="W23">
            <v>7257.5660749999997</v>
          </cell>
          <cell r="X23">
            <v>7321.3073160000004</v>
          </cell>
          <cell r="Y23">
            <v>7384.7393060000004</v>
          </cell>
          <cell r="Z23">
            <v>7447.7093580000001</v>
          </cell>
          <cell r="AA23">
            <v>7507.318663</v>
          </cell>
          <cell r="AB23">
            <v>7565.092232</v>
          </cell>
          <cell r="AC23">
            <v>7621.0602120000003</v>
          </cell>
          <cell r="AD23">
            <v>7675.3137589999997</v>
          </cell>
          <cell r="AE23">
            <v>7727.9584420000001</v>
          </cell>
          <cell r="AF23">
            <v>7779.0916399999996</v>
          </cell>
          <cell r="AG23">
            <v>7828.792751</v>
          </cell>
          <cell r="AH23">
            <v>7877.1208900000001</v>
          </cell>
          <cell r="AI23">
            <v>7924.1165979999996</v>
          </cell>
          <cell r="AJ23">
            <v>7969.8052239999997</v>
          </cell>
          <cell r="AK23">
            <v>8014.2005319999998</v>
          </cell>
          <cell r="AL23">
            <v>8056.6930320000001</v>
          </cell>
          <cell r="AM23">
            <v>8097.3287350000001</v>
          </cell>
          <cell r="AN23">
            <v>8136.1621290000003</v>
          </cell>
          <cell r="AO23">
            <v>8173.2598939999998</v>
          </cell>
          <cell r="AP23">
            <v>8208.6924859999999</v>
          </cell>
          <cell r="AQ23">
            <v>8242.5249910000002</v>
          </cell>
          <cell r="AR23">
            <v>8274.8106189999999</v>
          </cell>
          <cell r="AS23">
            <v>8305.587329</v>
          </cell>
          <cell r="AT23">
            <v>8334.8770359999999</v>
          </cell>
          <cell r="AU23">
            <v>8362.6865570000009</v>
          </cell>
          <cell r="AV23">
            <v>8389.0597720000005</v>
          </cell>
          <cell r="AW23">
            <v>8413.9751020000003</v>
          </cell>
          <cell r="AX23">
            <v>8437.4009530000003</v>
          </cell>
          <cell r="AY23">
            <v>8459.2966209999995</v>
          </cell>
          <cell r="AZ23">
            <v>8479.6143470000006</v>
          </cell>
          <cell r="BA23">
            <v>8921.7440729999998</v>
          </cell>
          <cell r="BB23">
            <v>8959.6840950000005</v>
          </cell>
          <cell r="BC23">
            <v>8996.3812340000004</v>
          </cell>
          <cell r="BD23">
            <v>9031.8619600000002</v>
          </cell>
          <cell r="BE23">
            <v>9066.1583840000003</v>
          </cell>
        </row>
        <row r="24">
          <cell r="A24" t="str">
            <v>auto_cd_cfut_2</v>
          </cell>
          <cell r="B24">
            <v>4159.6639080000004</v>
          </cell>
          <cell r="C24">
            <v>4052.6021449999998</v>
          </cell>
          <cell r="D24">
            <v>3968.7445269999998</v>
          </cell>
          <cell r="E24">
            <v>3901.8298070000001</v>
          </cell>
          <cell r="F24">
            <v>3847.6284230000001</v>
          </cell>
          <cell r="G24">
            <v>3803.2739539999998</v>
          </cell>
          <cell r="H24">
            <v>3766.3634069999998</v>
          </cell>
          <cell r="I24">
            <v>3735.429353</v>
          </cell>
          <cell r="J24">
            <v>3709.3372890000001</v>
          </cell>
          <cell r="K24">
            <v>3687.1705830000001</v>
          </cell>
          <cell r="L24">
            <v>3668.8161839999998</v>
          </cell>
          <cell r="M24">
            <v>3652.892863</v>
          </cell>
          <cell r="N24">
            <v>3638.8118129999998</v>
          </cell>
          <cell r="O24">
            <v>3626.0559640000001</v>
          </cell>
          <cell r="P24">
            <v>3614.1792650000002</v>
          </cell>
          <cell r="Q24">
            <v>3602.7989130000001</v>
          </cell>
          <cell r="R24">
            <v>3591.5694210000001</v>
          </cell>
          <cell r="S24">
            <v>3580.203685</v>
          </cell>
          <cell r="T24">
            <v>3568.4588239999998</v>
          </cell>
          <cell r="U24">
            <v>3556.128322</v>
          </cell>
          <cell r="V24">
            <v>3542.6182349999999</v>
          </cell>
          <cell r="W24">
            <v>3528.2454109999999</v>
          </cell>
          <cell r="X24">
            <v>3512.8950930000001</v>
          </cell>
          <cell r="Y24">
            <v>3496.4771860000001</v>
          </cell>
          <cell r="Z24">
            <v>3478.916663</v>
          </cell>
          <cell r="AA24">
            <v>3459.0627330000002</v>
          </cell>
          <cell r="AB24">
            <v>3437.5805559999999</v>
          </cell>
          <cell r="AC24">
            <v>3414.514975</v>
          </cell>
          <cell r="AD24">
            <v>3389.9322499999998</v>
          </cell>
          <cell r="AE24">
            <v>3363.9029930000002</v>
          </cell>
          <cell r="AF24">
            <v>3336.4941909999998</v>
          </cell>
          <cell r="AG24">
            <v>3307.7686490000001</v>
          </cell>
          <cell r="AH24">
            <v>3277.7795160000001</v>
          </cell>
          <cell r="AI24">
            <v>3246.572592</v>
          </cell>
          <cell r="AJ24">
            <v>3214.1882970000001</v>
          </cell>
          <cell r="AK24">
            <v>3180.6633689999999</v>
          </cell>
          <cell r="AL24">
            <v>3145.855654</v>
          </cell>
          <cell r="AM24">
            <v>3109.8306670000002</v>
          </cell>
          <cell r="AN24">
            <v>3072.6493869999999</v>
          </cell>
          <cell r="AO24">
            <v>3034.372973</v>
          </cell>
          <cell r="AP24">
            <v>2995.061627</v>
          </cell>
          <cell r="AQ24">
            <v>2954.775592</v>
          </cell>
          <cell r="AR24">
            <v>2913.568878</v>
          </cell>
          <cell r="AS24">
            <v>2871.490601</v>
          </cell>
          <cell r="AT24">
            <v>2828.5859599999999</v>
          </cell>
          <cell r="AU24">
            <v>2784.8971879999999</v>
          </cell>
          <cell r="AV24">
            <v>2740.485189</v>
          </cell>
          <cell r="AW24">
            <v>2695.3878169999998</v>
          </cell>
          <cell r="AX24">
            <v>2649.6400199999998</v>
          </cell>
          <cell r="AY24">
            <v>2603.276136</v>
          </cell>
          <cell r="AZ24">
            <v>2556.3311159999998</v>
          </cell>
          <cell r="BA24">
            <v>2593.1708560000002</v>
          </cell>
          <cell r="BB24">
            <v>2544.777732</v>
          </cell>
          <cell r="BC24">
            <v>2495.8074900000001</v>
          </cell>
          <cell r="BD24">
            <v>2446.3127749999999</v>
          </cell>
          <cell r="BE24">
            <v>2396.3466669999998</v>
          </cell>
        </row>
        <row r="25">
          <cell r="A25" t="str">
            <v>auto_cd_cfut_0</v>
          </cell>
          <cell r="B25">
            <v>4159.6639080000004</v>
          </cell>
          <cell r="C25">
            <v>4055.9300109999999</v>
          </cell>
          <cell r="D25">
            <v>3977.7671679999999</v>
          </cell>
          <cell r="E25">
            <v>3917.693303</v>
          </cell>
          <cell r="F25">
            <v>3870.6369599999998</v>
          </cell>
          <cell r="G25">
            <v>3833.1758840000002</v>
          </cell>
          <cell r="H25">
            <v>3802.5753909999999</v>
          </cell>
          <cell r="I25">
            <v>3777.1954820000001</v>
          </cell>
          <cell r="J25">
            <v>3755.8401429999999</v>
          </cell>
          <cell r="K25">
            <v>3737.6000060000001</v>
          </cell>
          <cell r="L25">
            <v>3722.4116779999999</v>
          </cell>
          <cell r="M25">
            <v>3708.972143</v>
          </cell>
          <cell r="N25">
            <v>3696.7601650000001</v>
          </cell>
          <cell r="O25">
            <v>3685.322416</v>
          </cell>
          <cell r="P25">
            <v>3674.2734359999999</v>
          </cell>
          <cell r="Q25">
            <v>3663.288211</v>
          </cell>
          <cell r="R25">
            <v>3652.0934739999998</v>
          </cell>
          <cell r="S25">
            <v>3640.459703</v>
          </cell>
          <cell r="T25">
            <v>3628.1943799999999</v>
          </cell>
          <cell r="U25">
            <v>3615.1365740000001</v>
          </cell>
          <cell r="V25">
            <v>3600.7336100000002</v>
          </cell>
          <cell r="W25">
            <v>3585.3355430000001</v>
          </cell>
          <cell r="X25">
            <v>3568.8628899999999</v>
          </cell>
          <cell r="Y25">
            <v>3551.2553910000001</v>
          </cell>
          <cell r="Z25">
            <v>3532.4625329999999</v>
          </cell>
          <cell r="AA25">
            <v>3511.3548949999999</v>
          </cell>
          <cell r="AB25">
            <v>3488.5944610000001</v>
          </cell>
          <cell r="AC25">
            <v>3464.2380050000002</v>
          </cell>
          <cell r="AD25">
            <v>3438.3627369999999</v>
          </cell>
          <cell r="AE25">
            <v>3411.0476800000001</v>
          </cell>
          <cell r="AF25">
            <v>3382.3655359999998</v>
          </cell>
          <cell r="AG25">
            <v>3352.3797669999999</v>
          </cell>
          <cell r="AH25">
            <v>3321.144495</v>
          </cell>
          <cell r="AI25">
            <v>3288.7058320000001</v>
          </cell>
          <cell r="AJ25">
            <v>3255.103732</v>
          </cell>
          <cell r="AK25">
            <v>3220.3738330000001</v>
          </cell>
          <cell r="AL25">
            <v>3184.352695</v>
          </cell>
          <cell r="AM25">
            <v>3147.0984330000001</v>
          </cell>
          <cell r="AN25">
            <v>3108.672286</v>
          </cell>
          <cell r="AO25">
            <v>3069.1387829999999</v>
          </cell>
          <cell r="AP25">
            <v>3028.5626670000001</v>
          </cell>
          <cell r="AQ25">
            <v>2987.0061369999999</v>
          </cell>
          <cell r="AR25">
            <v>2944.527223</v>
          </cell>
          <cell r="AS25">
            <v>2901.179255</v>
          </cell>
          <cell r="AT25">
            <v>2857.011113</v>
          </cell>
          <cell r="AU25">
            <v>2812.0679540000001</v>
          </cell>
          <cell r="AV25">
            <v>2766.4048560000001</v>
          </cell>
          <cell r="AW25">
            <v>2720.0603270000001</v>
          </cell>
          <cell r="AX25">
            <v>2673.0715919999998</v>
          </cell>
          <cell r="AY25">
            <v>2625.4751569999999</v>
          </cell>
          <cell r="AZ25">
            <v>2577.30755</v>
          </cell>
          <cell r="BA25">
            <v>2596.5519389999999</v>
          </cell>
          <cell r="BB25">
            <v>2548.3801870000002</v>
          </cell>
          <cell r="BC25">
            <v>2499.6340030000001</v>
          </cell>
          <cell r="BD25">
            <v>2450.3657029999999</v>
          </cell>
          <cell r="BE25">
            <v>2400.6280200000001</v>
          </cell>
        </row>
        <row r="26">
          <cell r="A26" t="str">
            <v>auto_ce_cfut_2</v>
          </cell>
          <cell r="B26">
            <v>2503.7292430000002</v>
          </cell>
          <cell r="C26">
            <v>2441.6506909999998</v>
          </cell>
          <cell r="D26">
            <v>2392.6884559999999</v>
          </cell>
          <cell r="E26">
            <v>2352.8307949999999</v>
          </cell>
          <cell r="F26">
            <v>2319.3934800000002</v>
          </cell>
          <cell r="G26">
            <v>2290.580473</v>
          </cell>
          <cell r="H26">
            <v>2264.9258770000001</v>
          </cell>
          <cell r="I26">
            <v>2241.5579550000002</v>
          </cell>
          <cell r="J26">
            <v>2219.8262490000002</v>
          </cell>
          <cell r="K26">
            <v>2199.2247860000002</v>
          </cell>
          <cell r="L26">
            <v>2179.713616</v>
          </cell>
          <cell r="M26">
            <v>2160.5429939999999</v>
          </cell>
          <cell r="N26">
            <v>2141.4247409999998</v>
          </cell>
          <cell r="O26">
            <v>2122.1187209999998</v>
          </cell>
          <cell r="P26">
            <v>2102.4304310000002</v>
          </cell>
          <cell r="Q26">
            <v>2082.205125</v>
          </cell>
          <cell r="R26">
            <v>2061.3131600000002</v>
          </cell>
          <cell r="S26">
            <v>2039.660202</v>
          </cell>
          <cell r="T26">
            <v>2017.1783370000001</v>
          </cell>
          <cell r="U26">
            <v>1993.8208529999999</v>
          </cell>
          <cell r="V26">
            <v>1969.352085</v>
          </cell>
          <cell r="W26">
            <v>1943.992747</v>
          </cell>
          <cell r="X26">
            <v>1917.7455869999999</v>
          </cell>
          <cell r="Y26">
            <v>1890.6248129999999</v>
          </cell>
          <cell r="Z26">
            <v>1862.6513669999999</v>
          </cell>
          <cell r="AA26">
            <v>1833.3531869999999</v>
          </cell>
          <cell r="AB26">
            <v>1803.107094</v>
          </cell>
          <cell r="AC26">
            <v>1771.995883</v>
          </cell>
          <cell r="AD26">
            <v>1740.1078970000001</v>
          </cell>
          <cell r="AE26">
            <v>1707.52937</v>
          </cell>
          <cell r="AF26">
            <v>1674.3412699999999</v>
          </cell>
          <cell r="AG26">
            <v>1640.619389</v>
          </cell>
          <cell r="AH26">
            <v>1606.4324140000001</v>
          </cell>
          <cell r="AI26">
            <v>1571.8433480000001</v>
          </cell>
          <cell r="AJ26">
            <v>1536.9106919999999</v>
          </cell>
          <cell r="AK26">
            <v>1501.689437</v>
          </cell>
          <cell r="AL26">
            <v>1466.1644879999999</v>
          </cell>
          <cell r="AM26">
            <v>1430.401091</v>
          </cell>
          <cell r="AN26">
            <v>1394.460787</v>
          </cell>
          <cell r="AO26">
            <v>1358.403243</v>
          </cell>
          <cell r="AP26">
            <v>1322.2858590000001</v>
          </cell>
          <cell r="AQ26">
            <v>1286.1640829999999</v>
          </cell>
          <cell r="AR26">
            <v>1250.089299</v>
          </cell>
          <cell r="AS26">
            <v>1214.10951</v>
          </cell>
          <cell r="AT26">
            <v>1178.269832</v>
          </cell>
          <cell r="AU26">
            <v>1142.612926</v>
          </cell>
          <cell r="AV26">
            <v>1107.185608</v>
          </cell>
          <cell r="AW26">
            <v>1072.0256730000001</v>
          </cell>
          <cell r="AX26">
            <v>1037.168692</v>
          </cell>
          <cell r="AY26">
            <v>1002.648851</v>
          </cell>
          <cell r="AZ26">
            <v>968.49932520000004</v>
          </cell>
          <cell r="BA26">
            <v>942.4006637</v>
          </cell>
          <cell r="BB26">
            <v>908.72411469999997</v>
          </cell>
          <cell r="BC26">
            <v>875.52158870000005</v>
          </cell>
          <cell r="BD26">
            <v>842.82576189999997</v>
          </cell>
          <cell r="BE26">
            <v>810.66726630000005</v>
          </cell>
        </row>
        <row r="27">
          <cell r="A27" t="str">
            <v>auto_ce_cfut_0</v>
          </cell>
          <cell r="B27">
            <v>2503.7292430000002</v>
          </cell>
          <cell r="C27">
            <v>2443.575566</v>
          </cell>
          <cell r="D27">
            <v>2397.7906779999998</v>
          </cell>
          <cell r="E27">
            <v>2361.5943010000001</v>
          </cell>
          <cell r="F27">
            <v>2331.807464</v>
          </cell>
          <cell r="G27">
            <v>2306.33178</v>
          </cell>
          <cell r="H27">
            <v>2283.539949</v>
          </cell>
          <cell r="I27">
            <v>2262.490918</v>
          </cell>
          <cell r="J27">
            <v>2242.5270810000002</v>
          </cell>
          <cell r="K27">
            <v>2223.1721659999998</v>
          </cell>
          <cell r="L27">
            <v>2204.4341850000001</v>
          </cell>
          <cell r="M27">
            <v>2185.631183</v>
          </cell>
          <cell r="N27">
            <v>2166.5305119999998</v>
          </cell>
          <cell r="O27">
            <v>2146.9429209999998</v>
          </cell>
          <cell r="P27">
            <v>2126.7206900000001</v>
          </cell>
          <cell r="Q27">
            <v>2105.7520530000002</v>
          </cell>
          <cell r="R27">
            <v>2083.9553289999999</v>
          </cell>
          <cell r="S27">
            <v>2061.273713</v>
          </cell>
          <cell r="T27">
            <v>2037.670938</v>
          </cell>
          <cell r="U27">
            <v>2013.127757</v>
          </cell>
          <cell r="V27">
            <v>1987.434747</v>
          </cell>
          <cell r="W27">
            <v>1960.828469</v>
          </cell>
          <cell r="X27">
            <v>1933.3301280000001</v>
          </cell>
          <cell r="Y27">
            <v>1904.968777</v>
          </cell>
          <cell r="Z27">
            <v>1875.776867</v>
          </cell>
          <cell r="AA27">
            <v>1845.2980910000001</v>
          </cell>
          <cell r="AB27">
            <v>1813.902844</v>
          </cell>
          <cell r="AC27">
            <v>1781.6781599999999</v>
          </cell>
          <cell r="AD27">
            <v>1748.716011</v>
          </cell>
          <cell r="AE27">
            <v>1715.1050250000001</v>
          </cell>
          <cell r="AF27">
            <v>1680.9273439999999</v>
          </cell>
          <cell r="AG27">
            <v>1646.257861</v>
          </cell>
          <cell r="AH27">
            <v>1611.1646410000001</v>
          </cell>
          <cell r="AI27">
            <v>1575.7099029999999</v>
          </cell>
          <cell r="AJ27">
            <v>1539.951135</v>
          </cell>
          <cell r="AK27">
            <v>1503.9421600000001</v>
          </cell>
          <cell r="AL27">
            <v>1467.6606859999999</v>
          </cell>
          <cell r="AM27">
            <v>1431.1695070000001</v>
          </cell>
          <cell r="AN27">
            <v>1394.5307359999999</v>
          </cell>
          <cell r="AO27">
            <v>1357.805564</v>
          </cell>
          <cell r="AP27">
            <v>1321.0530369999999</v>
          </cell>
          <cell r="AQ27">
            <v>1284.3291260000001</v>
          </cell>
          <cell r="AR27">
            <v>1247.6863069999999</v>
          </cell>
          <cell r="AS27">
            <v>1211.1735490000001</v>
          </cell>
          <cell r="AT27">
            <v>1174.836564</v>
          </cell>
          <cell r="AU27">
            <v>1138.7181869999999</v>
          </cell>
          <cell r="AV27">
            <v>1102.8626280000001</v>
          </cell>
          <cell r="AW27">
            <v>1067.3073179999999</v>
          </cell>
          <cell r="AX27">
            <v>1032.0878640000001</v>
          </cell>
          <cell r="AY27">
            <v>997.23826780000002</v>
          </cell>
          <cell r="AZ27">
            <v>962.79116050000005</v>
          </cell>
          <cell r="BA27">
            <v>945.27267259999996</v>
          </cell>
          <cell r="BB27">
            <v>911.68588090000003</v>
          </cell>
          <cell r="BC27">
            <v>878.5668349</v>
          </cell>
          <cell r="BD27">
            <v>845.94794160000004</v>
          </cell>
          <cell r="BE27">
            <v>813.85963189999995</v>
          </cell>
        </row>
        <row r="28">
          <cell r="A28" t="str">
            <v>auto_cf_cfut_2</v>
          </cell>
          <cell r="B28">
            <v>1243.6668460000001</v>
          </cell>
          <cell r="C28">
            <v>1210.2218459999999</v>
          </cell>
          <cell r="D28">
            <v>1181.946179</v>
          </cell>
          <cell r="E28">
            <v>1156.625061</v>
          </cell>
          <cell r="F28">
            <v>1132.8417039999999</v>
          </cell>
          <cell r="G28">
            <v>1109.7105449999999</v>
          </cell>
          <cell r="H28">
            <v>1086.591578</v>
          </cell>
          <cell r="I28">
            <v>1063.16913</v>
          </cell>
          <cell r="J28">
            <v>1039.263739</v>
          </cell>
          <cell r="K28">
            <v>1014.782482</v>
          </cell>
          <cell r="L28">
            <v>989.81726660000004</v>
          </cell>
          <cell r="M28">
            <v>964.21541190000005</v>
          </cell>
          <cell r="N28">
            <v>938.00438880000002</v>
          </cell>
          <cell r="O28">
            <v>911.23397490000002</v>
          </cell>
          <cell r="P28">
            <v>883.97139149999998</v>
          </cell>
          <cell r="Q28">
            <v>856.29627530000005</v>
          </cell>
          <cell r="R28">
            <v>828.29437059999998</v>
          </cell>
          <cell r="S28">
            <v>800.05850390000001</v>
          </cell>
          <cell r="T28">
            <v>771.6840373</v>
          </cell>
          <cell r="U28">
            <v>743.26597800000002</v>
          </cell>
          <cell r="V28">
            <v>714.85143419999997</v>
          </cell>
          <cell r="W28">
            <v>686.5852294</v>
          </cell>
          <cell r="X28">
            <v>658.55194159999996</v>
          </cell>
          <cell r="Y28">
            <v>630.83024220000004</v>
          </cell>
          <cell r="Z28">
            <v>603.4921501</v>
          </cell>
          <cell r="AA28">
            <v>576.51873079999996</v>
          </cell>
          <cell r="AB28">
            <v>550.03724220000004</v>
          </cell>
          <cell r="AC28">
            <v>524.1116634</v>
          </cell>
          <cell r="AD28">
            <v>498.79761869999999</v>
          </cell>
          <cell r="AE28">
            <v>474.14189199999998</v>
          </cell>
          <cell r="AF28">
            <v>450.1828337</v>
          </cell>
          <cell r="AG28">
            <v>426.95117110000001</v>
          </cell>
          <cell r="AH28">
            <v>404.47052739999998</v>
          </cell>
          <cell r="AI28">
            <v>382.7583229</v>
          </cell>
          <cell r="AJ28">
            <v>361.82654150000002</v>
          </cell>
          <cell r="AK28">
            <v>341.68238609999997</v>
          </cell>
          <cell r="AL28">
            <v>322.32289889999998</v>
          </cell>
          <cell r="AM28">
            <v>303.74947650000001</v>
          </cell>
          <cell r="AN28">
            <v>285.95976089999999</v>
          </cell>
          <cell r="AO28">
            <v>268.94815269999998</v>
          </cell>
          <cell r="AP28">
            <v>252.70610830000001</v>
          </cell>
          <cell r="AQ28">
            <v>237.2224659</v>
          </cell>
          <cell r="AR28">
            <v>222.48362159999999</v>
          </cell>
          <cell r="AS28">
            <v>208.47389369999999</v>
          </cell>
          <cell r="AT28">
            <v>195.17583769999999</v>
          </cell>
          <cell r="AU28">
            <v>182.5705255</v>
          </cell>
          <cell r="AV28">
            <v>170.63803490000001</v>
          </cell>
          <cell r="AW28">
            <v>159.3570723</v>
          </cell>
          <cell r="AX28">
            <v>148.70553810000001</v>
          </cell>
          <cell r="AY28">
            <v>138.6607515</v>
          </cell>
          <cell r="AZ28">
            <v>129.19962330000001</v>
          </cell>
          <cell r="BA28">
            <v>114.4251134</v>
          </cell>
          <cell r="BB28">
            <v>106.3615669</v>
          </cell>
          <cell r="BC28">
            <v>98.805041329999995</v>
          </cell>
          <cell r="BD28">
            <v>91.7312467</v>
          </cell>
          <cell r="BE28">
            <v>85.116179560000006</v>
          </cell>
        </row>
        <row r="29">
          <cell r="A29" t="str">
            <v>auto_cf_cfut_0</v>
          </cell>
          <cell r="B29">
            <v>1243.6668460000001</v>
          </cell>
          <cell r="C29">
            <v>1210.948854</v>
          </cell>
          <cell r="D29">
            <v>1183.6825679999999</v>
          </cell>
          <cell r="E29">
            <v>1159.2756890000001</v>
          </cell>
          <cell r="F29">
            <v>1136.132953</v>
          </cell>
          <cell r="G29">
            <v>1113.3056999999999</v>
          </cell>
          <cell r="H29">
            <v>1090.158009</v>
          </cell>
          <cell r="I29">
            <v>1066.408351</v>
          </cell>
          <cell r="J29">
            <v>1041.927115</v>
          </cell>
          <cell r="K29">
            <v>1016.676509</v>
          </cell>
          <cell r="L29">
            <v>990.79836620000003</v>
          </cell>
          <cell r="M29">
            <v>964.19775719999996</v>
          </cell>
          <cell r="N29">
            <v>936.94409010000004</v>
          </cell>
          <cell r="O29">
            <v>909.12150550000001</v>
          </cell>
          <cell r="P29">
            <v>880.82501990000003</v>
          </cell>
          <cell r="Q29">
            <v>852.15627129999996</v>
          </cell>
          <cell r="R29">
            <v>823.21993559999999</v>
          </cell>
          <cell r="S29">
            <v>794.12089990000004</v>
          </cell>
          <cell r="T29">
            <v>764.96208820000004</v>
          </cell>
          <cell r="U29">
            <v>735.84282480000002</v>
          </cell>
          <cell r="V29">
            <v>706.81445080000003</v>
          </cell>
          <cell r="W29">
            <v>678.01820069999997</v>
          </cell>
          <cell r="X29">
            <v>649.53709939999999</v>
          </cell>
          <cell r="Y29">
            <v>621.44689930000004</v>
          </cell>
          <cell r="Z29">
            <v>593.81567740000003</v>
          </cell>
          <cell r="AA29">
            <v>566.62496899999996</v>
          </cell>
          <cell r="AB29">
            <v>539.99172169999997</v>
          </cell>
          <cell r="AC29">
            <v>513.97431979999999</v>
          </cell>
          <cell r="AD29">
            <v>488.62300379999999</v>
          </cell>
          <cell r="AE29">
            <v>463.97932980000002</v>
          </cell>
          <cell r="AF29">
            <v>440.0766021</v>
          </cell>
          <cell r="AG29">
            <v>416.9406204</v>
          </cell>
          <cell r="AH29">
            <v>394.59050450000001</v>
          </cell>
          <cell r="AI29">
            <v>373.03949499999999</v>
          </cell>
          <cell r="AJ29">
            <v>352.29568499999999</v>
          </cell>
          <cell r="AK29">
            <v>332.36266280000001</v>
          </cell>
          <cell r="AL29">
            <v>313.23410339999998</v>
          </cell>
          <cell r="AM29">
            <v>294.90834960000001</v>
          </cell>
          <cell r="AN29">
            <v>277.38045099999999</v>
          </cell>
          <cell r="AO29">
            <v>260.642404</v>
          </cell>
          <cell r="AP29">
            <v>244.6833704</v>
          </cell>
          <cell r="AQ29">
            <v>229.4899504</v>
          </cell>
          <cell r="AR29">
            <v>215.0464896</v>
          </cell>
          <cell r="AS29">
            <v>201.33539339999999</v>
          </cell>
          <cell r="AT29">
            <v>188.3374312</v>
          </cell>
          <cell r="AU29">
            <v>176.03201910000001</v>
          </cell>
          <cell r="AV29">
            <v>164.39762329999999</v>
          </cell>
          <cell r="AW29">
            <v>153.41163599999999</v>
          </cell>
          <cell r="AX29">
            <v>143.05080029999999</v>
          </cell>
          <cell r="AY29">
            <v>133.29139470000001</v>
          </cell>
          <cell r="AZ29">
            <v>124.1094008</v>
          </cell>
          <cell r="BA29">
            <v>114.9074565</v>
          </cell>
          <cell r="BB29">
            <v>106.8293941</v>
          </cell>
          <cell r="BC29">
            <v>99.257369080000004</v>
          </cell>
          <cell r="BD29">
            <v>92.167277819999995</v>
          </cell>
          <cell r="BE29">
            <v>85.535296729999999</v>
          </cell>
        </row>
        <row r="30">
          <cell r="A30" t="str">
            <v>auto_cg_cfut_2</v>
          </cell>
          <cell r="B30">
            <v>2239.620606</v>
          </cell>
          <cell r="C30">
            <v>2182.8307850000001</v>
          </cell>
          <cell r="D30">
            <v>2133.0168960000001</v>
          </cell>
          <cell r="E30">
            <v>2085.777071</v>
          </cell>
          <cell r="F30">
            <v>2038.4879759999999</v>
          </cell>
          <cell r="G30">
            <v>1989.698052</v>
          </cell>
          <cell r="H30">
            <v>1938.546517</v>
          </cell>
          <cell r="I30">
            <v>1884.8235420000001</v>
          </cell>
          <cell r="J30">
            <v>1828.596556</v>
          </cell>
          <cell r="K30">
            <v>1770.093296</v>
          </cell>
          <cell r="L30">
            <v>1709.8121630000001</v>
          </cell>
          <cell r="M30">
            <v>1647.8872779999999</v>
          </cell>
          <cell r="N30">
            <v>1584.7033389999999</v>
          </cell>
          <cell r="O30">
            <v>1520.6534710000001</v>
          </cell>
          <cell r="P30">
            <v>1456.1266880000001</v>
          </cell>
          <cell r="Q30">
            <v>1391.4975360000001</v>
          </cell>
          <cell r="R30">
            <v>1327.1165779999999</v>
          </cell>
          <cell r="S30">
            <v>1263.3104249999999</v>
          </cell>
          <cell r="T30">
            <v>1200.375902</v>
          </cell>
          <cell r="U30">
            <v>1138.577315</v>
          </cell>
          <cell r="V30">
            <v>1078.1027200000001</v>
          </cell>
          <cell r="W30">
            <v>1019.205528</v>
          </cell>
          <cell r="X30">
            <v>962.05101520000005</v>
          </cell>
          <cell r="Y30">
            <v>906.77330300000006</v>
          </cell>
          <cell r="Z30">
            <v>853.47743579999997</v>
          </cell>
          <cell r="AA30">
            <v>802.17934600000001</v>
          </cell>
          <cell r="AB30">
            <v>752.99061400000005</v>
          </cell>
          <cell r="AC30">
            <v>705.95429339999998</v>
          </cell>
          <cell r="AD30">
            <v>661.09114050000005</v>
          </cell>
          <cell r="AE30">
            <v>618.40200230000005</v>
          </cell>
          <cell r="AF30">
            <v>577.87065670000004</v>
          </cell>
          <cell r="AG30">
            <v>539.46660899999995</v>
          </cell>
          <cell r="AH30">
            <v>503.14744359999997</v>
          </cell>
          <cell r="AI30">
            <v>468.86113799999998</v>
          </cell>
          <cell r="AJ30">
            <v>436.54803809999999</v>
          </cell>
          <cell r="AK30">
            <v>406.1425486</v>
          </cell>
          <cell r="AL30">
            <v>377.57210079999999</v>
          </cell>
          <cell r="AM30">
            <v>350.76452710000001</v>
          </cell>
          <cell r="AN30">
            <v>325.64514409999998</v>
          </cell>
          <cell r="AO30">
            <v>302.13775609999999</v>
          </cell>
          <cell r="AP30">
            <v>280.16545669999999</v>
          </cell>
          <cell r="AQ30">
            <v>259.65133559999998</v>
          </cell>
          <cell r="AR30">
            <v>240.51905189999999</v>
          </cell>
          <cell r="AS30">
            <v>222.6933827</v>
          </cell>
          <cell r="AT30">
            <v>206.10067140000001</v>
          </cell>
          <cell r="AU30">
            <v>190.66918949999999</v>
          </cell>
          <cell r="AV30">
            <v>176.32947469999999</v>
          </cell>
          <cell r="AW30">
            <v>163.01442</v>
          </cell>
          <cell r="AX30">
            <v>150.65953880000001</v>
          </cell>
          <cell r="AY30">
            <v>139.2030938</v>
          </cell>
          <cell r="AZ30">
            <v>128.58617419999999</v>
          </cell>
          <cell r="BA30">
            <v>112.4660597</v>
          </cell>
          <cell r="BB30">
            <v>103.8162528</v>
          </cell>
          <cell r="BC30">
            <v>95.817794160000005</v>
          </cell>
          <cell r="BD30">
            <v>88.424316970000007</v>
          </cell>
          <cell r="BE30">
            <v>81.592274309999993</v>
          </cell>
        </row>
        <row r="31">
          <cell r="A31" t="str">
            <v>auto_cg_cfut_0</v>
          </cell>
          <cell r="B31">
            <v>2239.620606</v>
          </cell>
          <cell r="C31">
            <v>2183.8728540000002</v>
          </cell>
          <cell r="D31">
            <v>2135.1571199999998</v>
          </cell>
          <cell r="E31">
            <v>2088.404943</v>
          </cell>
          <cell r="F31">
            <v>2040.797626</v>
          </cell>
          <cell r="G31">
            <v>1990.9240380000001</v>
          </cell>
          <cell r="H31">
            <v>1938.0713989999999</v>
          </cell>
          <cell r="I31">
            <v>1882.198705</v>
          </cell>
          <cell r="J31">
            <v>1823.539166</v>
          </cell>
          <cell r="K31">
            <v>1762.4691620000001</v>
          </cell>
          <cell r="L31">
            <v>1699.6019490000001</v>
          </cell>
          <cell r="M31">
            <v>1635.1895850000001</v>
          </cell>
          <cell r="N31">
            <v>1569.6906120000001</v>
          </cell>
          <cell r="O31">
            <v>1503.5491179999999</v>
          </cell>
          <cell r="P31">
            <v>1437.186508</v>
          </cell>
          <cell r="Q31">
            <v>1370.994647</v>
          </cell>
          <cell r="R31">
            <v>1305.3313820000001</v>
          </cell>
          <cell r="S31">
            <v>1240.518071</v>
          </cell>
          <cell r="T31">
            <v>1176.8386350000001</v>
          </cell>
          <cell r="U31">
            <v>1114.5397370000001</v>
          </cell>
          <cell r="V31">
            <v>1053.7927090000001</v>
          </cell>
          <cell r="W31">
            <v>994.82360240000003</v>
          </cell>
          <cell r="X31">
            <v>937.77531269999997</v>
          </cell>
          <cell r="Y31">
            <v>882.75963879999995</v>
          </cell>
          <cell r="Z31">
            <v>829.85993480000002</v>
          </cell>
          <cell r="AA31">
            <v>779.07770370000003</v>
          </cell>
          <cell r="AB31">
            <v>730.49894359999996</v>
          </cell>
          <cell r="AC31">
            <v>684.14842929999998</v>
          </cell>
          <cell r="AD31">
            <v>640.03062950000003</v>
          </cell>
          <cell r="AE31">
            <v>598.13192779999997</v>
          </cell>
          <cell r="AF31">
            <v>558.4233352</v>
          </cell>
          <cell r="AG31">
            <v>520.86312109999994</v>
          </cell>
          <cell r="AH31">
            <v>485.39919939999999</v>
          </cell>
          <cell r="AI31">
            <v>451.97123169999998</v>
          </cell>
          <cell r="AJ31">
            <v>420.51245239999997</v>
          </cell>
          <cell r="AK31">
            <v>390.95123640000003</v>
          </cell>
          <cell r="AL31">
            <v>363.21010760000001</v>
          </cell>
          <cell r="AM31">
            <v>337.21271400000001</v>
          </cell>
          <cell r="AN31">
            <v>312.88103560000002</v>
          </cell>
          <cell r="AO31">
            <v>290.13618289999999</v>
          </cell>
          <cell r="AP31">
            <v>268.8991077</v>
          </cell>
          <cell r="AQ31">
            <v>249.09124650000001</v>
          </cell>
          <cell r="AR31">
            <v>230.6350855</v>
          </cell>
          <cell r="AS31">
            <v>213.4546406</v>
          </cell>
          <cell r="AT31">
            <v>197.47585430000001</v>
          </cell>
          <cell r="AU31">
            <v>182.62691369999999</v>
          </cell>
          <cell r="AV31">
            <v>168.83852909999999</v>
          </cell>
          <cell r="AW31">
            <v>156.0440447</v>
          </cell>
          <cell r="AX31">
            <v>144.17962309999999</v>
          </cell>
          <cell r="AY31">
            <v>133.18433160000001</v>
          </cell>
          <cell r="AZ31">
            <v>123.0001898</v>
          </cell>
          <cell r="BA31">
            <v>112.71163730000001</v>
          </cell>
          <cell r="BB31">
            <v>104.0471179</v>
          </cell>
          <cell r="BC31">
            <v>96.034357119999996</v>
          </cell>
          <cell r="BD31">
            <v>88.627060349999994</v>
          </cell>
          <cell r="BE31">
            <v>81.781736309999999</v>
          </cell>
        </row>
        <row r="32">
          <cell r="A32" t="str">
            <v>auto_ca_cele_2</v>
          </cell>
          <cell r="B32">
            <v>9.8427898650000003</v>
          </cell>
          <cell r="C32">
            <v>14.924045</v>
          </cell>
          <cell r="D32">
            <v>20.248688479999998</v>
          </cell>
          <cell r="E32">
            <v>25.725454790000001</v>
          </cell>
          <cell r="F32">
            <v>31.302012829999999</v>
          </cell>
          <cell r="G32">
            <v>36.950990789999999</v>
          </cell>
          <cell r="H32">
            <v>42.648356290000002</v>
          </cell>
          <cell r="I32">
            <v>48.387984869999997</v>
          </cell>
          <cell r="J32">
            <v>54.167774850000001</v>
          </cell>
          <cell r="K32">
            <v>59.987838910000001</v>
          </cell>
          <cell r="L32">
            <v>65.869942629999997</v>
          </cell>
          <cell r="M32">
            <v>71.795494509999997</v>
          </cell>
          <cell r="N32">
            <v>77.766670120000001</v>
          </cell>
          <cell r="O32">
            <v>83.786140290000006</v>
          </cell>
          <cell r="P32">
            <v>89.85747988</v>
          </cell>
          <cell r="Q32">
            <v>95.98528383</v>
          </cell>
          <cell r="R32">
            <v>102.1745126</v>
          </cell>
          <cell r="S32">
            <v>108.43151829999999</v>
          </cell>
          <cell r="T32">
            <v>114.7638773</v>
          </cell>
          <cell r="U32">
            <v>121.1803828</v>
          </cell>
          <cell r="V32">
            <v>127.6728748</v>
          </cell>
          <cell r="W32">
            <v>134.27126670000001</v>
          </cell>
          <cell r="X32">
            <v>140.98898130000001</v>
          </cell>
          <cell r="Y32">
            <v>147.84130339999999</v>
          </cell>
          <cell r="Z32">
            <v>154.84509660000001</v>
          </cell>
          <cell r="AA32">
            <v>161.96045620000001</v>
          </cell>
          <cell r="AB32">
            <v>169.2387276</v>
          </cell>
          <cell r="AC32">
            <v>176.703048</v>
          </cell>
          <cell r="AD32">
            <v>184.38006799999999</v>
          </cell>
          <cell r="AE32">
            <v>192.29928430000001</v>
          </cell>
          <cell r="AF32">
            <v>200.4927381</v>
          </cell>
          <cell r="AG32">
            <v>208.99514809999999</v>
          </cell>
          <cell r="AH32">
            <v>217.8436696</v>
          </cell>
          <cell r="AI32">
            <v>227.07814529999999</v>
          </cell>
          <cell r="AJ32">
            <v>236.74138339999999</v>
          </cell>
          <cell r="AK32">
            <v>246.87946539999999</v>
          </cell>
          <cell r="AL32">
            <v>257.52497579999999</v>
          </cell>
          <cell r="AM32">
            <v>268.73170190000002</v>
          </cell>
          <cell r="AN32">
            <v>280.55759369999998</v>
          </cell>
          <cell r="AO32">
            <v>293.06563729999999</v>
          </cell>
          <cell r="AP32">
            <v>306.32421520000003</v>
          </cell>
          <cell r="AQ32">
            <v>320.40778440000003</v>
          </cell>
          <cell r="AR32">
            <v>335.39655349999998</v>
          </cell>
          <cell r="AS32">
            <v>351.3769896</v>
          </cell>
          <cell r="AT32">
            <v>368.4423347</v>
          </cell>
          <cell r="AU32">
            <v>386.69317960000001</v>
          </cell>
          <cell r="AV32">
            <v>406.24251980000003</v>
          </cell>
          <cell r="AW32">
            <v>427.20875510000002</v>
          </cell>
          <cell r="AX32">
            <v>449.71935189999999</v>
          </cell>
          <cell r="AY32">
            <v>473.91175850000002</v>
          </cell>
          <cell r="AZ32">
            <v>499.93431420000002</v>
          </cell>
          <cell r="BA32">
            <v>99.339215170000003</v>
          </cell>
          <cell r="BB32">
            <v>86.987539580000004</v>
          </cell>
          <cell r="BC32">
            <v>73.015126519999995</v>
          </cell>
          <cell r="BD32">
            <v>57.267535199999998</v>
          </cell>
          <cell r="BE32">
            <v>39.574651529999997</v>
          </cell>
        </row>
        <row r="33">
          <cell r="A33" t="str">
            <v>auto_ca_cele_0</v>
          </cell>
          <cell r="B33">
            <v>9.8427898650000003</v>
          </cell>
          <cell r="C33">
            <v>15.012031609999999</v>
          </cell>
          <cell r="D33">
            <v>20.491657239999999</v>
          </cell>
          <cell r="E33">
            <v>26.15742758</v>
          </cell>
          <cell r="F33">
            <v>31.929986620000001</v>
          </cell>
          <cell r="G33">
            <v>37.760551360000001</v>
          </cell>
          <cell r="H33">
            <v>43.608929330000002</v>
          </cell>
          <cell r="I33">
            <v>49.456913290000003</v>
          </cell>
          <cell r="J33">
            <v>55.293395480000001</v>
          </cell>
          <cell r="K33">
            <v>61.11152551</v>
          </cell>
          <cell r="L33">
            <v>66.926891060000003</v>
          </cell>
          <cell r="M33">
            <v>72.716772449999993</v>
          </cell>
          <cell r="N33">
            <v>78.478598539999993</v>
          </cell>
          <cell r="O33">
            <v>84.210216750000001</v>
          </cell>
          <cell r="P33">
            <v>89.910217619999997</v>
          </cell>
          <cell r="Q33">
            <v>95.577974909999995</v>
          </cell>
          <cell r="R33">
            <v>101.2135935</v>
          </cell>
          <cell r="S33">
            <v>106.8178411</v>
          </cell>
          <cell r="T33">
            <v>112.3920933</v>
          </cell>
          <cell r="U33">
            <v>117.93830250000001</v>
          </cell>
          <cell r="V33">
            <v>123.4427725</v>
          </cell>
          <cell r="W33">
            <v>128.9250523</v>
          </cell>
          <cell r="X33">
            <v>134.3893386</v>
          </cell>
          <cell r="Y33">
            <v>139.84059880000001</v>
          </cell>
          <cell r="Z33">
            <v>145.28422649999999</v>
          </cell>
          <cell r="AA33">
            <v>150.67747589999999</v>
          </cell>
          <cell r="AB33">
            <v>156.05270870000001</v>
          </cell>
          <cell r="AC33">
            <v>161.41811849999999</v>
          </cell>
          <cell r="AD33">
            <v>166.78370330000001</v>
          </cell>
          <cell r="AE33">
            <v>172.1605065</v>
          </cell>
          <cell r="AF33">
            <v>177.56023579999999</v>
          </cell>
          <cell r="AG33">
            <v>182.99508990000001</v>
          </cell>
          <cell r="AH33">
            <v>188.47771399999999</v>
          </cell>
          <cell r="AI33">
            <v>194.02123280000001</v>
          </cell>
          <cell r="AJ33">
            <v>199.63932600000001</v>
          </cell>
          <cell r="AK33">
            <v>205.34632479999999</v>
          </cell>
          <cell r="AL33">
            <v>211.14432959999999</v>
          </cell>
          <cell r="AM33">
            <v>217.0491548</v>
          </cell>
          <cell r="AN33">
            <v>223.077958</v>
          </cell>
          <cell r="AO33">
            <v>229.24948839999999</v>
          </cell>
          <cell r="AP33">
            <v>235.58406429999999</v>
          </cell>
          <cell r="AQ33">
            <v>242.10351130000001</v>
          </cell>
          <cell r="AR33">
            <v>248.8311406</v>
          </cell>
          <cell r="AS33">
            <v>255.79178970000001</v>
          </cell>
          <cell r="AT33">
            <v>263.01192370000001</v>
          </cell>
          <cell r="AU33">
            <v>270.519789</v>
          </cell>
          <cell r="AV33">
            <v>278.34700029999999</v>
          </cell>
          <cell r="AW33">
            <v>286.52603249999999</v>
          </cell>
          <cell r="AX33">
            <v>295.09178910000003</v>
          </cell>
          <cell r="AY33">
            <v>304.08182979999998</v>
          </cell>
          <cell r="AZ33">
            <v>313.5366434</v>
          </cell>
          <cell r="BA33">
            <v>124.0450032</v>
          </cell>
          <cell r="BB33">
            <v>114.81711970000001</v>
          </cell>
          <cell r="BC33">
            <v>104.3082737</v>
          </cell>
          <cell r="BD33">
            <v>92.398095470000001</v>
          </cell>
          <cell r="BE33">
            <v>78.954133470000002</v>
          </cell>
        </row>
        <row r="34">
          <cell r="A34" t="str">
            <v>auto_cb_cele_2</v>
          </cell>
          <cell r="B34">
            <v>11.44571741</v>
          </cell>
          <cell r="C34">
            <v>16.240323230000001</v>
          </cell>
          <cell r="D34">
            <v>21.265565769999998</v>
          </cell>
          <cell r="E34">
            <v>26.432514749999999</v>
          </cell>
          <cell r="F34">
            <v>31.69006924</v>
          </cell>
          <cell r="G34">
            <v>37.011227699999999</v>
          </cell>
          <cell r="H34">
            <v>42.372287200000002</v>
          </cell>
          <cell r="I34">
            <v>47.766680719999997</v>
          </cell>
          <cell r="J34">
            <v>53.19167075</v>
          </cell>
          <cell r="K34">
            <v>58.64660559</v>
          </cell>
          <cell r="L34">
            <v>64.151309470000001</v>
          </cell>
          <cell r="M34">
            <v>69.687287909999995</v>
          </cell>
          <cell r="N34">
            <v>75.255764299999996</v>
          </cell>
          <cell r="O34">
            <v>80.858441249999998</v>
          </cell>
          <cell r="P34">
            <v>86.497886059999999</v>
          </cell>
          <cell r="Q34">
            <v>92.177637720000007</v>
          </cell>
          <cell r="R34">
            <v>97.901596690000005</v>
          </cell>
          <cell r="S34">
            <v>103.67498999999999</v>
          </cell>
          <cell r="T34">
            <v>109.50420370000001</v>
          </cell>
          <cell r="U34">
            <v>115.3967629</v>
          </cell>
          <cell r="V34">
            <v>121.3444184</v>
          </cell>
          <cell r="W34">
            <v>127.3744059</v>
          </cell>
          <cell r="X34">
            <v>133.49850860000001</v>
          </cell>
          <cell r="Y34">
            <v>139.7301621</v>
          </cell>
          <cell r="Z34">
            <v>146.08417230000001</v>
          </cell>
          <cell r="AA34">
            <v>152.52294380000001</v>
          </cell>
          <cell r="AB34">
            <v>159.09318010000001</v>
          </cell>
          <cell r="AC34">
            <v>165.8153417</v>
          </cell>
          <cell r="AD34">
            <v>172.71291410000001</v>
          </cell>
          <cell r="AE34">
            <v>179.81174949999999</v>
          </cell>
          <cell r="AF34">
            <v>187.1397484</v>
          </cell>
          <cell r="AG34">
            <v>194.726933</v>
          </cell>
          <cell r="AH34">
            <v>202.60517530000001</v>
          </cell>
          <cell r="AI34">
            <v>210.80837120000001</v>
          </cell>
          <cell r="AJ34">
            <v>219.37263279999999</v>
          </cell>
          <cell r="AK34">
            <v>228.33650059999999</v>
          </cell>
          <cell r="AL34">
            <v>237.7257415</v>
          </cell>
          <cell r="AM34">
            <v>247.5846651</v>
          </cell>
          <cell r="AN34">
            <v>257.96058149999999</v>
          </cell>
          <cell r="AO34">
            <v>268.90447970000002</v>
          </cell>
          <cell r="AP34">
            <v>280.47123199999999</v>
          </cell>
          <cell r="AQ34">
            <v>292.72005860000002</v>
          </cell>
          <cell r="AR34">
            <v>305.71408819999999</v>
          </cell>
          <cell r="AS34">
            <v>319.52064960000001</v>
          </cell>
          <cell r="AT34">
            <v>334.2115526</v>
          </cell>
          <cell r="AU34">
            <v>349.86339479999998</v>
          </cell>
          <cell r="AV34">
            <v>366.56174379999999</v>
          </cell>
          <cell r="AW34">
            <v>384.39471079999998</v>
          </cell>
          <cell r="AX34">
            <v>403.45592240000002</v>
          </cell>
          <cell r="AY34">
            <v>423.84503139999998</v>
          </cell>
          <cell r="AZ34">
            <v>445.66817680000003</v>
          </cell>
          <cell r="BA34">
            <v>75.420396510000003</v>
          </cell>
          <cell r="BB34">
            <v>63.977383179999997</v>
          </cell>
          <cell r="BC34">
            <v>51.223632559999999</v>
          </cell>
          <cell r="BD34">
            <v>37.049375359999999</v>
          </cell>
          <cell r="BE34">
            <v>21.33479221</v>
          </cell>
        </row>
        <row r="35">
          <cell r="A35" t="str">
            <v>auto_cb_cele_0</v>
          </cell>
          <cell r="B35">
            <v>11.44571741</v>
          </cell>
          <cell r="C35">
            <v>16.322968110000001</v>
          </cell>
          <cell r="D35">
            <v>21.491824080000001</v>
          </cell>
          <cell r="E35">
            <v>26.830588290000001</v>
          </cell>
          <cell r="F35">
            <v>32.261549049999999</v>
          </cell>
          <cell r="G35">
            <v>37.736755299999999</v>
          </cell>
          <cell r="H35">
            <v>43.21676926</v>
          </cell>
          <cell r="I35">
            <v>48.683247889999997</v>
          </cell>
          <cell r="J35">
            <v>54.124671659999997</v>
          </cell>
          <cell r="K35">
            <v>59.533606110000001</v>
          </cell>
          <cell r="L35">
            <v>64.923754220000006</v>
          </cell>
          <cell r="M35">
            <v>70.272755450000005</v>
          </cell>
          <cell r="N35">
            <v>75.577302869999997</v>
          </cell>
          <cell r="O35">
            <v>80.834537900000001</v>
          </cell>
          <cell r="P35">
            <v>86.042349369999997</v>
          </cell>
          <cell r="Q35">
            <v>91.199403529999998</v>
          </cell>
          <cell r="R35">
            <v>96.305088639999994</v>
          </cell>
          <cell r="S35">
            <v>101.3594451</v>
          </cell>
          <cell r="T35">
            <v>106.3631086</v>
          </cell>
          <cell r="U35">
            <v>111.3172739</v>
          </cell>
          <cell r="V35">
            <v>116.20887860000001</v>
          </cell>
          <cell r="W35">
            <v>121.0553232</v>
          </cell>
          <cell r="X35">
            <v>125.8599191</v>
          </cell>
          <cell r="Y35">
            <v>130.62665989999999</v>
          </cell>
          <cell r="Z35">
            <v>135.35990179999999</v>
          </cell>
          <cell r="AA35">
            <v>140.02076210000001</v>
          </cell>
          <cell r="AB35">
            <v>144.6381447</v>
          </cell>
          <cell r="AC35">
            <v>149.2191095</v>
          </cell>
          <cell r="AD35">
            <v>153.7722641</v>
          </cell>
          <cell r="AE35">
            <v>158.30706119999999</v>
          </cell>
          <cell r="AF35">
            <v>162.8334447</v>
          </cell>
          <cell r="AG35">
            <v>167.36168269999999</v>
          </cell>
          <cell r="AH35">
            <v>171.90231510000001</v>
          </cell>
          <cell r="AI35">
            <v>176.46616929999999</v>
          </cell>
          <cell r="AJ35">
            <v>181.06441229999999</v>
          </cell>
          <cell r="AK35">
            <v>185.70862020000001</v>
          </cell>
          <cell r="AL35">
            <v>190.39964470000001</v>
          </cell>
          <cell r="AM35">
            <v>195.15012960000001</v>
          </cell>
          <cell r="AN35">
            <v>199.97369850000001</v>
          </cell>
          <cell r="AO35">
            <v>204.885133</v>
          </cell>
          <cell r="AP35">
            <v>209.9003184</v>
          </cell>
          <cell r="AQ35">
            <v>215.03615840000001</v>
          </cell>
          <cell r="AR35">
            <v>220.31052360000001</v>
          </cell>
          <cell r="AS35">
            <v>225.74225179999999</v>
          </cell>
          <cell r="AT35">
            <v>231.35119599999999</v>
          </cell>
          <cell r="AU35">
            <v>237.15831170000001</v>
          </cell>
          <cell r="AV35">
            <v>243.1869303</v>
          </cell>
          <cell r="AW35">
            <v>249.4606101</v>
          </cell>
          <cell r="AX35">
            <v>256.00439399999999</v>
          </cell>
          <cell r="AY35">
            <v>262.84493479999998</v>
          </cell>
          <cell r="AZ35">
            <v>270.01064789999998</v>
          </cell>
          <cell r="BA35">
            <v>97.441447859999997</v>
          </cell>
          <cell r="BB35">
            <v>88.643995919999995</v>
          </cell>
          <cell r="BC35">
            <v>78.802633589999999</v>
          </cell>
          <cell r="BD35">
            <v>67.831831030000004</v>
          </cell>
          <cell r="BE35">
            <v>55.638347830000001</v>
          </cell>
        </row>
        <row r="36">
          <cell r="A36" t="str">
            <v>auto_cc_cele_2</v>
          </cell>
          <cell r="B36">
            <v>9.4015406210000005</v>
          </cell>
          <cell r="C36">
            <v>12.65853536</v>
          </cell>
          <cell r="D36">
            <v>16.07324054</v>
          </cell>
          <cell r="E36">
            <v>19.58318598</v>
          </cell>
          <cell r="F36">
            <v>23.152400239999999</v>
          </cell>
          <cell r="G36">
            <v>26.761690890000001</v>
          </cell>
          <cell r="H36">
            <v>30.394215450000001</v>
          </cell>
          <cell r="I36">
            <v>34.044956130000003</v>
          </cell>
          <cell r="J36">
            <v>37.711525590000001</v>
          </cell>
          <cell r="K36">
            <v>41.392954719999999</v>
          </cell>
          <cell r="L36">
            <v>45.102234940000002</v>
          </cell>
          <cell r="M36">
            <v>48.826130050000003</v>
          </cell>
          <cell r="N36">
            <v>52.564902170000003</v>
          </cell>
          <cell r="O36">
            <v>56.319148409999997</v>
          </cell>
          <cell r="P36">
            <v>60.090062439999997</v>
          </cell>
          <cell r="Q36">
            <v>63.87950507</v>
          </cell>
          <cell r="R36">
            <v>67.689593540000004</v>
          </cell>
          <cell r="S36">
            <v>71.523355039999998</v>
          </cell>
          <cell r="T36">
            <v>75.38460508</v>
          </cell>
          <cell r="U36">
            <v>79.277924659999996</v>
          </cell>
          <cell r="V36">
            <v>83.19731539</v>
          </cell>
          <cell r="W36">
            <v>87.160604419999999</v>
          </cell>
          <cell r="X36">
            <v>91.175179409999998</v>
          </cell>
          <cell r="Y36">
            <v>95.249475790000005</v>
          </cell>
          <cell r="Z36">
            <v>99.392774930000002</v>
          </cell>
          <cell r="AA36">
            <v>103.57951559999999</v>
          </cell>
          <cell r="AB36">
            <v>107.8402172</v>
          </cell>
          <cell r="AC36">
            <v>112.1878054</v>
          </cell>
          <cell r="AD36">
            <v>116.63706209999999</v>
          </cell>
          <cell r="AE36">
            <v>121.2041596</v>
          </cell>
          <cell r="AF36">
            <v>125.90642459999999</v>
          </cell>
          <cell r="AG36">
            <v>130.7623548</v>
          </cell>
          <cell r="AH36">
            <v>135.79140889999999</v>
          </cell>
          <cell r="AI36">
            <v>141.0140868</v>
          </cell>
          <cell r="AJ36">
            <v>146.45201950000001</v>
          </cell>
          <cell r="AK36">
            <v>152.1280672</v>
          </cell>
          <cell r="AL36">
            <v>158.05642259999999</v>
          </cell>
          <cell r="AM36">
            <v>164.2629297</v>
          </cell>
          <cell r="AN36">
            <v>170.7748996</v>
          </cell>
          <cell r="AO36">
            <v>177.621489</v>
          </cell>
          <cell r="AP36">
            <v>184.8337635</v>
          </cell>
          <cell r="AQ36">
            <v>192.444918</v>
          </cell>
          <cell r="AR36">
            <v>200.48991179999999</v>
          </cell>
          <cell r="AS36">
            <v>209.00557090000001</v>
          </cell>
          <cell r="AT36">
            <v>218.03067300000001</v>
          </cell>
          <cell r="AU36">
            <v>227.60604069999999</v>
          </cell>
          <cell r="AV36">
            <v>237.77703679999999</v>
          </cell>
          <cell r="AW36">
            <v>248.58937789999999</v>
          </cell>
          <cell r="AX36">
            <v>260.09089180000001</v>
          </cell>
          <cell r="AY36">
            <v>272.33170139999999</v>
          </cell>
          <cell r="AZ36">
            <v>285.36435790000002</v>
          </cell>
          <cell r="BA36">
            <v>41.767990060000002</v>
          </cell>
          <cell r="BB36">
            <v>34.301015939999999</v>
          </cell>
          <cell r="BC36">
            <v>26.084829039999999</v>
          </cell>
          <cell r="BD36">
            <v>17.065230100000001</v>
          </cell>
          <cell r="BE36">
            <v>7.1835929309999997</v>
          </cell>
        </row>
        <row r="37">
          <cell r="A37" t="str">
            <v>auto_cc_cele_0</v>
          </cell>
          <cell r="B37">
            <v>9.4015406210000005</v>
          </cell>
          <cell r="C37">
            <v>12.71448286</v>
          </cell>
          <cell r="D37">
            <v>16.225058359999998</v>
          </cell>
          <cell r="E37">
            <v>19.847384250000001</v>
          </cell>
          <cell r="F37">
            <v>23.526649339999999</v>
          </cell>
          <cell r="G37">
            <v>27.228931620000001</v>
          </cell>
          <cell r="H37">
            <v>30.926391670000001</v>
          </cell>
          <cell r="I37">
            <v>34.605790550000002</v>
          </cell>
          <cell r="J37">
            <v>38.258624589999997</v>
          </cell>
          <cell r="K37">
            <v>41.879223029999999</v>
          </cell>
          <cell r="L37">
            <v>45.476279699999999</v>
          </cell>
          <cell r="M37">
            <v>49.034016170000001</v>
          </cell>
          <cell r="N37">
            <v>52.549652569999999</v>
          </cell>
          <cell r="O37">
            <v>56.02075705</v>
          </cell>
          <cell r="P37">
            <v>59.445444190000003</v>
          </cell>
          <cell r="Q37">
            <v>62.822389880000003</v>
          </cell>
          <cell r="R37">
            <v>66.150789250000003</v>
          </cell>
          <cell r="S37">
            <v>69.430305439999998</v>
          </cell>
          <cell r="T37">
            <v>72.66102703</v>
          </cell>
          <cell r="U37">
            <v>75.843438899999995</v>
          </cell>
          <cell r="V37">
            <v>78.968666389999996</v>
          </cell>
          <cell r="W37">
            <v>82.047966549999998</v>
          </cell>
          <cell r="X37">
            <v>85.083278739999997</v>
          </cell>
          <cell r="Y37">
            <v>88.076983170000005</v>
          </cell>
          <cell r="Z37">
            <v>91.031686449999995</v>
          </cell>
          <cell r="AA37">
            <v>93.922000420000003</v>
          </cell>
          <cell r="AB37">
            <v>96.766647140000003</v>
          </cell>
          <cell r="AC37">
            <v>99.570116760000005</v>
          </cell>
          <cell r="AD37">
            <v>102.3378563</v>
          </cell>
          <cell r="AE37">
            <v>105.07580249999999</v>
          </cell>
          <cell r="AF37">
            <v>107.7901449</v>
          </cell>
          <cell r="AG37">
            <v>110.48721159999999</v>
          </cell>
          <cell r="AH37">
            <v>113.173429</v>
          </cell>
          <cell r="AI37">
            <v>115.85532329999999</v>
          </cell>
          <cell r="AJ37">
            <v>118.5395463</v>
          </cell>
          <cell r="AK37">
            <v>121.2329111</v>
          </cell>
          <cell r="AL37">
            <v>123.9354605</v>
          </cell>
          <cell r="AM37">
            <v>126.6545479</v>
          </cell>
          <cell r="AN37">
            <v>129.3980291</v>
          </cell>
          <cell r="AO37">
            <v>132.17435180000001</v>
          </cell>
          <cell r="AP37">
            <v>134.992503</v>
          </cell>
          <cell r="AQ37">
            <v>137.86193789999999</v>
          </cell>
          <cell r="AR37">
            <v>140.79253170000001</v>
          </cell>
          <cell r="AS37">
            <v>143.7945613</v>
          </cell>
          <cell r="AT37">
            <v>146.87871530000001</v>
          </cell>
          <cell r="AU37">
            <v>150.05612640000001</v>
          </cell>
          <cell r="AV37">
            <v>153.3391087</v>
          </cell>
          <cell r="AW37">
            <v>156.73984039999999</v>
          </cell>
          <cell r="AX37">
            <v>160.2710945</v>
          </cell>
          <cell r="AY37">
            <v>163.9462833</v>
          </cell>
          <cell r="AZ37">
            <v>167.77951440000001</v>
          </cell>
          <cell r="BA37">
            <v>55.764968279999998</v>
          </cell>
          <cell r="BB37">
            <v>49.894204240000001</v>
          </cell>
          <cell r="BC37">
            <v>43.422705530000002</v>
          </cell>
          <cell r="BD37">
            <v>36.308326579999999</v>
          </cell>
          <cell r="BE37">
            <v>28.50554975</v>
          </cell>
        </row>
        <row r="38">
          <cell r="A38" t="str">
            <v>auto_cd_cele_2</v>
          </cell>
          <cell r="B38">
            <v>5.770071272</v>
          </cell>
          <cell r="C38">
            <v>7.5419217359999999</v>
          </cell>
          <cell r="D38">
            <v>9.382778987</v>
          </cell>
          <cell r="E38">
            <v>11.250712910000001</v>
          </cell>
          <cell r="F38">
            <v>13.11967653</v>
          </cell>
          <cell r="G38">
            <v>14.97396582</v>
          </cell>
          <cell r="H38">
            <v>16.800368580000001</v>
          </cell>
          <cell r="I38">
            <v>18.592850009999999</v>
          </cell>
          <cell r="J38">
            <v>20.347409599999999</v>
          </cell>
          <cell r="K38">
            <v>22.061238679999999</v>
          </cell>
          <cell r="L38">
            <v>23.73849285</v>
          </cell>
          <cell r="M38">
            <v>25.370922400000001</v>
          </cell>
          <cell r="N38">
            <v>26.957045359999999</v>
          </cell>
          <cell r="O38">
            <v>28.495662580000001</v>
          </cell>
          <cell r="P38">
            <v>29.985918030000001</v>
          </cell>
          <cell r="Q38">
            <v>31.42728129</v>
          </cell>
          <cell r="R38">
            <v>32.819341809999997</v>
          </cell>
          <cell r="S38">
            <v>34.162052750000001</v>
          </cell>
          <cell r="T38">
            <v>35.455634420000003</v>
          </cell>
          <cell r="U38">
            <v>36.700527899999997</v>
          </cell>
          <cell r="V38">
            <v>37.89313276</v>
          </cell>
          <cell r="W38">
            <v>39.038772450000003</v>
          </cell>
          <cell r="X38">
            <v>40.138549189999999</v>
          </cell>
          <cell r="Y38">
            <v>41.193750690000002</v>
          </cell>
          <cell r="Z38">
            <v>42.205762030000002</v>
          </cell>
          <cell r="AA38">
            <v>43.16455303</v>
          </cell>
          <cell r="AB38">
            <v>44.078622969999998</v>
          </cell>
          <cell r="AC38">
            <v>44.95028147</v>
          </cell>
          <cell r="AD38">
            <v>45.782096979999999</v>
          </cell>
          <cell r="AE38">
            <v>46.576720760000001</v>
          </cell>
          <cell r="AF38">
            <v>47.336797779999998</v>
          </cell>
          <cell r="AG38">
            <v>48.064953930000001</v>
          </cell>
          <cell r="AH38">
            <v>48.763725530000002</v>
          </cell>
          <cell r="AI38">
            <v>49.435572710000002</v>
          </cell>
          <cell r="AJ38">
            <v>50.082891770000003</v>
          </cell>
          <cell r="AK38">
            <v>50.708026820000001</v>
          </cell>
          <cell r="AL38">
            <v>51.311094689999997</v>
          </cell>
          <cell r="AM38">
            <v>51.894595500000001</v>
          </cell>
          <cell r="AN38">
            <v>52.460979889999997</v>
          </cell>
          <cell r="AO38">
            <v>53.012705699999998</v>
          </cell>
          <cell r="AP38">
            <v>53.552224070000001</v>
          </cell>
          <cell r="AQ38">
            <v>54.08199235</v>
          </cell>
          <cell r="AR38">
            <v>54.604385139999998</v>
          </cell>
          <cell r="AS38">
            <v>55.121700730000001</v>
          </cell>
          <cell r="AT38">
            <v>55.636163609999997</v>
          </cell>
          <cell r="AU38">
            <v>56.149927390000002</v>
          </cell>
          <cell r="AV38">
            <v>56.665410369999996</v>
          </cell>
          <cell r="AW38">
            <v>57.184650040000001</v>
          </cell>
          <cell r="AX38">
            <v>57.709579480000002</v>
          </cell>
          <cell r="AY38">
            <v>58.242051830000001</v>
          </cell>
          <cell r="AZ38">
            <v>58.783851990000002</v>
          </cell>
          <cell r="BA38">
            <v>33.875114490000001</v>
          </cell>
          <cell r="BB38">
            <v>32.826666979999999</v>
          </cell>
          <cell r="BC38">
            <v>31.723283139999999</v>
          </cell>
          <cell r="BD38">
            <v>30.565733399999999</v>
          </cell>
          <cell r="BE38">
            <v>29.35484288</v>
          </cell>
        </row>
        <row r="39">
          <cell r="A39" t="str">
            <v>auto_cd_cele_0</v>
          </cell>
          <cell r="B39">
            <v>5.770071272</v>
          </cell>
          <cell r="C39">
            <v>7.5724919289999999</v>
          </cell>
          <cell r="D39">
            <v>9.4657032860000001</v>
          </cell>
          <cell r="E39">
            <v>11.39626638</v>
          </cell>
          <cell r="F39">
            <v>13.329768230000001</v>
          </cell>
          <cell r="G39">
            <v>15.244613149999999</v>
          </cell>
          <cell r="H39">
            <v>17.12371868</v>
          </cell>
          <cell r="I39">
            <v>18.958629479999999</v>
          </cell>
          <cell r="J39">
            <v>20.743983780000001</v>
          </cell>
          <cell r="K39">
            <v>22.47630899</v>
          </cell>
          <cell r="L39">
            <v>24.159458440000002</v>
          </cell>
          <cell r="M39">
            <v>25.78542977</v>
          </cell>
          <cell r="N39">
            <v>27.35287391</v>
          </cell>
          <cell r="O39">
            <v>28.860748959999999</v>
          </cell>
          <cell r="P39">
            <v>30.308371510000001</v>
          </cell>
          <cell r="Q39">
            <v>31.695390010000001</v>
          </cell>
          <cell r="R39">
            <v>33.02173896</v>
          </cell>
          <cell r="S39">
            <v>34.287593829999999</v>
          </cell>
          <cell r="T39">
            <v>35.49333283</v>
          </cell>
          <cell r="U39">
            <v>36.639506869999998</v>
          </cell>
          <cell r="V39">
            <v>37.722811190000002</v>
          </cell>
          <cell r="W39">
            <v>38.748314649999998</v>
          </cell>
          <cell r="X39">
            <v>39.717090140000003</v>
          </cell>
          <cell r="Y39">
            <v>40.630325050000003</v>
          </cell>
          <cell r="Z39">
            <v>41.489236069999997</v>
          </cell>
          <cell r="AA39">
            <v>42.284532730000002</v>
          </cell>
          <cell r="AB39">
            <v>43.023770280000001</v>
          </cell>
          <cell r="AC39">
            <v>43.708911669999999</v>
          </cell>
          <cell r="AD39">
            <v>44.34212488</v>
          </cell>
          <cell r="AE39">
            <v>44.925604210000003</v>
          </cell>
          <cell r="AF39">
            <v>45.461486809999997</v>
          </cell>
          <cell r="AG39">
            <v>45.951816890000003</v>
          </cell>
          <cell r="AH39">
            <v>46.398536569999997</v>
          </cell>
          <cell r="AI39">
            <v>46.803491110000003</v>
          </cell>
          <cell r="AJ39">
            <v>47.168440779999997</v>
          </cell>
          <cell r="AK39">
            <v>47.495074359999997</v>
          </cell>
          <cell r="AL39">
            <v>47.78301862</v>
          </cell>
          <cell r="AM39">
            <v>48.034025409999998</v>
          </cell>
          <cell r="AN39">
            <v>48.249866220000001</v>
          </cell>
          <cell r="AO39">
            <v>48.432337199999999</v>
          </cell>
          <cell r="AP39">
            <v>48.583229350000003</v>
          </cell>
          <cell r="AQ39">
            <v>48.704299419999998</v>
          </cell>
          <cell r="AR39">
            <v>48.797250490000003</v>
          </cell>
          <cell r="AS39">
            <v>48.86372248</v>
          </cell>
          <cell r="AT39">
            <v>48.90529033</v>
          </cell>
          <cell r="AU39">
            <v>48.923467260000002</v>
          </cell>
          <cell r="AV39">
            <v>48.919854389999998</v>
          </cell>
          <cell r="AW39">
            <v>48.89584748</v>
          </cell>
          <cell r="AX39">
            <v>48.852795800000003</v>
          </cell>
          <cell r="AY39">
            <v>48.792005320000001</v>
          </cell>
          <cell r="AZ39">
            <v>48.714743599999998</v>
          </cell>
          <cell r="BA39">
            <v>35.485589879999999</v>
          </cell>
          <cell r="BB39">
            <v>34.573697099999997</v>
          </cell>
          <cell r="BC39">
            <v>33.613691600000003</v>
          </cell>
          <cell r="BD39">
            <v>32.606383600000001</v>
          </cell>
          <cell r="BE39">
            <v>31.552621970000001</v>
          </cell>
        </row>
        <row r="40">
          <cell r="A40" t="str">
            <v>auto_ce_cele_2</v>
          </cell>
          <cell r="B40">
            <v>3.4730440960000002</v>
          </cell>
          <cell r="C40">
            <v>4.5615066850000003</v>
          </cell>
          <cell r="D40">
            <v>5.6848458639999997</v>
          </cell>
          <cell r="E40">
            <v>6.8154881920000001</v>
          </cell>
          <cell r="F40">
            <v>7.9362593080000003</v>
          </cell>
          <cell r="G40">
            <v>9.0367235170000004</v>
          </cell>
          <cell r="H40">
            <v>10.108325219999999</v>
          </cell>
          <cell r="I40">
            <v>11.14706353</v>
          </cell>
          <cell r="J40">
            <v>12.15032633</v>
          </cell>
          <cell r="K40">
            <v>13.11633406</v>
          </cell>
          <cell r="L40">
            <v>14.047359889999999</v>
          </cell>
          <cell r="M40">
            <v>14.938672260000001</v>
          </cell>
          <cell r="N40">
            <v>15.78951723</v>
          </cell>
          <cell r="O40">
            <v>16.599382439999999</v>
          </cell>
          <cell r="P40">
            <v>17.368017869999999</v>
          </cell>
          <cell r="Q40">
            <v>18.09541501</v>
          </cell>
          <cell r="R40">
            <v>18.781690990000001</v>
          </cell>
          <cell r="S40">
            <v>19.427212910000002</v>
          </cell>
          <cell r="T40">
            <v>20.032533699999998</v>
          </cell>
          <cell r="U40">
            <v>20.598356720000002</v>
          </cell>
          <cell r="V40">
            <v>21.123377489999999</v>
          </cell>
          <cell r="W40">
            <v>21.610863200000001</v>
          </cell>
          <cell r="X40">
            <v>22.061913449999999</v>
          </cell>
          <cell r="Y40">
            <v>22.477715960000001</v>
          </cell>
          <cell r="Z40">
            <v>22.859499329999998</v>
          </cell>
          <cell r="AA40">
            <v>23.203093169999999</v>
          </cell>
          <cell r="AB40">
            <v>23.513242219999999</v>
          </cell>
          <cell r="AC40">
            <v>23.791672460000001</v>
          </cell>
          <cell r="AD40">
            <v>24.040182690000002</v>
          </cell>
          <cell r="AE40">
            <v>24.26055787</v>
          </cell>
          <cell r="AF40">
            <v>24.45452762</v>
          </cell>
          <cell r="AG40">
            <v>24.623759629999999</v>
          </cell>
          <cell r="AH40">
            <v>24.7698286</v>
          </cell>
          <cell r="AI40">
            <v>24.894223610000001</v>
          </cell>
          <cell r="AJ40">
            <v>24.998354599999999</v>
          </cell>
          <cell r="AK40">
            <v>25.083558329999999</v>
          </cell>
          <cell r="AL40">
            <v>25.150217040000001</v>
          </cell>
          <cell r="AM40">
            <v>25.199660730000002</v>
          </cell>
          <cell r="AN40">
            <v>25.233148159999999</v>
          </cell>
          <cell r="AO40">
            <v>25.251889129999999</v>
          </cell>
          <cell r="AP40">
            <v>25.257038179999999</v>
          </cell>
          <cell r="AQ40">
            <v>25.2496981</v>
          </cell>
          <cell r="AR40">
            <v>25.230886269999999</v>
          </cell>
          <cell r="AS40">
            <v>25.20153938</v>
          </cell>
          <cell r="AT40">
            <v>25.162516449999998</v>
          </cell>
          <cell r="AU40">
            <v>25.114601799999999</v>
          </cell>
          <cell r="AV40">
            <v>25.058618809999999</v>
          </cell>
          <cell r="AW40">
            <v>24.995205439999999</v>
          </cell>
          <cell r="AX40">
            <v>24.924918380000001</v>
          </cell>
          <cell r="AY40">
            <v>24.848246249999999</v>
          </cell>
          <cell r="AZ40">
            <v>24.7656168</v>
          </cell>
          <cell r="BA40">
            <v>13.85018971</v>
          </cell>
          <cell r="BB40">
            <v>13.3144727</v>
          </cell>
          <cell r="BC40">
            <v>12.772281039999999</v>
          </cell>
          <cell r="BD40">
            <v>12.22493592</v>
          </cell>
          <cell r="BE40">
            <v>11.673745009999999</v>
          </cell>
        </row>
        <row r="41">
          <cell r="A41" t="str">
            <v>auto_ce_cele_0</v>
          </cell>
          <cell r="B41">
            <v>3.4730440960000002</v>
          </cell>
          <cell r="C41">
            <v>4.5791175480000001</v>
          </cell>
          <cell r="D41">
            <v>5.7313470659999997</v>
          </cell>
          <cell r="E41">
            <v>6.8947231359999996</v>
          </cell>
          <cell r="F41">
            <v>8.046970365</v>
          </cell>
          <cell r="G41">
            <v>9.1742723420000001</v>
          </cell>
          <cell r="H41">
            <v>10.26601703</v>
          </cell>
          <cell r="I41">
            <v>11.317029440000001</v>
          </cell>
          <cell r="J41">
            <v>12.32415729</v>
          </cell>
          <cell r="K41">
            <v>13.28549267</v>
          </cell>
          <cell r="L41">
            <v>14.203348699999999</v>
          </cell>
          <cell r="M41">
            <v>15.07343667</v>
          </cell>
          <cell r="N41">
            <v>15.89533303</v>
          </cell>
          <cell r="O41">
            <v>16.668865740000001</v>
          </cell>
          <cell r="P41">
            <v>17.394128179999999</v>
          </cell>
          <cell r="Q41">
            <v>18.071451410000002</v>
          </cell>
          <cell r="R41">
            <v>18.701368550000002</v>
          </cell>
          <cell r="S41">
            <v>19.284581429999999</v>
          </cell>
          <cell r="T41">
            <v>19.821932180000001</v>
          </cell>
          <cell r="U41">
            <v>20.31437983</v>
          </cell>
          <cell r="V41">
            <v>20.761014150000001</v>
          </cell>
          <cell r="W41">
            <v>21.16510662</v>
          </cell>
          <cell r="X41">
            <v>21.527926770000001</v>
          </cell>
          <cell r="Y41">
            <v>21.850796599999999</v>
          </cell>
          <cell r="Z41">
            <v>22.13504811</v>
          </cell>
          <cell r="AA41">
            <v>22.377213210000001</v>
          </cell>
          <cell r="AB41">
            <v>22.581676519999998</v>
          </cell>
          <cell r="AC41">
            <v>22.75018863</v>
          </cell>
          <cell r="AD41">
            <v>22.88455664</v>
          </cell>
          <cell r="AE41">
            <v>22.98656029</v>
          </cell>
          <cell r="AF41">
            <v>23.05791584</v>
          </cell>
          <cell r="AG41">
            <v>23.100262430000001</v>
          </cell>
          <cell r="AH41">
            <v>23.11516035</v>
          </cell>
          <cell r="AI41">
            <v>23.10409538</v>
          </cell>
          <cell r="AJ41">
            <v>23.068485769999999</v>
          </cell>
          <cell r="AK41">
            <v>23.009689739999999</v>
          </cell>
          <cell r="AL41">
            <v>22.928249959999999</v>
          </cell>
          <cell r="AM41">
            <v>22.825527690000001</v>
          </cell>
          <cell r="AN41">
            <v>22.702862119999999</v>
          </cell>
          <cell r="AO41">
            <v>22.561568520000002</v>
          </cell>
          <cell r="AP41">
            <v>22.40292535</v>
          </cell>
          <cell r="AQ41">
            <v>22.228163510000002</v>
          </cell>
          <cell r="AR41">
            <v>22.038460199999999</v>
          </cell>
          <cell r="AS41">
            <v>21.834936849999998</v>
          </cell>
          <cell r="AT41">
            <v>21.618659940000001</v>
          </cell>
          <cell r="AU41">
            <v>21.390643430000001</v>
          </cell>
          <cell r="AV41">
            <v>21.15189698</v>
          </cell>
          <cell r="AW41">
            <v>20.903332729999999</v>
          </cell>
          <cell r="AX41">
            <v>20.645818850000001</v>
          </cell>
          <cell r="AY41">
            <v>20.380181749999998</v>
          </cell>
          <cell r="AZ41">
            <v>20.10720856</v>
          </cell>
          <cell r="BA41">
            <v>14.46660228</v>
          </cell>
          <cell r="BB41">
            <v>13.96919132</v>
          </cell>
          <cell r="BC41">
            <v>13.465731549999999</v>
          </cell>
          <cell r="BD41">
            <v>12.95742368</v>
          </cell>
          <cell r="BE41">
            <v>12.44545143</v>
          </cell>
        </row>
        <row r="42">
          <cell r="A42" t="str">
            <v>auto_cf_cele_2</v>
          </cell>
          <cell r="B42">
            <v>1.7251505170000001</v>
          </cell>
          <cell r="C42">
            <v>2.2414074679999998</v>
          </cell>
          <cell r="D42">
            <v>2.7610726919999999</v>
          </cell>
          <cell r="E42">
            <v>3.2676010949999998</v>
          </cell>
          <cell r="F42">
            <v>3.7508399049999999</v>
          </cell>
          <cell r="G42">
            <v>4.2048411530000003</v>
          </cell>
          <cell r="H42">
            <v>4.6254245210000002</v>
          </cell>
          <cell r="I42">
            <v>5.0110367220000001</v>
          </cell>
          <cell r="J42">
            <v>5.3611608730000002</v>
          </cell>
          <cell r="K42">
            <v>5.6759340539999998</v>
          </cell>
          <cell r="L42">
            <v>5.9571312059999997</v>
          </cell>
          <cell r="M42">
            <v>6.2042055080000003</v>
          </cell>
          <cell r="N42">
            <v>6.4182019830000003</v>
          </cell>
          <cell r="O42">
            <v>6.6003517690000004</v>
          </cell>
          <cell r="P42">
            <v>6.7520397489999997</v>
          </cell>
          <cell r="Q42">
            <v>6.8747663640000001</v>
          </cell>
          <cell r="R42">
            <v>6.9700935529999999</v>
          </cell>
          <cell r="S42">
            <v>7.0396576020000001</v>
          </cell>
          <cell r="T42">
            <v>7.0851287760000004</v>
          </cell>
          <cell r="U42">
            <v>7.1081842789999996</v>
          </cell>
          <cell r="V42">
            <v>7.110044662</v>
          </cell>
          <cell r="W42">
            <v>7.0928717829999997</v>
          </cell>
          <cell r="X42">
            <v>7.0582718690000004</v>
          </cell>
          <cell r="Y42">
            <v>7.0077975940000004</v>
          </cell>
          <cell r="Z42">
            <v>6.9429377670000001</v>
          </cell>
          <cell r="AA42">
            <v>6.8642737780000003</v>
          </cell>
          <cell r="AB42">
            <v>6.7738028750000003</v>
          </cell>
          <cell r="AC42">
            <v>6.6729192470000003</v>
          </cell>
          <cell r="AD42">
            <v>6.5629325109999996</v>
          </cell>
          <cell r="AE42">
            <v>6.4450590769999998</v>
          </cell>
          <cell r="AF42">
            <v>6.3204225469999997</v>
          </cell>
          <cell r="AG42">
            <v>6.190058627</v>
          </cell>
          <cell r="AH42">
            <v>6.0549175259999997</v>
          </cell>
          <cell r="AI42">
            <v>5.9158707389999998</v>
          </cell>
          <cell r="AJ42">
            <v>5.7737170310000003</v>
          </cell>
          <cell r="AK42">
            <v>5.6291877689999996</v>
          </cell>
          <cell r="AL42">
            <v>5.4828868379999998</v>
          </cell>
          <cell r="AM42">
            <v>5.3354441780000004</v>
          </cell>
          <cell r="AN42">
            <v>5.1874319360000003</v>
          </cell>
          <cell r="AO42">
            <v>5.0393692720000001</v>
          </cell>
          <cell r="AP42">
            <v>4.8917249829999996</v>
          </cell>
          <cell r="AQ42">
            <v>4.7449205550000002</v>
          </cell>
          <cell r="AR42">
            <v>4.5993315629999998</v>
          </cell>
          <cell r="AS42">
            <v>4.455291281</v>
          </cell>
          <cell r="AT42">
            <v>4.3130939250000004</v>
          </cell>
          <cell r="AU42">
            <v>4.1729976149999999</v>
          </cell>
          <cell r="AV42">
            <v>4.0352302050000004</v>
          </cell>
          <cell r="AW42">
            <v>3.8999843279999999</v>
          </cell>
          <cell r="AX42">
            <v>3.7674240440000002</v>
          </cell>
          <cell r="AY42">
            <v>3.6376876089999999</v>
          </cell>
          <cell r="AZ42">
            <v>3.5108897030000001</v>
          </cell>
          <cell r="BA42">
            <v>2.8822763779999998</v>
          </cell>
          <cell r="BB42">
            <v>2.7701985680000001</v>
          </cell>
          <cell r="BC42">
            <v>2.6618247959999999</v>
          </cell>
          <cell r="BD42">
            <v>2.5571370870000001</v>
          </cell>
          <cell r="BE42">
            <v>2.456102048</v>
          </cell>
        </row>
        <row r="43">
          <cell r="A43" t="str">
            <v>auto_cf_cele_0</v>
          </cell>
          <cell r="B43">
            <v>1.7251505170000001</v>
          </cell>
          <cell r="C43">
            <v>2.2482442969999998</v>
          </cell>
          <cell r="D43">
            <v>2.7774998559999999</v>
          </cell>
          <cell r="E43">
            <v>3.2928145070000001</v>
          </cell>
          <cell r="F43">
            <v>3.7822145479999998</v>
          </cell>
          <cell r="G43">
            <v>4.2389795909999997</v>
          </cell>
          <cell r="H43">
            <v>4.6588005780000001</v>
          </cell>
          <cell r="I43">
            <v>5.0403092589999998</v>
          </cell>
          <cell r="J43">
            <v>5.3833593530000003</v>
          </cell>
          <cell r="K43">
            <v>5.688546938</v>
          </cell>
          <cell r="L43">
            <v>5.9580836430000002</v>
          </cell>
          <cell r="M43">
            <v>6.1919811400000002</v>
          </cell>
          <cell r="N43">
            <v>6.3917140029999997</v>
          </cell>
          <cell r="O43">
            <v>6.5588898049999997</v>
          </cell>
          <cell r="P43">
            <v>6.6952202219999997</v>
          </cell>
          <cell r="Q43">
            <v>6.8024854770000003</v>
          </cell>
          <cell r="R43">
            <v>6.8825027959999998</v>
          </cell>
          <cell r="S43">
            <v>6.9371003590000004</v>
          </cell>
          <cell r="T43">
            <v>6.9680962270000002</v>
          </cell>
          <cell r="U43">
            <v>6.977281466</v>
          </cell>
          <cell r="V43">
            <v>6.9659966000000004</v>
          </cell>
          <cell r="W43">
            <v>6.9364223320000002</v>
          </cell>
          <cell r="X43">
            <v>6.8902084669999999</v>
          </cell>
          <cell r="Y43">
            <v>6.8289334559999997</v>
          </cell>
          <cell r="Z43">
            <v>6.7540974370000004</v>
          </cell>
          <cell r="AA43">
            <v>6.6663617750000004</v>
          </cell>
          <cell r="AB43">
            <v>6.567646184</v>
          </cell>
          <cell r="AC43">
            <v>6.4593235059999996</v>
          </cell>
          <cell r="AD43">
            <v>6.3426796039999997</v>
          </cell>
          <cell r="AE43">
            <v>6.218905017</v>
          </cell>
          <cell r="AF43">
            <v>6.0890960569999999</v>
          </cell>
          <cell r="AG43">
            <v>5.9542593210000003</v>
          </cell>
          <cell r="AH43">
            <v>5.8153174180000002</v>
          </cell>
          <cell r="AI43">
            <v>5.673114956</v>
          </cell>
          <cell r="AJ43">
            <v>5.5284242990000001</v>
          </cell>
          <cell r="AK43">
            <v>5.3819508650000003</v>
          </cell>
          <cell r="AL43">
            <v>5.234277949</v>
          </cell>
          <cell r="AM43">
            <v>5.086009775</v>
          </cell>
          <cell r="AN43">
            <v>4.9376954399999997</v>
          </cell>
          <cell r="AO43">
            <v>4.7898310229999996</v>
          </cell>
          <cell r="AP43">
            <v>4.6428614980000003</v>
          </cell>
          <cell r="AQ43">
            <v>4.4971832430000003</v>
          </cell>
          <cell r="AR43">
            <v>4.3531469889999999</v>
          </cell>
          <cell r="AS43">
            <v>4.2110609600000002</v>
          </cell>
          <cell r="AT43">
            <v>4.0711940269999998</v>
          </cell>
          <cell r="AU43">
            <v>3.9337787529999999</v>
          </cell>
          <cell r="AV43">
            <v>3.799015893</v>
          </cell>
          <cell r="AW43">
            <v>3.6670733100000001</v>
          </cell>
          <cell r="AX43">
            <v>3.538090746</v>
          </cell>
          <cell r="AY43">
            <v>3.412182193</v>
          </cell>
          <cell r="AZ43">
            <v>3.2894381149999998</v>
          </cell>
          <cell r="BA43">
            <v>2.9073723610000002</v>
          </cell>
          <cell r="BB43">
            <v>2.7952765500000001</v>
          </cell>
          <cell r="BC43">
            <v>2.686812464</v>
          </cell>
          <cell r="BD43">
            <v>2.581966531</v>
          </cell>
          <cell r="BE43">
            <v>2.480710094</v>
          </cell>
        </row>
        <row r="44">
          <cell r="A44" t="str">
            <v>auto_cg_cele_2</v>
          </cell>
          <cell r="B44">
            <v>3.1066862139999998</v>
          </cell>
          <cell r="C44">
            <v>4.0681818229999998</v>
          </cell>
          <cell r="D44">
            <v>5.015638643</v>
          </cell>
          <cell r="E44">
            <v>5.9146697980000003</v>
          </cell>
          <cell r="F44">
            <v>6.7453640129999997</v>
          </cell>
          <cell r="G44">
            <v>7.4973019509999999</v>
          </cell>
          <cell r="H44">
            <v>8.1646485729999991</v>
          </cell>
          <cell r="I44">
            <v>8.747027653</v>
          </cell>
          <cell r="J44">
            <v>9.2463758400000007</v>
          </cell>
          <cell r="K44">
            <v>9.6660212269999999</v>
          </cell>
          <cell r="L44">
            <v>10.011842720000001</v>
          </cell>
          <cell r="M44">
            <v>10.28639323</v>
          </cell>
          <cell r="N44">
            <v>10.49458796</v>
          </cell>
          <cell r="O44">
            <v>10.64152735</v>
          </cell>
          <cell r="P44">
            <v>10.732385349999999</v>
          </cell>
          <cell r="Q44">
            <v>10.77230894</v>
          </cell>
          <cell r="R44">
            <v>10.76631867</v>
          </cell>
          <cell r="S44">
            <v>10.719297190000001</v>
          </cell>
          <cell r="T44">
            <v>10.63592015</v>
          </cell>
          <cell r="U44">
            <v>10.520614139999999</v>
          </cell>
          <cell r="V44">
            <v>10.37710835</v>
          </cell>
          <cell r="W44">
            <v>10.20979814</v>
          </cell>
          <cell r="X44">
            <v>10.022257209999999</v>
          </cell>
          <cell r="Y44">
            <v>9.8177591389999996</v>
          </cell>
          <cell r="Z44">
            <v>9.5992836560000008</v>
          </cell>
          <cell r="AA44">
            <v>9.3688926590000001</v>
          </cell>
          <cell r="AB44">
            <v>9.1295682589999991</v>
          </cell>
          <cell r="AC44">
            <v>8.8835923930000007</v>
          </cell>
          <cell r="AD44">
            <v>8.632984768</v>
          </cell>
          <cell r="AE44">
            <v>8.3795176179999995</v>
          </cell>
          <cell r="AF44">
            <v>8.1247367060000002</v>
          </cell>
          <cell r="AG44">
            <v>7.8699836259999998</v>
          </cell>
          <cell r="AH44">
            <v>7.6164150380000004</v>
          </cell>
          <cell r="AI44">
            <v>7.3650229070000002</v>
          </cell>
          <cell r="AJ44">
            <v>7.1166524940000002</v>
          </cell>
          <cell r="AK44">
            <v>6.8720184059999996</v>
          </cell>
          <cell r="AL44">
            <v>6.6316907040000004</v>
          </cell>
          <cell r="AM44">
            <v>6.3961758489999996</v>
          </cell>
          <cell r="AN44">
            <v>6.165885662</v>
          </cell>
          <cell r="AO44">
            <v>5.9411485280000003</v>
          </cell>
          <cell r="AP44">
            <v>5.722218807</v>
          </cell>
          <cell r="AQ44">
            <v>5.509285609</v>
          </cell>
          <cell r="AR44">
            <v>5.3024803489999996</v>
          </cell>
          <cell r="AS44">
            <v>5.1018843990000002</v>
          </cell>
          <cell r="AT44">
            <v>4.9075358800000002</v>
          </cell>
          <cell r="AU44">
            <v>4.7194357079999998</v>
          </cell>
          <cell r="AV44">
            <v>4.5375536509999996</v>
          </cell>
          <cell r="AW44">
            <v>4.3618313110000004</v>
          </cell>
          <cell r="AX44">
            <v>4.1921875970000002</v>
          </cell>
          <cell r="AY44">
            <v>4.0285226500000002</v>
          </cell>
          <cell r="AZ44">
            <v>3.870721192</v>
          </cell>
          <cell r="BA44">
            <v>3.284762427</v>
          </cell>
          <cell r="BB44">
            <v>3.1536470840000002</v>
          </cell>
          <cell r="BC44">
            <v>3.0276746650000002</v>
          </cell>
          <cell r="BD44">
            <v>2.9066671610000001</v>
          </cell>
          <cell r="BE44">
            <v>2.790447458</v>
          </cell>
        </row>
        <row r="45">
          <cell r="A45" t="str">
            <v>auto_cg_cele_0</v>
          </cell>
          <cell r="B45">
            <v>3.1066862139999998</v>
          </cell>
          <cell r="C45">
            <v>4.0780346249999999</v>
          </cell>
          <cell r="D45">
            <v>5.0359357459999998</v>
          </cell>
          <cell r="E45">
            <v>5.939501098</v>
          </cell>
          <cell r="F45">
            <v>6.7665365419999999</v>
          </cell>
          <cell r="G45">
            <v>7.5065763629999998</v>
          </cell>
          <cell r="H45">
            <v>8.1548645109999995</v>
          </cell>
          <cell r="I45">
            <v>8.7124313010000005</v>
          </cell>
          <cell r="J45">
            <v>9.1827119439999993</v>
          </cell>
          <cell r="K45">
            <v>9.5704729059999991</v>
          </cell>
          <cell r="L45">
            <v>9.8827749399999991</v>
          </cell>
          <cell r="M45">
            <v>10.12347113</v>
          </cell>
          <cell r="N45">
            <v>10.298388340000001</v>
          </cell>
          <cell r="O45">
            <v>10.41334084</v>
          </cell>
          <cell r="P45">
            <v>10.474044689999999</v>
          </cell>
          <cell r="Q45">
            <v>10.48603993</v>
          </cell>
          <cell r="R45">
            <v>10.45463223</v>
          </cell>
          <cell r="S45">
            <v>10.38485221</v>
          </cell>
          <cell r="T45">
            <v>10.28142871</v>
          </cell>
          <cell r="U45">
            <v>10.14877319</v>
          </cell>
          <cell r="V45">
            <v>9.9905993540000004</v>
          </cell>
          <cell r="W45">
            <v>9.8111346160000004</v>
          </cell>
          <cell r="X45">
            <v>9.6138252640000008</v>
          </cell>
          <cell r="Y45">
            <v>9.4017993969999996</v>
          </cell>
          <cell r="Z45">
            <v>9.1778804469999997</v>
          </cell>
          <cell r="AA45">
            <v>8.9440600470000007</v>
          </cell>
          <cell r="AB45">
            <v>8.7030757659999995</v>
          </cell>
          <cell r="AC45">
            <v>8.4570401390000001</v>
          </cell>
          <cell r="AD45">
            <v>8.2078123969999996</v>
          </cell>
          <cell r="AE45">
            <v>7.9570135899999999</v>
          </cell>
          <cell r="AF45">
            <v>7.7060478049999999</v>
          </cell>
          <cell r="AG45">
            <v>7.4561239669999999</v>
          </cell>
          <cell r="AH45">
            <v>7.2082765310000001</v>
          </cell>
          <cell r="AI45">
            <v>6.96338452</v>
          </cell>
          <cell r="AJ45">
            <v>6.7221887730000001</v>
          </cell>
          <cell r="AK45">
            <v>6.4853074489999996</v>
          </cell>
          <cell r="AL45">
            <v>6.2532261340000002</v>
          </cell>
          <cell r="AM45">
            <v>6.026368604</v>
          </cell>
          <cell r="AN45">
            <v>5.805071506</v>
          </cell>
          <cell r="AO45">
            <v>5.589593925</v>
          </cell>
          <cell r="AP45">
            <v>5.3801263170000002</v>
          </cell>
          <cell r="AQ45">
            <v>5.1767990040000003</v>
          </cell>
          <cell r="AR45">
            <v>4.9796900710000003</v>
          </cell>
          <cell r="AS45">
            <v>4.7888326040000004</v>
          </cell>
          <cell r="AT45">
            <v>4.6042211990000004</v>
          </cell>
          <cell r="AU45">
            <v>4.4258177930000002</v>
          </cell>
          <cell r="AV45">
            <v>4.2535571709999997</v>
          </cell>
          <cell r="AW45">
            <v>4.0873507150000004</v>
          </cell>
          <cell r="AX45">
            <v>3.9270909829999998</v>
          </cell>
          <cell r="AY45">
            <v>3.7726552619999998</v>
          </cell>
          <cell r="AZ45">
            <v>3.623908675</v>
          </cell>
          <cell r="BA45">
            <v>3.2957326619999998</v>
          </cell>
          <cell r="BB45">
            <v>3.16432365</v>
          </cell>
          <cell r="BC45">
            <v>3.0380470530000001</v>
          </cell>
          <cell r="BD45">
            <v>2.9167280400000002</v>
          </cell>
          <cell r="BE45">
            <v>2.8001923290000001</v>
          </cell>
        </row>
        <row r="46">
          <cell r="A46" t="str">
            <v>auto_ca_cgas_2</v>
          </cell>
          <cell r="B46">
            <v>0.42568169729999999</v>
          </cell>
          <cell r="C46">
            <v>0.44879214470000001</v>
          </cell>
          <cell r="D46">
            <v>0.47436772220000001</v>
          </cell>
          <cell r="E46">
            <v>0.50139886320000004</v>
          </cell>
          <cell r="F46">
            <v>0.52925842840000004</v>
          </cell>
          <cell r="G46">
            <v>0.55757388900000004</v>
          </cell>
          <cell r="H46">
            <v>0.5860297887</v>
          </cell>
          <cell r="I46">
            <v>0.61449323659999999</v>
          </cell>
          <cell r="J46">
            <v>0.64288150730000004</v>
          </cell>
          <cell r="K46">
            <v>0.67114108849999998</v>
          </cell>
          <cell r="L46">
            <v>0.69940813300000004</v>
          </cell>
          <cell r="M46">
            <v>0.72747480630000005</v>
          </cell>
          <cell r="N46">
            <v>0.755316969</v>
          </cell>
          <cell r="O46">
            <v>0.78291405049999996</v>
          </cell>
          <cell r="P46">
            <v>0.81025082979999996</v>
          </cell>
          <cell r="Q46">
            <v>0.83731700480000004</v>
          </cell>
          <cell r="R46">
            <v>0.86410079080000002</v>
          </cell>
          <cell r="S46">
            <v>0.8905960155</v>
          </cell>
          <cell r="T46">
            <v>0.91679953510000001</v>
          </cell>
          <cell r="U46">
            <v>0.94271017690000003</v>
          </cell>
          <cell r="V46">
            <v>0.96819271080000002</v>
          </cell>
          <cell r="W46">
            <v>0.99339125380000004</v>
          </cell>
          <cell r="X46">
            <v>1.0183116210000001</v>
          </cell>
          <cell r="Y46">
            <v>1.042962715</v>
          </cell>
          <cell r="Z46">
            <v>1.0673537120000001</v>
          </cell>
          <cell r="AA46">
            <v>1.091096984</v>
          </cell>
          <cell r="AB46">
            <v>1.1144331649999999</v>
          </cell>
          <cell r="AC46">
            <v>1.137387237</v>
          </cell>
          <cell r="AD46">
            <v>1.15999227</v>
          </cell>
          <cell r="AE46">
            <v>1.1822835869999999</v>
          </cell>
          <cell r="AF46">
            <v>1.2042956549999999</v>
          </cell>
          <cell r="AG46">
            <v>1.226061804</v>
          </cell>
          <cell r="AH46">
            <v>1.247611775</v>
          </cell>
          <cell r="AI46">
            <v>1.2689722720000001</v>
          </cell>
          <cell r="AJ46">
            <v>1.2901674679999999</v>
          </cell>
          <cell r="AK46">
            <v>1.3112194749999999</v>
          </cell>
          <cell r="AL46">
            <v>1.3320630689999999</v>
          </cell>
          <cell r="AM46">
            <v>1.352726044</v>
          </cell>
          <cell r="AN46">
            <v>1.3732337809999999</v>
          </cell>
          <cell r="AO46">
            <v>1.3936115339999999</v>
          </cell>
          <cell r="AP46">
            <v>1.4138839160000001</v>
          </cell>
          <cell r="AQ46">
            <v>1.4340756160000001</v>
          </cell>
          <cell r="AR46">
            <v>1.4542078380000001</v>
          </cell>
          <cell r="AS46">
            <v>1.4742985179999999</v>
          </cell>
          <cell r="AT46">
            <v>1.4943624019999999</v>
          </cell>
          <cell r="AU46">
            <v>1.5144112160000001</v>
          </cell>
          <cell r="AV46">
            <v>1.5344683670000001</v>
          </cell>
          <cell r="AW46">
            <v>1.5545421290000001</v>
          </cell>
          <cell r="AX46">
            <v>1.5746369609999999</v>
          </cell>
          <cell r="AY46">
            <v>1.594754282</v>
          </cell>
          <cell r="AZ46">
            <v>1.6148929460000001</v>
          </cell>
          <cell r="BA46">
            <v>1.8039206699999999</v>
          </cell>
          <cell r="BB46">
            <v>1.8325442700000001</v>
          </cell>
          <cell r="BC46">
            <v>1.861562003</v>
          </cell>
          <cell r="BD46">
            <v>1.8910015280000001</v>
          </cell>
          <cell r="BE46">
            <v>1.9208926319999999</v>
          </cell>
        </row>
        <row r="47">
          <cell r="A47" t="str">
            <v>auto_ca_cgas_0</v>
          </cell>
          <cell r="B47">
            <v>0.42568169729999999</v>
          </cell>
          <cell r="C47">
            <v>0.44962451019999999</v>
          </cell>
          <cell r="D47">
            <v>0.47671073530000002</v>
          </cell>
          <cell r="E47">
            <v>0.50567802669999995</v>
          </cell>
          <cell r="F47">
            <v>0.53570416629999995</v>
          </cell>
          <cell r="G47">
            <v>0.566272895</v>
          </cell>
          <cell r="H47">
            <v>0.59697095710000003</v>
          </cell>
          <cell r="I47">
            <v>0.62760516040000003</v>
          </cell>
          <cell r="J47">
            <v>0.65806000330000003</v>
          </cell>
          <cell r="K47">
            <v>0.68826724309999998</v>
          </cell>
          <cell r="L47">
            <v>0.71836267949999999</v>
          </cell>
          <cell r="M47">
            <v>0.74814208360000001</v>
          </cell>
          <cell r="N47">
            <v>0.77758620099999998</v>
          </cell>
          <cell r="O47">
            <v>0.80667972970000001</v>
          </cell>
          <cell r="P47">
            <v>0.83541324630000002</v>
          </cell>
          <cell r="Q47">
            <v>0.86378289429999999</v>
          </cell>
          <cell r="R47">
            <v>0.89178940299999998</v>
          </cell>
          <cell r="S47">
            <v>0.91943703919999997</v>
          </cell>
          <cell r="T47">
            <v>0.94673274110000005</v>
          </cell>
          <cell r="U47">
            <v>0.97368550639999996</v>
          </cell>
          <cell r="V47">
            <v>1.000167568</v>
          </cell>
          <cell r="W47">
            <v>1.026334834</v>
          </cell>
          <cell r="X47">
            <v>1.052203996</v>
          </cell>
          <cell r="Y47">
            <v>1.077794283</v>
          </cell>
          <cell r="Z47">
            <v>1.1031245009999999</v>
          </cell>
          <cell r="AA47">
            <v>1.127807389</v>
          </cell>
          <cell r="AB47">
            <v>1.1520897969999999</v>
          </cell>
          <cell r="AC47">
            <v>1.176003696</v>
          </cell>
          <cell r="AD47">
            <v>1.1995893950000001</v>
          </cell>
          <cell r="AE47">
            <v>1.222889028</v>
          </cell>
          <cell r="AF47">
            <v>1.2459432800000001</v>
          </cell>
          <cell r="AG47">
            <v>1.268789902</v>
          </cell>
          <cell r="AH47">
            <v>1.291463314</v>
          </cell>
          <cell r="AI47">
            <v>1.313994809</v>
          </cell>
          <cell r="AJ47">
            <v>1.3364130169999999</v>
          </cell>
          <cell r="AK47">
            <v>1.358744422</v>
          </cell>
          <cell r="AL47">
            <v>1.3809145949999999</v>
          </cell>
          <cell r="AM47">
            <v>1.4029503029999999</v>
          </cell>
          <cell r="AN47">
            <v>1.4248794</v>
          </cell>
          <cell r="AO47">
            <v>1.446731752</v>
          </cell>
          <cell r="AP47">
            <v>1.468538071</v>
          </cell>
          <cell r="AQ47">
            <v>1.4903284960000001</v>
          </cell>
          <cell r="AR47">
            <v>1.5121314969999999</v>
          </cell>
          <cell r="AS47">
            <v>1.5339732340000001</v>
          </cell>
          <cell r="AT47">
            <v>1.5558773260000001</v>
          </cell>
          <cell r="AU47">
            <v>1.577864903</v>
          </cell>
          <cell r="AV47">
            <v>1.599963832</v>
          </cell>
          <cell r="AW47">
            <v>1.6221906939999999</v>
          </cell>
          <cell r="AX47">
            <v>1.644560179</v>
          </cell>
          <cell r="AY47">
            <v>1.6670851419999999</v>
          </cell>
          <cell r="AZ47">
            <v>1.689776881</v>
          </cell>
          <cell r="BA47">
            <v>1.797599926</v>
          </cell>
          <cell r="BB47">
            <v>1.825674359</v>
          </cell>
          <cell r="BC47">
            <v>1.8541047100000001</v>
          </cell>
          <cell r="BD47">
            <v>1.8829160920000001</v>
          </cell>
          <cell r="BE47">
            <v>1.9121352410000001</v>
          </cell>
        </row>
        <row r="48">
          <cell r="A48" t="str">
            <v>auto_cb_cgas_2</v>
          </cell>
          <cell r="B48">
            <v>0.49500522540000003</v>
          </cell>
          <cell r="C48">
            <v>0.51175344580000004</v>
          </cell>
          <cell r="D48">
            <v>0.5311325777</v>
          </cell>
          <cell r="E48">
            <v>0.55213222780000004</v>
          </cell>
          <cell r="F48">
            <v>0.57411587320000002</v>
          </cell>
          <cell r="G48">
            <v>0.59669600170000003</v>
          </cell>
          <cell r="H48">
            <v>0.61954439839999997</v>
          </cell>
          <cell r="I48">
            <v>0.64251048860000004</v>
          </cell>
          <cell r="J48">
            <v>0.66549415150000002</v>
          </cell>
          <cell r="K48">
            <v>0.68842511159999997</v>
          </cell>
          <cell r="L48">
            <v>0.71141300809999997</v>
          </cell>
          <cell r="M48">
            <v>0.73424506160000003</v>
          </cell>
          <cell r="N48">
            <v>0.75688313480000002</v>
          </cell>
          <cell r="O48">
            <v>0.77929374060000001</v>
          </cell>
          <cell r="P48">
            <v>0.80144953590000001</v>
          </cell>
          <cell r="Q48">
            <v>0.82332877849999997</v>
          </cell>
          <cell r="R48">
            <v>0.84490934829999997</v>
          </cell>
          <cell r="S48">
            <v>0.86617525049999999</v>
          </cell>
          <cell r="T48">
            <v>0.88711409490000004</v>
          </cell>
          <cell r="U48">
            <v>0.9077160111</v>
          </cell>
          <cell r="V48">
            <v>0.92784986000000003</v>
          </cell>
          <cell r="W48">
            <v>0.94763991579999995</v>
          </cell>
          <cell r="X48">
            <v>0.9670843656</v>
          </cell>
          <cell r="Y48">
            <v>0.98618446859999997</v>
          </cell>
          <cell r="Z48">
            <v>1.004941989</v>
          </cell>
          <cell r="AA48">
            <v>1.0230047470000001</v>
          </cell>
          <cell r="AB48">
            <v>1.0405848209999999</v>
          </cell>
          <cell r="AC48">
            <v>1.0577006659999999</v>
          </cell>
          <cell r="AD48">
            <v>1.0743777080000001</v>
          </cell>
          <cell r="AE48">
            <v>1.090643078</v>
          </cell>
          <cell r="AF48">
            <v>1.1065228490000001</v>
          </cell>
          <cell r="AG48">
            <v>1.1220417810000001</v>
          </cell>
          <cell r="AH48">
            <v>1.137221174</v>
          </cell>
          <cell r="AI48">
            <v>1.1520793819999999</v>
          </cell>
          <cell r="AJ48">
            <v>1.1666322819999999</v>
          </cell>
          <cell r="AK48">
            <v>1.180893693</v>
          </cell>
          <cell r="AL48">
            <v>1.1948026860000001</v>
          </cell>
          <cell r="AM48">
            <v>1.2083781810000001</v>
          </cell>
          <cell r="AN48">
            <v>1.221636773</v>
          </cell>
          <cell r="AO48">
            <v>1.234594666</v>
          </cell>
          <cell r="AP48">
            <v>1.247267216</v>
          </cell>
          <cell r="AQ48">
            <v>1.2596694930000001</v>
          </cell>
          <cell r="AR48">
            <v>1.271813313</v>
          </cell>
          <cell r="AS48">
            <v>1.283707463</v>
          </cell>
          <cell r="AT48">
            <v>1.295357825</v>
          </cell>
          <cell r="AU48">
            <v>1.3067675519999999</v>
          </cell>
          <cell r="AV48">
            <v>1.3179489310000001</v>
          </cell>
          <cell r="AW48">
            <v>1.3289015580000001</v>
          </cell>
          <cell r="AX48">
            <v>1.3396217340000001</v>
          </cell>
          <cell r="AY48">
            <v>1.3501032100000001</v>
          </cell>
          <cell r="AZ48">
            <v>1.360337627</v>
          </cell>
          <cell r="BA48">
            <v>1.5039197900000001</v>
          </cell>
          <cell r="BB48">
            <v>1.519912972</v>
          </cell>
          <cell r="BC48">
            <v>1.5358993460000001</v>
          </cell>
          <cell r="BD48">
            <v>1.551891216</v>
          </cell>
          <cell r="BE48">
            <v>1.567902049</v>
          </cell>
        </row>
        <row r="49">
          <cell r="A49" t="str">
            <v>auto_cb_cgas_0</v>
          </cell>
          <cell r="B49">
            <v>0.49500522540000003</v>
          </cell>
          <cell r="C49">
            <v>0.51254167399999995</v>
          </cell>
          <cell r="D49">
            <v>0.53334117869999997</v>
          </cell>
          <cell r="E49">
            <v>0.55614763499999997</v>
          </cell>
          <cell r="F49">
            <v>0.58013773059999996</v>
          </cell>
          <cell r="G49">
            <v>0.60478809060000005</v>
          </cell>
          <cell r="H49">
            <v>0.62967927940000001</v>
          </cell>
          <cell r="I49">
            <v>0.65460522480000005</v>
          </cell>
          <cell r="J49">
            <v>0.67943639929999999</v>
          </cell>
          <cell r="K49">
            <v>0.70409014390000002</v>
          </cell>
          <cell r="L49">
            <v>0.72867686249999997</v>
          </cell>
          <cell r="M49">
            <v>0.75298886809999999</v>
          </cell>
          <cell r="N49">
            <v>0.77699386979999996</v>
          </cell>
          <cell r="O49">
            <v>0.8006645</v>
          </cell>
          <cell r="P49">
            <v>0.82397993700000005</v>
          </cell>
          <cell r="Q49">
            <v>0.84692546030000004</v>
          </cell>
          <cell r="R49">
            <v>0.86949141289999998</v>
          </cell>
          <cell r="S49">
            <v>0.8916721272</v>
          </cell>
          <cell r="T49">
            <v>0.91346503219999997</v>
          </cell>
          <cell r="U49">
            <v>0.93487000480000004</v>
          </cell>
          <cell r="V49">
            <v>0.9557633915</v>
          </cell>
          <cell r="W49">
            <v>0.97628006869999995</v>
          </cell>
          <cell r="X49">
            <v>0.99642819920000003</v>
          </cell>
          <cell r="Y49">
            <v>1.0162183760000001</v>
          </cell>
          <cell r="Z49">
            <v>1.035660939</v>
          </cell>
          <cell r="AA49">
            <v>1.0544049179999999</v>
          </cell>
          <cell r="AB49">
            <v>1.072667195</v>
          </cell>
          <cell r="AC49">
            <v>1.0904722360000001</v>
          </cell>
          <cell r="AD49">
            <v>1.1078516199999999</v>
          </cell>
          <cell r="AE49">
            <v>1.1248381860000001</v>
          </cell>
          <cell r="AF49">
            <v>1.141463127</v>
          </cell>
          <cell r="AG49">
            <v>1.157754709</v>
          </cell>
          <cell r="AH49">
            <v>1.173737941</v>
          </cell>
          <cell r="AI49">
            <v>1.1894347729999999</v>
          </cell>
          <cell r="AJ49">
            <v>1.204864529</v>
          </cell>
          <cell r="AK49">
            <v>1.220044372</v>
          </cell>
          <cell r="AL49">
            <v>1.2349054660000001</v>
          </cell>
          <cell r="AM49">
            <v>1.2494657769999999</v>
          </cell>
          <cell r="AN49">
            <v>1.2637439829999999</v>
          </cell>
          <cell r="AO49">
            <v>1.277760139</v>
          </cell>
          <cell r="AP49">
            <v>1.291534626</v>
          </cell>
          <cell r="AQ49">
            <v>1.305086931</v>
          </cell>
          <cell r="AR49">
            <v>1.318434734</v>
          </cell>
          <cell r="AS49">
            <v>1.3315933959999999</v>
          </cell>
          <cell r="AT49">
            <v>1.344575796</v>
          </cell>
          <cell r="AU49">
            <v>1.357392406</v>
          </cell>
          <cell r="AV49">
            <v>1.370058759</v>
          </cell>
          <cell r="AW49">
            <v>1.382580833</v>
          </cell>
          <cell r="AX49">
            <v>1.3949627689999999</v>
          </cell>
          <cell r="AY49">
            <v>1.407206951</v>
          </cell>
          <cell r="AZ49">
            <v>1.419314263</v>
          </cell>
          <cell r="BA49">
            <v>1.49953493</v>
          </cell>
          <cell r="BB49">
            <v>1.515156978</v>
          </cell>
          <cell r="BC49">
            <v>1.5307466949999999</v>
          </cell>
          <cell r="BD49">
            <v>1.5463146320000001</v>
          </cell>
          <cell r="BE49">
            <v>1.561872156</v>
          </cell>
        </row>
        <row r="50">
          <cell r="A50" t="str">
            <v>auto_cc_cgas_2</v>
          </cell>
          <cell r="B50">
            <v>0.40659851759999999</v>
          </cell>
          <cell r="C50">
            <v>0.41416403660000001</v>
          </cell>
          <cell r="D50">
            <v>0.42375045500000003</v>
          </cell>
          <cell r="E50">
            <v>0.43462930929999999</v>
          </cell>
          <cell r="F50">
            <v>0.44633574100000001</v>
          </cell>
          <cell r="G50">
            <v>0.4585805516</v>
          </cell>
          <cell r="H50">
            <v>0.47111879969999998</v>
          </cell>
          <cell r="I50">
            <v>0.48383023510000001</v>
          </cell>
          <cell r="J50">
            <v>0.49663119770000003</v>
          </cell>
          <cell r="K50">
            <v>0.50946001019999998</v>
          </cell>
          <cell r="L50">
            <v>0.52237818560000004</v>
          </cell>
          <cell r="M50">
            <v>0.53522942839999998</v>
          </cell>
          <cell r="N50">
            <v>0.54797727159999998</v>
          </cell>
          <cell r="O50">
            <v>0.56058938349999998</v>
          </cell>
          <cell r="P50">
            <v>0.57303845360000005</v>
          </cell>
          <cell r="Q50">
            <v>0.58530172739999997</v>
          </cell>
          <cell r="R50">
            <v>0.59735697180000003</v>
          </cell>
          <cell r="S50">
            <v>0.6091867688</v>
          </cell>
          <cell r="T50">
            <v>0.62077673960000002</v>
          </cell>
          <cell r="U50">
            <v>0.63211474619999997</v>
          </cell>
          <cell r="V50">
            <v>0.64310961499999997</v>
          </cell>
          <cell r="W50">
            <v>0.65383873680000004</v>
          </cell>
          <cell r="X50">
            <v>0.66429667160000005</v>
          </cell>
          <cell r="Y50">
            <v>0.67448026230000002</v>
          </cell>
          <cell r="Z50">
            <v>0.68438694550000001</v>
          </cell>
          <cell r="AA50">
            <v>0.69378644010000001</v>
          </cell>
          <cell r="AB50">
            <v>0.70281419479999996</v>
          </cell>
          <cell r="AC50">
            <v>0.7114803059</v>
          </cell>
          <cell r="AD50">
            <v>0.71979927619999995</v>
          </cell>
          <cell r="AE50">
            <v>0.72778659869999995</v>
          </cell>
          <cell r="AF50">
            <v>0.73545699090000005</v>
          </cell>
          <cell r="AG50">
            <v>0.74282422670000003</v>
          </cell>
          <cell r="AH50">
            <v>0.74989979220000003</v>
          </cell>
          <cell r="AI50">
            <v>0.7566932341</v>
          </cell>
          <cell r="AJ50">
            <v>0.76321247469999998</v>
          </cell>
          <cell r="AK50">
            <v>0.76946409449999997</v>
          </cell>
          <cell r="AL50">
            <v>0.77540859719999999</v>
          </cell>
          <cell r="AM50">
            <v>0.78105608520000003</v>
          </cell>
          <cell r="AN50">
            <v>0.78641518190000004</v>
          </cell>
          <cell r="AO50">
            <v>0.79149422039999995</v>
          </cell>
          <cell r="AP50">
            <v>0.79630095990000005</v>
          </cell>
          <cell r="AQ50">
            <v>0.80084291159999998</v>
          </cell>
          <cell r="AR50">
            <v>0.80512555509999995</v>
          </cell>
          <cell r="AS50">
            <v>0.80915251519999998</v>
          </cell>
          <cell r="AT50">
            <v>0.81292567390000003</v>
          </cell>
          <cell r="AU50">
            <v>0.81644531239999996</v>
          </cell>
          <cell r="AV50">
            <v>0.81971702840000005</v>
          </cell>
          <cell r="AW50">
            <v>0.82273891789999998</v>
          </cell>
          <cell r="AX50">
            <v>0.82550722200000004</v>
          </cell>
          <cell r="AY50">
            <v>0.82801682789999997</v>
          </cell>
          <cell r="AZ50">
            <v>0.83026157540000001</v>
          </cell>
          <cell r="BA50">
            <v>0.90839681500000002</v>
          </cell>
          <cell r="BB50">
            <v>0.91344917969999995</v>
          </cell>
          <cell r="BC50">
            <v>0.9183529225</v>
          </cell>
          <cell r="BD50">
            <v>0.92311309210000003</v>
          </cell>
          <cell r="BE50">
            <v>0.92773529450000003</v>
          </cell>
        </row>
        <row r="51">
          <cell r="A51" t="str">
            <v>auto_cc_cgas_0</v>
          </cell>
          <cell r="B51">
            <v>0.40659851759999999</v>
          </cell>
          <cell r="C51">
            <v>0.41470220229999999</v>
          </cell>
          <cell r="D51">
            <v>0.42525139709999998</v>
          </cell>
          <cell r="E51">
            <v>0.43734559210000001</v>
          </cell>
          <cell r="F51">
            <v>0.45039109230000002</v>
          </cell>
          <cell r="G51">
            <v>0.464006223</v>
          </cell>
          <cell r="H51">
            <v>0.47788482669999999</v>
          </cell>
          <cell r="I51">
            <v>0.49186996379999998</v>
          </cell>
          <cell r="J51">
            <v>0.50585910369999998</v>
          </cell>
          <cell r="K51">
            <v>0.51978326389999996</v>
          </cell>
          <cell r="L51">
            <v>0.53370530869999999</v>
          </cell>
          <cell r="M51">
            <v>0.54747362190000004</v>
          </cell>
          <cell r="N51">
            <v>0.56105661470000001</v>
          </cell>
          <cell r="O51">
            <v>0.57442694890000001</v>
          </cell>
          <cell r="P51">
            <v>0.58756250759999995</v>
          </cell>
          <cell r="Q51">
            <v>0.60044598709999997</v>
          </cell>
          <cell r="R51">
            <v>0.61306411439999997</v>
          </cell>
          <cell r="S51">
            <v>0.62540685539999996</v>
          </cell>
          <cell r="T51">
            <v>0.63746675549999998</v>
          </cell>
          <cell r="U51">
            <v>0.64923844819999998</v>
          </cell>
          <cell r="V51">
            <v>0.66063617330000002</v>
          </cell>
          <cell r="W51">
            <v>0.67174424170000002</v>
          </cell>
          <cell r="X51">
            <v>0.6825638571</v>
          </cell>
          <cell r="Y51">
            <v>0.6930979947</v>
          </cell>
          <cell r="Z51">
            <v>0.70334964789999999</v>
          </cell>
          <cell r="AA51">
            <v>0.71308991990000004</v>
          </cell>
          <cell r="AB51">
            <v>0.7224569179</v>
          </cell>
          <cell r="AC51">
            <v>0.73146450230000004</v>
          </cell>
          <cell r="AD51">
            <v>0.74013099019999995</v>
          </cell>
          <cell r="AE51">
            <v>0.74847536029999995</v>
          </cell>
          <cell r="AF51">
            <v>0.75651540740000001</v>
          </cell>
          <cell r="AG51">
            <v>0.76426694009999996</v>
          </cell>
          <cell r="AH51">
            <v>0.77174359429999995</v>
          </cell>
          <cell r="AI51">
            <v>0.77895697939999997</v>
          </cell>
          <cell r="AJ51">
            <v>0.78591696830000002</v>
          </cell>
          <cell r="AK51">
            <v>0.79263200889999996</v>
          </cell>
          <cell r="AL51">
            <v>0.7990577512</v>
          </cell>
          <cell r="AM51">
            <v>0.80520370159999999</v>
          </cell>
          <cell r="AN51">
            <v>0.81107978530000002</v>
          </cell>
          <cell r="AO51">
            <v>0.81669668760000003</v>
          </cell>
          <cell r="AP51">
            <v>0.8220651792</v>
          </cell>
          <cell r="AQ51">
            <v>0.82719536709999997</v>
          </cell>
          <cell r="AR51">
            <v>0.83209615449999996</v>
          </cell>
          <cell r="AS51">
            <v>0.83677495449999995</v>
          </cell>
          <cell r="AT51">
            <v>0.84123761760000004</v>
          </cell>
          <cell r="AU51">
            <v>0.84548850320000002</v>
          </cell>
          <cell r="AV51">
            <v>0.84953485660000005</v>
          </cell>
          <cell r="AW51">
            <v>0.85337825789999999</v>
          </cell>
          <cell r="AX51">
            <v>0.85701920600000003</v>
          </cell>
          <cell r="AY51">
            <v>0.86045719659999997</v>
          </cell>
          <cell r="AZ51">
            <v>0.86369089830000001</v>
          </cell>
          <cell r="BA51">
            <v>0.90626562889999995</v>
          </cell>
          <cell r="BB51">
            <v>0.91114016870000003</v>
          </cell>
          <cell r="BC51">
            <v>0.91585367900000003</v>
          </cell>
          <cell r="BD51">
            <v>0.92041032209999996</v>
          </cell>
          <cell r="BE51">
            <v>0.92481464719999995</v>
          </cell>
        </row>
        <row r="52">
          <cell r="A52" t="str">
            <v>auto_cd_cgas_2</v>
          </cell>
          <cell r="B52">
            <v>0.2495444651</v>
          </cell>
          <cell r="C52">
            <v>0.25214870740000001</v>
          </cell>
          <cell r="D52">
            <v>0.25583963720000003</v>
          </cell>
          <cell r="E52">
            <v>0.2601750276</v>
          </cell>
          <cell r="F52">
            <v>0.26487003949999999</v>
          </cell>
          <cell r="G52">
            <v>0.26974450350000001</v>
          </cell>
          <cell r="H52">
            <v>0.27464970329999999</v>
          </cell>
          <cell r="I52">
            <v>0.2795091046</v>
          </cell>
          <cell r="J52">
            <v>0.28426933240000002</v>
          </cell>
          <cell r="K52">
            <v>0.288891234</v>
          </cell>
          <cell r="L52">
            <v>0.29339962050000001</v>
          </cell>
          <cell r="M52">
            <v>0.29771047229999997</v>
          </cell>
          <cell r="N52">
            <v>0.30180256319999998</v>
          </cell>
          <cell r="O52">
            <v>0.30565817039999998</v>
          </cell>
          <cell r="P52">
            <v>0.30926326500000001</v>
          </cell>
          <cell r="Q52">
            <v>0.31260709199999998</v>
          </cell>
          <cell r="R52">
            <v>0.3156802011</v>
          </cell>
          <cell r="S52">
            <v>0.31847637839999998</v>
          </cell>
          <cell r="T52">
            <v>0.32099163689999999</v>
          </cell>
          <cell r="U52">
            <v>0.32322370560000002</v>
          </cell>
          <cell r="V52">
            <v>0.32513655730000002</v>
          </cell>
          <cell r="W52">
            <v>0.3267690499</v>
          </cell>
          <cell r="X52">
            <v>0.32812342439999997</v>
          </cell>
          <cell r="Y52">
            <v>0.32920310380000001</v>
          </cell>
          <cell r="Z52">
            <v>0.3300119735</v>
          </cell>
          <cell r="AA52">
            <v>0.33046280989999999</v>
          </cell>
          <cell r="AB52">
            <v>0.33061887690000002</v>
          </cell>
          <cell r="AC52">
            <v>0.33049171989999998</v>
          </cell>
          <cell r="AD52">
            <v>0.33009425460000003</v>
          </cell>
          <cell r="AE52">
            <v>0.32943938900000003</v>
          </cell>
          <cell r="AF52">
            <v>0.32853938090000001</v>
          </cell>
          <cell r="AG52">
            <v>0.32740580879999998</v>
          </cell>
          <cell r="AH52">
            <v>0.32604912699999999</v>
          </cell>
          <cell r="AI52">
            <v>0.32447886640000001</v>
          </cell>
          <cell r="AJ52">
            <v>0.32270380970000001</v>
          </cell>
          <cell r="AK52">
            <v>0.32073214560000002</v>
          </cell>
          <cell r="AL52">
            <v>0.31855676240000003</v>
          </cell>
          <cell r="AM52">
            <v>0.31618750969999998</v>
          </cell>
          <cell r="AN52">
            <v>0.31363366920000002</v>
          </cell>
          <cell r="AO52">
            <v>0.31090435579999998</v>
          </cell>
          <cell r="AP52">
            <v>0.30800843459999999</v>
          </cell>
          <cell r="AQ52">
            <v>0.3049546132</v>
          </cell>
          <cell r="AR52">
            <v>0.30175092570000001</v>
          </cell>
          <cell r="AS52">
            <v>0.29840484569999998</v>
          </cell>
          <cell r="AT52">
            <v>0.29492337169999999</v>
          </cell>
          <cell r="AU52">
            <v>0.2913131115</v>
          </cell>
          <cell r="AV52">
            <v>0.28758210410000001</v>
          </cell>
          <cell r="AW52">
            <v>0.28373634809999998</v>
          </cell>
          <cell r="AX52">
            <v>0.27978147060000003</v>
          </cell>
          <cell r="AY52">
            <v>0.27572292380000002</v>
          </cell>
          <cell r="AZ52">
            <v>0.27156609570000001</v>
          </cell>
          <cell r="BA52">
            <v>0.27581100089999999</v>
          </cell>
          <cell r="BB52">
            <v>0.27146094479999999</v>
          </cell>
          <cell r="BC52">
            <v>0.26701789739999998</v>
          </cell>
          <cell r="BD52">
            <v>0.26248832030000002</v>
          </cell>
          <cell r="BE52">
            <v>0.25787865199999999</v>
          </cell>
        </row>
        <row r="53">
          <cell r="A53" t="str">
            <v>auto_cd_cgas_0</v>
          </cell>
          <cell r="B53">
            <v>0.2495444651</v>
          </cell>
          <cell r="C53">
            <v>0.25242828470000001</v>
          </cell>
          <cell r="D53">
            <v>0.25660192170000001</v>
          </cell>
          <cell r="E53">
            <v>0.26152336459999997</v>
          </cell>
          <cell r="F53">
            <v>0.2668380803</v>
          </cell>
          <cell r="G53">
            <v>0.27231908830000001</v>
          </cell>
          <cell r="H53">
            <v>0.2777889838</v>
          </cell>
          <cell r="I53">
            <v>0.2831555368</v>
          </cell>
          <cell r="J53">
            <v>0.28835885900000002</v>
          </cell>
          <cell r="K53">
            <v>0.29335906750000001</v>
          </cell>
          <cell r="L53">
            <v>0.29818389769999998</v>
          </cell>
          <cell r="M53">
            <v>0.30275479529999999</v>
          </cell>
          <cell r="N53">
            <v>0.30705527490000001</v>
          </cell>
          <cell r="O53">
            <v>0.31107217840000001</v>
          </cell>
          <cell r="P53">
            <v>0.31479590839999999</v>
          </cell>
          <cell r="Q53">
            <v>0.31822002510000003</v>
          </cell>
          <cell r="R53">
            <v>0.32134071390000002</v>
          </cell>
          <cell r="S53">
            <v>0.32415628670000002</v>
          </cell>
          <cell r="T53">
            <v>0.3266667694</v>
          </cell>
          <cell r="U53">
            <v>0.32887358109999998</v>
          </cell>
          <cell r="V53">
            <v>0.3307440895</v>
          </cell>
          <cell r="W53">
            <v>0.3323199275</v>
          </cell>
          <cell r="X53">
            <v>0.33360632880000002</v>
          </cell>
          <cell r="Y53">
            <v>0.33460929519999999</v>
          </cell>
          <cell r="Z53">
            <v>0.33533487839999998</v>
          </cell>
          <cell r="AA53">
            <v>0.33569778119999999</v>
          </cell>
          <cell r="AB53">
            <v>0.33576115169999998</v>
          </cell>
          <cell r="AC53">
            <v>0.3355376746</v>
          </cell>
          <cell r="AD53">
            <v>0.33504132959999999</v>
          </cell>
          <cell r="AE53">
            <v>0.3342858802</v>
          </cell>
          <cell r="AF53">
            <v>0.33328421520000001</v>
          </cell>
          <cell r="AG53">
            <v>0.3320481166</v>
          </cell>
          <cell r="AH53">
            <v>0.33058826070000003</v>
          </cell>
          <cell r="AI53">
            <v>0.32891433710000001</v>
          </cell>
          <cell r="AJ53">
            <v>0.32703521410000003</v>
          </cell>
          <cell r="AK53">
            <v>0.32495910420000002</v>
          </cell>
          <cell r="AL53">
            <v>0.32267721500000002</v>
          </cell>
          <cell r="AM53">
            <v>0.32019884830000001</v>
          </cell>
          <cell r="AN53">
            <v>0.31753336650000002</v>
          </cell>
          <cell r="AO53">
            <v>0.31469022400000002</v>
          </cell>
          <cell r="AP53">
            <v>0.31167872410000003</v>
          </cell>
          <cell r="AQ53">
            <v>0.30850779789999999</v>
          </cell>
          <cell r="AR53">
            <v>0.305185875</v>
          </cell>
          <cell r="AS53">
            <v>0.30172084269999999</v>
          </cell>
          <cell r="AT53">
            <v>0.29812007019999998</v>
          </cell>
          <cell r="AU53">
            <v>0.2943904725</v>
          </cell>
          <cell r="AV53">
            <v>0.2905396616</v>
          </cell>
          <cell r="AW53">
            <v>0.28657374149999998</v>
          </cell>
          <cell r="AX53">
            <v>0.28249857880000001</v>
          </cell>
          <cell r="AY53">
            <v>0.27831985640000001</v>
          </cell>
          <cell r="AZ53">
            <v>0.27404314239999999</v>
          </cell>
          <cell r="BA53">
            <v>0.27612346450000003</v>
          </cell>
          <cell r="BB53">
            <v>0.2717945819</v>
          </cell>
          <cell r="BC53">
            <v>0.26737305779999998</v>
          </cell>
          <cell r="BD53">
            <v>0.26286532150000003</v>
          </cell>
          <cell r="BE53">
            <v>0.25827777819999997</v>
          </cell>
        </row>
        <row r="54">
          <cell r="A54" t="str">
            <v>auto_ce_cgas_2</v>
          </cell>
          <cell r="B54">
            <v>0.15020246549999999</v>
          </cell>
          <cell r="C54">
            <v>0.1519684633</v>
          </cell>
          <cell r="D54">
            <v>0.15432014250000001</v>
          </cell>
          <cell r="E54">
            <v>0.15696961979999999</v>
          </cell>
          <cell r="F54">
            <v>0.15973230220000001</v>
          </cell>
          <cell r="G54">
            <v>0.16249220249999999</v>
          </cell>
          <cell r="H54">
            <v>0.165156576</v>
          </cell>
          <cell r="I54">
            <v>0.1676788068</v>
          </cell>
          <cell r="J54">
            <v>0.170028083</v>
          </cell>
          <cell r="K54">
            <v>0.17218340430000001</v>
          </cell>
          <cell r="L54">
            <v>0.17416092590000001</v>
          </cell>
          <cell r="M54">
            <v>0.17591590169999999</v>
          </cell>
          <cell r="N54">
            <v>0.17744025690000001</v>
          </cell>
          <cell r="O54">
            <v>0.17872857380000001</v>
          </cell>
          <cell r="P54">
            <v>0.1797780367</v>
          </cell>
          <cell r="Q54">
            <v>0.18058807439999999</v>
          </cell>
          <cell r="R54">
            <v>0.18115924859999999</v>
          </cell>
          <cell r="S54">
            <v>0.18149420469999999</v>
          </cell>
          <cell r="T54">
            <v>0.1815970257</v>
          </cell>
          <cell r="U54">
            <v>0.18147287619999999</v>
          </cell>
          <cell r="V54">
            <v>0.1811104191</v>
          </cell>
          <cell r="W54">
            <v>0.18053582539999999</v>
          </cell>
          <cell r="X54">
            <v>0.1797567622</v>
          </cell>
          <cell r="Y54">
            <v>0.17878139800000001</v>
          </cell>
          <cell r="Z54">
            <v>0.17761804950000001</v>
          </cell>
          <cell r="AA54">
            <v>0.1762332328</v>
          </cell>
          <cell r="AB54">
            <v>0.17466378560000001</v>
          </cell>
          <cell r="AC54">
            <v>0.17292200599999999</v>
          </cell>
          <cell r="AD54">
            <v>0.17102043040000001</v>
          </cell>
          <cell r="AE54">
            <v>0.16897121239999999</v>
          </cell>
          <cell r="AF54">
            <v>0.166785867</v>
          </cell>
          <cell r="AG54">
            <v>0.16447528450000001</v>
          </cell>
          <cell r="AH54">
            <v>0.16204957280000001</v>
          </cell>
          <cell r="AI54">
            <v>0.1595181796</v>
          </cell>
          <cell r="AJ54">
            <v>0.15688999610000001</v>
          </cell>
          <cell r="AK54">
            <v>0.15417344499999999</v>
          </cell>
          <cell r="AL54">
            <v>0.1513708946</v>
          </cell>
          <cell r="AM54">
            <v>0.1484912156</v>
          </cell>
          <cell r="AN54">
            <v>0.14554283970000001</v>
          </cell>
          <cell r="AO54">
            <v>0.1425339166</v>
          </cell>
          <cell r="AP54">
            <v>0.13947228619999999</v>
          </cell>
          <cell r="AQ54">
            <v>0.1363655097</v>
          </cell>
          <cell r="AR54">
            <v>0.133220697</v>
          </cell>
          <cell r="AS54">
            <v>0.13004456510000001</v>
          </cell>
          <cell r="AT54">
            <v>0.12684348300000001</v>
          </cell>
          <cell r="AU54">
            <v>0.12362351000000001</v>
          </cell>
          <cell r="AV54">
            <v>0.12039095480000001</v>
          </cell>
          <cell r="AW54">
            <v>0.1171512799</v>
          </cell>
          <cell r="AX54">
            <v>0.1139096668</v>
          </cell>
          <cell r="AY54">
            <v>0.1106710893</v>
          </cell>
          <cell r="AZ54">
            <v>0.1074403489</v>
          </cell>
          <cell r="BA54">
            <v>0.1050646423</v>
          </cell>
          <cell r="BB54">
            <v>0.1018301482</v>
          </cell>
          <cell r="BC54">
            <v>9.8617462000000003E-2</v>
          </cell>
          <cell r="BD54">
            <v>9.5431064800000007E-2</v>
          </cell>
          <cell r="BE54">
            <v>9.2275199700000005E-2</v>
          </cell>
        </row>
        <row r="55">
          <cell r="A55" t="str">
            <v>auto_ce_cgas_0</v>
          </cell>
          <cell r="B55">
            <v>0.15020246549999999</v>
          </cell>
          <cell r="C55">
            <v>0.1521301739</v>
          </cell>
          <cell r="D55">
            <v>0.15475126280000001</v>
          </cell>
          <cell r="E55">
            <v>0.15771474069999999</v>
          </cell>
          <cell r="F55">
            <v>0.16079482749999999</v>
          </cell>
          <cell r="G55">
            <v>0.16384985220000001</v>
          </cell>
          <cell r="H55">
            <v>0.16677285550000001</v>
          </cell>
          <cell r="I55">
            <v>0.1695105767</v>
          </cell>
          <cell r="J55">
            <v>0.17203074360000001</v>
          </cell>
          <cell r="K55">
            <v>0.1743140363</v>
          </cell>
          <cell r="L55">
            <v>0.17637991350000001</v>
          </cell>
          <cell r="M55">
            <v>0.1781887053</v>
          </cell>
          <cell r="N55">
            <v>0.1797365095</v>
          </cell>
          <cell r="O55">
            <v>0.18102179260000001</v>
          </cell>
          <cell r="P55">
            <v>0.18204536860000001</v>
          </cell>
          <cell r="Q55">
            <v>0.1828100554</v>
          </cell>
          <cell r="R55">
            <v>0.1833202917</v>
          </cell>
          <cell r="S55">
            <v>0.18358179450000001</v>
          </cell>
          <cell r="T55">
            <v>0.18360127749999999</v>
          </cell>
          <cell r="U55">
            <v>0.18338622769999999</v>
          </cell>
          <cell r="V55">
            <v>0.18292756139999999</v>
          </cell>
          <cell r="W55">
            <v>0.1822528608</v>
          </cell>
          <cell r="X55">
            <v>0.18137143889999999</v>
          </cell>
          <cell r="Y55">
            <v>0.18029282420000001</v>
          </cell>
          <cell r="Z55">
            <v>0.1790264255</v>
          </cell>
          <cell r="AA55">
            <v>0.1775402143</v>
          </cell>
          <cell r="AB55">
            <v>0.17587063289999999</v>
          </cell>
          <cell r="AC55">
            <v>0.17403046210000001</v>
          </cell>
          <cell r="AD55">
            <v>0.17203266750000001</v>
          </cell>
          <cell r="AE55">
            <v>0.16988972499999999</v>
          </cell>
          <cell r="AF55">
            <v>0.16761336530000001</v>
          </cell>
          <cell r="AG55">
            <v>0.1652145136</v>
          </cell>
          <cell r="AH55">
            <v>0.1627033289</v>
          </cell>
          <cell r="AI55">
            <v>0.1600892884</v>
          </cell>
          <cell r="AJ55">
            <v>0.15738128700000001</v>
          </cell>
          <cell r="AK55">
            <v>0.15458773100000001</v>
          </cell>
          <cell r="AL55">
            <v>0.15171045920000001</v>
          </cell>
          <cell r="AM55">
            <v>0.1487581976</v>
          </cell>
          <cell r="AN55">
            <v>0.14573948010000001</v>
          </cell>
          <cell r="AO55">
            <v>0.1426626362</v>
          </cell>
          <cell r="AP55">
            <v>0.13953569430000001</v>
          </cell>
          <cell r="AQ55">
            <v>0.13636630890000001</v>
          </cell>
          <cell r="AR55">
            <v>0.13316172840000001</v>
          </cell>
          <cell r="AS55">
            <v>0.1299287965</v>
          </cell>
          <cell r="AT55">
            <v>0.12667397590000001</v>
          </cell>
          <cell r="AU55">
            <v>0.1234033824</v>
          </cell>
          <cell r="AV55">
            <v>0.120123145</v>
          </cell>
          <cell r="AW55">
            <v>0.1168387295</v>
          </cell>
          <cell r="AX55">
            <v>0.1135553514</v>
          </cell>
          <cell r="AY55">
            <v>0.110277998</v>
          </cell>
          <cell r="AZ55">
            <v>0.1070114523</v>
          </cell>
          <cell r="BA55">
            <v>0.1053358968</v>
          </cell>
          <cell r="BB55">
            <v>0.1021107666</v>
          </cell>
          <cell r="BC55">
            <v>9.8906918499999996E-2</v>
          </cell>
          <cell r="BD55">
            <v>9.5728802700000004E-2</v>
          </cell>
          <cell r="BE55">
            <v>9.2580637699999996E-2</v>
          </cell>
        </row>
        <row r="56">
          <cell r="A56" t="str">
            <v>auto_cf_cgas_2</v>
          </cell>
          <cell r="B56">
            <v>7.4609436000000001E-2</v>
          </cell>
          <cell r="C56">
            <v>7.5267469300000001E-2</v>
          </cell>
          <cell r="D56">
            <v>7.6099998899999993E-2</v>
          </cell>
          <cell r="E56">
            <v>7.6943848699999998E-2</v>
          </cell>
          <cell r="F56">
            <v>7.7698601899999997E-2</v>
          </cell>
          <cell r="G56">
            <v>7.8305483400000001E-2</v>
          </cell>
          <cell r="H56">
            <v>7.8724231899999997E-2</v>
          </cell>
          <cell r="I56">
            <v>7.8940165100000001E-2</v>
          </cell>
          <cell r="J56">
            <v>7.8948898099999998E-2</v>
          </cell>
          <cell r="K56">
            <v>7.87524171E-2</v>
          </cell>
          <cell r="L56">
            <v>7.8367504300000002E-2</v>
          </cell>
          <cell r="M56">
            <v>7.7789945799999996E-2</v>
          </cell>
          <cell r="N56">
            <v>7.7029927400000003E-2</v>
          </cell>
          <cell r="O56">
            <v>7.6099052299999997E-2</v>
          </cell>
          <cell r="P56">
            <v>7.5009989099999994E-2</v>
          </cell>
          <cell r="Q56">
            <v>7.3776097099999993E-2</v>
          </cell>
          <cell r="R56">
            <v>7.2410934600000004E-2</v>
          </cell>
          <cell r="S56">
            <v>7.0928368000000006E-2</v>
          </cell>
          <cell r="T56">
            <v>6.9342216799999995E-2</v>
          </cell>
          <cell r="U56">
            <v>6.7666030599999996E-2</v>
          </cell>
          <cell r="V56">
            <v>6.5909109300000004E-2</v>
          </cell>
          <cell r="W56">
            <v>6.4088688399999996E-2</v>
          </cell>
          <cell r="X56">
            <v>6.2216812099999998E-2</v>
          </cell>
          <cell r="Y56">
            <v>6.03048282E-2</v>
          </cell>
          <cell r="Z56">
            <v>5.8363331099999999E-2</v>
          </cell>
          <cell r="AA56">
            <v>5.63950826E-2</v>
          </cell>
          <cell r="AB56">
            <v>5.4414829800000002E-2</v>
          </cell>
          <cell r="AC56">
            <v>5.2431914099999997E-2</v>
          </cell>
          <cell r="AD56">
            <v>5.0454809400000002E-2</v>
          </cell>
          <cell r="AE56">
            <v>4.8491080999999998E-2</v>
          </cell>
          <cell r="AF56">
            <v>4.6547418799999997E-2</v>
          </cell>
          <cell r="AG56">
            <v>4.46297046E-2</v>
          </cell>
          <cell r="AH56">
            <v>4.2743057000000001E-2</v>
          </cell>
          <cell r="AI56">
            <v>4.0891907800000002E-2</v>
          </cell>
          <cell r="AJ56">
            <v>3.9080069100000003E-2</v>
          </cell>
          <cell r="AK56">
            <v>3.7310791199999999E-2</v>
          </cell>
          <cell r="AL56">
            <v>3.5586315100000002E-2</v>
          </cell>
          <cell r="AM56">
            <v>3.3909088099999998E-2</v>
          </cell>
          <cell r="AN56">
            <v>3.22810979E-2</v>
          </cell>
          <cell r="AO56">
            <v>3.0703920799999999E-2</v>
          </cell>
          <cell r="AP56">
            <v>2.9178750199999999E-2</v>
          </cell>
          <cell r="AQ56">
            <v>2.7706429300000002E-2</v>
          </cell>
          <cell r="AR56">
            <v>2.62874705E-2</v>
          </cell>
          <cell r="AS56">
            <v>2.4922090399999999E-2</v>
          </cell>
          <cell r="AT56">
            <v>2.3610241699999999E-2</v>
          </cell>
          <cell r="AU56">
            <v>2.23516414E-2</v>
          </cell>
          <cell r="AV56">
            <v>2.1145816800000002E-2</v>
          </cell>
          <cell r="AW56">
            <v>1.9992079199999999E-2</v>
          </cell>
          <cell r="AX56">
            <v>1.8889576200000001E-2</v>
          </cell>
          <cell r="AY56">
            <v>1.78373153E-2</v>
          </cell>
          <cell r="AZ56">
            <v>1.6834183400000001E-2</v>
          </cell>
          <cell r="BA56">
            <v>1.5214498E-2</v>
          </cell>
          <cell r="BB56">
            <v>1.4334256199999999E-2</v>
          </cell>
          <cell r="BC56">
            <v>1.34989068E-2</v>
          </cell>
          <cell r="BD56">
            <v>1.27069182E-2</v>
          </cell>
          <cell r="BE56">
            <v>1.1956719899999999E-2</v>
          </cell>
        </row>
        <row r="57">
          <cell r="A57" t="str">
            <v>auto_cf_cgas_0</v>
          </cell>
          <cell r="B57">
            <v>7.4609436000000001E-2</v>
          </cell>
          <cell r="C57">
            <v>7.5328545900000002E-2</v>
          </cell>
          <cell r="D57">
            <v>7.6246810400000004E-2</v>
          </cell>
          <cell r="E57">
            <v>7.7169642799999993E-2</v>
          </cell>
          <cell r="F57">
            <v>7.7981432399999995E-2</v>
          </cell>
          <cell r="G57">
            <v>7.86176861E-2</v>
          </cell>
          <cell r="H57">
            <v>7.9038013200000007E-2</v>
          </cell>
          <cell r="I57">
            <v>7.9230162500000006E-2</v>
          </cell>
          <cell r="J57">
            <v>7.9193570899999996E-2</v>
          </cell>
          <cell r="K57">
            <v>7.8934576699999995E-2</v>
          </cell>
          <cell r="L57">
            <v>7.8473965800000003E-2</v>
          </cell>
          <cell r="M57">
            <v>7.7812261300000005E-2</v>
          </cell>
          <cell r="N57">
            <v>7.6963139299999997E-2</v>
          </cell>
          <cell r="O57">
            <v>7.5941112500000005E-2</v>
          </cell>
          <cell r="P57">
            <v>7.4761250400000007E-2</v>
          </cell>
          <cell r="Q57">
            <v>7.3438858100000004E-2</v>
          </cell>
          <cell r="R57">
            <v>7.1989204000000001E-2</v>
          </cell>
          <cell r="S57">
            <v>7.0427304100000004E-2</v>
          </cell>
          <cell r="T57">
            <v>6.8767756799999996E-2</v>
          </cell>
          <cell r="U57">
            <v>6.7024618600000002E-2</v>
          </cell>
          <cell r="V57">
            <v>6.5207685799999998E-2</v>
          </cell>
          <cell r="W57">
            <v>6.3334029900000005E-2</v>
          </cell>
          <cell r="X57">
            <v>6.14156888E-2</v>
          </cell>
          <cell r="Y57">
            <v>5.9463879599999998E-2</v>
          </cell>
          <cell r="Z57">
            <v>5.7488969000000001E-2</v>
          </cell>
          <cell r="AA57">
            <v>5.5493850400000003E-2</v>
          </cell>
          <cell r="AB57">
            <v>5.3492491599999997E-2</v>
          </cell>
          <cell r="AC57">
            <v>5.1493832000000003E-2</v>
          </cell>
          <cell r="AD57">
            <v>4.9505950200000003E-2</v>
          </cell>
          <cell r="AE57">
            <v>4.7536018300000003E-2</v>
          </cell>
          <cell r="AF57">
            <v>4.5590338799999998E-2</v>
          </cell>
          <cell r="AG57">
            <v>4.3674407700000001E-2</v>
          </cell>
          <cell r="AH57">
            <v>4.1792984700000001E-2</v>
          </cell>
          <cell r="AI57">
            <v>3.9950163400000002E-2</v>
          </cell>
          <cell r="AJ57">
            <v>3.8149435299999999E-2</v>
          </cell>
          <cell r="AK57">
            <v>3.6393748599999998E-2</v>
          </cell>
          <cell r="AL57">
            <v>3.4685057499999998E-2</v>
          </cell>
          <cell r="AM57">
            <v>3.3025545000000003E-2</v>
          </cell>
          <cell r="AN57">
            <v>3.1416970099999997E-2</v>
          </cell>
          <cell r="AO57">
            <v>2.9860693099999999E-2</v>
          </cell>
          <cell r="AP57">
            <v>2.8357698800000001E-2</v>
          </cell>
          <cell r="AQ57">
            <v>2.69086243E-2</v>
          </cell>
          <cell r="AR57">
            <v>2.55137899E-2</v>
          </cell>
          <cell r="AS57">
            <v>2.41732305E-2</v>
          </cell>
          <cell r="AT57">
            <v>2.2886726600000001E-2</v>
          </cell>
          <cell r="AU57">
            <v>2.1653832599999999E-2</v>
          </cell>
          <cell r="AV57">
            <v>2.0473916700000001E-2</v>
          </cell>
          <cell r="AW57">
            <v>1.9346155300000001E-2</v>
          </cell>
          <cell r="AX57">
            <v>1.8269574199999999E-2</v>
          </cell>
          <cell r="AY57">
            <v>1.7243069E-2</v>
          </cell>
          <cell r="AZ57">
            <v>1.6265423899999999E-2</v>
          </cell>
          <cell r="BA57">
            <v>1.52630786E-2</v>
          </cell>
          <cell r="BB57">
            <v>1.43817345E-2</v>
          </cell>
          <cell r="BC57">
            <v>1.35451741E-2</v>
          </cell>
          <cell r="BD57">
            <v>1.2751882000000001E-2</v>
          </cell>
          <cell r="BE57">
            <v>1.20003032E-2</v>
          </cell>
        </row>
        <row r="58">
          <cell r="A58" t="str">
            <v>auto_cg_cgas_2</v>
          </cell>
          <cell r="B58">
            <v>0.13435819299999999</v>
          </cell>
          <cell r="C58">
            <v>0.13583207450000001</v>
          </cell>
          <cell r="D58">
            <v>0.13742861149999999</v>
          </cell>
          <cell r="E58">
            <v>0.13881594050000001</v>
          </cell>
          <cell r="F58">
            <v>0.13980357669999999</v>
          </cell>
          <cell r="G58">
            <v>0.1402942318</v>
          </cell>
          <cell r="H58">
            <v>0.14023684</v>
          </cell>
          <cell r="I58">
            <v>0.13963258640000001</v>
          </cell>
          <cell r="J58">
            <v>0.13850450289999999</v>
          </cell>
          <cell r="K58">
            <v>0.13688809060000001</v>
          </cell>
          <cell r="L58">
            <v>0.13484085949999999</v>
          </cell>
          <cell r="M58">
            <v>0.13238937980000001</v>
          </cell>
          <cell r="N58">
            <v>0.1295804894</v>
          </cell>
          <cell r="O58">
            <v>0.12646132190000001</v>
          </cell>
          <cell r="P58">
            <v>0.1230782897</v>
          </cell>
          <cell r="Q58">
            <v>0.1194762323</v>
          </cell>
          <cell r="R58">
            <v>0.1156976207</v>
          </cell>
          <cell r="S58">
            <v>0.1117825512</v>
          </cell>
          <cell r="T58">
            <v>0.10776824679999999</v>
          </cell>
          <cell r="U58">
            <v>0.1036888129</v>
          </cell>
          <cell r="V58">
            <v>9.9571545499999997E-2</v>
          </cell>
          <cell r="W58">
            <v>9.5448754400000002E-2</v>
          </cell>
          <cell r="X58">
            <v>9.1344982699999994E-2</v>
          </cell>
          <cell r="Y58">
            <v>8.7281702599999997E-2</v>
          </cell>
          <cell r="Z58">
            <v>8.3277478599999996E-2</v>
          </cell>
          <cell r="AA58">
            <v>7.9342915E-2</v>
          </cell>
          <cell r="AB58">
            <v>7.5496093200000003E-2</v>
          </cell>
          <cell r="AC58">
            <v>7.1748936799999996E-2</v>
          </cell>
          <cell r="AD58">
            <v>6.8111032700000004E-2</v>
          </cell>
          <cell r="AE58">
            <v>6.45898315E-2</v>
          </cell>
          <cell r="AF58">
            <v>6.1190889700000001E-2</v>
          </cell>
          <cell r="AG58">
            <v>5.7918111500000001E-2</v>
          </cell>
          <cell r="AH58">
            <v>5.4773956300000003E-2</v>
          </cell>
          <cell r="AI58">
            <v>5.1759645100000001E-2</v>
          </cell>
          <cell r="AJ58">
            <v>4.8875341599999997E-2</v>
          </cell>
          <cell r="AK58">
            <v>4.6120310099999999E-2</v>
          </cell>
          <cell r="AL58">
            <v>4.3492846100000003E-2</v>
          </cell>
          <cell r="AM58">
            <v>4.0990910899999997E-2</v>
          </cell>
          <cell r="AN58">
            <v>3.8611910200000002E-2</v>
          </cell>
          <cell r="AO58">
            <v>3.6352796299999997E-2</v>
          </cell>
          <cell r="AP58">
            <v>3.4210154299999997E-2</v>
          </cell>
          <cell r="AQ58">
            <v>3.2180279399999998E-2</v>
          </cell>
          <cell r="AR58">
            <v>3.0259243599999999E-2</v>
          </cell>
          <cell r="AS58">
            <v>2.8442959100000002E-2</v>
          </cell>
          <cell r="AT58">
            <v>2.67272333E-2</v>
          </cell>
          <cell r="AU58">
            <v>2.5107816299999999E-2</v>
          </cell>
          <cell r="AV58">
            <v>2.35804451E-2</v>
          </cell>
          <cell r="AW58">
            <v>2.2140866700000001E-2</v>
          </cell>
          <cell r="AX58">
            <v>2.07848757E-2</v>
          </cell>
          <cell r="AY58">
            <v>1.9508338699999999E-2</v>
          </cell>
          <cell r="AZ58">
            <v>1.8307214400000001E-2</v>
          </cell>
          <cell r="BA58">
            <v>1.63579495E-2</v>
          </cell>
          <cell r="BB58">
            <v>1.5344181700000001E-2</v>
          </cell>
          <cell r="BC58">
            <v>1.4391943900000001E-2</v>
          </cell>
          <cell r="BD58">
            <v>1.3497753600000001E-2</v>
          </cell>
          <cell r="BE58">
            <v>1.2658279600000001E-2</v>
          </cell>
        </row>
        <row r="59">
          <cell r="A59" t="str">
            <v>auto_cg_cgas_0</v>
          </cell>
          <cell r="B59">
            <v>0.13435819299999999</v>
          </cell>
          <cell r="C59">
            <v>0.13591961969999999</v>
          </cell>
          <cell r="D59">
            <v>0.13760975519999999</v>
          </cell>
          <cell r="E59">
            <v>0.1390407229</v>
          </cell>
          <cell r="F59">
            <v>0.14000475649999999</v>
          </cell>
          <cell r="G59">
            <v>0.1404068983</v>
          </cell>
          <cell r="H59">
            <v>0.1402075686</v>
          </cell>
          <cell r="I59">
            <v>0.1394214382</v>
          </cell>
          <cell r="J59">
            <v>0.13808502959999999</v>
          </cell>
          <cell r="K59">
            <v>0.1362461355</v>
          </cell>
          <cell r="L59">
            <v>0.1339719221</v>
          </cell>
          <cell r="M59">
            <v>0.13129902290000001</v>
          </cell>
          <cell r="N59">
            <v>0.12828077630000001</v>
          </cell>
          <cell r="O59">
            <v>0.1249689707</v>
          </cell>
          <cell r="P59">
            <v>0.1214131556</v>
          </cell>
          <cell r="Q59">
            <v>0.1176600569</v>
          </cell>
          <cell r="R59">
            <v>0.1137531842</v>
          </cell>
          <cell r="S59">
            <v>0.1097326018</v>
          </cell>
          <cell r="T59">
            <v>0.105634826</v>
          </cell>
          <cell r="U59">
            <v>0.101492817</v>
          </cell>
          <cell r="V59">
            <v>9.7332758500000005E-2</v>
          </cell>
          <cell r="W59">
            <v>9.3184915500000007E-2</v>
          </cell>
          <cell r="X59">
            <v>8.9072153000000001E-2</v>
          </cell>
          <cell r="Y59">
            <v>8.50142287E-2</v>
          </cell>
          <cell r="Z59">
            <v>8.1028006799999996E-2</v>
          </cell>
          <cell r="AA59">
            <v>7.7122966000000001E-2</v>
          </cell>
          <cell r="AB59">
            <v>7.3315100899999999E-2</v>
          </cell>
          <cell r="AC59">
            <v>6.9614825399999997E-2</v>
          </cell>
          <cell r="AD59">
            <v>6.60303582E-2</v>
          </cell>
          <cell r="AE59">
            <v>6.2567914700000005E-2</v>
          </cell>
          <cell r="AF59">
            <v>5.9231940900000002E-2</v>
          </cell>
          <cell r="AG59">
            <v>5.60253452E-2</v>
          </cell>
          <cell r="AH59">
            <v>5.2949711500000003E-2</v>
          </cell>
          <cell r="AI59">
            <v>5.0005490600000001E-2</v>
          </cell>
          <cell r="AJ59">
            <v>4.7192170899999997E-2</v>
          </cell>
          <cell r="AK59">
            <v>4.4508428000000003E-2</v>
          </cell>
          <cell r="AL59">
            <v>4.1952060499999999E-2</v>
          </cell>
          <cell r="AM59">
            <v>3.9520592299999997E-2</v>
          </cell>
          <cell r="AN59">
            <v>3.7211063000000003E-2</v>
          </cell>
          <cell r="AO59">
            <v>3.5020113999999998E-2</v>
          </cell>
          <cell r="AP59">
            <v>3.2944067399999999E-2</v>
          </cell>
          <cell r="AQ59">
            <v>3.0978999199999999E-2</v>
          </cell>
          <cell r="AR59">
            <v>2.9120805100000001E-2</v>
          </cell>
          <cell r="AS59">
            <v>2.7365259400000001E-2</v>
          </cell>
          <cell r="AT59">
            <v>2.57080651E-2</v>
          </cell>
          <cell r="AU59">
            <v>2.41448984E-2</v>
          </cell>
          <cell r="AV59">
            <v>2.2671448399999999E-2</v>
          </cell>
          <cell r="AW59">
            <v>2.12834415E-2</v>
          </cell>
          <cell r="AX59">
            <v>1.9976672500000001E-2</v>
          </cell>
          <cell r="AY59">
            <v>1.8747025600000002E-2</v>
          </cell>
          <cell r="AZ59">
            <v>1.7590491900000001E-2</v>
          </cell>
          <cell r="BA59">
            <v>1.6384401199999999E-2</v>
          </cell>
          <cell r="BB59">
            <v>1.53693497E-2</v>
          </cell>
          <cell r="BC59">
            <v>1.44158467E-2</v>
          </cell>
          <cell r="BD59">
            <v>1.35204174E-2</v>
          </cell>
          <cell r="BE59">
            <v>1.26797366E-2</v>
          </cell>
        </row>
      </sheetData>
      <sheetData sheetId="18"/>
      <sheetData sheetId="19"/>
      <sheetData sheetId="20">
        <row r="100">
          <cell r="A100" t="str">
            <v>y_toe_2</v>
          </cell>
          <cell r="B100">
            <v>136.575446</v>
          </cell>
          <cell r="C100">
            <v>136.98143020000001</v>
          </cell>
          <cell r="D100">
            <v>137.52204180000001</v>
          </cell>
          <cell r="E100">
            <v>138.21769789999999</v>
          </cell>
          <cell r="F100">
            <v>139.09370820000001</v>
          </cell>
          <cell r="G100">
            <v>140.13630520000001</v>
          </cell>
          <cell r="H100">
            <v>141.25799929999999</v>
          </cell>
          <cell r="I100">
            <v>142.4820593</v>
          </cell>
          <cell r="J100">
            <v>143.78945719999999</v>
          </cell>
          <cell r="K100">
            <v>145.15977549999999</v>
          </cell>
          <cell r="L100">
            <v>146.70764220000001</v>
          </cell>
          <cell r="M100">
            <v>148.18538860000001</v>
          </cell>
          <cell r="N100">
            <v>149.6675175</v>
          </cell>
          <cell r="O100">
            <v>151.1577289</v>
          </cell>
          <cell r="P100">
            <v>152.6549321</v>
          </cell>
          <cell r="Q100">
            <v>154.15782970000001</v>
          </cell>
          <cell r="R100">
            <v>155.65299160000001</v>
          </cell>
          <cell r="S100">
            <v>157.15187280000001</v>
          </cell>
          <cell r="T100">
            <v>158.6565282</v>
          </cell>
          <cell r="U100">
            <v>160.16881649999999</v>
          </cell>
          <cell r="V100">
            <v>161.59602580000001</v>
          </cell>
          <cell r="W100">
            <v>163.10028159999999</v>
          </cell>
          <cell r="X100">
            <v>164.63099209999999</v>
          </cell>
          <cell r="Y100">
            <v>166.18381479999999</v>
          </cell>
          <cell r="Z100">
            <v>167.75868969999999</v>
          </cell>
          <cell r="AA100">
            <v>169.087816</v>
          </cell>
          <cell r="AB100">
            <v>170.50383489999999</v>
          </cell>
          <cell r="AC100">
            <v>171.9395231</v>
          </cell>
          <cell r="AD100">
            <v>173.39342450000001</v>
          </cell>
          <cell r="AE100">
            <v>174.86804760000001</v>
          </cell>
          <cell r="AF100">
            <v>176.3662775</v>
          </cell>
          <cell r="AG100">
            <v>177.8934375</v>
          </cell>
          <cell r="AH100">
            <v>179.44885880000001</v>
          </cell>
          <cell r="AI100">
            <v>181.03346809999999</v>
          </cell>
          <cell r="AJ100">
            <v>182.64782159999999</v>
          </cell>
          <cell r="AK100">
            <v>184.29209460000001</v>
          </cell>
          <cell r="AL100">
            <v>185.92876480000001</v>
          </cell>
          <cell r="AM100">
            <v>187.57849210000001</v>
          </cell>
          <cell r="AN100">
            <v>189.2467212</v>
          </cell>
          <cell r="AO100">
            <v>190.9360581</v>
          </cell>
          <cell r="AP100">
            <v>192.64805809999999</v>
          </cell>
          <cell r="AQ100">
            <v>194.38785300000001</v>
          </cell>
          <cell r="AR100">
            <v>196.15276410000001</v>
          </cell>
          <cell r="AS100">
            <v>197.94297080000001</v>
          </cell>
          <cell r="AT100">
            <v>199.7586001</v>
          </cell>
          <cell r="AU100">
            <v>201.59969799999999</v>
          </cell>
          <cell r="AV100">
            <v>203.48559370000001</v>
          </cell>
          <cell r="AW100">
            <v>205.40089470000001</v>
          </cell>
          <cell r="AX100">
            <v>207.34368839999999</v>
          </cell>
          <cell r="AY100">
            <v>209.3131516</v>
          </cell>
          <cell r="AZ100">
            <v>211.30877190000001</v>
          </cell>
          <cell r="BA100">
            <v>246.2616218</v>
          </cell>
          <cell r="BB100">
            <v>249.59194579999999</v>
          </cell>
          <cell r="BC100">
            <v>252.97991350000001</v>
          </cell>
          <cell r="BD100">
            <v>256.42639680000002</v>
          </cell>
          <cell r="BE100">
            <v>259.93237049999999</v>
          </cell>
        </row>
        <row r="101">
          <cell r="A101" t="str">
            <v>m_toe_2</v>
          </cell>
          <cell r="B101">
            <v>147.9703069</v>
          </cell>
          <cell r="C101">
            <v>148.18734520000001</v>
          </cell>
          <cell r="D101">
            <v>148.69762800000001</v>
          </cell>
          <cell r="E101">
            <v>149.41770310000001</v>
          </cell>
          <cell r="F101">
            <v>150.36302509999999</v>
          </cell>
          <cell r="G101">
            <v>151.5207169</v>
          </cell>
          <cell r="H101">
            <v>152.79132300000001</v>
          </cell>
          <cell r="I101">
            <v>154.19882250000001</v>
          </cell>
          <cell r="J101">
            <v>155.72272050000001</v>
          </cell>
          <cell r="K101">
            <v>157.33908349999999</v>
          </cell>
          <cell r="L101">
            <v>159.16875250000001</v>
          </cell>
          <cell r="M101">
            <v>160.9514647</v>
          </cell>
          <cell r="N101">
            <v>162.7540913</v>
          </cell>
          <cell r="O101">
            <v>164.5816499</v>
          </cell>
          <cell r="P101">
            <v>166.43103640000001</v>
          </cell>
          <cell r="Q101">
            <v>168.2986646</v>
          </cell>
          <cell r="R101">
            <v>170.16757519999999</v>
          </cell>
          <cell r="S101">
            <v>172.04794899999999</v>
          </cell>
          <cell r="T101">
            <v>173.9412021</v>
          </cell>
          <cell r="U101">
            <v>175.84805940000001</v>
          </cell>
          <cell r="V101">
            <v>177.66733550000001</v>
          </cell>
          <cell r="W101">
            <v>179.5669206</v>
          </cell>
          <cell r="X101">
            <v>181.49906089999999</v>
          </cell>
          <cell r="Y101">
            <v>183.45644350000001</v>
          </cell>
          <cell r="Z101">
            <v>185.4382621</v>
          </cell>
          <cell r="AA101">
            <v>187.15425070000001</v>
          </cell>
          <cell r="AB101">
            <v>188.9476219</v>
          </cell>
          <cell r="AC101">
            <v>190.7600358</v>
          </cell>
          <cell r="AD101">
            <v>192.58689989999999</v>
          </cell>
          <cell r="AE101">
            <v>194.4308375</v>
          </cell>
          <cell r="AF101">
            <v>196.2954781</v>
          </cell>
          <cell r="AG101">
            <v>198.1872932</v>
          </cell>
          <cell r="AH101">
            <v>200.1062594</v>
          </cell>
          <cell r="AI101">
            <v>202.05379160000001</v>
          </cell>
          <cell r="AJ101">
            <v>204.03100649999999</v>
          </cell>
          <cell r="AK101">
            <v>206.0386058</v>
          </cell>
          <cell r="AL101">
            <v>208.03717889999999</v>
          </cell>
          <cell r="AM101">
            <v>210.0469559</v>
          </cell>
          <cell r="AN101">
            <v>212.07437959999999</v>
          </cell>
          <cell r="AO101">
            <v>214.12261359999999</v>
          </cell>
          <cell r="AP101">
            <v>216.19370889999999</v>
          </cell>
          <cell r="AQ101">
            <v>218.29376999999999</v>
          </cell>
          <cell r="AR101">
            <v>220.4204129</v>
          </cell>
          <cell r="AS101">
            <v>222.57389420000001</v>
          </cell>
          <cell r="AT101">
            <v>224.75456610000001</v>
          </cell>
          <cell r="AU101">
            <v>226.96263310000001</v>
          </cell>
          <cell r="AV101">
            <v>229.2197779</v>
          </cell>
          <cell r="AW101">
            <v>231.51032739999999</v>
          </cell>
          <cell r="AX101">
            <v>233.8313957</v>
          </cell>
          <cell r="AY101">
            <v>236.18192070000001</v>
          </cell>
          <cell r="AZ101">
            <v>238.56121289999999</v>
          </cell>
          <cell r="BA101">
            <v>288.74522830000001</v>
          </cell>
          <cell r="BB101">
            <v>292.93593909999998</v>
          </cell>
          <cell r="BC101">
            <v>297.19389749999999</v>
          </cell>
          <cell r="BD101">
            <v>301.52066719999999</v>
          </cell>
          <cell r="BE101">
            <v>305.91793699999999</v>
          </cell>
        </row>
        <row r="102">
          <cell r="A102" t="str">
            <v>ci_toe_2</v>
          </cell>
          <cell r="B102">
            <v>188.81917340000001</v>
          </cell>
          <cell r="C102">
            <v>189.16211340000001</v>
          </cell>
          <cell r="D102">
            <v>190.10324869999999</v>
          </cell>
          <cell r="E102">
            <v>191.40104049999999</v>
          </cell>
          <cell r="F102">
            <v>193.0330706</v>
          </cell>
          <cell r="G102">
            <v>194.96930420000001</v>
          </cell>
          <cell r="H102">
            <v>197.05704950000001</v>
          </cell>
          <cell r="I102">
            <v>199.31266840000001</v>
          </cell>
          <cell r="J102">
            <v>201.70998090000001</v>
          </cell>
          <cell r="K102">
            <v>204.21865589999999</v>
          </cell>
          <cell r="L102">
            <v>207.0006612</v>
          </cell>
          <cell r="M102">
            <v>209.718988</v>
          </cell>
          <cell r="N102">
            <v>212.44858360000001</v>
          </cell>
          <cell r="O102">
            <v>215.19807069999999</v>
          </cell>
          <cell r="P102">
            <v>217.9642437</v>
          </cell>
          <cell r="Q102">
            <v>220.74350240000001</v>
          </cell>
          <cell r="R102">
            <v>223.5151602</v>
          </cell>
          <cell r="S102">
            <v>226.2926808</v>
          </cell>
          <cell r="T102">
            <v>229.08005109999999</v>
          </cell>
          <cell r="U102">
            <v>231.88019639999999</v>
          </cell>
          <cell r="V102">
            <v>234.55887999999999</v>
          </cell>
          <cell r="W102">
            <v>237.33719300000001</v>
          </cell>
          <cell r="X102">
            <v>240.161978</v>
          </cell>
          <cell r="Y102">
            <v>243.02396880000001</v>
          </cell>
          <cell r="Z102">
            <v>245.92335919999999</v>
          </cell>
          <cell r="AA102">
            <v>248.46970759999999</v>
          </cell>
          <cell r="AB102">
            <v>251.10727349999999</v>
          </cell>
          <cell r="AC102">
            <v>253.77642990000001</v>
          </cell>
          <cell r="AD102">
            <v>256.47181119999999</v>
          </cell>
          <cell r="AE102">
            <v>259.19877209999999</v>
          </cell>
          <cell r="AF102">
            <v>261.96364979999998</v>
          </cell>
          <cell r="AG102">
            <v>264.77590909999998</v>
          </cell>
          <cell r="AH102">
            <v>267.63641230000002</v>
          </cell>
          <cell r="AI102">
            <v>270.54712330000001</v>
          </cell>
          <cell r="AJ102">
            <v>273.5093885</v>
          </cell>
          <cell r="AK102">
            <v>276.5238167</v>
          </cell>
          <cell r="AL102">
            <v>279.53434879999998</v>
          </cell>
          <cell r="AM102">
            <v>282.56678049999999</v>
          </cell>
          <cell r="AN102">
            <v>285.63013819999998</v>
          </cell>
          <cell r="AO102">
            <v>288.7287298</v>
          </cell>
          <cell r="AP102">
            <v>291.86534649999999</v>
          </cell>
          <cell r="AQ102">
            <v>295.04794650000002</v>
          </cell>
          <cell r="AR102">
            <v>298.27383309999999</v>
          </cell>
          <cell r="AS102">
            <v>301.54315009999999</v>
          </cell>
          <cell r="AT102">
            <v>304.85621229999998</v>
          </cell>
          <cell r="AU102">
            <v>308.21312899999998</v>
          </cell>
          <cell r="AV102">
            <v>311.64211390000003</v>
          </cell>
          <cell r="AW102">
            <v>315.12402200000002</v>
          </cell>
          <cell r="AX102">
            <v>318.65419739999999</v>
          </cell>
          <cell r="AY102">
            <v>322.23082479999999</v>
          </cell>
          <cell r="AZ102">
            <v>325.85274670000001</v>
          </cell>
          <cell r="BA102">
            <v>394.43394949999998</v>
          </cell>
          <cell r="BB102">
            <v>400.53157679999998</v>
          </cell>
          <cell r="BC102">
            <v>406.72715749999998</v>
          </cell>
          <cell r="BD102">
            <v>413.02284150000003</v>
          </cell>
          <cell r="BE102">
            <v>419.4208261</v>
          </cell>
        </row>
        <row r="103">
          <cell r="A103" t="str">
            <v>ch_toe_2</v>
          </cell>
          <cell r="B103">
            <v>64.301440170000006</v>
          </cell>
          <cell r="C103">
            <v>64.218759689999999</v>
          </cell>
          <cell r="D103">
            <v>63.918997060000002</v>
          </cell>
          <cell r="E103">
            <v>63.614401460000003</v>
          </cell>
          <cell r="F103">
            <v>63.370542180000001</v>
          </cell>
          <cell r="G103">
            <v>63.192928559999999</v>
          </cell>
          <cell r="H103">
            <v>63.083483870000002</v>
          </cell>
          <cell r="I103">
            <v>63.040344699999999</v>
          </cell>
          <cell r="J103">
            <v>63.050788179999998</v>
          </cell>
          <cell r="K103">
            <v>63.101086389999999</v>
          </cell>
          <cell r="L103">
            <v>63.209201409999999</v>
          </cell>
          <cell r="M103">
            <v>63.323663029999999</v>
          </cell>
          <cell r="N103">
            <v>63.44672808</v>
          </cell>
          <cell r="O103">
            <v>63.578212350000001</v>
          </cell>
          <cell r="P103">
            <v>63.716810529999997</v>
          </cell>
          <cell r="Q103">
            <v>63.860900350000001</v>
          </cell>
          <cell r="R103">
            <v>64.009145790000005</v>
          </cell>
          <cell r="S103">
            <v>64.160483510000006</v>
          </cell>
          <cell r="T103">
            <v>64.314027109999998</v>
          </cell>
          <cell r="U103">
            <v>64.469077619999993</v>
          </cell>
          <cell r="V103">
            <v>64.605665639999998</v>
          </cell>
          <cell r="W103">
            <v>64.752252089999999</v>
          </cell>
          <cell r="X103">
            <v>64.903401200000005</v>
          </cell>
          <cell r="Y103">
            <v>65.056476149999995</v>
          </cell>
          <cell r="Z103">
            <v>65.210192059999997</v>
          </cell>
          <cell r="AA103">
            <v>65.310780559999998</v>
          </cell>
          <cell r="AB103">
            <v>65.412122330000003</v>
          </cell>
          <cell r="AC103">
            <v>65.512473810000003</v>
          </cell>
          <cell r="AD103">
            <v>65.610996760000006</v>
          </cell>
          <cell r="AE103">
            <v>65.707351290000005</v>
          </cell>
          <cell r="AF103">
            <v>65.801628879999996</v>
          </cell>
          <cell r="AG103">
            <v>65.894150760000002</v>
          </cell>
          <cell r="AH103">
            <v>65.985296090000006</v>
          </cell>
          <cell r="AI103">
            <v>66.075430949999998</v>
          </cell>
          <cell r="AJ103">
            <v>66.164883610000004</v>
          </cell>
          <cell r="AK103">
            <v>66.253930909999994</v>
          </cell>
          <cell r="AL103">
            <v>66.331562939999998</v>
          </cell>
          <cell r="AM103">
            <v>66.40361394</v>
          </cell>
          <cell r="AN103">
            <v>66.472925189999998</v>
          </cell>
          <cell r="AO103">
            <v>66.54093159</v>
          </cell>
          <cell r="AP103">
            <v>66.608415160000007</v>
          </cell>
          <cell r="AQ103">
            <v>66.675875160000004</v>
          </cell>
          <cell r="AR103">
            <v>66.743646699999999</v>
          </cell>
          <cell r="AS103">
            <v>66.811979859999994</v>
          </cell>
          <cell r="AT103">
            <v>66.880992030000002</v>
          </cell>
          <cell r="AU103">
            <v>66.950772029999996</v>
          </cell>
          <cell r="AV103">
            <v>67.022379419999993</v>
          </cell>
          <cell r="AW103">
            <v>67.095450339999999</v>
          </cell>
          <cell r="AX103">
            <v>67.169789890000004</v>
          </cell>
          <cell r="AY103">
            <v>67.245259899999994</v>
          </cell>
          <cell r="AZ103">
            <v>67.32173349</v>
          </cell>
          <cell r="BA103">
            <v>64.419719540000003</v>
          </cell>
          <cell r="BB103">
            <v>64.521376770000003</v>
          </cell>
          <cell r="BC103">
            <v>64.626029189999997</v>
          </cell>
          <cell r="BD103">
            <v>64.733579050000003</v>
          </cell>
          <cell r="BE103">
            <v>64.844110799999996</v>
          </cell>
        </row>
        <row r="104">
          <cell r="A104" t="str">
            <v>x_toe_2</v>
          </cell>
          <cell r="B104">
            <v>31.42513928</v>
          </cell>
          <cell r="C104">
            <v>31.787902320000001</v>
          </cell>
          <cell r="D104">
            <v>32.197423999999998</v>
          </cell>
          <cell r="E104">
            <v>32.619959059999999</v>
          </cell>
          <cell r="F104">
            <v>33.053120489999998</v>
          </cell>
          <cell r="G104">
            <v>33.494789369999999</v>
          </cell>
          <cell r="H104">
            <v>33.908788850000001</v>
          </cell>
          <cell r="I104">
            <v>34.327868690000003</v>
          </cell>
          <cell r="J104">
            <v>34.75140863</v>
          </cell>
          <cell r="K104">
            <v>35.179116639999997</v>
          </cell>
          <cell r="L104">
            <v>35.666532099999998</v>
          </cell>
          <cell r="M104">
            <v>36.094202269999997</v>
          </cell>
          <cell r="N104">
            <v>36.526297069999998</v>
          </cell>
          <cell r="O104">
            <v>36.963095780000003</v>
          </cell>
          <cell r="P104">
            <v>37.404914310000002</v>
          </cell>
          <cell r="Q104">
            <v>37.852091590000001</v>
          </cell>
          <cell r="R104">
            <v>38.296260770000004</v>
          </cell>
          <cell r="S104">
            <v>38.746657509999999</v>
          </cell>
          <cell r="T104">
            <v>39.203652030000001</v>
          </cell>
          <cell r="U104">
            <v>39.667601820000002</v>
          </cell>
          <cell r="V104">
            <v>40.09881566</v>
          </cell>
          <cell r="W104">
            <v>40.577757169999998</v>
          </cell>
          <cell r="X104">
            <v>41.06467378</v>
          </cell>
          <cell r="Y104">
            <v>41.559813320000004</v>
          </cell>
          <cell r="Z104">
            <v>42.063400600000001</v>
          </cell>
          <cell r="AA104">
            <v>42.46157857</v>
          </cell>
          <cell r="AB104">
            <v>42.932060909999997</v>
          </cell>
          <cell r="AC104">
            <v>43.410655140000003</v>
          </cell>
          <cell r="AD104">
            <v>43.897516459999999</v>
          </cell>
          <cell r="AE104">
            <v>44.392761710000002</v>
          </cell>
          <cell r="AF104">
            <v>44.89647686</v>
          </cell>
          <cell r="AG104">
            <v>45.410670809999999</v>
          </cell>
          <cell r="AH104">
            <v>45.933409859999998</v>
          </cell>
          <cell r="AI104">
            <v>46.464705410000001</v>
          </cell>
          <cell r="AJ104">
            <v>47.004555930000002</v>
          </cell>
          <cell r="AK104">
            <v>47.552952830000002</v>
          </cell>
          <cell r="AL104">
            <v>48.100031940000001</v>
          </cell>
          <cell r="AM104">
            <v>48.655053530000004</v>
          </cell>
          <cell r="AN104">
            <v>49.218037389999999</v>
          </cell>
          <cell r="AO104">
            <v>49.789010339999997</v>
          </cell>
          <cell r="AP104">
            <v>50.36800547</v>
          </cell>
          <cell r="AQ104">
            <v>50.957801320000002</v>
          </cell>
          <cell r="AR104">
            <v>51.555697250000001</v>
          </cell>
          <cell r="AS104">
            <v>52.161735059999998</v>
          </cell>
          <cell r="AT104">
            <v>52.775961899999999</v>
          </cell>
          <cell r="AU104">
            <v>53.398430099999999</v>
          </cell>
          <cell r="AV104">
            <v>54.040878360000001</v>
          </cell>
          <cell r="AW104">
            <v>54.691749790000003</v>
          </cell>
          <cell r="AX104">
            <v>55.351096740000003</v>
          </cell>
          <cell r="AY104">
            <v>56.018987549999999</v>
          </cell>
          <cell r="AZ104">
            <v>56.695504649999997</v>
          </cell>
          <cell r="BA104">
            <v>76.153181029999999</v>
          </cell>
          <cell r="BB104">
            <v>77.474931299999994</v>
          </cell>
          <cell r="BC104">
            <v>78.820624289999998</v>
          </cell>
          <cell r="BD104">
            <v>80.190643519999995</v>
          </cell>
          <cell r="BE104">
            <v>81.585370549999993</v>
          </cell>
        </row>
        <row r="105">
          <cell r="A105" t="str">
            <v>y_toe_0</v>
          </cell>
          <cell r="B105">
            <v>139.60539299999999</v>
          </cell>
          <cell r="C105">
            <v>140.71595629999999</v>
          </cell>
          <cell r="D105">
            <v>141.75063510000001</v>
          </cell>
          <cell r="E105">
            <v>142.85682259999999</v>
          </cell>
          <cell r="F105">
            <v>144.07966579999999</v>
          </cell>
          <cell r="G105">
            <v>145.43149589999999</v>
          </cell>
          <cell r="H105">
            <v>146.82281549999999</v>
          </cell>
          <cell r="I105">
            <v>148.2883832</v>
          </cell>
          <cell r="J105">
            <v>149.81685490000001</v>
          </cell>
          <cell r="K105">
            <v>151.39436660000001</v>
          </cell>
          <cell r="L105">
            <v>153.14956760000001</v>
          </cell>
          <cell r="M105">
            <v>154.83894000000001</v>
          </cell>
          <cell r="N105">
            <v>156.53565739999999</v>
          </cell>
          <cell r="O105">
            <v>158.24582469999999</v>
          </cell>
          <cell r="P105">
            <v>159.97047079999999</v>
          </cell>
          <cell r="Q105">
            <v>161.70993809999999</v>
          </cell>
          <cell r="R105">
            <v>163.46484000000001</v>
          </cell>
          <cell r="S105">
            <v>165.23619389999999</v>
          </cell>
          <cell r="T105">
            <v>167.0253515</v>
          </cell>
          <cell r="U105">
            <v>168.83388830000001</v>
          </cell>
          <cell r="V105">
            <v>170.5615085</v>
          </cell>
          <cell r="W105">
            <v>172.38250210000001</v>
          </cell>
          <cell r="X105">
            <v>174.2408365</v>
          </cell>
          <cell r="Y105">
            <v>176.13146230000001</v>
          </cell>
          <cell r="Z105">
            <v>178.05380790000001</v>
          </cell>
          <cell r="AA105">
            <v>179.7160307</v>
          </cell>
          <cell r="AB105">
            <v>181.47503789999999</v>
          </cell>
          <cell r="AC105">
            <v>183.25965350000001</v>
          </cell>
          <cell r="AD105">
            <v>185.0681913</v>
          </cell>
          <cell r="AE105">
            <v>186.90300310000001</v>
          </cell>
          <cell r="AF105">
            <v>188.7668674</v>
          </cell>
          <cell r="AG105">
            <v>190.6620963</v>
          </cell>
          <cell r="AH105">
            <v>192.5903438</v>
          </cell>
          <cell r="AI105">
            <v>194.55263919999999</v>
          </cell>
          <cell r="AJ105">
            <v>196.5494984</v>
          </cell>
          <cell r="AK105">
            <v>198.58105509999999</v>
          </cell>
          <cell r="AL105">
            <v>200.5774844</v>
          </cell>
          <cell r="AM105">
            <v>202.58635290000001</v>
          </cell>
          <cell r="AN105">
            <v>204.6156359</v>
          </cell>
          <cell r="AO105">
            <v>206.6689561</v>
          </cell>
          <cell r="AP105">
            <v>208.7486505</v>
          </cell>
          <cell r="AQ105">
            <v>210.85650190000001</v>
          </cell>
          <cell r="AR105">
            <v>212.99391869999999</v>
          </cell>
          <cell r="AS105">
            <v>215.16199159999999</v>
          </cell>
          <cell r="AT105">
            <v>217.3614924</v>
          </cell>
          <cell r="AU105">
            <v>219.59277230000001</v>
          </cell>
          <cell r="AV105">
            <v>221.86126540000001</v>
          </cell>
          <cell r="AW105">
            <v>224.15859309999999</v>
          </cell>
          <cell r="AX105">
            <v>226.4821005</v>
          </cell>
          <cell r="AY105">
            <v>228.8354788</v>
          </cell>
          <cell r="AZ105">
            <v>231.222228</v>
          </cell>
          <cell r="BA105">
            <v>248.76068989999999</v>
          </cell>
          <cell r="BB105">
            <v>252.16318720000001</v>
          </cell>
          <cell r="BC105">
            <v>255.6227614</v>
          </cell>
          <cell r="BD105">
            <v>259.14068689999999</v>
          </cell>
          <cell r="BE105">
            <v>262.7181764</v>
          </cell>
        </row>
        <row r="106">
          <cell r="A106" t="str">
            <v>m_toe_0</v>
          </cell>
          <cell r="B106">
            <v>151.40128480000001</v>
          </cell>
          <cell r="C106">
            <v>152.66335219999999</v>
          </cell>
          <cell r="D106">
            <v>153.86342780000001</v>
          </cell>
          <cell r="E106">
            <v>155.1746109</v>
          </cell>
          <cell r="F106">
            <v>156.64782070000001</v>
          </cell>
          <cell r="G106">
            <v>158.2952325</v>
          </cell>
          <cell r="H106">
            <v>160.01514180000001</v>
          </cell>
          <cell r="I106">
            <v>161.8358709</v>
          </cell>
          <cell r="J106">
            <v>163.74392330000001</v>
          </cell>
          <cell r="K106">
            <v>165.72227570000001</v>
          </cell>
          <cell r="L106">
            <v>167.9078427</v>
          </cell>
          <cell r="M106">
            <v>170.04404049999999</v>
          </cell>
          <cell r="N106">
            <v>172.19674860000001</v>
          </cell>
          <cell r="O106">
            <v>174.37371049999999</v>
          </cell>
          <cell r="P106">
            <v>176.57467500000001</v>
          </cell>
          <cell r="Q106">
            <v>178.79854349999999</v>
          </cell>
          <cell r="R106">
            <v>181.0447241</v>
          </cell>
          <cell r="S106">
            <v>183.31325129999999</v>
          </cell>
          <cell r="T106">
            <v>185.60466529999999</v>
          </cell>
          <cell r="U106">
            <v>187.91986829999999</v>
          </cell>
          <cell r="V106">
            <v>190.1487534</v>
          </cell>
          <cell r="W106">
            <v>192.4744039</v>
          </cell>
          <cell r="X106">
            <v>194.8439362</v>
          </cell>
          <cell r="Y106">
            <v>197.2493796</v>
          </cell>
          <cell r="Z106">
            <v>199.68975599999999</v>
          </cell>
          <cell r="AA106">
            <v>201.8452642</v>
          </cell>
          <cell r="AB106">
            <v>204.08810990000001</v>
          </cell>
          <cell r="AC106">
            <v>206.35688239999999</v>
          </cell>
          <cell r="AD106">
            <v>208.64680179999999</v>
          </cell>
          <cell r="AE106">
            <v>210.96048049999999</v>
          </cell>
          <cell r="AF106">
            <v>213.30156640000001</v>
          </cell>
          <cell r="AG106">
            <v>215.67330039999999</v>
          </cell>
          <cell r="AH106">
            <v>218.07820269999999</v>
          </cell>
          <cell r="AI106">
            <v>220.5180843</v>
          </cell>
          <cell r="AJ106">
            <v>222.9941565</v>
          </cell>
          <cell r="AK106">
            <v>225.50716550000001</v>
          </cell>
          <cell r="AL106">
            <v>227.9806165</v>
          </cell>
          <cell r="AM106">
            <v>230.4628787</v>
          </cell>
          <cell r="AN106">
            <v>232.9648464</v>
          </cell>
          <cell r="AO106">
            <v>235.49106119999999</v>
          </cell>
          <cell r="AP106">
            <v>238.0445091</v>
          </cell>
          <cell r="AQ106">
            <v>240.62758690000001</v>
          </cell>
          <cell r="AR106">
            <v>243.24227239999999</v>
          </cell>
          <cell r="AS106">
            <v>245.89014789999999</v>
          </cell>
          <cell r="AT106">
            <v>248.5723921</v>
          </cell>
          <cell r="AU106">
            <v>251.28969860000001</v>
          </cell>
          <cell r="AV106">
            <v>254.0486697</v>
          </cell>
          <cell r="AW106">
            <v>256.8432833</v>
          </cell>
          <cell r="AX106">
            <v>259.67027419999999</v>
          </cell>
          <cell r="AY106">
            <v>262.53378839999999</v>
          </cell>
          <cell r="AZ106">
            <v>265.43757319999997</v>
          </cell>
          <cell r="BA106">
            <v>289.18244320000002</v>
          </cell>
          <cell r="BB106">
            <v>293.36051500000002</v>
          </cell>
          <cell r="BC106">
            <v>297.60425559999999</v>
          </cell>
          <cell r="BD106">
            <v>301.9153384</v>
          </cell>
          <cell r="BE106">
            <v>306.29544920000001</v>
          </cell>
        </row>
        <row r="107">
          <cell r="A107" t="str">
            <v>ci_toe_0</v>
          </cell>
          <cell r="B107">
            <v>193.2084213</v>
          </cell>
          <cell r="C107">
            <v>195.11808310000001</v>
          </cell>
          <cell r="D107">
            <v>197.05250899999999</v>
          </cell>
          <cell r="E107">
            <v>199.16416559999999</v>
          </cell>
          <cell r="F107">
            <v>201.497919</v>
          </cell>
          <cell r="G107">
            <v>204.04660870000001</v>
          </cell>
          <cell r="H107">
            <v>206.67011199999999</v>
          </cell>
          <cell r="I107">
            <v>209.40289189999999</v>
          </cell>
          <cell r="J107">
            <v>212.2338767</v>
          </cell>
          <cell r="K107">
            <v>215.1456747</v>
          </cell>
          <cell r="L107">
            <v>218.3232539</v>
          </cell>
          <cell r="M107">
            <v>221.4387739</v>
          </cell>
          <cell r="N107">
            <v>224.5672902</v>
          </cell>
          <cell r="O107">
            <v>227.7216914</v>
          </cell>
          <cell r="P107">
            <v>230.90275209999999</v>
          </cell>
          <cell r="Q107">
            <v>234.10998190000001</v>
          </cell>
          <cell r="R107">
            <v>237.34366829999999</v>
          </cell>
          <cell r="S107">
            <v>240.60504470000001</v>
          </cell>
          <cell r="T107">
            <v>243.89608960000001</v>
          </cell>
          <cell r="U107">
            <v>247.21928560000001</v>
          </cell>
          <cell r="V107">
            <v>250.42931350000001</v>
          </cell>
          <cell r="W107">
            <v>253.76360349999999</v>
          </cell>
          <cell r="X107">
            <v>257.16320289999999</v>
          </cell>
          <cell r="Y107">
            <v>260.61725769999998</v>
          </cell>
          <cell r="Z107">
            <v>264.12507440000002</v>
          </cell>
          <cell r="AA107">
            <v>267.26079970000001</v>
          </cell>
          <cell r="AB107">
            <v>270.49915859999999</v>
          </cell>
          <cell r="AC107">
            <v>273.77822889999999</v>
          </cell>
          <cell r="AD107">
            <v>277.09191019999997</v>
          </cell>
          <cell r="AE107">
            <v>280.44524660000002</v>
          </cell>
          <cell r="AF107">
            <v>283.84438610000001</v>
          </cell>
          <cell r="AG107">
            <v>287.29442829999999</v>
          </cell>
          <cell r="AH107">
            <v>290.7990676</v>
          </cell>
          <cell r="AI107">
            <v>294.36069989999999</v>
          </cell>
          <cell r="AJ107">
            <v>297.98065869999999</v>
          </cell>
          <cell r="AK107">
            <v>301.65947720000003</v>
          </cell>
          <cell r="AL107">
            <v>305.2941538</v>
          </cell>
          <cell r="AM107">
            <v>308.94343359999999</v>
          </cell>
          <cell r="AN107">
            <v>312.62324949999999</v>
          </cell>
          <cell r="AO107">
            <v>316.34017879999999</v>
          </cell>
          <cell r="AP107">
            <v>320.09856819999999</v>
          </cell>
          <cell r="AQ107">
            <v>323.90191099999998</v>
          </cell>
          <cell r="AR107">
            <v>327.75306849999998</v>
          </cell>
          <cell r="AS107">
            <v>331.654314</v>
          </cell>
          <cell r="AT107">
            <v>335.60737749999998</v>
          </cell>
          <cell r="AU107">
            <v>339.6135031</v>
          </cell>
          <cell r="AV107">
            <v>343.68269359999999</v>
          </cell>
          <cell r="AW107">
            <v>347.80749120000002</v>
          </cell>
          <cell r="AX107">
            <v>351.98570899999999</v>
          </cell>
          <cell r="AY107">
            <v>356.21853970000001</v>
          </cell>
          <cell r="AZ107">
            <v>360.50754540000003</v>
          </cell>
          <cell r="BA107">
            <v>395.34974249999999</v>
          </cell>
          <cell r="BB107">
            <v>401.4616911</v>
          </cell>
          <cell r="BC107">
            <v>407.67003840000001</v>
          </cell>
          <cell r="BD107">
            <v>413.97701210000002</v>
          </cell>
          <cell r="BE107">
            <v>420.38488769999998</v>
          </cell>
        </row>
        <row r="108">
          <cell r="A108" t="str">
            <v>ch_toe_0</v>
          </cell>
          <cell r="B108">
            <v>64.301440170000006</v>
          </cell>
          <cell r="C108">
            <v>64.244438380000005</v>
          </cell>
          <cell r="D108">
            <v>63.979054079999997</v>
          </cell>
          <cell r="E108">
            <v>63.707653299999997</v>
          </cell>
          <cell r="F108">
            <v>63.482470319999997</v>
          </cell>
          <cell r="G108">
            <v>63.336263119999998</v>
          </cell>
          <cell r="H108">
            <v>63.253989830000002</v>
          </cell>
          <cell r="I108">
            <v>63.23066687</v>
          </cell>
          <cell r="J108">
            <v>63.252706629999999</v>
          </cell>
          <cell r="K108">
            <v>63.306551339999999</v>
          </cell>
          <cell r="L108">
            <v>63.411263269999999</v>
          </cell>
          <cell r="M108">
            <v>63.516182149999999</v>
          </cell>
          <cell r="N108">
            <v>63.624458740000001</v>
          </cell>
          <cell r="O108">
            <v>63.736656259999997</v>
          </cell>
          <cell r="P108">
            <v>63.85238107</v>
          </cell>
          <cell r="Q108">
            <v>63.97097728</v>
          </cell>
          <cell r="R108">
            <v>64.091795730000001</v>
          </cell>
          <cell r="S108">
            <v>64.214279070000003</v>
          </cell>
          <cell r="T108">
            <v>64.337974360000004</v>
          </cell>
          <cell r="U108">
            <v>64.462521850000002</v>
          </cell>
          <cell r="V108">
            <v>64.568139939999995</v>
          </cell>
          <cell r="W108">
            <v>64.683684330000006</v>
          </cell>
          <cell r="X108">
            <v>64.803931129999995</v>
          </cell>
          <cell r="Y108">
            <v>64.926449739999995</v>
          </cell>
          <cell r="Z108">
            <v>65.05013744</v>
          </cell>
          <cell r="AA108">
            <v>65.121098500000002</v>
          </cell>
          <cell r="AB108">
            <v>65.193554039999995</v>
          </cell>
          <cell r="AC108">
            <v>65.265840990000001</v>
          </cell>
          <cell r="AD108">
            <v>65.337382349999999</v>
          </cell>
          <cell r="AE108">
            <v>65.407923609999997</v>
          </cell>
          <cell r="AF108">
            <v>65.477597790000004</v>
          </cell>
          <cell r="AG108">
            <v>65.546740810000003</v>
          </cell>
          <cell r="AH108">
            <v>65.615739189999999</v>
          </cell>
          <cell r="AI108">
            <v>65.684963769999996</v>
          </cell>
          <cell r="AJ108">
            <v>65.754747510000001</v>
          </cell>
          <cell r="AK108">
            <v>65.825383799999997</v>
          </cell>
          <cell r="AL108">
            <v>65.885649060000006</v>
          </cell>
          <cell r="AM108">
            <v>65.941299139999998</v>
          </cell>
          <cell r="AN108">
            <v>65.995160060000003</v>
          </cell>
          <cell r="AO108">
            <v>66.048713269999993</v>
          </cell>
          <cell r="AP108">
            <v>66.102832719999995</v>
          </cell>
          <cell r="AQ108">
            <v>66.158104600000001</v>
          </cell>
          <cell r="AR108">
            <v>66.214954680000005</v>
          </cell>
          <cell r="AS108">
            <v>66.273685200000003</v>
          </cell>
          <cell r="AT108">
            <v>66.334419530000005</v>
          </cell>
          <cell r="AU108">
            <v>66.396860660000002</v>
          </cell>
          <cell r="AV108">
            <v>66.460017010000001</v>
          </cell>
          <cell r="AW108">
            <v>66.519689</v>
          </cell>
          <cell r="AX108">
            <v>66.572029330000007</v>
          </cell>
          <cell r="AY108">
            <v>66.623568579999997</v>
          </cell>
          <cell r="AZ108">
            <v>66.679880870000005</v>
          </cell>
          <cell r="BA108">
            <v>66.181774820000001</v>
          </cell>
          <cell r="BB108">
            <v>66.315964530000002</v>
          </cell>
          <cell r="BC108">
            <v>66.452371409999998</v>
          </cell>
          <cell r="BD108">
            <v>66.591310300000004</v>
          </cell>
          <cell r="BE108">
            <v>66.732995119999998</v>
          </cell>
        </row>
        <row r="109">
          <cell r="A109" t="str">
            <v>x_toe_0</v>
          </cell>
          <cell r="B109">
            <v>33.496816299999999</v>
          </cell>
          <cell r="C109">
            <v>34.016786949999997</v>
          </cell>
          <cell r="D109">
            <v>34.582499830000003</v>
          </cell>
          <cell r="E109">
            <v>35.159614640000001</v>
          </cell>
          <cell r="F109">
            <v>35.747097170000004</v>
          </cell>
          <cell r="G109">
            <v>36.343856629999998</v>
          </cell>
          <cell r="H109">
            <v>36.913855409999996</v>
          </cell>
          <cell r="I109">
            <v>37.49069532</v>
          </cell>
          <cell r="J109">
            <v>38.074194929999997</v>
          </cell>
          <cell r="K109">
            <v>38.664416279999998</v>
          </cell>
          <cell r="L109">
            <v>39.322893180000001</v>
          </cell>
          <cell r="M109">
            <v>39.928024360000002</v>
          </cell>
          <cell r="N109">
            <v>40.540657060000001</v>
          </cell>
          <cell r="O109">
            <v>41.161187570000003</v>
          </cell>
          <cell r="P109">
            <v>41.79001264</v>
          </cell>
          <cell r="Q109">
            <v>42.427522439999997</v>
          </cell>
          <cell r="R109">
            <v>43.074100129999998</v>
          </cell>
          <cell r="S109">
            <v>43.730121420000003</v>
          </cell>
          <cell r="T109">
            <v>44.395952880000003</v>
          </cell>
          <cell r="U109">
            <v>45.071949160000003</v>
          </cell>
          <cell r="V109">
            <v>45.712808469999999</v>
          </cell>
          <cell r="W109">
            <v>46.40961815</v>
          </cell>
          <cell r="X109">
            <v>47.117638650000004</v>
          </cell>
          <cell r="Y109">
            <v>47.837134499999998</v>
          </cell>
          <cell r="Z109">
            <v>48.568352070000003</v>
          </cell>
          <cell r="AA109">
            <v>49.179396750000002</v>
          </cell>
          <cell r="AB109">
            <v>49.870435129999997</v>
          </cell>
          <cell r="AC109">
            <v>50.572466079999998</v>
          </cell>
          <cell r="AD109">
            <v>51.285700509999998</v>
          </cell>
          <cell r="AE109">
            <v>52.010313379999999</v>
          </cell>
          <cell r="AF109">
            <v>52.746449830000003</v>
          </cell>
          <cell r="AG109">
            <v>53.494227530000003</v>
          </cell>
          <cell r="AH109">
            <v>54.253739699999997</v>
          </cell>
          <cell r="AI109">
            <v>55.025059949999999</v>
          </cell>
          <cell r="AJ109">
            <v>55.808248640000002</v>
          </cell>
          <cell r="AK109">
            <v>56.603359519999998</v>
          </cell>
          <cell r="AL109">
            <v>57.37829799</v>
          </cell>
          <cell r="AM109">
            <v>58.164498819999999</v>
          </cell>
          <cell r="AN109">
            <v>58.962072650000003</v>
          </cell>
          <cell r="AO109">
            <v>59.771125169999998</v>
          </cell>
          <cell r="AP109">
            <v>60.591758579999997</v>
          </cell>
          <cell r="AQ109">
            <v>61.424073180000001</v>
          </cell>
          <cell r="AR109">
            <v>62.268167890000001</v>
          </cell>
          <cell r="AS109">
            <v>63.124140349999998</v>
          </cell>
          <cell r="AT109">
            <v>63.992087490000003</v>
          </cell>
          <cell r="AU109">
            <v>64.872107130000003</v>
          </cell>
          <cell r="AV109">
            <v>65.767224490000004</v>
          </cell>
          <cell r="AW109">
            <v>66.674696119999993</v>
          </cell>
          <cell r="AX109">
            <v>67.594636359999996</v>
          </cell>
          <cell r="AY109">
            <v>68.527158959999994</v>
          </cell>
          <cell r="AZ109">
            <v>69.472374970000004</v>
          </cell>
          <cell r="BA109">
            <v>76.411615780000005</v>
          </cell>
          <cell r="BB109">
            <v>77.746046530000001</v>
          </cell>
          <cell r="BC109">
            <v>79.104607090000002</v>
          </cell>
          <cell r="BD109">
            <v>80.487702900000002</v>
          </cell>
          <cell r="BE109">
            <v>81.895742740000003</v>
          </cell>
        </row>
      </sheetData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BF529"/>
  <sheetViews>
    <sheetView zoomScale="77" workbookViewId="0">
      <pane xSplit="2" ySplit="4" topLeftCell="C5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RowHeight="14.5" x14ac:dyDescent="0.35"/>
  <cols>
    <col min="1" max="1" width="26.90625" customWidth="1"/>
    <col min="2" max="2" width="43.08984375" customWidth="1"/>
    <col min="3" max="3" width="12.7265625" bestFit="1" customWidth="1"/>
    <col min="4" max="26" width="11.1796875" bestFit="1" customWidth="1"/>
    <col min="27" max="36" width="11.81640625" bestFit="1" customWidth="1"/>
    <col min="37" max="58" width="12.81640625" bestFit="1" customWidth="1"/>
  </cols>
  <sheetData>
    <row r="1" spans="1:58" x14ac:dyDescent="0.35">
      <c r="A1" t="s">
        <v>5</v>
      </c>
      <c r="B1" t="s">
        <v>6</v>
      </c>
    </row>
    <row r="4" spans="1:58" x14ac:dyDescent="0.35">
      <c r="A4" s="12" t="s">
        <v>0</v>
      </c>
      <c r="C4" s="2">
        <v>42005</v>
      </c>
      <c r="D4" s="2">
        <v>42370</v>
      </c>
      <c r="E4" s="2">
        <v>42736</v>
      </c>
      <c r="F4" s="2">
        <v>43101</v>
      </c>
      <c r="G4" s="2">
        <v>43466</v>
      </c>
      <c r="H4" s="2">
        <v>43831</v>
      </c>
      <c r="I4" s="2">
        <v>44197</v>
      </c>
      <c r="J4" s="2">
        <v>44562</v>
      </c>
      <c r="K4" s="2">
        <v>44927</v>
      </c>
      <c r="L4" s="2">
        <v>45292</v>
      </c>
      <c r="M4" s="2">
        <v>45658</v>
      </c>
      <c r="N4" s="2">
        <v>46023</v>
      </c>
      <c r="O4" s="2">
        <v>46388</v>
      </c>
      <c r="P4" s="2">
        <v>46753</v>
      </c>
      <c r="Q4" s="2">
        <v>47119</v>
      </c>
      <c r="R4" s="2">
        <v>47484</v>
      </c>
      <c r="S4" s="2">
        <v>47849</v>
      </c>
      <c r="T4" s="2">
        <v>48214</v>
      </c>
      <c r="U4" s="2">
        <v>48580</v>
      </c>
      <c r="V4" s="2">
        <v>48945</v>
      </c>
      <c r="W4" s="2">
        <v>49310</v>
      </c>
      <c r="X4" s="2">
        <v>49675</v>
      </c>
      <c r="Y4" s="2">
        <v>50041</v>
      </c>
      <c r="Z4" s="2">
        <v>50406</v>
      </c>
      <c r="AA4" s="2">
        <v>50771</v>
      </c>
      <c r="AB4" s="2">
        <v>51136</v>
      </c>
      <c r="AC4" s="2">
        <v>51502</v>
      </c>
      <c r="AD4" s="2">
        <v>51867</v>
      </c>
      <c r="AE4" s="2">
        <v>52232</v>
      </c>
      <c r="AF4" s="2">
        <v>52597</v>
      </c>
      <c r="AG4" s="2">
        <v>52963</v>
      </c>
      <c r="AH4" s="2">
        <v>53328</v>
      </c>
      <c r="AI4" s="2">
        <v>53693</v>
      </c>
      <c r="AJ4" s="2">
        <v>54058</v>
      </c>
      <c r="AK4" s="2">
        <v>54424</v>
      </c>
      <c r="AL4" s="2">
        <v>54789</v>
      </c>
      <c r="AM4" s="2">
        <v>55154</v>
      </c>
      <c r="AN4" s="2">
        <v>55519</v>
      </c>
      <c r="AO4" s="2">
        <v>55885</v>
      </c>
      <c r="AP4" s="2">
        <v>56250</v>
      </c>
      <c r="AQ4" s="2">
        <v>56615</v>
      </c>
      <c r="AR4" s="2">
        <v>56980</v>
      </c>
      <c r="AS4" s="2">
        <v>57346</v>
      </c>
      <c r="AT4" s="2">
        <v>57711</v>
      </c>
      <c r="AU4" s="2">
        <v>58076</v>
      </c>
      <c r="AV4" s="2">
        <v>58441</v>
      </c>
      <c r="AW4" s="2">
        <v>58807</v>
      </c>
      <c r="AX4" s="2">
        <v>59172</v>
      </c>
      <c r="AY4" s="2">
        <v>59537</v>
      </c>
      <c r="AZ4" s="2">
        <v>59902</v>
      </c>
      <c r="BA4" s="2">
        <v>60268</v>
      </c>
      <c r="BB4" s="2">
        <v>60633</v>
      </c>
      <c r="BC4" s="2">
        <v>60998</v>
      </c>
      <c r="BD4" s="2">
        <v>61363</v>
      </c>
      <c r="BE4" s="2">
        <v>61729</v>
      </c>
      <c r="BF4" s="2">
        <v>62094</v>
      </c>
    </row>
    <row r="5" spans="1:58" x14ac:dyDescent="0.35">
      <c r="A5" s="3" t="str">
        <f>[1]Results!E1365</f>
        <v>100*(GDP_2/GDP_0-1)</v>
      </c>
      <c r="B5" t="s">
        <v>18</v>
      </c>
      <c r="C5" s="1">
        <f>[1]Results!F1365</f>
        <v>-1.7105840554810015</v>
      </c>
      <c r="D5" s="1">
        <f>[1]Results!G1365</f>
        <v>-2.098056736359466</v>
      </c>
      <c r="E5" s="1">
        <f>[1]Results!H1365</f>
        <v>-2.4532546055058613</v>
      </c>
      <c r="F5" s="1">
        <f>[1]Results!I1365</f>
        <v>-2.7517937372380175</v>
      </c>
      <c r="G5" s="1">
        <f>[1]Results!J1365</f>
        <v>-2.9990320526349201</v>
      </c>
      <c r="H5" s="1">
        <f>[1]Results!K1365</f>
        <v>-3.2030280950868795</v>
      </c>
      <c r="I5" s="1">
        <f>[1]Results!L1365</f>
        <v>-3.3733930388557543</v>
      </c>
      <c r="J5" s="1">
        <f>[1]Results!M1365</f>
        <v>-3.51562243585547</v>
      </c>
      <c r="K5" s="1">
        <f>[1]Results!N1365</f>
        <v>-3.6361018719246463</v>
      </c>
      <c r="L5" s="1">
        <f>[1]Results!O1365</f>
        <v>-3.7405791429351631</v>
      </c>
      <c r="M5" s="1">
        <f>[1]Results!P1365</f>
        <v>-3.8334394917893921</v>
      </c>
      <c r="N5" s="1">
        <f>[1]Results!Q1365</f>
        <v>-3.925556698553101</v>
      </c>
      <c r="O5" s="1">
        <f>[1]Results!R1365</f>
        <v>-4.0138240489166144</v>
      </c>
      <c r="P5" s="1">
        <f>[1]Results!S1365</f>
        <v>-4.0997975041976105</v>
      </c>
      <c r="Q5" s="1">
        <f>[1]Results!T1365</f>
        <v>-4.1844108990118141</v>
      </c>
      <c r="R5" s="1">
        <f>[1]Results!U1365</f>
        <v>-4.2682193718009405</v>
      </c>
      <c r="S5" s="1">
        <f>[1]Results!V1365</f>
        <v>-4.3572346504538011</v>
      </c>
      <c r="T5" s="1">
        <f>[1]Results!W1365</f>
        <v>-4.446581128211669</v>
      </c>
      <c r="U5" s="1">
        <f>[1]Results!X1365</f>
        <v>-4.5362483138397192</v>
      </c>
      <c r="V5" s="1">
        <f>[1]Results!Y1365</f>
        <v>-4.6261021063189967</v>
      </c>
      <c r="W5" s="1">
        <f>[1]Results!Z1365</f>
        <v>-4.7163174260623446</v>
      </c>
      <c r="X5" s="1">
        <f>[1]Results!AA1365</f>
        <v>-4.8060004625971375</v>
      </c>
      <c r="Y5" s="1">
        <f>[1]Results!AB1365</f>
        <v>-4.8953489734531725</v>
      </c>
      <c r="Z5" s="1">
        <f>[1]Results!AC1365</f>
        <v>-4.9843562098548233</v>
      </c>
      <c r="AA5" s="1">
        <f>[1]Results!AD1365</f>
        <v>-5.0729292917466084</v>
      </c>
      <c r="AB5" s="1">
        <f>[1]Results!AE1365</f>
        <v>-5.1616312992447515</v>
      </c>
      <c r="AC5" s="1">
        <f>[1]Results!AF1365</f>
        <v>-5.2470427631295502</v>
      </c>
      <c r="AD5" s="1">
        <f>[1]Results!AG1365</f>
        <v>-5.3309757047204975</v>
      </c>
      <c r="AE5" s="1">
        <f>[1]Results!AH1365</f>
        <v>-5.4134537423666913</v>
      </c>
      <c r="AF5" s="1">
        <f>[1]Results!AI1365</f>
        <v>-5.4944750354783629</v>
      </c>
      <c r="AG5" s="1">
        <f>[1]Results!AJ1365</f>
        <v>-5.5740006203695458</v>
      </c>
      <c r="AH5" s="1">
        <f>[1]Results!AK1365</f>
        <v>-5.6509432844425334</v>
      </c>
      <c r="AI5" s="1">
        <f>[1]Results!AL1365</f>
        <v>-5.7261280214704442</v>
      </c>
      <c r="AJ5" s="1">
        <f>[1]Results!AM1365</f>
        <v>-5.7995105060567376</v>
      </c>
      <c r="AK5" s="1">
        <f>[1]Results!AN1365</f>
        <v>-5.8710724612016545</v>
      </c>
      <c r="AL5" s="1">
        <f>[1]Results!AO1365</f>
        <v>-5.9408064863598842</v>
      </c>
      <c r="AM5" s="1">
        <f>[1]Results!AP1365</f>
        <v>-6.0003827900889544</v>
      </c>
      <c r="AN5" s="1">
        <f>[1]Results!AQ1365</f>
        <v>-6.0571000103954891</v>
      </c>
      <c r="AO5" s="1">
        <f>[1]Results!AR1365</f>
        <v>-6.1110748911116231</v>
      </c>
      <c r="AP5" s="1">
        <f>[1]Results!AS1365</f>
        <v>-6.1626563911912129</v>
      </c>
      <c r="AQ5" s="1">
        <f>[1]Results!AT1365</f>
        <v>-6.2122074676719148</v>
      </c>
      <c r="AR5" s="1">
        <f>[1]Results!AU1365</f>
        <v>-6.2587962491754912</v>
      </c>
      <c r="AS5" s="1">
        <f>[1]Results!AV1365</f>
        <v>-6.3038097195504577</v>
      </c>
      <c r="AT5" s="1">
        <f>[1]Results!AW1365</f>
        <v>-6.3475234557170079</v>
      </c>
      <c r="AU5" s="1">
        <f>[1]Results!AX1365</f>
        <v>-6.3901885641366452</v>
      </c>
      <c r="AV5" s="1">
        <f>[1]Results!AY1365</f>
        <v>-6.4320132937912504</v>
      </c>
      <c r="AW5" s="1">
        <f>[1]Results!AZ1365</f>
        <v>-6.4691410532873412</v>
      </c>
      <c r="AX5" s="1">
        <f>[1]Results!BA1365</f>
        <v>-6.5051793926074524</v>
      </c>
      <c r="AY5" s="1">
        <f>[1]Results!BB1365</f>
        <v>-6.5403479043005692</v>
      </c>
      <c r="AZ5" s="1">
        <f>[1]Results!BC1365</f>
        <v>-6.5748713084534671</v>
      </c>
      <c r="BA5" s="1">
        <f>[1]Results!BD1365</f>
        <v>-6.6089373105816973</v>
      </c>
      <c r="BB5" s="1">
        <f>[1]Results!BE1365</f>
        <v>-0.17309504926293906</v>
      </c>
      <c r="BC5" s="1">
        <f>[1]Results!BF1365</f>
        <v>-0.17504737969170625</v>
      </c>
      <c r="BD5" s="1">
        <f>[1]Results!BG1365</f>
        <v>-0.17671713472687811</v>
      </c>
      <c r="BE5" s="1">
        <f>[1]Results!BH1365</f>
        <v>-0.17817411467598854</v>
      </c>
      <c r="BF5" s="1">
        <f>[1]Results!BI1365</f>
        <v>-0.17947550510799548</v>
      </c>
    </row>
    <row r="6" spans="1:58" x14ac:dyDescent="0.35">
      <c r="A6" s="3" t="str">
        <f>[1]Results!E1366</f>
        <v>100*((VA_2-VA_spub_2)/(VA_0-VA_spub_0)-1)</v>
      </c>
      <c r="B6" t="str">
        <f>[1]Results!C1366</f>
        <v>VA du secteur marchand</v>
      </c>
      <c r="C6" s="1">
        <f>[1]Results!F1366</f>
        <v>-2.1405334768959339</v>
      </c>
      <c r="D6" s="1">
        <f>[1]Results!G1366</f>
        <v>-2.5518504370194206</v>
      </c>
      <c r="E6" s="1">
        <f>[1]Results!H1366</f>
        <v>-2.9385443242632814</v>
      </c>
      <c r="F6" s="1">
        <f>[1]Results!I1366</f>
        <v>-3.263601368906377</v>
      </c>
      <c r="G6" s="1">
        <f>[1]Results!J1366</f>
        <v>-3.5331316886843767</v>
      </c>
      <c r="H6" s="1">
        <f>[1]Results!K1366</f>
        <v>-3.7563902482375289</v>
      </c>
      <c r="I6" s="1">
        <f>[1]Results!L1366</f>
        <v>-3.9441558328564108</v>
      </c>
      <c r="J6" s="1">
        <f>[1]Results!M1366</f>
        <v>-4.1024672667341999</v>
      </c>
      <c r="K6" s="1">
        <f>[1]Results!N1366</f>
        <v>-4.2381868040587971</v>
      </c>
      <c r="L6" s="1">
        <f>[1]Results!O1366</f>
        <v>-4.3575189494774014</v>
      </c>
      <c r="M6" s="1">
        <f>[1]Results!P1366</f>
        <v>-4.465620413242311</v>
      </c>
      <c r="N6" s="1">
        <f>[1]Results!Q1366</f>
        <v>-4.5743178685057178</v>
      </c>
      <c r="O6" s="1">
        <f>[1]Results!R1366</f>
        <v>-4.6797807526625101</v>
      </c>
      <c r="P6" s="1">
        <f>[1]Results!S1366</f>
        <v>-4.7836899076079469</v>
      </c>
      <c r="Q6" s="1">
        <f>[1]Results!T1366</f>
        <v>-4.8870046780804532</v>
      </c>
      <c r="R6" s="1">
        <f>[1]Results!U1366</f>
        <v>-4.9902426043757391</v>
      </c>
      <c r="S6" s="1">
        <f>[1]Results!V1366</f>
        <v>-5.1007850682228684</v>
      </c>
      <c r="T6" s="1">
        <f>[1]Results!W1366</f>
        <v>-5.2121136826772769</v>
      </c>
      <c r="U6" s="1">
        <f>[1]Results!X1366</f>
        <v>-5.3241416880040919</v>
      </c>
      <c r="V6" s="1">
        <f>[1]Results!Y1366</f>
        <v>-5.4366023257389369</v>
      </c>
      <c r="W6" s="1">
        <f>[1]Results!Z1366</f>
        <v>-5.5492595830345604</v>
      </c>
      <c r="X6" s="1">
        <f>[1]Results!AA1366</f>
        <v>-5.6618111167477503</v>
      </c>
      <c r="Y6" s="1">
        <f>[1]Results!AB1366</f>
        <v>-5.7738341832705764</v>
      </c>
      <c r="Z6" s="1">
        <f>[1]Results!AC1366</f>
        <v>-5.8852676704225555</v>
      </c>
      <c r="AA6" s="1">
        <f>[1]Results!AD1366</f>
        <v>-5.9959419650085994</v>
      </c>
      <c r="AB6" s="1">
        <f>[1]Results!AE1366</f>
        <v>-6.1054967498619828</v>
      </c>
      <c r="AC6" s="1">
        <f>[1]Results!AF1366</f>
        <v>-6.2117687003274469</v>
      </c>
      <c r="AD6" s="1">
        <f>[1]Results!AG1366</f>
        <v>-6.316135459801786</v>
      </c>
      <c r="AE6" s="1">
        <f>[1]Results!AH1366</f>
        <v>-6.4185866277842614</v>
      </c>
      <c r="AF6" s="1">
        <f>[1]Results!AI1366</f>
        <v>-6.5190767911805008</v>
      </c>
      <c r="AG6" s="1">
        <f>[1]Results!AJ1366</f>
        <v>-6.617531331867732</v>
      </c>
      <c r="AH6" s="1">
        <f>[1]Results!AK1366</f>
        <v>-6.7125783040744791</v>
      </c>
      <c r="AI6" s="1">
        <f>[1]Results!AL1366</f>
        <v>-6.8052980011306445</v>
      </c>
      <c r="AJ6" s="1">
        <f>[1]Results!AM1366</f>
        <v>-6.8956325499272886</v>
      </c>
      <c r="AK6" s="1">
        <f>[1]Results!AN1366</f>
        <v>-6.9835672045527541</v>
      </c>
      <c r="AL6" s="1">
        <f>[1]Results!AO1366</f>
        <v>-7.0691050888836093</v>
      </c>
      <c r="AM6" s="1">
        <f>[1]Results!AP1366</f>
        <v>-7.1415899817045103</v>
      </c>
      <c r="AN6" s="1">
        <f>[1]Results!AQ1366</f>
        <v>-7.2109266294413388</v>
      </c>
      <c r="AO6" s="1">
        <f>[1]Results!AR1366</f>
        <v>-7.2771310288196611</v>
      </c>
      <c r="AP6" s="1">
        <f>[1]Results!AS1366</f>
        <v>-7.3405627645847122</v>
      </c>
      <c r="AQ6" s="1">
        <f>[1]Results!AT1366</f>
        <v>-7.4016052670005443</v>
      </c>
      <c r="AR6" s="1">
        <f>[1]Results!AU1366</f>
        <v>-7.459027985327749</v>
      </c>
      <c r="AS6" s="1">
        <f>[1]Results!AV1366</f>
        <v>-7.5145685650030769</v>
      </c>
      <c r="AT6" s="1">
        <f>[1]Results!AW1366</f>
        <v>-7.5685132985651604</v>
      </c>
      <c r="AU6" s="1">
        <f>[1]Results!AX1366</f>
        <v>-7.6211347760630659</v>
      </c>
      <c r="AV6" s="1">
        <f>[1]Results!AY1366</f>
        <v>-7.6726620283835807</v>
      </c>
      <c r="AW6" s="1">
        <f>[1]Results!AZ1366</f>
        <v>-7.7182664004545316</v>
      </c>
      <c r="AX6" s="1">
        <f>[1]Results!BA1366</f>
        <v>-7.762579931943792</v>
      </c>
      <c r="AY6" s="1">
        <f>[1]Results!BB1366</f>
        <v>-7.8058201564104035</v>
      </c>
      <c r="AZ6" s="1">
        <f>[1]Results!BC1366</f>
        <v>-7.848218309334321</v>
      </c>
      <c r="BA6" s="1">
        <f>[1]Results!BD1366</f>
        <v>-7.8899693274566696</v>
      </c>
      <c r="BB6" s="1">
        <f>[1]Results!BE1366</f>
        <v>-0.23572931163051702</v>
      </c>
      <c r="BC6" s="1">
        <f>[1]Results!BF1366</f>
        <v>-0.23913277799035848</v>
      </c>
      <c r="BD6" s="1">
        <f>[1]Results!BG1366</f>
        <v>-0.24217281316902817</v>
      </c>
      <c r="BE6" s="1">
        <f>[1]Results!BH1366</f>
        <v>-0.24492995704027409</v>
      </c>
      <c r="BF6" s="1">
        <f>[1]Results!BI1366</f>
        <v>-0.24747210843392153</v>
      </c>
    </row>
    <row r="7" spans="1:58" x14ac:dyDescent="0.35">
      <c r="A7" s="3" t="str">
        <f>[1]Results!E1367</f>
        <v>100*((CH_2-CH_0)/GDP_0)</v>
      </c>
      <c r="B7" t="s">
        <v>19</v>
      </c>
      <c r="C7" s="1">
        <f>[1]Results!F1367</f>
        <v>-0.30899122998868644</v>
      </c>
      <c r="D7" s="1">
        <f>[1]Results!G1367</f>
        <v>-0.67843063363519307</v>
      </c>
      <c r="E7" s="1">
        <f>[1]Results!H1367</f>
        <v>-1.023454648560066</v>
      </c>
      <c r="F7" s="1">
        <f>[1]Results!I1367</f>
        <v>-1.3198783253957922</v>
      </c>
      <c r="G7" s="1">
        <f>[1]Results!J1367</f>
        <v>-1.5633680011959781</v>
      </c>
      <c r="H7" s="1">
        <f>[1]Results!K1367</f>
        <v>-1.7572163151038405</v>
      </c>
      <c r="I7" s="1">
        <f>[1]Results!L1367</f>
        <v>-1.9088240127474814</v>
      </c>
      <c r="J7" s="1">
        <f>[1]Results!M1367</f>
        <v>-2.0246525546116176</v>
      </c>
      <c r="K7" s="1">
        <f>[1]Results!N1367</f>
        <v>-2.1118676084347889</v>
      </c>
      <c r="L7" s="1">
        <f>[1]Results!O1367</f>
        <v>-2.1768909332227517</v>
      </c>
      <c r="M7" s="1">
        <f>[1]Results!P1367</f>
        <v>-2.2237987069431799</v>
      </c>
      <c r="N7" s="1">
        <f>[1]Results!Q1367</f>
        <v>-2.2607773108222697</v>
      </c>
      <c r="O7" s="1">
        <f>[1]Results!R1367</f>
        <v>-2.2890148410505686</v>
      </c>
      <c r="P7" s="1">
        <f>[1]Results!S1367</f>
        <v>-2.3103617410923998</v>
      </c>
      <c r="Q7" s="1">
        <f>[1]Results!T1367</f>
        <v>-2.3261374164422479</v>
      </c>
      <c r="R7" s="1">
        <f>[1]Results!U1367</f>
        <v>-2.3373647449013215</v>
      </c>
      <c r="S7" s="1">
        <f>[1]Results!V1367</f>
        <v>-2.345882058409098</v>
      </c>
      <c r="T7" s="1">
        <f>[1]Results!W1367</f>
        <v>-2.3525949260186052</v>
      </c>
      <c r="U7" s="1">
        <f>[1]Results!X1367</f>
        <v>-2.3580933043818479</v>
      </c>
      <c r="V7" s="1">
        <f>[1]Results!Y1367</f>
        <v>-2.362866085705384</v>
      </c>
      <c r="W7" s="1">
        <f>[1]Results!Z1367</f>
        <v>-2.3681899694953907</v>
      </c>
      <c r="X7" s="1">
        <f>[1]Results!AA1367</f>
        <v>-2.3723562712575119</v>
      </c>
      <c r="Y7" s="1">
        <f>[1]Results!AB1367</f>
        <v>-2.3769852139272336</v>
      </c>
      <c r="Z7" s="1">
        <f>[1]Results!AC1367</f>
        <v>-2.382460769220474</v>
      </c>
      <c r="AA7" s="1">
        <f>[1]Results!AD1367</f>
        <v>-2.3890467212166397</v>
      </c>
      <c r="AB7" s="1">
        <f>[1]Results!AE1367</f>
        <v>-2.3991071574275833</v>
      </c>
      <c r="AC7" s="1">
        <f>[1]Results!AF1367</f>
        <v>-2.4076994001966532</v>
      </c>
      <c r="AD7" s="1">
        <f>[1]Results!AG1367</f>
        <v>-2.4166048489395959</v>
      </c>
      <c r="AE7" s="1">
        <f>[1]Results!AH1367</f>
        <v>-2.4260742522588177</v>
      </c>
      <c r="AF7" s="1">
        <f>[1]Results!AI1367</f>
        <v>-2.4362965564602623</v>
      </c>
      <c r="AG7" s="1">
        <f>[1]Results!AJ1367</f>
        <v>-2.4473717909751151</v>
      </c>
      <c r="AH7" s="1">
        <f>[1]Results!AK1367</f>
        <v>-2.4591498129133424</v>
      </c>
      <c r="AI7" s="1">
        <f>[1]Results!AL1367</f>
        <v>-2.4715868377398684</v>
      </c>
      <c r="AJ7" s="1">
        <f>[1]Results!AM1367</f>
        <v>-2.4846575808224238</v>
      </c>
      <c r="AK7" s="1">
        <f>[1]Results!AN1367</f>
        <v>-2.498331734019605</v>
      </c>
      <c r="AL7" s="1">
        <f>[1]Results!AO1367</f>
        <v>-2.5125719476701716</v>
      </c>
      <c r="AM7" s="1">
        <f>[1]Results!AP1367</f>
        <v>-2.5263267284946438</v>
      </c>
      <c r="AN7" s="1">
        <f>[1]Results!AQ1367</f>
        <v>-2.53860436870601</v>
      </c>
      <c r="AO7" s="1">
        <f>[1]Results!AR1367</f>
        <v>-2.5495905095605926</v>
      </c>
      <c r="AP7" s="1">
        <f>[1]Results!AS1367</f>
        <v>-2.5596416085313067</v>
      </c>
      <c r="AQ7" s="1">
        <f>[1]Results!AT1367</f>
        <v>-2.5691452120595581</v>
      </c>
      <c r="AR7" s="1">
        <f>[1]Results!AU1367</f>
        <v>-2.5782412361554234</v>
      </c>
      <c r="AS7" s="1">
        <f>[1]Results!AV1367</f>
        <v>-2.5872031944582976</v>
      </c>
      <c r="AT7" s="1">
        <f>[1]Results!AW1367</f>
        <v>-2.5963024167453286</v>
      </c>
      <c r="AU7" s="1">
        <f>[1]Results!AX1367</f>
        <v>-2.6057662208413488</v>
      </c>
      <c r="AV7" s="1">
        <f>[1]Results!AY1367</f>
        <v>-2.6157726761826017</v>
      </c>
      <c r="AW7" s="1">
        <f>[1]Results!AZ1367</f>
        <v>-2.6257342902320486</v>
      </c>
      <c r="AX7" s="1">
        <f>[1]Results!BA1367</f>
        <v>-2.6357253057427048</v>
      </c>
      <c r="AY7" s="1">
        <f>[1]Results!BB1367</f>
        <v>-2.6459217363289267</v>
      </c>
      <c r="AZ7" s="1">
        <f>[1]Results!BC1367</f>
        <v>-2.6565135921695666</v>
      </c>
      <c r="BA7" s="1">
        <f>[1]Results!BD1367</f>
        <v>-2.667665109454239</v>
      </c>
      <c r="BB7" s="1">
        <f>[1]Results!BE1367</f>
        <v>2.4627260846567238E-2</v>
      </c>
      <c r="BC7" s="1">
        <f>[1]Results!BF1367</f>
        <v>2.6598171712759654E-2</v>
      </c>
      <c r="BD7" s="1">
        <f>[1]Results!BG1367</f>
        <v>2.8484324639781216E-2</v>
      </c>
      <c r="BE7" s="1">
        <f>[1]Results!BH1367</f>
        <v>3.0234981441569546E-2</v>
      </c>
      <c r="BF7" s="1">
        <f>[1]Results!BI1367</f>
        <v>3.1819722090826522E-2</v>
      </c>
    </row>
    <row r="8" spans="1:58" x14ac:dyDescent="0.35">
      <c r="A8" s="3" t="str">
        <f>[1]Results!E1368</f>
        <v>100*((CH_cveh_2-CH_cveh_0)/GDP_0)</v>
      </c>
      <c r="B8" t="str">
        <f>[1]Results!C1368</f>
        <v>Consommation des ménages automobile</v>
      </c>
      <c r="C8" s="1">
        <f>[1]Results!F1368</f>
        <v>-2.7267058168288022E-4</v>
      </c>
      <c r="D8" s="1">
        <f>[1]Results!G1368</f>
        <v>-2.4939200531389132E-2</v>
      </c>
      <c r="E8" s="1">
        <f>[1]Results!H1368</f>
        <v>-5.5571242757491424E-2</v>
      </c>
      <c r="F8" s="1">
        <f>[1]Results!I1368</f>
        <v>-8.1128393944072827E-2</v>
      </c>
      <c r="G8" s="1">
        <f>[1]Results!J1368</f>
        <v>-9.843374151367755E-2</v>
      </c>
      <c r="H8" s="1">
        <f>[1]Results!K1368</f>
        <v>-0.10799987212987423</v>
      </c>
      <c r="I8" s="1">
        <f>[1]Results!L1368</f>
        <v>-0.11180011582397825</v>
      </c>
      <c r="J8" s="1">
        <f>[1]Results!M1368</f>
        <v>-0.1117998297994711</v>
      </c>
      <c r="K8" s="1">
        <f>[1]Results!N1368</f>
        <v>-0.1096365965183189</v>
      </c>
      <c r="L8" s="1">
        <f>[1]Results!O1368</f>
        <v>-0.10644418058886283</v>
      </c>
      <c r="M8" s="1">
        <f>[1]Results!P1368</f>
        <v>-0.10286599069674442</v>
      </c>
      <c r="N8" s="1">
        <f>[1]Results!Q1368</f>
        <v>-9.9505709011536797E-2</v>
      </c>
      <c r="O8" s="1">
        <f>[1]Results!R1368</f>
        <v>-9.6393444038554404E-2</v>
      </c>
      <c r="P8" s="1">
        <f>[1]Results!S1368</f>
        <v>-9.3530027460566906E-2</v>
      </c>
      <c r="Q8" s="1">
        <f>[1]Results!T1368</f>
        <v>-9.0887367641863517E-2</v>
      </c>
      <c r="R8" s="1">
        <f>[1]Results!U1368</f>
        <v>-8.8438926615794153E-2</v>
      </c>
      <c r="S8" s="1">
        <f>[1]Results!V1368</f>
        <v>-8.6284654163847438E-2</v>
      </c>
      <c r="T8" s="1">
        <f>[1]Results!W1368</f>
        <v>-8.4402567531059874E-2</v>
      </c>
      <c r="U8" s="1">
        <f>[1]Results!X1368</f>
        <v>-8.2762538729520219E-2</v>
      </c>
      <c r="V8" s="1">
        <f>[1]Results!Y1368</f>
        <v>-8.1346081802264561E-2</v>
      </c>
      <c r="W8" s="1">
        <f>[1]Results!Z1368</f>
        <v>-8.0164559930001114E-2</v>
      </c>
      <c r="X8" s="1">
        <f>[1]Results!AA1368</f>
        <v>-7.9140595742070455E-2</v>
      </c>
      <c r="Y8" s="1">
        <f>[1]Results!AB1368</f>
        <v>-7.8325242333266945E-2</v>
      </c>
      <c r="Z8" s="1">
        <f>[1]Results!AC1368</f>
        <v>-7.7713308898391162E-2</v>
      </c>
      <c r="AA8" s="1">
        <f>[1]Results!AD1368</f>
        <v>-7.7290139764096641E-2</v>
      </c>
      <c r="AB8" s="1">
        <f>[1]Results!AE1368</f>
        <v>-7.7087671521230111E-2</v>
      </c>
      <c r="AC8" s="1">
        <f>[1]Results!AF1368</f>
        <v>-7.688666735679095E-2</v>
      </c>
      <c r="AD8" s="1">
        <f>[1]Results!AG1368</f>
        <v>-7.6769522583796462E-2</v>
      </c>
      <c r="AE8" s="1">
        <f>[1]Results!AH1368</f>
        <v>-7.6753653506305961E-2</v>
      </c>
      <c r="AF8" s="1">
        <f>[1]Results!AI1368</f>
        <v>-7.6839360857187539E-2</v>
      </c>
      <c r="AG8" s="1">
        <f>[1]Results!AJ1368</f>
        <v>-7.7016736299885785E-2</v>
      </c>
      <c r="AH8" s="1">
        <f>[1]Results!AK1368</f>
        <v>-7.7252798354457392E-2</v>
      </c>
      <c r="AI8" s="1">
        <f>[1]Results!AL1368</f>
        <v>-7.7537538886388535E-2</v>
      </c>
      <c r="AJ8" s="1">
        <f>[1]Results!AM1368</f>
        <v>-7.7865118354023058E-2</v>
      </c>
      <c r="AK8" s="1">
        <f>[1]Results!AN1368</f>
        <v>-7.8230365512664907E-2</v>
      </c>
      <c r="AL8" s="1">
        <f>[1]Results!AO1368</f>
        <v>-7.8628683168370975E-2</v>
      </c>
      <c r="AM8" s="1">
        <f>[1]Results!AP1368</f>
        <v>-7.8910288748493193E-2</v>
      </c>
      <c r="AN8" s="1">
        <f>[1]Results!AQ1368</f>
        <v>-7.9077276426024121E-2</v>
      </c>
      <c r="AO8" s="1">
        <f>[1]Results!AR1368</f>
        <v>-7.918743239837224E-2</v>
      </c>
      <c r="AP8" s="1">
        <f>[1]Results!AS1368</f>
        <v>-7.9290576730344425E-2</v>
      </c>
      <c r="AQ8" s="1">
        <f>[1]Results!AT1368</f>
        <v>-7.9422400278582495E-2</v>
      </c>
      <c r="AR8" s="1">
        <f>[1]Results!AU1368</f>
        <v>-7.95839840268346E-2</v>
      </c>
      <c r="AS8" s="1">
        <f>[1]Results!AV1368</f>
        <v>-7.9793505204475576E-2</v>
      </c>
      <c r="AT8" s="1">
        <f>[1]Results!AW1368</f>
        <v>-8.0065446374465984E-2</v>
      </c>
      <c r="AU8" s="1">
        <f>[1]Results!AX1368</f>
        <v>-8.0408277195355898E-2</v>
      </c>
      <c r="AV8" s="1">
        <f>[1]Results!AY1368</f>
        <v>-8.0826329026103275E-2</v>
      </c>
      <c r="AW8" s="1">
        <f>[1]Results!AZ1368</f>
        <v>-8.125344746675052E-2</v>
      </c>
      <c r="AX8" s="1">
        <f>[1]Results!BA1368</f>
        <v>-8.1706358965799614E-2</v>
      </c>
      <c r="AY8" s="1">
        <f>[1]Results!BB1368</f>
        <v>-8.2208532120714287E-2</v>
      </c>
      <c r="AZ8" s="1">
        <f>[1]Results!BC1368</f>
        <v>-8.2776985337513431E-2</v>
      </c>
      <c r="BA8" s="1">
        <f>[1]Results!BD1368</f>
        <v>-8.3422810536920161E-2</v>
      </c>
      <c r="BB8" s="1">
        <f>[1]Results!BE1368</f>
        <v>6.2562576488679683E-3</v>
      </c>
      <c r="BC8" s="1">
        <f>[1]Results!BF1368</f>
        <v>6.4977563843595931E-3</v>
      </c>
      <c r="BD8" s="1">
        <f>[1]Results!BG1368</f>
        <v>6.7405093711651069E-3</v>
      </c>
      <c r="BE8" s="1">
        <f>[1]Results!BH1368</f>
        <v>6.9831096687923509E-3</v>
      </c>
      <c r="BF8" s="1">
        <f>[1]Results!BI1368</f>
        <v>7.2267607524996134E-3</v>
      </c>
    </row>
    <row r="9" spans="1:58" x14ac:dyDescent="0.35">
      <c r="A9" s="3" t="str">
        <f>[1]Results!E1369</f>
        <v>100*((G_2-G_0)/GDP_0)</v>
      </c>
      <c r="B9" t="str">
        <f>[1]Results!C1369</f>
        <v>Dépenses publiques</v>
      </c>
      <c r="C9" s="1">
        <f>[1]Results!F1369</f>
        <v>0</v>
      </c>
      <c r="D9" s="1">
        <f>[1]Results!G1369</f>
        <v>0</v>
      </c>
      <c r="E9" s="1">
        <f>[1]Results!H1369</f>
        <v>0</v>
      </c>
      <c r="F9" s="1">
        <f>[1]Results!I1369</f>
        <v>0</v>
      </c>
      <c r="G9" s="1">
        <f>[1]Results!J1369</f>
        <v>0</v>
      </c>
      <c r="H9" s="1">
        <f>[1]Results!K1369</f>
        <v>0</v>
      </c>
      <c r="I9" s="1">
        <f>[1]Results!L1369</f>
        <v>0</v>
      </c>
      <c r="J9" s="1">
        <f>[1]Results!M1369</f>
        <v>0</v>
      </c>
      <c r="K9" s="1">
        <f>[1]Results!N1369</f>
        <v>0</v>
      </c>
      <c r="L9" s="1">
        <f>[1]Results!O1369</f>
        <v>0</v>
      </c>
      <c r="M9" s="1">
        <f>[1]Results!P1369</f>
        <v>0</v>
      </c>
      <c r="N9" s="1">
        <f>[1]Results!Q1369</f>
        <v>0</v>
      </c>
      <c r="O9" s="1">
        <f>[1]Results!R1369</f>
        <v>0</v>
      </c>
      <c r="P9" s="1">
        <f>[1]Results!S1369</f>
        <v>0</v>
      </c>
      <c r="Q9" s="1">
        <f>[1]Results!T1369</f>
        <v>0</v>
      </c>
      <c r="R9" s="1">
        <f>[1]Results!U1369</f>
        <v>0</v>
      </c>
      <c r="S9" s="1">
        <f>[1]Results!V1369</f>
        <v>0</v>
      </c>
      <c r="T9" s="1">
        <f>[1]Results!W1369</f>
        <v>0</v>
      </c>
      <c r="U9" s="1">
        <f>[1]Results!X1369</f>
        <v>0</v>
      </c>
      <c r="V9" s="1">
        <f>[1]Results!Y1369</f>
        <v>0</v>
      </c>
      <c r="W9" s="1">
        <f>[1]Results!Z1369</f>
        <v>0</v>
      </c>
      <c r="X9" s="1">
        <f>[1]Results!AA1369</f>
        <v>0</v>
      </c>
      <c r="Y9" s="1">
        <f>[1]Results!AB1369</f>
        <v>0</v>
      </c>
      <c r="Z9" s="1">
        <f>[1]Results!AC1369</f>
        <v>0</v>
      </c>
      <c r="AA9" s="1">
        <f>[1]Results!AD1369</f>
        <v>0</v>
      </c>
      <c r="AB9" s="1">
        <f>[1]Results!AE1369</f>
        <v>0</v>
      </c>
      <c r="AC9" s="1">
        <f>[1]Results!AF1369</f>
        <v>0</v>
      </c>
      <c r="AD9" s="1">
        <f>[1]Results!AG1369</f>
        <v>0</v>
      </c>
      <c r="AE9" s="1">
        <f>[1]Results!AH1369</f>
        <v>0</v>
      </c>
      <c r="AF9" s="1">
        <f>[1]Results!AI1369</f>
        <v>0</v>
      </c>
      <c r="AG9" s="1">
        <f>[1]Results!AJ1369</f>
        <v>0</v>
      </c>
      <c r="AH9" s="1">
        <f>[1]Results!AK1369</f>
        <v>0</v>
      </c>
      <c r="AI9" s="1">
        <f>[1]Results!AL1369</f>
        <v>0</v>
      </c>
      <c r="AJ9" s="1">
        <f>[1]Results!AM1369</f>
        <v>0</v>
      </c>
      <c r="AK9" s="1">
        <f>[1]Results!AN1369</f>
        <v>0</v>
      </c>
      <c r="AL9" s="1">
        <f>[1]Results!AO1369</f>
        <v>0</v>
      </c>
      <c r="AM9" s="1">
        <f>[1]Results!AP1369</f>
        <v>0</v>
      </c>
      <c r="AN9" s="1">
        <f>[1]Results!AQ1369</f>
        <v>0</v>
      </c>
      <c r="AO9" s="1">
        <f>[1]Results!AR1369</f>
        <v>0</v>
      </c>
      <c r="AP9" s="1">
        <f>[1]Results!AS1369</f>
        <v>0</v>
      </c>
      <c r="AQ9" s="1">
        <f>[1]Results!AT1369</f>
        <v>0</v>
      </c>
      <c r="AR9" s="1">
        <f>[1]Results!AU1369</f>
        <v>0</v>
      </c>
      <c r="AS9" s="1">
        <f>[1]Results!AV1369</f>
        <v>0</v>
      </c>
      <c r="AT9" s="1">
        <f>[1]Results!AW1369</f>
        <v>0</v>
      </c>
      <c r="AU9" s="1">
        <f>[1]Results!AX1369</f>
        <v>0</v>
      </c>
      <c r="AV9" s="1">
        <f>[1]Results!AY1369</f>
        <v>0</v>
      </c>
      <c r="AW9" s="1">
        <f>[1]Results!AZ1369</f>
        <v>0</v>
      </c>
      <c r="AX9" s="1">
        <f>[1]Results!BA1369</f>
        <v>0</v>
      </c>
      <c r="AY9" s="1">
        <f>[1]Results!BB1369</f>
        <v>0</v>
      </c>
      <c r="AZ9" s="1">
        <f>[1]Results!BC1369</f>
        <v>0</v>
      </c>
      <c r="BA9" s="1">
        <f>[1]Results!BD1369</f>
        <v>0</v>
      </c>
      <c r="BB9" s="1">
        <f>[1]Results!BE1369</f>
        <v>0</v>
      </c>
      <c r="BC9" s="1">
        <f>[1]Results!BF1369</f>
        <v>0</v>
      </c>
      <c r="BD9" s="1">
        <f>[1]Results!BG1369</f>
        <v>0</v>
      </c>
      <c r="BE9" s="1">
        <f>[1]Results!BH1369</f>
        <v>0</v>
      </c>
      <c r="BF9" s="1">
        <f>[1]Results!BI1369</f>
        <v>0</v>
      </c>
    </row>
    <row r="10" spans="1:58" x14ac:dyDescent="0.35">
      <c r="A10" s="3" t="str">
        <f>[1]Results!E1370</f>
        <v>100*((I_2-I_0)/GDP_0)</v>
      </c>
      <c r="B10" t="s">
        <v>21</v>
      </c>
      <c r="C10" s="1">
        <f>[1]Results!F1370</f>
        <v>-0.2558380047218608</v>
      </c>
      <c r="D10" s="1">
        <f>[1]Results!G1370</f>
        <v>-0.41970444276942509</v>
      </c>
      <c r="E10" s="1">
        <f>[1]Results!H1370</f>
        <v>-0.53420320643368047</v>
      </c>
      <c r="F10" s="1">
        <f>[1]Results!I1370</f>
        <v>-0.62556599333226726</v>
      </c>
      <c r="G10" s="1">
        <f>[1]Results!J1370</f>
        <v>-0.70551465609726671</v>
      </c>
      <c r="H10" s="1">
        <f>[1]Results!K1370</f>
        <v>-0.77906475061173897</v>
      </c>
      <c r="I10" s="1">
        <f>[1]Results!L1370</f>
        <v>-0.84886809013980247</v>
      </c>
      <c r="J10" s="1">
        <f>[1]Results!M1370</f>
        <v>-0.9155071035153215</v>
      </c>
      <c r="K10" s="1">
        <f>[1]Results!N1370</f>
        <v>-0.97949824431553034</v>
      </c>
      <c r="L10" s="1">
        <f>[1]Results!O1370</f>
        <v>-1.0412621969645561</v>
      </c>
      <c r="M10" s="1">
        <f>[1]Results!P1370</f>
        <v>-1.1006476046227964</v>
      </c>
      <c r="N10" s="1">
        <f>[1]Results!Q1370</f>
        <v>-1.1601132509454897</v>
      </c>
      <c r="O10" s="1">
        <f>[1]Results!R1370</f>
        <v>-1.218724444445467</v>
      </c>
      <c r="P10" s="1">
        <f>[1]Results!S1370</f>
        <v>-1.2763884444191003</v>
      </c>
      <c r="Q10" s="1">
        <f>[1]Results!T1370</f>
        <v>-1.3330199854238014</v>
      </c>
      <c r="R10" s="1">
        <f>[1]Results!U1370</f>
        <v>-1.3885173450861068</v>
      </c>
      <c r="S10" s="1">
        <f>[1]Results!V1370</f>
        <v>-1.4436109246650481</v>
      </c>
      <c r="T10" s="1">
        <f>[1]Results!W1370</f>
        <v>-1.4977825395587903</v>
      </c>
      <c r="U10" s="1">
        <f>[1]Results!X1370</f>
        <v>-1.5507063203936293</v>
      </c>
      <c r="V10" s="1">
        <f>[1]Results!Y1370</f>
        <v>-1.6021817466983792</v>
      </c>
      <c r="W10" s="1">
        <f>[1]Results!Z1370</f>
        <v>-1.6526032669988917</v>
      </c>
      <c r="X10" s="1">
        <f>[1]Results!AA1370</f>
        <v>-1.7006375633878474</v>
      </c>
      <c r="Y10" s="1">
        <f>[1]Results!AB1370</f>
        <v>-1.7469306001913636</v>
      </c>
      <c r="Z10" s="1">
        <f>[1]Results!AC1370</f>
        <v>-1.791407020283484</v>
      </c>
      <c r="AA10" s="1">
        <f>[1]Results!AD1370</f>
        <v>-1.834023797274196</v>
      </c>
      <c r="AB10" s="1">
        <f>[1]Results!AE1370</f>
        <v>-1.8763579845648799</v>
      </c>
      <c r="AC10" s="1">
        <f>[1]Results!AF1370</f>
        <v>-1.9151212732914424</v>
      </c>
      <c r="AD10" s="1">
        <f>[1]Results!AG1370</f>
        <v>-1.9516358670520144</v>
      </c>
      <c r="AE10" s="1">
        <f>[1]Results!AH1370</f>
        <v>-1.9859219816686171</v>
      </c>
      <c r="AF10" s="1">
        <f>[1]Results!AI1370</f>
        <v>-2.0179969382107861</v>
      </c>
      <c r="AG10" s="1">
        <f>[1]Results!AJ1370</f>
        <v>-2.0478781176131551</v>
      </c>
      <c r="AH10" s="1">
        <f>[1]Results!AK1370</f>
        <v>-2.0754315886809769</v>
      </c>
      <c r="AI10" s="1">
        <f>[1]Results!AL1370</f>
        <v>-2.1007515224777076</v>
      </c>
      <c r="AJ10" s="1">
        <f>[1]Results!AM1370</f>
        <v>-2.1239058438571918</v>
      </c>
      <c r="AK10" s="1">
        <f>[1]Results!AN1370</f>
        <v>-2.1449495230788682</v>
      </c>
      <c r="AL10" s="1">
        <f>[1]Results!AO1370</f>
        <v>-2.1639358479945399</v>
      </c>
      <c r="AM10" s="1">
        <f>[1]Results!AP1370</f>
        <v>-2.1800345951435536</v>
      </c>
      <c r="AN10" s="1">
        <f>[1]Results!AQ1370</f>
        <v>-2.1933710428537014</v>
      </c>
      <c r="AO10" s="1">
        <f>[1]Results!AR1370</f>
        <v>-2.2043393108176299</v>
      </c>
      <c r="AP10" s="1">
        <f>[1]Results!AS1370</f>
        <v>-2.2131596091601873</v>
      </c>
      <c r="AQ10" s="1">
        <f>[1]Results!AT1370</f>
        <v>-2.219987578617876</v>
      </c>
      <c r="AR10" s="1">
        <f>[1]Results!AU1370</f>
        <v>-2.2247677713063556</v>
      </c>
      <c r="AS10" s="1">
        <f>[1]Results!AV1370</f>
        <v>-2.2277161162246784</v>
      </c>
      <c r="AT10" s="1">
        <f>[1]Results!AW1370</f>
        <v>-2.2290099158585859</v>
      </c>
      <c r="AU10" s="1">
        <f>[1]Results!AX1370</f>
        <v>-2.2288028293882203</v>
      </c>
      <c r="AV10" s="1">
        <f>[1]Results!AY1370</f>
        <v>-2.2272375241572275</v>
      </c>
      <c r="AW10" s="1">
        <f>[1]Results!AZ1370</f>
        <v>-2.2238139102750165</v>
      </c>
      <c r="AX10" s="1">
        <f>[1]Results!BA1370</f>
        <v>-2.2189746126594461</v>
      </c>
      <c r="AY10" s="1">
        <f>[1]Results!BB1370</f>
        <v>-2.2129935690472462</v>
      </c>
      <c r="AZ10" s="1">
        <f>[1]Results!BC1370</f>
        <v>-2.206061088594518</v>
      </c>
      <c r="BA10" s="1">
        <f>[1]Results!BD1370</f>
        <v>-2.1983288102947052</v>
      </c>
      <c r="BB10" s="1">
        <f>[1]Results!BE1370</f>
        <v>-4.521236430945175E-3</v>
      </c>
      <c r="BC10" s="1">
        <f>[1]Results!BF1370</f>
        <v>7.2949558812879342E-4</v>
      </c>
      <c r="BD10" s="1">
        <f>[1]Results!BG1370</f>
        <v>6.3874356486643144E-3</v>
      </c>
      <c r="BE10" s="1">
        <f>[1]Results!BH1370</f>
        <v>1.2419202628000638E-2</v>
      </c>
      <c r="BF10" s="1">
        <f>[1]Results!BI1370</f>
        <v>1.8789179124359609E-2</v>
      </c>
    </row>
    <row r="11" spans="1:58" x14ac:dyDescent="0.35">
      <c r="A11" s="3" t="str">
        <f>[1]Results!E1371</f>
        <v>100*((DS_2-DS_0)/GDP_0)</v>
      </c>
      <c r="B11" t="str">
        <f>[1]Results!C1371</f>
        <v>Variations de stocks</v>
      </c>
      <c r="C11" s="1">
        <f>[1]Results!F1371</f>
        <v>0</v>
      </c>
      <c r="D11" s="1">
        <f>[1]Results!G1371</f>
        <v>0</v>
      </c>
      <c r="E11" s="1">
        <f>[1]Results!H1371</f>
        <v>0</v>
      </c>
      <c r="F11" s="1">
        <f>[1]Results!I1371</f>
        <v>0</v>
      </c>
      <c r="G11" s="1">
        <f>[1]Results!J1371</f>
        <v>0</v>
      </c>
      <c r="H11" s="1">
        <f>[1]Results!K1371</f>
        <v>0</v>
      </c>
      <c r="I11" s="1">
        <f>[1]Results!L1371</f>
        <v>0</v>
      </c>
      <c r="J11" s="1">
        <f>[1]Results!M1371</f>
        <v>0</v>
      </c>
      <c r="K11" s="1">
        <f>[1]Results!N1371</f>
        <v>0</v>
      </c>
      <c r="L11" s="1">
        <f>[1]Results!O1371</f>
        <v>0</v>
      </c>
      <c r="M11" s="1">
        <f>[1]Results!P1371</f>
        <v>0</v>
      </c>
      <c r="N11" s="1">
        <f>[1]Results!Q1371</f>
        <v>0</v>
      </c>
      <c r="O11" s="1">
        <f>[1]Results!R1371</f>
        <v>0</v>
      </c>
      <c r="P11" s="1">
        <f>[1]Results!S1371</f>
        <v>0</v>
      </c>
      <c r="Q11" s="1">
        <f>[1]Results!T1371</f>
        <v>0</v>
      </c>
      <c r="R11" s="1">
        <f>[1]Results!U1371</f>
        <v>0</v>
      </c>
      <c r="S11" s="1">
        <f>[1]Results!V1371</f>
        <v>0</v>
      </c>
      <c r="T11" s="1">
        <f>[1]Results!W1371</f>
        <v>0</v>
      </c>
      <c r="U11" s="1">
        <f>[1]Results!X1371</f>
        <v>0</v>
      </c>
      <c r="V11" s="1">
        <f>[1]Results!Y1371</f>
        <v>0</v>
      </c>
      <c r="W11" s="1">
        <f>[1]Results!Z1371</f>
        <v>0</v>
      </c>
      <c r="X11" s="1">
        <f>[1]Results!AA1371</f>
        <v>0</v>
      </c>
      <c r="Y11" s="1">
        <f>[1]Results!AB1371</f>
        <v>0</v>
      </c>
      <c r="Z11" s="1">
        <f>[1]Results!AC1371</f>
        <v>0</v>
      </c>
      <c r="AA11" s="1">
        <f>[1]Results!AD1371</f>
        <v>0</v>
      </c>
      <c r="AB11" s="1">
        <f>[1]Results!AE1371</f>
        <v>0</v>
      </c>
      <c r="AC11" s="1">
        <f>[1]Results!AF1371</f>
        <v>0</v>
      </c>
      <c r="AD11" s="1">
        <f>[1]Results!AG1371</f>
        <v>0</v>
      </c>
      <c r="AE11" s="1">
        <f>[1]Results!AH1371</f>
        <v>0</v>
      </c>
      <c r="AF11" s="1">
        <f>[1]Results!AI1371</f>
        <v>0</v>
      </c>
      <c r="AG11" s="1">
        <f>[1]Results!AJ1371</f>
        <v>0</v>
      </c>
      <c r="AH11" s="1">
        <f>[1]Results!AK1371</f>
        <v>0</v>
      </c>
      <c r="AI11" s="1">
        <f>[1]Results!AL1371</f>
        <v>0</v>
      </c>
      <c r="AJ11" s="1">
        <f>[1]Results!AM1371</f>
        <v>0</v>
      </c>
      <c r="AK11" s="1">
        <f>[1]Results!AN1371</f>
        <v>0</v>
      </c>
      <c r="AL11" s="1">
        <f>[1]Results!AO1371</f>
        <v>0</v>
      </c>
      <c r="AM11" s="1">
        <f>[1]Results!AP1371</f>
        <v>0</v>
      </c>
      <c r="AN11" s="1">
        <f>[1]Results!AQ1371</f>
        <v>0</v>
      </c>
      <c r="AO11" s="1">
        <f>[1]Results!AR1371</f>
        <v>0</v>
      </c>
      <c r="AP11" s="1">
        <f>[1]Results!AS1371</f>
        <v>0</v>
      </c>
      <c r="AQ11" s="1">
        <f>[1]Results!AT1371</f>
        <v>0</v>
      </c>
      <c r="AR11" s="1">
        <f>[1]Results!AU1371</f>
        <v>0</v>
      </c>
      <c r="AS11" s="1">
        <f>[1]Results!AV1371</f>
        <v>0</v>
      </c>
      <c r="AT11" s="1">
        <f>[1]Results!AW1371</f>
        <v>0</v>
      </c>
      <c r="AU11" s="1">
        <f>[1]Results!AX1371</f>
        <v>0</v>
      </c>
      <c r="AV11" s="1">
        <f>[1]Results!AY1371</f>
        <v>0</v>
      </c>
      <c r="AW11" s="1">
        <f>[1]Results!AZ1371</f>
        <v>0</v>
      </c>
      <c r="AX11" s="1">
        <f>[1]Results!BA1371</f>
        <v>0</v>
      </c>
      <c r="AY11" s="1">
        <f>[1]Results!BB1371</f>
        <v>0</v>
      </c>
      <c r="AZ11" s="1">
        <f>[1]Results!BC1371</f>
        <v>0</v>
      </c>
      <c r="BA11" s="1">
        <f>[1]Results!BD1371</f>
        <v>0</v>
      </c>
      <c r="BB11" s="1">
        <f>[1]Results!BE1371</f>
        <v>0</v>
      </c>
      <c r="BC11" s="1">
        <f>[1]Results!BF1371</f>
        <v>0</v>
      </c>
      <c r="BD11" s="1">
        <f>[1]Results!BG1371</f>
        <v>0</v>
      </c>
      <c r="BE11" s="1">
        <f>[1]Results!BH1371</f>
        <v>0</v>
      </c>
      <c r="BF11" s="1">
        <f>[1]Results!BI1371</f>
        <v>0</v>
      </c>
    </row>
    <row r="12" spans="1:58" x14ac:dyDescent="0.35">
      <c r="A12" s="3" t="str">
        <f>[1]Results!E1372</f>
        <v>100*((X_2-X_0)/GDP_0)-100*((M_2-M_0)/GDP_0)</v>
      </c>
      <c r="B12" t="s">
        <v>20</v>
      </c>
      <c r="C12" s="1">
        <f>[1]Results!F1372</f>
        <v>-1.1457548344029187</v>
      </c>
      <c r="D12" s="1">
        <f>[1]Results!G1372</f>
        <v>-0.99992165546744849</v>
      </c>
      <c r="E12" s="1">
        <f>[1]Results!H1372</f>
        <v>-0.89559674608585893</v>
      </c>
      <c r="F12" s="1">
        <f>[1]Results!I1372</f>
        <v>-0.80634940105752051</v>
      </c>
      <c r="G12" s="1">
        <f>[1]Results!J1372</f>
        <v>-0.73014939964011916</v>
      </c>
      <c r="H12" s="1">
        <f>[1]Results!K1372</f>
        <v>-0.66674701244023526</v>
      </c>
      <c r="I12" s="1">
        <f>[1]Results!L1372</f>
        <v>-0.61570094430705047</v>
      </c>
      <c r="J12" s="1">
        <f>[1]Results!M1372</f>
        <v>-0.57546279415342383</v>
      </c>
      <c r="K12" s="1">
        <f>[1]Results!N1372</f>
        <v>-0.54473603130539594</v>
      </c>
      <c r="L12" s="1">
        <f>[1]Results!O1372</f>
        <v>-0.52242602469323929</v>
      </c>
      <c r="M12" s="1">
        <f>[1]Results!P1372</f>
        <v>-0.50899315280895863</v>
      </c>
      <c r="N12" s="1">
        <f>[1]Results!Q1372</f>
        <v>-0.50466610980071924</v>
      </c>
      <c r="O12" s="1">
        <f>[1]Results!R1372</f>
        <v>-0.50608477859931789</v>
      </c>
      <c r="P12" s="1">
        <f>[1]Results!S1372</f>
        <v>-0.5130473298928675</v>
      </c>
      <c r="Q12" s="1">
        <f>[1]Results!T1372</f>
        <v>-0.52525349346812611</v>
      </c>
      <c r="R12" s="1">
        <f>[1]Results!U1372</f>
        <v>-0.5423372890551561</v>
      </c>
      <c r="S12" s="1">
        <f>[1]Results!V1372</f>
        <v>-0.56774165311927716</v>
      </c>
      <c r="T12" s="1">
        <f>[1]Results!W1372</f>
        <v>-0.59620366614468168</v>
      </c>
      <c r="U12" s="1">
        <f>[1]Results!X1372</f>
        <v>-0.62744870980441059</v>
      </c>
      <c r="V12" s="1">
        <f>[1]Results!Y1372</f>
        <v>-0.66105425349161706</v>
      </c>
      <c r="W12" s="1">
        <f>[1]Results!Z1372</f>
        <v>-0.69552416944159834</v>
      </c>
      <c r="X12" s="1">
        <f>[1]Results!AA1372</f>
        <v>-0.73300661803980827</v>
      </c>
      <c r="Y12" s="1">
        <f>[1]Results!AB1372</f>
        <v>-0.77143313980900485</v>
      </c>
      <c r="Z12" s="1">
        <f>[1]Results!AC1372</f>
        <v>-0.81048841073524525</v>
      </c>
      <c r="AA12" s="1">
        <f>[1]Results!AD1372</f>
        <v>-0.84985878903985412</v>
      </c>
      <c r="AB12" s="1">
        <f>[1]Results!AE1372</f>
        <v>-0.88616612921830251</v>
      </c>
      <c r="AC12" s="1">
        <f>[1]Results!AF1372</f>
        <v>-0.92422206506591653</v>
      </c>
      <c r="AD12" s="1">
        <f>[1]Results!AG1372</f>
        <v>-0.96273497660919949</v>
      </c>
      <c r="AE12" s="1">
        <f>[1]Results!AH1372</f>
        <v>-1.0014575293599188</v>
      </c>
      <c r="AF12" s="1">
        <f>[1]Results!AI1372</f>
        <v>-1.0401815201708495</v>
      </c>
      <c r="AG12" s="1">
        <f>[1]Results!AJ1372</f>
        <v>-1.0787506943330376</v>
      </c>
      <c r="AH12" s="1">
        <f>[1]Results!AK1372</f>
        <v>-1.1163619287449094</v>
      </c>
      <c r="AI12" s="1">
        <f>[1]Results!AL1372</f>
        <v>-1.1537896725710475</v>
      </c>
      <c r="AJ12" s="1">
        <f>[1]Results!AM1372</f>
        <v>-1.190947084168152</v>
      </c>
      <c r="AK12" s="1">
        <f>[1]Results!AN1372</f>
        <v>-1.2277911930911936</v>
      </c>
      <c r="AL12" s="1">
        <f>[1]Results!AO1372</f>
        <v>-1.2642986988415337</v>
      </c>
      <c r="AM12" s="1">
        <f>[1]Results!AP1372</f>
        <v>-1.294021458412459</v>
      </c>
      <c r="AN12" s="1">
        <f>[1]Results!AQ1372</f>
        <v>-1.3251246094123843</v>
      </c>
      <c r="AO12" s="1">
        <f>[1]Results!AR1372</f>
        <v>-1.3571450629047996</v>
      </c>
      <c r="AP12" s="1">
        <f>[1]Results!AS1372</f>
        <v>-1.3898551503200887</v>
      </c>
      <c r="AQ12" s="1">
        <f>[1]Results!AT1372</f>
        <v>-1.4230746719103946</v>
      </c>
      <c r="AR12" s="1">
        <f>[1]Results!AU1372</f>
        <v>-1.4557872492409443</v>
      </c>
      <c r="AS12" s="1">
        <f>[1]Results!AV1372</f>
        <v>-1.4888904039143291</v>
      </c>
      <c r="AT12" s="1">
        <f>[1]Results!AW1372</f>
        <v>-1.5222111451137321</v>
      </c>
      <c r="AU12" s="1">
        <f>[1]Results!AX1372</f>
        <v>-1.5556195283843546</v>
      </c>
      <c r="AV12" s="1">
        <f>[1]Results!AY1372</f>
        <v>-1.5890030982147407</v>
      </c>
      <c r="AW12" s="1">
        <f>[1]Results!AZ1372</f>
        <v>-1.6195928551310499</v>
      </c>
      <c r="AX12" s="1">
        <f>[1]Results!BA1372</f>
        <v>-1.6504794742052913</v>
      </c>
      <c r="AY12" s="1">
        <f>[1]Results!BB1372</f>
        <v>-1.6814325599921096</v>
      </c>
      <c r="AZ12" s="1">
        <f>[1]Results!BC1372</f>
        <v>-1.7122966457724971</v>
      </c>
      <c r="BA12" s="1">
        <f>[1]Results!BD1372</f>
        <v>-1.7429433908327581</v>
      </c>
      <c r="BB12" s="1">
        <f>[1]Results!BE1372</f>
        <v>-0.19320109391079338</v>
      </c>
      <c r="BC12" s="1">
        <f>[1]Results!BF1372</f>
        <v>-0.20237502709255517</v>
      </c>
      <c r="BD12" s="1">
        <f>[1]Results!BG1372</f>
        <v>-0.21158891458899307</v>
      </c>
      <c r="BE12" s="1">
        <f>[1]Results!BH1372</f>
        <v>-0.22082829874555396</v>
      </c>
      <c r="BF12" s="1">
        <f>[1]Results!BI1372</f>
        <v>-0.23008438738529277</v>
      </c>
    </row>
    <row r="13" spans="1:58" x14ac:dyDescent="0.35">
      <c r="A13" s="3" t="str">
        <f>[1]Results!E1373</f>
        <v>100*((CH_2-CH_ccon_2-(CH_0-CH_ccon_0))/GDP_0)</v>
      </c>
      <c r="B13" t="str">
        <f>[1]Results!C1373</f>
        <v>Consommation des ménages</v>
      </c>
      <c r="C13" s="1">
        <f>[1]Results!F1373</f>
        <v>-0.30425725013776167</v>
      </c>
      <c r="D13" s="1">
        <f>[1]Results!G1373</f>
        <v>-0.66911311067858747</v>
      </c>
      <c r="E13" s="1">
        <f>[1]Results!H1373</f>
        <v>-1.0103884672185544</v>
      </c>
      <c r="F13" s="1">
        <f>[1]Results!I1373</f>
        <v>-1.3036758765055072</v>
      </c>
      <c r="G13" s="1">
        <f>[1]Results!J1373</f>
        <v>-1.5444137729635086</v>
      </c>
      <c r="H13" s="1">
        <f>[1]Results!K1373</f>
        <v>-1.7358202245685412</v>
      </c>
      <c r="I13" s="1">
        <f>[1]Results!L1373</f>
        <v>-1.885257489873678</v>
      </c>
      <c r="J13" s="1">
        <f>[1]Results!M1373</f>
        <v>-1.9992098926594755</v>
      </c>
      <c r="K13" s="1">
        <f>[1]Results!N1373</f>
        <v>-2.0848411616121658</v>
      </c>
      <c r="L13" s="1">
        <f>[1]Results!O1373</f>
        <v>-2.1485510984370801</v>
      </c>
      <c r="M13" s="1">
        <f>[1]Results!P1373</f>
        <v>-2.1943996818067615</v>
      </c>
      <c r="N13" s="1">
        <f>[1]Results!Q1373</f>
        <v>-2.2304809976370414</v>
      </c>
      <c r="O13" s="1">
        <f>[1]Results!R1373</f>
        <v>-2.257976881043207</v>
      </c>
      <c r="P13" s="1">
        <f>[1]Results!S1373</f>
        <v>-2.2787156587299759</v>
      </c>
      <c r="Q13" s="1">
        <f>[1]Results!T1373</f>
        <v>-2.2939972749351387</v>
      </c>
      <c r="R13" s="1">
        <f>[1]Results!U1373</f>
        <v>-2.3048269523396239</v>
      </c>
      <c r="S13" s="1">
        <f>[1]Results!V1373</f>
        <v>-2.3130140191720758</v>
      </c>
      <c r="T13" s="1">
        <f>[1]Results!W1373</f>
        <v>-2.3194480262066679</v>
      </c>
      <c r="U13" s="1">
        <f>[1]Results!X1373</f>
        <v>-2.3247062854174159</v>
      </c>
      <c r="V13" s="1">
        <f>[1]Results!Y1373</f>
        <v>-2.3292654319428814</v>
      </c>
      <c r="W13" s="1">
        <f>[1]Results!Z1373</f>
        <v>-2.3343777164090231</v>
      </c>
      <c r="X13" s="1">
        <f>[1]Results!AA1373</f>
        <v>-2.3383541127188576</v>
      </c>
      <c r="Y13" s="1">
        <f>[1]Results!AB1373</f>
        <v>-2.3427867099667861</v>
      </c>
      <c r="Z13" s="1">
        <f>[1]Results!AC1373</f>
        <v>-2.3480502980277049</v>
      </c>
      <c r="AA13" s="1">
        <f>[1]Results!AD1373</f>
        <v>-2.3544023742834899</v>
      </c>
      <c r="AB13" s="1">
        <f>[1]Results!AE1373</f>
        <v>-2.3641695174867969</v>
      </c>
      <c r="AC13" s="1">
        <f>[1]Results!AF1373</f>
        <v>-2.3724795679642012</v>
      </c>
      <c r="AD13" s="1">
        <f>[1]Results!AG1373</f>
        <v>-2.3810854586383923</v>
      </c>
      <c r="AE13" s="1">
        <f>[1]Results!AH1373</f>
        <v>-2.3902329909630957</v>
      </c>
      <c r="AF13" s="1">
        <f>[1]Results!AI1373</f>
        <v>-2.4001084871117002</v>
      </c>
      <c r="AG13" s="1">
        <f>[1]Results!AJ1373</f>
        <v>-2.4108117222617018</v>
      </c>
      <c r="AH13" s="1">
        <f>[1]Results!AK1373</f>
        <v>-2.4221962088574198</v>
      </c>
      <c r="AI13" s="1">
        <f>[1]Results!AL1373</f>
        <v>-2.4342204548815727</v>
      </c>
      <c r="AJ13" s="1">
        <f>[1]Results!AM1373</f>
        <v>-2.4468613333841804</v>
      </c>
      <c r="AK13" s="1">
        <f>[1]Results!AN1373</f>
        <v>-2.4600908076027479</v>
      </c>
      <c r="AL13" s="1">
        <f>[1]Results!AO1373</f>
        <v>-2.4738738276030983</v>
      </c>
      <c r="AM13" s="1">
        <f>[1]Results!AP1373</f>
        <v>-2.4871728357437015</v>
      </c>
      <c r="AN13" s="1">
        <f>[1]Results!AQ1373</f>
        <v>-2.4990102147468454</v>
      </c>
      <c r="AO13" s="1">
        <f>[1]Results!AR1373</f>
        <v>-2.5095693367972962</v>
      </c>
      <c r="AP13" s="1">
        <f>[1]Results!AS1373</f>
        <v>-2.5192035210509016</v>
      </c>
      <c r="AQ13" s="1">
        <f>[1]Results!AT1373</f>
        <v>-2.5282976428580843</v>
      </c>
      <c r="AR13" s="1">
        <f>[1]Results!AU1373</f>
        <v>-2.536992362779928</v>
      </c>
      <c r="AS13" s="1">
        <f>[1]Results!AV1373</f>
        <v>-2.5455596662659583</v>
      </c>
      <c r="AT13" s="1">
        <f>[1]Results!AW1373</f>
        <v>-2.5542691422137063</v>
      </c>
      <c r="AU13" s="1">
        <f>[1]Results!AX1373</f>
        <v>-2.5633467959071572</v>
      </c>
      <c r="AV13" s="1">
        <f>[1]Results!AY1373</f>
        <v>-2.5729696751301363</v>
      </c>
      <c r="AW13" s="1">
        <f>[1]Results!AZ1373</f>
        <v>-2.5825584782509763</v>
      </c>
      <c r="AX13" s="1">
        <f>[1]Results!BA1373</f>
        <v>-2.5921846795048222</v>
      </c>
      <c r="AY13" s="1">
        <f>[1]Results!BB1373</f>
        <v>-2.6020213794292739</v>
      </c>
      <c r="AZ13" s="1">
        <f>[1]Results!BC1373</f>
        <v>-2.6122591111722726</v>
      </c>
      <c r="BA13" s="1">
        <f>[1]Results!BD1373</f>
        <v>-2.6230628700455294</v>
      </c>
      <c r="BB13" s="1">
        <f>[1]Results!BE1373</f>
        <v>2.6026198978007193E-2</v>
      </c>
      <c r="BC13" s="1">
        <f>[1]Results!BF1373</f>
        <v>2.8054577078108104E-2</v>
      </c>
      <c r="BD13" s="1">
        <f>[1]Results!BG1373</f>
        <v>2.9998808361020476E-2</v>
      </c>
      <c r="BE13" s="1">
        <f>[1]Results!BH1373</f>
        <v>3.1809355117782684E-2</v>
      </c>
      <c r="BF13" s="1">
        <f>[1]Results!BI1373</f>
        <v>3.3456583928692905E-2</v>
      </c>
    </row>
    <row r="14" spans="1:58" x14ac:dyDescent="0.35">
      <c r="A14" s="3" t="str">
        <f>[1]Results!E1374</f>
        <v>100*((I_2+CH_ccon_2-(I_0+CH_ccon_0))/GDP_0)</v>
      </c>
      <c r="B14" t="s">
        <v>21</v>
      </c>
      <c r="C14" s="1">
        <f>[1]Results!F1374</f>
        <v>-0.26057198457278824</v>
      </c>
      <c r="D14" s="1">
        <f>[1]Results!G1374</f>
        <v>-0.42902196572603335</v>
      </c>
      <c r="E14" s="1">
        <f>[1]Results!H1374</f>
        <v>-0.54726938777518697</v>
      </c>
      <c r="F14" s="1">
        <f>[1]Results!I1374</f>
        <v>-0.64176844222255491</v>
      </c>
      <c r="G14" s="1">
        <f>[1]Results!J1374</f>
        <v>-0.72446888432972856</v>
      </c>
      <c r="H14" s="1">
        <f>[1]Results!K1374</f>
        <v>-0.80046084114703842</v>
      </c>
      <c r="I14" s="1">
        <f>[1]Results!L1374</f>
        <v>-0.87243461301360314</v>
      </c>
      <c r="J14" s="1">
        <f>[1]Results!M1374</f>
        <v>-0.94094976546746123</v>
      </c>
      <c r="K14" s="1">
        <f>[1]Results!N1374</f>
        <v>-1.0065246911381536</v>
      </c>
      <c r="L14" s="1">
        <f>[1]Results!O1374</f>
        <v>-1.0696020317502277</v>
      </c>
      <c r="M14" s="1">
        <f>[1]Results!P1374</f>
        <v>-1.13004662975921</v>
      </c>
      <c r="N14" s="1">
        <f>[1]Results!Q1374</f>
        <v>-1.1904095641307089</v>
      </c>
      <c r="O14" s="1">
        <f>[1]Results!R1374</f>
        <v>-1.2497624044528286</v>
      </c>
      <c r="P14" s="1">
        <f>[1]Results!S1374</f>
        <v>-1.3080345267815283</v>
      </c>
      <c r="Q14" s="1">
        <f>[1]Results!T1374</f>
        <v>-1.3651601269309102</v>
      </c>
      <c r="R14" s="1">
        <f>[1]Results!U1374</f>
        <v>-1.4210551376478042</v>
      </c>
      <c r="S14" s="1">
        <f>[1]Results!V1374</f>
        <v>-1.4764789639020701</v>
      </c>
      <c r="T14" s="1">
        <f>[1]Results!W1374</f>
        <v>-1.5309294393707233</v>
      </c>
      <c r="U14" s="1">
        <f>[1]Results!X1374</f>
        <v>-1.5840933393580614</v>
      </c>
      <c r="V14" s="1">
        <f>[1]Results!Y1374</f>
        <v>-1.6357824004608859</v>
      </c>
      <c r="W14" s="1">
        <f>[1]Results!Z1374</f>
        <v>-1.6864155200852597</v>
      </c>
      <c r="X14" s="1">
        <f>[1]Results!AA1374</f>
        <v>-1.734639721926502</v>
      </c>
      <c r="Y14" s="1">
        <f>[1]Results!AB1374</f>
        <v>-1.7811291041518142</v>
      </c>
      <c r="Z14" s="1">
        <f>[1]Results!AC1374</f>
        <v>-1.8258174914762453</v>
      </c>
      <c r="AA14" s="1">
        <f>[1]Results!AD1374</f>
        <v>-1.8686681442073461</v>
      </c>
      <c r="AB14" s="1">
        <f>[1]Results!AE1374</f>
        <v>-1.9112956245056663</v>
      </c>
      <c r="AC14" s="1">
        <f>[1]Results!AF1374</f>
        <v>-1.9503411055238908</v>
      </c>
      <c r="AD14" s="1">
        <f>[1]Results!AG1374</f>
        <v>-1.9871552573532107</v>
      </c>
      <c r="AE14" s="1">
        <f>[1]Results!AH1374</f>
        <v>-2.0217632429643388</v>
      </c>
      <c r="AF14" s="1">
        <f>[1]Results!AI1374</f>
        <v>-2.0541850075593482</v>
      </c>
      <c r="AG14" s="1">
        <f>[1]Results!AJ1374</f>
        <v>-2.0844381863265684</v>
      </c>
      <c r="AH14" s="1">
        <f>[1]Results!AK1374</f>
        <v>-2.1123851927368995</v>
      </c>
      <c r="AI14" s="1">
        <f>[1]Results!AL1374</f>
        <v>-2.1381179053360064</v>
      </c>
      <c r="AJ14" s="1">
        <f>[1]Results!AM1374</f>
        <v>-2.1617020912954348</v>
      </c>
      <c r="AK14" s="1">
        <f>[1]Results!AN1374</f>
        <v>-2.1831904494957253</v>
      </c>
      <c r="AL14" s="1">
        <f>[1]Results!AO1374</f>
        <v>-2.2026339680616096</v>
      </c>
      <c r="AM14" s="1">
        <f>[1]Results!AP1374</f>
        <v>-2.2191884878944959</v>
      </c>
      <c r="AN14" s="1">
        <f>[1]Results!AQ1374</f>
        <v>-2.2329651968128692</v>
      </c>
      <c r="AO14" s="1">
        <f>[1]Results!AR1374</f>
        <v>-2.244360483580929</v>
      </c>
      <c r="AP14" s="1">
        <f>[1]Results!AS1374</f>
        <v>-2.2535976966405893</v>
      </c>
      <c r="AQ14" s="1">
        <f>[1]Results!AT1374</f>
        <v>-2.2608351478193529</v>
      </c>
      <c r="AR14" s="1">
        <f>[1]Results!AU1374</f>
        <v>-2.2660166446818484</v>
      </c>
      <c r="AS14" s="1">
        <f>[1]Results!AV1374</f>
        <v>-2.2693596444170208</v>
      </c>
      <c r="AT14" s="1">
        <f>[1]Results!AW1374</f>
        <v>-2.2710431903902086</v>
      </c>
      <c r="AU14" s="1">
        <f>[1]Results!AX1374</f>
        <v>-2.2712222543224176</v>
      </c>
      <c r="AV14" s="1">
        <f>[1]Results!AY1374</f>
        <v>-2.2700405252096902</v>
      </c>
      <c r="AW14" s="1">
        <f>[1]Results!AZ1374</f>
        <v>-2.2669897222560782</v>
      </c>
      <c r="AX14" s="1">
        <f>[1]Results!BA1374</f>
        <v>-2.2625152388973282</v>
      </c>
      <c r="AY14" s="1">
        <f>[1]Results!BB1374</f>
        <v>-2.256893925946899</v>
      </c>
      <c r="AZ14" s="1">
        <f>[1]Results!BC1374</f>
        <v>-2.2503155695918098</v>
      </c>
      <c r="BA14" s="1">
        <f>[1]Results!BD1374</f>
        <v>-2.2429310497034174</v>
      </c>
      <c r="BB14" s="1">
        <f>[1]Results!BE1374</f>
        <v>-5.9201745623804168E-3</v>
      </c>
      <c r="BC14" s="1">
        <f>[1]Results!BF1374</f>
        <v>-7.2690977721502409E-4</v>
      </c>
      <c r="BD14" s="1">
        <f>[1]Results!BG1374</f>
        <v>4.8729519274250564E-3</v>
      </c>
      <c r="BE14" s="1">
        <f>[1]Results!BH1374</f>
        <v>1.0844828951787504E-2</v>
      </c>
      <c r="BF14" s="1">
        <f>[1]Results!BI1374</f>
        <v>1.7152317286497642E-2</v>
      </c>
    </row>
    <row r="15" spans="1:58" x14ac:dyDescent="0.35">
      <c r="A15" s="3" t="str">
        <f>[1]Results!E1375</f>
        <v>100*((I_2-IA_spub_2-(I_0-IA_spub_0))/GDP_0)</v>
      </c>
      <c r="B15" t="str">
        <f>[1]Results!C1375</f>
        <v>Investissement entreprises</v>
      </c>
      <c r="C15" s="1">
        <f>[1]Results!F1375</f>
        <v>-0.25269915779363783</v>
      </c>
      <c r="D15" s="1">
        <f>[1]Results!G1375</f>
        <v>-0.41499478525656036</v>
      </c>
      <c r="E15" s="1">
        <f>[1]Results!H1375</f>
        <v>-0.52878179761591293</v>
      </c>
      <c r="F15" s="1">
        <f>[1]Results!I1375</f>
        <v>-0.61962606251836472</v>
      </c>
      <c r="G15" s="1">
        <f>[1]Results!J1375</f>
        <v>-0.69893822064029509</v>
      </c>
      <c r="H15" s="1">
        <f>[1]Results!K1375</f>
        <v>-0.77164505836379549</v>
      </c>
      <c r="I15" s="1">
        <f>[1]Results!L1375</f>
        <v>-0.84039826480017554</v>
      </c>
      <c r="J15" s="1">
        <f>[1]Results!M1375</f>
        <v>-0.90582584436401037</v>
      </c>
      <c r="K15" s="1">
        <f>[1]Results!N1375</f>
        <v>-0.96848390930204387</v>
      </c>
      <c r="L15" s="1">
        <f>[1]Results!O1375</f>
        <v>-1.0288233505779989</v>
      </c>
      <c r="M15" s="1">
        <f>[1]Results!P1375</f>
        <v>-1.0867240113969567</v>
      </c>
      <c r="N15" s="1">
        <f>[1]Results!Q1375</f>
        <v>-1.14463467618738</v>
      </c>
      <c r="O15" s="1">
        <f>[1]Results!R1375</f>
        <v>-1.2016604237184632</v>
      </c>
      <c r="P15" s="1">
        <f>[1]Results!S1375</f>
        <v>-1.257733231380493</v>
      </c>
      <c r="Q15" s="1">
        <f>[1]Results!T1375</f>
        <v>-1.3127886884032951</v>
      </c>
      <c r="R15" s="1">
        <f>[1]Results!U1375</f>
        <v>-1.366743125401195</v>
      </c>
      <c r="S15" s="1">
        <f>[1]Results!V1375</f>
        <v>-1.4203322396924603</v>
      </c>
      <c r="T15" s="1">
        <f>[1]Results!W1375</f>
        <v>-1.4730565506573532</v>
      </c>
      <c r="U15" s="1">
        <f>[1]Results!X1375</f>
        <v>-1.5246026366931396</v>
      </c>
      <c r="V15" s="1">
        <f>[1]Results!Y1375</f>
        <v>-1.5747770763311904</v>
      </c>
      <c r="W15" s="1">
        <f>[1]Results!Z1375</f>
        <v>-1.6239710665028859</v>
      </c>
      <c r="X15" s="1">
        <f>[1]Results!AA1375</f>
        <v>-1.670869540408441</v>
      </c>
      <c r="Y15" s="1">
        <f>[1]Results!AB1375</f>
        <v>-1.7161052065308151</v>
      </c>
      <c r="Z15" s="1">
        <f>[1]Results!AC1375</f>
        <v>-1.7596006799050101</v>
      </c>
      <c r="AA15" s="1">
        <f>[1]Results!AD1375</f>
        <v>-1.8013094788081618</v>
      </c>
      <c r="AB15" s="1">
        <f>[1]Results!AE1375</f>
        <v>-1.8427849898303477</v>
      </c>
      <c r="AC15" s="1">
        <f>[1]Results!AF1375</f>
        <v>-1.8807790662953536</v>
      </c>
      <c r="AD15" s="1">
        <f>[1]Results!AG1375</f>
        <v>-1.916584554523372</v>
      </c>
      <c r="AE15" s="1">
        <f>[1]Results!AH1375</f>
        <v>-1.9502149790466137</v>
      </c>
      <c r="AF15" s="1">
        <f>[1]Results!AI1375</f>
        <v>-1.9816812509260595</v>
      </c>
      <c r="AG15" s="1">
        <f>[1]Results!AJ1375</f>
        <v>-2.0109949364268234</v>
      </c>
      <c r="AH15" s="1">
        <f>[1]Results!AK1375</f>
        <v>-2.0380186803737907</v>
      </c>
      <c r="AI15" s="1">
        <f>[1]Results!AL1375</f>
        <v>-2.0628407623740426</v>
      </c>
      <c r="AJ15" s="1">
        <f>[1]Results!AM1375</f>
        <v>-2.0855241822920862</v>
      </c>
      <c r="AK15" s="1">
        <f>[1]Results!AN1375</f>
        <v>-2.1061197696819414</v>
      </c>
      <c r="AL15" s="1">
        <f>[1]Results!AO1375</f>
        <v>-2.1246771819576842</v>
      </c>
      <c r="AM15" s="1">
        <f>[1]Results!AP1375</f>
        <v>-2.1403734221408279</v>
      </c>
      <c r="AN15" s="1">
        <f>[1]Results!AQ1375</f>
        <v>-2.1533291325095782</v>
      </c>
      <c r="AO15" s="1">
        <f>[1]Results!AR1375</f>
        <v>-2.1639302284097033</v>
      </c>
      <c r="AP15" s="1">
        <f>[1]Results!AS1375</f>
        <v>-2.1723932805482988</v>
      </c>
      <c r="AQ15" s="1">
        <f>[1]Results!AT1375</f>
        <v>-2.1788721566869618</v>
      </c>
      <c r="AR15" s="1">
        <f>[1]Results!AU1375</f>
        <v>-2.183312557767449</v>
      </c>
      <c r="AS15" s="1">
        <f>[1]Results!AV1375</f>
        <v>-2.1859282468071983</v>
      </c>
      <c r="AT15" s="1">
        <f>[1]Results!AW1375</f>
        <v>-2.1868952778207302</v>
      </c>
      <c r="AU15" s="1">
        <f>[1]Results!AX1375</f>
        <v>-2.1863667963508369</v>
      </c>
      <c r="AV15" s="1">
        <f>[1]Results!AY1375</f>
        <v>-2.1844853217602744</v>
      </c>
      <c r="AW15" s="1">
        <f>[1]Results!AZ1375</f>
        <v>-2.1807581833610925</v>
      </c>
      <c r="AX15" s="1">
        <f>[1]Results!BA1375</f>
        <v>-2.1756228798007178</v>
      </c>
      <c r="AY15" s="1">
        <f>[1]Results!BB1375</f>
        <v>-2.1693513099830679</v>
      </c>
      <c r="AZ15" s="1">
        <f>[1]Results!BC1375</f>
        <v>-2.1621338593258437</v>
      </c>
      <c r="BA15" s="1">
        <f>[1]Results!BD1375</f>
        <v>-2.1541229342899171</v>
      </c>
      <c r="BB15" s="1">
        <f>[1]Results!BE1375</f>
        <v>-3.6374125724455979E-3</v>
      </c>
      <c r="BC15" s="1">
        <f>[1]Results!BF1375</f>
        <v>1.4909450650637188E-3</v>
      </c>
      <c r="BD15" s="1">
        <f>[1]Results!BG1375</f>
        <v>7.0179858722023399E-3</v>
      </c>
      <c r="BE15" s="1">
        <f>[1]Results!BH1375</f>
        <v>1.2911954943280624E-2</v>
      </c>
      <c r="BF15" s="1">
        <f>[1]Results!BI1375</f>
        <v>1.9138570094063296E-2</v>
      </c>
    </row>
    <row r="16" spans="1:58" x14ac:dyDescent="0.35">
      <c r="A16" s="3" t="str">
        <f>[1]Results!E1376</f>
        <v>100*((CH_ccon_2-CH_ccon_0)/GDP_0)</v>
      </c>
      <c r="B16" t="str">
        <f>[1]Results!C1376</f>
        <v>Investissement ménages</v>
      </c>
      <c r="C16" s="1">
        <f>[1]Results!F1376</f>
        <v>-4.733979850927765E-3</v>
      </c>
      <c r="D16" s="1">
        <f>[1]Results!G1376</f>
        <v>-9.3175229566088147E-3</v>
      </c>
      <c r="E16" s="1">
        <f>[1]Results!H1376</f>
        <v>-1.3066181341508012E-2</v>
      </c>
      <c r="F16" s="1">
        <f>[1]Results!I1376</f>
        <v>-1.6202448890286551E-2</v>
      </c>
      <c r="G16" s="1">
        <f>[1]Results!J1376</f>
        <v>-1.8954228232463139E-2</v>
      </c>
      <c r="H16" s="1">
        <f>[1]Results!K1376</f>
        <v>-2.1396090535299884E-2</v>
      </c>
      <c r="I16" s="1">
        <f>[1]Results!L1376</f>
        <v>-2.3566522873799831E-2</v>
      </c>
      <c r="J16" s="1">
        <f>[1]Results!M1376</f>
        <v>-2.5442661952140882E-2</v>
      </c>
      <c r="K16" s="1">
        <f>[1]Results!N1376</f>
        <v>-2.7026446822618708E-2</v>
      </c>
      <c r="L16" s="1">
        <f>[1]Results!O1376</f>
        <v>-2.833983478567146E-2</v>
      </c>
      <c r="M16" s="1">
        <f>[1]Results!P1376</f>
        <v>-2.9399025136415395E-2</v>
      </c>
      <c r="N16" s="1">
        <f>[1]Results!Q1376</f>
        <v>-3.0296313185221802E-2</v>
      </c>
      <c r="O16" s="1">
        <f>[1]Results!R1376</f>
        <v>-3.1037960007362166E-2</v>
      </c>
      <c r="P16" s="1">
        <f>[1]Results!S1376</f>
        <v>-3.1646082362425935E-2</v>
      </c>
      <c r="Q16" s="1">
        <f>[1]Results!T1376</f>
        <v>-3.2140141507108491E-2</v>
      </c>
      <c r="R16" s="1">
        <f>[1]Results!U1376</f>
        <v>-3.2537792561696609E-2</v>
      </c>
      <c r="S16" s="1">
        <f>[1]Results!V1376</f>
        <v>-3.286803923702402E-2</v>
      </c>
      <c r="T16" s="1">
        <f>[1]Results!W1376</f>
        <v>-3.3146899811933861E-2</v>
      </c>
      <c r="U16" s="1">
        <f>[1]Results!X1376</f>
        <v>-3.3387018964434224E-2</v>
      </c>
      <c r="V16" s="1">
        <f>[1]Results!Y1376</f>
        <v>-3.3600653762507829E-2</v>
      </c>
      <c r="W16" s="1">
        <f>[1]Results!Z1376</f>
        <v>-3.381225308636758E-2</v>
      </c>
      <c r="X16" s="1">
        <f>[1]Results!AA1376</f>
        <v>-3.4002158538655611E-2</v>
      </c>
      <c r="Y16" s="1">
        <f>[1]Results!AB1376</f>
        <v>-3.4198503960451522E-2</v>
      </c>
      <c r="Z16" s="1">
        <f>[1]Results!AC1376</f>
        <v>-3.4410471192761756E-2</v>
      </c>
      <c r="AA16" s="1">
        <f>[1]Results!AD1376</f>
        <v>-3.4644346933148357E-2</v>
      </c>
      <c r="AB16" s="1">
        <f>[1]Results!AE1376</f>
        <v>-3.4937639940789293E-2</v>
      </c>
      <c r="AC16" s="1">
        <f>[1]Results!AF1376</f>
        <v>-3.5219832232450461E-2</v>
      </c>
      <c r="AD16" s="1">
        <f>[1]Results!AG1376</f>
        <v>-3.5519390301197953E-2</v>
      </c>
      <c r="AE16" s="1">
        <f>[1]Results!AH1376</f>
        <v>-3.5841261295723278E-2</v>
      </c>
      <c r="AF16" s="1">
        <f>[1]Results!AI1376</f>
        <v>-3.618806934856187E-2</v>
      </c>
      <c r="AG16" s="1">
        <f>[1]Results!AJ1376</f>
        <v>-3.6560068713410804E-2</v>
      </c>
      <c r="AH16" s="1">
        <f>[1]Results!AK1376</f>
        <v>-3.6953604055923607E-2</v>
      </c>
      <c r="AI16" s="1">
        <f>[1]Results!AL1376</f>
        <v>-3.7366382858298207E-2</v>
      </c>
      <c r="AJ16" s="1">
        <f>[1]Results!AM1376</f>
        <v>-3.7796247438244682E-2</v>
      </c>
      <c r="AK16" s="1">
        <f>[1]Results!AN1376</f>
        <v>-3.8240926416857307E-2</v>
      </c>
      <c r="AL16" s="1">
        <f>[1]Results!AO1376</f>
        <v>-3.8698120067070692E-2</v>
      </c>
      <c r="AM16" s="1">
        <f>[1]Results!AP1376</f>
        <v>-3.9153892750941478E-2</v>
      </c>
      <c r="AN16" s="1">
        <f>[1]Results!AQ1376</f>
        <v>-3.9594153959165629E-2</v>
      </c>
      <c r="AO16" s="1">
        <f>[1]Results!AR1376</f>
        <v>-4.0021172763297051E-2</v>
      </c>
      <c r="AP16" s="1">
        <f>[1]Results!AS1376</f>
        <v>-4.0438087480403999E-2</v>
      </c>
      <c r="AQ16" s="1">
        <f>[1]Results!AT1376</f>
        <v>-4.0847569201476391E-2</v>
      </c>
      <c r="AR16" s="1">
        <f>[1]Results!AU1376</f>
        <v>-4.1248873375494217E-2</v>
      </c>
      <c r="AS16" s="1">
        <f>[1]Results!AV1376</f>
        <v>-4.1643528192341184E-2</v>
      </c>
      <c r="AT16" s="1">
        <f>[1]Results!AW1376</f>
        <v>-4.2033274531623643E-2</v>
      </c>
      <c r="AU16" s="1">
        <f>[1]Results!AX1376</f>
        <v>-4.2419424934195281E-2</v>
      </c>
      <c r="AV16" s="1">
        <f>[1]Results!AY1376</f>
        <v>-4.2803001052461667E-2</v>
      </c>
      <c r="AW16" s="1">
        <f>[1]Results!AZ1376</f>
        <v>-4.3175811981062413E-2</v>
      </c>
      <c r="AX16" s="1">
        <f>[1]Results!BA1376</f>
        <v>-4.3540626237883136E-2</v>
      </c>
      <c r="AY16" s="1">
        <f>[1]Results!BB1376</f>
        <v>-4.3900356899652514E-2</v>
      </c>
      <c r="AZ16" s="1">
        <f>[1]Results!BC1376</f>
        <v>-4.4254480997291012E-2</v>
      </c>
      <c r="BA16" s="1">
        <f>[1]Results!BD1376</f>
        <v>-4.4602239408712101E-2</v>
      </c>
      <c r="BB16" s="1">
        <f>[1]Results!BE1376</f>
        <v>-1.3989381314381863E-3</v>
      </c>
      <c r="BC16" s="1">
        <f>[1]Results!BF1376</f>
        <v>-1.4564053653442521E-3</v>
      </c>
      <c r="BD16" s="1">
        <f>[1]Results!BG1376</f>
        <v>-1.5144837212395438E-3</v>
      </c>
      <c r="BE16" s="1">
        <f>[1]Results!BH1376</f>
        <v>-1.5743736762150961E-3</v>
      </c>
      <c r="BF16" s="1">
        <f>[1]Results!BI1376</f>
        <v>-1.6368618378615565E-3</v>
      </c>
    </row>
    <row r="17" spans="1:58" x14ac:dyDescent="0.35">
      <c r="A17" s="3" t="str">
        <f>[1]Results!E1377</f>
        <v>100*((IA_spub_2-IA_spub_0)/GDP_0)</v>
      </c>
      <c r="B17" t="str">
        <f>[1]Results!C1377</f>
        <v>Investissement public</v>
      </c>
      <c r="C17" s="1">
        <f>[1]Results!F1377</f>
        <v>-3.1388469282240075E-3</v>
      </c>
      <c r="D17" s="1">
        <f>[1]Results!G1377</f>
        <v>-4.7096575128651357E-3</v>
      </c>
      <c r="E17" s="1">
        <f>[1]Results!H1377</f>
        <v>-5.4214088177665532E-3</v>
      </c>
      <c r="F17" s="1">
        <f>[1]Results!I1377</f>
        <v>-5.9399308139035326E-3</v>
      </c>
      <c r="G17" s="1">
        <f>[1]Results!J1377</f>
        <v>-6.5764354569740596E-3</v>
      </c>
      <c r="H17" s="1">
        <f>[1]Results!K1377</f>
        <v>-7.4196922479429018E-3</v>
      </c>
      <c r="I17" s="1">
        <f>[1]Results!L1377</f>
        <v>-8.4698253396257965E-3</v>
      </c>
      <c r="J17" s="1">
        <f>[1]Results!M1377</f>
        <v>-9.6812591513108365E-3</v>
      </c>
      <c r="K17" s="1">
        <f>[1]Results!N1377</f>
        <v>-1.1014335013486289E-2</v>
      </c>
      <c r="L17" s="1">
        <f>[1]Results!O1377</f>
        <v>-1.2438846386555704E-2</v>
      </c>
      <c r="M17" s="1">
        <f>[1]Results!P1377</f>
        <v>-1.3923593225840178E-2</v>
      </c>
      <c r="N17" s="1">
        <f>[1]Results!Q1377</f>
        <v>-1.5478574758109157E-2</v>
      </c>
      <c r="O17" s="1">
        <f>[1]Results!R1377</f>
        <v>-1.7064020727002523E-2</v>
      </c>
      <c r="P17" s="1">
        <f>[1]Results!S1377</f>
        <v>-1.8655213038604512E-2</v>
      </c>
      <c r="Q17" s="1">
        <f>[1]Results!T1377</f>
        <v>-2.0231297020508021E-2</v>
      </c>
      <c r="R17" s="1">
        <f>[1]Results!U1377</f>
        <v>-2.1774219684909557E-2</v>
      </c>
      <c r="S17" s="1">
        <f>[1]Results!V1377</f>
        <v>-2.3278684972588257E-2</v>
      </c>
      <c r="T17" s="1">
        <f>[1]Results!W1377</f>
        <v>-2.4725988901434234E-2</v>
      </c>
      <c r="U17" s="1">
        <f>[1]Results!X1377</f>
        <v>-2.6103683700490699E-2</v>
      </c>
      <c r="V17" s="1">
        <f>[1]Results!Y1377</f>
        <v>-2.7404670367188206E-2</v>
      </c>
      <c r="W17" s="1">
        <f>[1]Results!Z1377</f>
        <v>-2.863220049600592E-2</v>
      </c>
      <c r="X17" s="1">
        <f>[1]Results!AA1377</f>
        <v>-2.9768022979409291E-2</v>
      </c>
      <c r="Y17" s="1">
        <f>[1]Results!AB1377</f>
        <v>-3.0825393660549018E-2</v>
      </c>
      <c r="Z17" s="1">
        <f>[1]Results!AC1377</f>
        <v>-3.1806340378476565E-2</v>
      </c>
      <c r="AA17" s="1">
        <f>[1]Results!AD1377</f>
        <v>-3.2714318466033065E-2</v>
      </c>
      <c r="AB17" s="1">
        <f>[1]Results!AE1377</f>
        <v>-3.357299473453533E-2</v>
      </c>
      <c r="AC17" s="1">
        <f>[1]Results!AF1377</f>
        <v>-3.4342206996087775E-2</v>
      </c>
      <c r="AD17" s="1">
        <f>[1]Results!AG1377</f>
        <v>-3.5051312528643935E-2</v>
      </c>
      <c r="AE17" s="1">
        <f>[1]Results!AH1377</f>
        <v>-3.5707002622000668E-2</v>
      </c>
      <c r="AF17" s="1">
        <f>[1]Results!AI1377</f>
        <v>-3.6315687284724091E-2</v>
      </c>
      <c r="AG17" s="1">
        <f>[1]Results!AJ1377</f>
        <v>-3.6883181186331201E-2</v>
      </c>
      <c r="AH17" s="1">
        <f>[1]Results!AK1377</f>
        <v>-3.7412908307186535E-2</v>
      </c>
      <c r="AI17" s="1">
        <f>[1]Results!AL1377</f>
        <v>-3.7910760103664565E-2</v>
      </c>
      <c r="AJ17" s="1">
        <f>[1]Results!AM1377</f>
        <v>-3.8381661565103704E-2</v>
      </c>
      <c r="AK17" s="1">
        <f>[1]Results!AN1377</f>
        <v>-3.8829753396926556E-2</v>
      </c>
      <c r="AL17" s="1">
        <f>[1]Results!AO1377</f>
        <v>-3.9258666036853421E-2</v>
      </c>
      <c r="AM17" s="1">
        <f>[1]Results!AP1377</f>
        <v>-3.9661173002724842E-2</v>
      </c>
      <c r="AN17" s="1">
        <f>[1]Results!AQ1377</f>
        <v>-4.004191034412094E-2</v>
      </c>
      <c r="AO17" s="1">
        <f>[1]Results!AR1377</f>
        <v>-4.040908240792708E-2</v>
      </c>
      <c r="AP17" s="1">
        <f>[1]Results!AS1377</f>
        <v>-4.0766328611887573E-2</v>
      </c>
      <c r="AQ17" s="1">
        <f>[1]Results!AT1377</f>
        <v>-4.1115421930912499E-2</v>
      </c>
      <c r="AR17" s="1">
        <f>[1]Results!AU1377</f>
        <v>-4.1455213538905307E-2</v>
      </c>
      <c r="AS17" s="1">
        <f>[1]Results!AV1377</f>
        <v>-4.1787869417480077E-2</v>
      </c>
      <c r="AT17" s="1">
        <f>[1]Results!AW1377</f>
        <v>-4.2114638037854889E-2</v>
      </c>
      <c r="AU17" s="1">
        <f>[1]Results!AX1377</f>
        <v>-4.2436033037381922E-2</v>
      </c>
      <c r="AV17" s="1">
        <f>[1]Results!AY1377</f>
        <v>-4.27522023969528E-2</v>
      </c>
      <c r="AW17" s="1">
        <f>[1]Results!AZ1377</f>
        <v>-4.30557269139238E-2</v>
      </c>
      <c r="AX17" s="1">
        <f>[1]Results!BA1377</f>
        <v>-4.3351732858729813E-2</v>
      </c>
      <c r="AY17" s="1">
        <f>[1]Results!BB1377</f>
        <v>-4.3642259064176805E-2</v>
      </c>
      <c r="AZ17" s="1">
        <f>[1]Results!BC1377</f>
        <v>-4.3927229268676517E-2</v>
      </c>
      <c r="BA17" s="1">
        <f>[1]Results!BD1377</f>
        <v>-4.4205876004787037E-2</v>
      </c>
      <c r="BB17" s="1">
        <f>[1]Results!BE1377</f>
        <v>-8.8382385850016597E-4</v>
      </c>
      <c r="BC17" s="1">
        <f>[1]Results!BF1377</f>
        <v>-7.614494769360836E-4</v>
      </c>
      <c r="BD17" s="1">
        <f>[1]Results!BG1377</f>
        <v>-6.3055022354030314E-4</v>
      </c>
      <c r="BE17" s="1">
        <f>[1]Results!BH1377</f>
        <v>-4.9275231527942524E-4</v>
      </c>
      <c r="BF17" s="1">
        <f>[1]Results!BI1377</f>
        <v>-3.4939096970396073E-4</v>
      </c>
    </row>
    <row r="18" spans="1:58" x14ac:dyDescent="0.35">
      <c r="A18" s="3" t="str">
        <f>[1]Results!E1378</f>
        <v>100*(CH_2/CH_0-1)</v>
      </c>
      <c r="B18" t="str">
        <f>[1]Results!C1378</f>
        <v>Consommation des ménages</v>
      </c>
      <c r="C18" s="1">
        <f>[1]Results!F1378</f>
        <v>-0.56524008348214361</v>
      </c>
      <c r="D18" s="1">
        <f>[1]Results!G1378</f>
        <v>-1.2408259692577528</v>
      </c>
      <c r="E18" s="1">
        <f>[1]Results!H1378</f>
        <v>-1.8722529754462203</v>
      </c>
      <c r="F18" s="1">
        <f>[1]Results!I1378</f>
        <v>-2.4153295038130129</v>
      </c>
      <c r="G18" s="1">
        <f>[1]Results!J1378</f>
        <v>-2.8622114745801897</v>
      </c>
      <c r="H18" s="1">
        <f>[1]Results!K1378</f>
        <v>-3.218645740620274</v>
      </c>
      <c r="I18" s="1">
        <f>[1]Results!L1378</f>
        <v>-3.497064963987162</v>
      </c>
      <c r="J18" s="1">
        <f>[1]Results!M1378</f>
        <v>-3.7101732952950273</v>
      </c>
      <c r="K18" s="1">
        <f>[1]Results!N1378</f>
        <v>-3.8708104313977199</v>
      </c>
      <c r="L18" s="1">
        <f>[1]Results!O1378</f>
        <v>-3.990591826368417</v>
      </c>
      <c r="M18" s="1">
        <f>[1]Results!P1378</f>
        <v>-4.0782618351986377</v>
      </c>
      <c r="N18" s="1">
        <f>[1]Results!Q1378</f>
        <v>-4.1450672823750363</v>
      </c>
      <c r="O18" s="1">
        <f>[1]Results!R1378</f>
        <v>-4.1960255175886303</v>
      </c>
      <c r="P18" s="1">
        <f>[1]Results!S1378</f>
        <v>-4.2345528461933739</v>
      </c>
      <c r="Q18" s="1">
        <f>[1]Results!T1378</f>
        <v>-4.2631244771442649</v>
      </c>
      <c r="R18" s="1">
        <f>[1]Results!U1378</f>
        <v>-4.2836588299326124</v>
      </c>
      <c r="S18" s="1">
        <f>[1]Results!V1378</f>
        <v>-4.2995530600616894</v>
      </c>
      <c r="T18" s="1">
        <f>[1]Results!W1378</f>
        <v>-4.3124843951439118</v>
      </c>
      <c r="U18" s="1">
        <f>[1]Results!X1378</f>
        <v>-4.3235455473406459</v>
      </c>
      <c r="V18" s="1">
        <f>[1]Results!Y1378</f>
        <v>-4.3336401869685908</v>
      </c>
      <c r="W18" s="1">
        <f>[1]Results!Z1378</f>
        <v>-4.3442190058666341</v>
      </c>
      <c r="X18" s="1">
        <f>[1]Results!AA1378</f>
        <v>-4.3547185734789773</v>
      </c>
      <c r="Y18" s="1">
        <f>[1]Results!AB1378</f>
        <v>-4.3662104012915819</v>
      </c>
      <c r="Z18" s="1">
        <f>[1]Results!AC1378</f>
        <v>-4.3794454826234785</v>
      </c>
      <c r="AA18" s="1">
        <f>[1]Results!AD1378</f>
        <v>-4.3949276502975092</v>
      </c>
      <c r="AB18" s="1">
        <f>[1]Results!AE1378</f>
        <v>-4.4145907573196137</v>
      </c>
      <c r="AC18" s="1">
        <f>[1]Results!AF1378</f>
        <v>-4.4352111411503419</v>
      </c>
      <c r="AD18" s="1">
        <f>[1]Results!AG1378</f>
        <v>-4.45704539694598</v>
      </c>
      <c r="AE18" s="1">
        <f>[1]Results!AH1378</f>
        <v>-4.4804100234389743</v>
      </c>
      <c r="AF18" s="1">
        <f>[1]Results!AI1378</f>
        <v>-4.5055018037701515</v>
      </c>
      <c r="AG18" s="1">
        <f>[1]Results!AJ1378</f>
        <v>-4.5323869958617919</v>
      </c>
      <c r="AH18" s="1">
        <f>[1]Results!AK1378</f>
        <v>-4.5607028210610139</v>
      </c>
      <c r="AI18" s="1">
        <f>[1]Results!AL1378</f>
        <v>-4.5903093080292496</v>
      </c>
      <c r="AJ18" s="1">
        <f>[1]Results!AM1378</f>
        <v>-4.6211191814708013</v>
      </c>
      <c r="AK18" s="1">
        <f>[1]Results!AN1378</f>
        <v>-4.6530474764896574</v>
      </c>
      <c r="AL18" s="1">
        <f>[1]Results!AO1378</f>
        <v>-4.6860027825315065</v>
      </c>
      <c r="AM18" s="1">
        <f>[1]Results!AP1378</f>
        <v>-4.7174619737213375</v>
      </c>
      <c r="AN18" s="1">
        <f>[1]Results!AQ1378</f>
        <v>-4.7465659246813452</v>
      </c>
      <c r="AO18" s="1">
        <f>[1]Results!AR1378</f>
        <v>-4.7735021035047449</v>
      </c>
      <c r="AP18" s="1">
        <f>[1]Results!AS1378</f>
        <v>-4.7988091603177736</v>
      </c>
      <c r="AQ18" s="1">
        <f>[1]Results!AT1378</f>
        <v>-4.8231041531726522</v>
      </c>
      <c r="AR18" s="1">
        <f>[1]Results!AU1378</f>
        <v>-4.8465612300035215</v>
      </c>
      <c r="AS18" s="1">
        <f>[1]Results!AV1378</f>
        <v>-4.8696273975094906</v>
      </c>
      <c r="AT18" s="1">
        <f>[1]Results!AW1378</f>
        <v>-4.8927669117331707</v>
      </c>
      <c r="AU18" s="1">
        <f>[1]Results!AX1378</f>
        <v>-4.9163792328969276</v>
      </c>
      <c r="AV18" s="1">
        <f>[1]Results!AY1378</f>
        <v>-4.9407849493656064</v>
      </c>
      <c r="AW18" s="1">
        <f>[1]Results!AZ1378</f>
        <v>-4.9649127022272861</v>
      </c>
      <c r="AX18" s="1">
        <f>[1]Results!BA1378</f>
        <v>-4.988813406417469</v>
      </c>
      <c r="AY18" s="1">
        <f>[1]Results!BB1378</f>
        <v>-5.0128329014119561</v>
      </c>
      <c r="AZ18" s="1">
        <f>[1]Results!BC1378</f>
        <v>-5.0373444109569787</v>
      </c>
      <c r="BA18" s="1">
        <f>[1]Results!BD1378</f>
        <v>-5.0626745218569695</v>
      </c>
      <c r="BB18" s="1">
        <f>[1]Results!BE1378</f>
        <v>4.7232767887850358E-2</v>
      </c>
      <c r="BC18" s="1">
        <f>[1]Results!BF1378</f>
        <v>5.1108035496394422E-2</v>
      </c>
      <c r="BD18" s="1">
        <f>[1]Results!BG1378</f>
        <v>5.4834125176528303E-2</v>
      </c>
      <c r="BE18" s="1">
        <f>[1]Results!BH1378</f>
        <v>5.8312033652341277E-2</v>
      </c>
      <c r="BF18" s="1">
        <f>[1]Results!BI1378</f>
        <v>6.1481245551497921E-2</v>
      </c>
    </row>
    <row r="19" spans="1:58" x14ac:dyDescent="0.35">
      <c r="A19" s="3" t="str">
        <f>[1]Results!E1379</f>
        <v>100*(CH_cveh_2/CH_cveh_0-1)</v>
      </c>
      <c r="B19" t="str">
        <f>[1]Results!C1379</f>
        <v>Consommation des ménages automobile</v>
      </c>
      <c r="C19" s="1">
        <f>[1]Results!F1379</f>
        <v>-9.6550275038409517E-3</v>
      </c>
      <c r="D19" s="1">
        <f>[1]Results!G1379</f>
        <v>-0.83804668369835689</v>
      </c>
      <c r="E19" s="1">
        <f>[1]Results!H1379</f>
        <v>-1.7719003400243349</v>
      </c>
      <c r="F19" s="1">
        <f>[1]Results!I1379</f>
        <v>-2.4891194214277546</v>
      </c>
      <c r="G19" s="1">
        <f>[1]Results!J1379</f>
        <v>-2.9487092829150963</v>
      </c>
      <c r="H19" s="1">
        <f>[1]Results!K1379</f>
        <v>-3.1943552976596901</v>
      </c>
      <c r="I19" s="1">
        <f>[1]Results!L1379</f>
        <v>-3.2901062062362763</v>
      </c>
      <c r="J19" s="1">
        <f>[1]Results!M1379</f>
        <v>-3.2895966468577953</v>
      </c>
      <c r="K19" s="1">
        <f>[1]Results!N1379</f>
        <v>-3.234563004759905</v>
      </c>
      <c r="L19" s="1">
        <f>[1]Results!O1379</f>
        <v>-3.1537386302692871</v>
      </c>
      <c r="M19" s="1">
        <f>[1]Results!P1379</f>
        <v>-3.0625897923865386</v>
      </c>
      <c r="N19" s="1">
        <f>[1]Results!Q1379</f>
        <v>-2.9783841866707239</v>
      </c>
      <c r="O19" s="1">
        <f>[1]Results!R1379</f>
        <v>-2.9025286457341148</v>
      </c>
      <c r="P19" s="1">
        <f>[1]Results!S1379</f>
        <v>-2.8343292426272204</v>
      </c>
      <c r="Q19" s="1">
        <f>[1]Results!T1379</f>
        <v>-2.7726596473528264</v>
      </c>
      <c r="R19" s="1">
        <f>[1]Results!U1379</f>
        <v>-2.7166096170265219</v>
      </c>
      <c r="S19" s="1">
        <f>[1]Results!V1379</f>
        <v>-2.6692530921630264</v>
      </c>
      <c r="T19" s="1">
        <f>[1]Results!W1379</f>
        <v>-2.6300067246674552</v>
      </c>
      <c r="U19" s="1">
        <f>[1]Results!X1379</f>
        <v>-2.5980466431121951</v>
      </c>
      <c r="V19" s="1">
        <f>[1]Results!Y1379</f>
        <v>-2.572910901261749</v>
      </c>
      <c r="W19" s="1">
        <f>[1]Results!Z1379</f>
        <v>-2.5555742689860605</v>
      </c>
      <c r="X19" s="1">
        <f>[1]Results!AA1379</f>
        <v>-2.5432068249022888</v>
      </c>
      <c r="Y19" s="1">
        <f>[1]Results!AB1379</f>
        <v>-2.5370131853943434</v>
      </c>
      <c r="Z19" s="1">
        <f>[1]Results!AC1379</f>
        <v>-2.537242359844516</v>
      </c>
      <c r="AA19" s="1">
        <f>[1]Results!AD1379</f>
        <v>-2.543683024351151</v>
      </c>
      <c r="AB19" s="1">
        <f>[1]Results!AE1379</f>
        <v>-2.5589945173510653</v>
      </c>
      <c r="AC19" s="1">
        <f>[1]Results!AF1379</f>
        <v>-2.5752914260579907</v>
      </c>
      <c r="AD19" s="1">
        <f>[1]Results!AG1379</f>
        <v>-2.593911126319326</v>
      </c>
      <c r="AE19" s="1">
        <f>[1]Results!AH1379</f>
        <v>-2.615594112815578</v>
      </c>
      <c r="AF19" s="1">
        <f>[1]Results!AI1379</f>
        <v>-2.6404824860165488</v>
      </c>
      <c r="AG19" s="1">
        <f>[1]Results!AJ1379</f>
        <v>-2.66837970557251</v>
      </c>
      <c r="AH19" s="1">
        <f>[1]Results!AK1379</f>
        <v>-2.6982837160269391</v>
      </c>
      <c r="AI19" s="1">
        <f>[1]Results!AL1379</f>
        <v>-2.7299638560638106</v>
      </c>
      <c r="AJ19" s="1">
        <f>[1]Results!AM1379</f>
        <v>-2.7633160328727202</v>
      </c>
      <c r="AK19" s="1">
        <f>[1]Results!AN1379</f>
        <v>-2.7982383457517912</v>
      </c>
      <c r="AL19" s="1">
        <f>[1]Results!AO1379</f>
        <v>-2.8346279728763912</v>
      </c>
      <c r="AM19" s="1">
        <f>[1]Results!AP1379</f>
        <v>-2.8674469518042867</v>
      </c>
      <c r="AN19" s="1">
        <f>[1]Results!AQ1379</f>
        <v>-2.8966626263319695</v>
      </c>
      <c r="AO19" s="1">
        <f>[1]Results!AR1379</f>
        <v>-2.9239603860472307</v>
      </c>
      <c r="AP19" s="1">
        <f>[1]Results!AS1379</f>
        <v>-2.9509751072452239</v>
      </c>
      <c r="AQ19" s="1">
        <f>[1]Results!AT1379</f>
        <v>-2.9789633515681646</v>
      </c>
      <c r="AR19" s="1">
        <f>[1]Results!AU1379</f>
        <v>-3.0079713361501947</v>
      </c>
      <c r="AS19" s="1">
        <f>[1]Results!AV1379</f>
        <v>-3.0387319354520437</v>
      </c>
      <c r="AT19" s="1">
        <f>[1]Results!AW1379</f>
        <v>-3.0718758252894163</v>
      </c>
      <c r="AU19" s="1">
        <f>[1]Results!AX1379</f>
        <v>-3.1078252157126562</v>
      </c>
      <c r="AV19" s="1">
        <f>[1]Results!AY1379</f>
        <v>-3.1468507580158844</v>
      </c>
      <c r="AW19" s="1">
        <f>[1]Results!AZ1379</f>
        <v>-3.1864265412741566</v>
      </c>
      <c r="AX19" s="1">
        <f>[1]Results!BA1379</f>
        <v>-3.2272541915499331</v>
      </c>
      <c r="AY19" s="1">
        <f>[1]Results!BB1379</f>
        <v>-3.2703457920436718</v>
      </c>
      <c r="AZ19" s="1">
        <f>[1]Results!BC1379</f>
        <v>-3.3164611517318976</v>
      </c>
      <c r="BA19" s="1">
        <f>[1]Results!BD1379</f>
        <v>-3.3661292434968515</v>
      </c>
      <c r="BB19" s="1">
        <f>[1]Results!BE1379</f>
        <v>0.26267238400008441</v>
      </c>
      <c r="BC19" s="1">
        <f>[1]Results!BF1379</f>
        <v>0.27538704170322337</v>
      </c>
      <c r="BD19" s="1">
        <f>[1]Results!BG1379</f>
        <v>0.28836276144614814</v>
      </c>
      <c r="BE19" s="1">
        <f>[1]Results!BH1379</f>
        <v>0.30153980159357552</v>
      </c>
      <c r="BF19" s="1">
        <f>[1]Results!BI1379</f>
        <v>0.31496987515489128</v>
      </c>
    </row>
    <row r="20" spans="1:58" x14ac:dyDescent="0.35">
      <c r="A20" s="3" t="str">
        <f>[1]Results!E1380</f>
        <v>100*(G_2/G_0-1)</v>
      </c>
      <c r="B20" t="str">
        <f>[1]Results!C1380</f>
        <v>Dépenses publiques</v>
      </c>
      <c r="C20" s="1">
        <f>[1]Results!F1380</f>
        <v>0</v>
      </c>
      <c r="D20" s="1">
        <f>[1]Results!G1380</f>
        <v>0</v>
      </c>
      <c r="E20" s="1">
        <f>[1]Results!H1380</f>
        <v>0</v>
      </c>
      <c r="F20" s="1">
        <f>[1]Results!I1380</f>
        <v>0</v>
      </c>
      <c r="G20" s="1">
        <f>[1]Results!J1380</f>
        <v>0</v>
      </c>
      <c r="H20" s="1">
        <f>[1]Results!K1380</f>
        <v>0</v>
      </c>
      <c r="I20" s="1">
        <f>[1]Results!L1380</f>
        <v>0</v>
      </c>
      <c r="J20" s="1">
        <f>[1]Results!M1380</f>
        <v>0</v>
      </c>
      <c r="K20" s="1">
        <f>[1]Results!N1380</f>
        <v>0</v>
      </c>
      <c r="L20" s="1">
        <f>[1]Results!O1380</f>
        <v>0</v>
      </c>
      <c r="M20" s="1">
        <f>[1]Results!P1380</f>
        <v>0</v>
      </c>
      <c r="N20" s="1">
        <f>[1]Results!Q1380</f>
        <v>0</v>
      </c>
      <c r="O20" s="1">
        <f>[1]Results!R1380</f>
        <v>0</v>
      </c>
      <c r="P20" s="1">
        <f>[1]Results!S1380</f>
        <v>0</v>
      </c>
      <c r="Q20" s="1">
        <f>[1]Results!T1380</f>
        <v>0</v>
      </c>
      <c r="R20" s="1">
        <f>[1]Results!U1380</f>
        <v>0</v>
      </c>
      <c r="S20" s="1">
        <f>[1]Results!V1380</f>
        <v>0</v>
      </c>
      <c r="T20" s="1">
        <f>[1]Results!W1380</f>
        <v>0</v>
      </c>
      <c r="U20" s="1">
        <f>[1]Results!X1380</f>
        <v>0</v>
      </c>
      <c r="V20" s="1">
        <f>[1]Results!Y1380</f>
        <v>0</v>
      </c>
      <c r="W20" s="1">
        <f>[1]Results!Z1380</f>
        <v>0</v>
      </c>
      <c r="X20" s="1">
        <f>[1]Results!AA1380</f>
        <v>0</v>
      </c>
      <c r="Y20" s="1">
        <f>[1]Results!AB1380</f>
        <v>0</v>
      </c>
      <c r="Z20" s="1">
        <f>[1]Results!AC1380</f>
        <v>0</v>
      </c>
      <c r="AA20" s="1">
        <f>[1]Results!AD1380</f>
        <v>0</v>
      </c>
      <c r="AB20" s="1">
        <f>[1]Results!AE1380</f>
        <v>0</v>
      </c>
      <c r="AC20" s="1">
        <f>[1]Results!AF1380</f>
        <v>0</v>
      </c>
      <c r="AD20" s="1">
        <f>[1]Results!AG1380</f>
        <v>0</v>
      </c>
      <c r="AE20" s="1">
        <f>[1]Results!AH1380</f>
        <v>0</v>
      </c>
      <c r="AF20" s="1">
        <f>[1]Results!AI1380</f>
        <v>0</v>
      </c>
      <c r="AG20" s="1">
        <f>[1]Results!AJ1380</f>
        <v>0</v>
      </c>
      <c r="AH20" s="1">
        <f>[1]Results!AK1380</f>
        <v>0</v>
      </c>
      <c r="AI20" s="1">
        <f>[1]Results!AL1380</f>
        <v>0</v>
      </c>
      <c r="AJ20" s="1">
        <f>[1]Results!AM1380</f>
        <v>0</v>
      </c>
      <c r="AK20" s="1">
        <f>[1]Results!AN1380</f>
        <v>0</v>
      </c>
      <c r="AL20" s="1">
        <f>[1]Results!AO1380</f>
        <v>0</v>
      </c>
      <c r="AM20" s="1">
        <f>[1]Results!AP1380</f>
        <v>0</v>
      </c>
      <c r="AN20" s="1">
        <f>[1]Results!AQ1380</f>
        <v>0</v>
      </c>
      <c r="AO20" s="1">
        <f>[1]Results!AR1380</f>
        <v>0</v>
      </c>
      <c r="AP20" s="1">
        <f>[1]Results!AS1380</f>
        <v>0</v>
      </c>
      <c r="AQ20" s="1">
        <f>[1]Results!AT1380</f>
        <v>0</v>
      </c>
      <c r="AR20" s="1">
        <f>[1]Results!AU1380</f>
        <v>0</v>
      </c>
      <c r="AS20" s="1">
        <f>[1]Results!AV1380</f>
        <v>0</v>
      </c>
      <c r="AT20" s="1">
        <f>[1]Results!AW1380</f>
        <v>0</v>
      </c>
      <c r="AU20" s="1">
        <f>[1]Results!AX1380</f>
        <v>0</v>
      </c>
      <c r="AV20" s="1">
        <f>[1]Results!AY1380</f>
        <v>0</v>
      </c>
      <c r="AW20" s="1">
        <f>[1]Results!AZ1380</f>
        <v>0</v>
      </c>
      <c r="AX20" s="1">
        <f>[1]Results!BA1380</f>
        <v>0</v>
      </c>
      <c r="AY20" s="1">
        <f>[1]Results!BB1380</f>
        <v>0</v>
      </c>
      <c r="AZ20" s="1">
        <f>[1]Results!BC1380</f>
        <v>0</v>
      </c>
      <c r="BA20" s="1">
        <f>[1]Results!BD1380</f>
        <v>0</v>
      </c>
      <c r="BB20" s="1">
        <f>[1]Results!BE1380</f>
        <v>0</v>
      </c>
      <c r="BC20" s="1">
        <f>[1]Results!BF1380</f>
        <v>0</v>
      </c>
      <c r="BD20" s="1">
        <f>[1]Results!BG1380</f>
        <v>0</v>
      </c>
      <c r="BE20" s="1">
        <f>[1]Results!BH1380</f>
        <v>0</v>
      </c>
      <c r="BF20" s="1">
        <f>[1]Results!BI1380</f>
        <v>0</v>
      </c>
    </row>
    <row r="21" spans="1:58" x14ac:dyDescent="0.35">
      <c r="A21" s="3" t="str">
        <f>[1]Results!E1381</f>
        <v>100*(I_2/I_0-1)</v>
      </c>
      <c r="B21" t="str">
        <f>[1]Results!C1381</f>
        <v>Investissement</v>
      </c>
      <c r="C21" s="1">
        <f>[1]Results!F1381</f>
        <v>-1.189725934603969</v>
      </c>
      <c r="D21" s="1">
        <f>[1]Results!G1381</f>
        <v>-1.9504207180139121</v>
      </c>
      <c r="E21" s="1">
        <f>[1]Results!H1381</f>
        <v>-2.4812566165249295</v>
      </c>
      <c r="F21" s="1">
        <f>[1]Results!I1381</f>
        <v>-2.9037836013188989</v>
      </c>
      <c r="G21" s="1">
        <f>[1]Results!J1381</f>
        <v>-3.2726757248986882</v>
      </c>
      <c r="H21" s="1">
        <f>[1]Results!K1381</f>
        <v>-3.6113169664027778</v>
      </c>
      <c r="I21" s="1">
        <f>[1]Results!L1381</f>
        <v>-3.9309003433517065</v>
      </c>
      <c r="J21" s="1">
        <f>[1]Results!M1381</f>
        <v>-4.2353995694277895</v>
      </c>
      <c r="K21" s="1">
        <f>[1]Results!N1381</f>
        <v>-4.5269733125572476</v>
      </c>
      <c r="L21" s="1">
        <f>[1]Results!O1381</f>
        <v>-4.8073740246934786</v>
      </c>
      <c r="M21" s="1">
        <f>[1]Results!P1381</f>
        <v>-5.078037222765996</v>
      </c>
      <c r="N21" s="1">
        <f>[1]Results!Q1381</f>
        <v>-5.3446976549288872</v>
      </c>
      <c r="O21" s="1">
        <f>[1]Results!R1381</f>
        <v>-5.6063007178776436</v>
      </c>
      <c r="P21" s="1">
        <f>[1]Results!S1381</f>
        <v>-5.8621393246099274</v>
      </c>
      <c r="Q21" s="1">
        <f>[1]Results!T1381</f>
        <v>-6.1116932487305657</v>
      </c>
      <c r="R21" s="1">
        <f>[1]Results!U1381</f>
        <v>-6.3544520676408816</v>
      </c>
      <c r="S21" s="1">
        <f>[1]Results!V1381</f>
        <v>-6.5937567954209904</v>
      </c>
      <c r="T21" s="1">
        <f>[1]Results!W1381</f>
        <v>-6.8272587516382766</v>
      </c>
      <c r="U21" s="1">
        <f>[1]Results!X1381</f>
        <v>-7.0535220621108952</v>
      </c>
      <c r="V21" s="1">
        <f>[1]Results!Y1381</f>
        <v>-7.271707869792488</v>
      </c>
      <c r="W21" s="1">
        <f>[1]Results!Z1381</f>
        <v>-7.481522456330314</v>
      </c>
      <c r="X21" s="1">
        <f>[1]Results!AA1381</f>
        <v>-7.6822121202319789</v>
      </c>
      <c r="Y21" s="1">
        <f>[1]Results!AB1381</f>
        <v>-7.8736010346848184</v>
      </c>
      <c r="Z21" s="1">
        <f>[1]Results!AC1381</f>
        <v>-8.055663087775212</v>
      </c>
      <c r="AA21" s="1">
        <f>[1]Results!AD1381</f>
        <v>-8.2284095863831013</v>
      </c>
      <c r="AB21" s="1">
        <f>[1]Results!AE1381</f>
        <v>-8.392485171611618</v>
      </c>
      <c r="AC21" s="1">
        <f>[1]Results!AF1381</f>
        <v>-8.5458482164459397</v>
      </c>
      <c r="AD21" s="1">
        <f>[1]Results!AG1381</f>
        <v>-8.6890867737160491</v>
      </c>
      <c r="AE21" s="1">
        <f>[1]Results!AH1381</f>
        <v>-8.8226762884249688</v>
      </c>
      <c r="AF21" s="1">
        <f>[1]Results!AI1381</f>
        <v>-8.9469614866165887</v>
      </c>
      <c r="AG21" s="1">
        <f>[1]Results!AJ1381</f>
        <v>-9.0622125564811427</v>
      </c>
      <c r="AH21" s="1">
        <f>[1]Results!AK1381</f>
        <v>-9.1679826309177805</v>
      </c>
      <c r="AI21" s="1">
        <f>[1]Results!AL1381</f>
        <v>-9.2648035111947298</v>
      </c>
      <c r="AJ21" s="1">
        <f>[1]Results!AM1381</f>
        <v>-9.3530678181789071</v>
      </c>
      <c r="AK21" s="1">
        <f>[1]Results!AN1381</f>
        <v>-9.4330946533930806</v>
      </c>
      <c r="AL21" s="1">
        <f>[1]Results!AO1381</f>
        <v>-9.5051825137853374</v>
      </c>
      <c r="AM21" s="1">
        <f>[1]Results!AP1381</f>
        <v>-9.5641587875725307</v>
      </c>
      <c r="AN21" s="1">
        <f>[1]Results!AQ1381</f>
        <v>-9.6128099089514247</v>
      </c>
      <c r="AO21" s="1">
        <f>[1]Results!AR1381</f>
        <v>-9.6527317780964133</v>
      </c>
      <c r="AP21" s="1">
        <f>[1]Results!AS1381</f>
        <v>-9.6848633042800447</v>
      </c>
      <c r="AQ21" s="1">
        <f>[1]Results!AT1381</f>
        <v>-9.7098826503227986</v>
      </c>
      <c r="AR21" s="1">
        <f>[1]Results!AU1381</f>
        <v>-9.7275342793035069</v>
      </c>
      <c r="AS21" s="1">
        <f>[1]Results!AV1381</f>
        <v>-9.7387292524749096</v>
      </c>
      <c r="AT21" s="1">
        <f>[1]Results!AW1381</f>
        <v>-9.7441889666916133</v>
      </c>
      <c r="AU21" s="1">
        <f>[1]Results!AX1381</f>
        <v>-9.7445150217787209</v>
      </c>
      <c r="AV21" s="1">
        <f>[1]Results!AY1381</f>
        <v>-9.740249153099068</v>
      </c>
      <c r="AW21" s="1">
        <f>[1]Results!AZ1381</f>
        <v>-9.7292412395024837</v>
      </c>
      <c r="AX21" s="1">
        <f>[1]Results!BA1381</f>
        <v>-9.7131489622362963</v>
      </c>
      <c r="AY21" s="1">
        <f>[1]Results!BB1381</f>
        <v>-9.6930846668537569</v>
      </c>
      <c r="AZ21" s="1">
        <f>[1]Results!BC1381</f>
        <v>-9.6697844497905088</v>
      </c>
      <c r="BA21" s="1">
        <f>[1]Results!BD1381</f>
        <v>-9.643813294074711</v>
      </c>
      <c r="BB21" s="1">
        <f>[1]Results!BE1381</f>
        <v>-1.8968324761670097E-2</v>
      </c>
      <c r="BC21" s="1">
        <f>[1]Results!BF1381</f>
        <v>3.056175197979627E-3</v>
      </c>
      <c r="BD21" s="1">
        <f>[1]Results!BG1381</f>
        <v>2.6725331404020558E-2</v>
      </c>
      <c r="BE21" s="1">
        <f>[1]Results!BH1381</f>
        <v>5.1902589871888338E-2</v>
      </c>
      <c r="BF21" s="1">
        <f>[1]Results!BI1381</f>
        <v>7.8444032673608E-2</v>
      </c>
    </row>
    <row r="22" spans="1:58" x14ac:dyDescent="0.35">
      <c r="A22" s="3" t="str">
        <f>[1]Results!E1382</f>
        <v>100*((I_2-IA_spub_2)/(I_0-IA_spub_0)-1)</v>
      </c>
      <c r="B22" t="str">
        <f>[1]Results!C1382</f>
        <v>Investissement entreprises</v>
      </c>
      <c r="C22" s="1">
        <f>[1]Results!F1382</f>
        <v>-1.2823718319589839</v>
      </c>
      <c r="D22" s="1">
        <f>[1]Results!G1382</f>
        <v>-2.1047802269264282</v>
      </c>
      <c r="E22" s="1">
        <f>[1]Results!H1382</f>
        <v>-2.6808895693088419</v>
      </c>
      <c r="F22" s="1">
        <f>[1]Results!I1382</f>
        <v>-3.1398304005055944</v>
      </c>
      <c r="G22" s="1">
        <f>[1]Results!J1382</f>
        <v>-3.5396153946291697</v>
      </c>
      <c r="H22" s="1">
        <f>[1]Results!K1382</f>
        <v>-3.9052768625487455</v>
      </c>
      <c r="I22" s="1">
        <f>[1]Results!L1382</f>
        <v>-4.2489414902455387</v>
      </c>
      <c r="J22" s="1">
        <f>[1]Results!M1382</f>
        <v>-4.5752318967025696</v>
      </c>
      <c r="K22" s="1">
        <f>[1]Results!N1382</f>
        <v>-4.886726070056735</v>
      </c>
      <c r="L22" s="1">
        <f>[1]Results!O1382</f>
        <v>-5.1854948515487997</v>
      </c>
      <c r="M22" s="1">
        <f>[1]Results!P1382</f>
        <v>-5.4734002688148315</v>
      </c>
      <c r="N22" s="1">
        <f>[1]Results!Q1382</f>
        <v>-5.756373433125872</v>
      </c>
      <c r="O22" s="1">
        <f>[1]Results!R1382</f>
        <v>-6.0335620387886646</v>
      </c>
      <c r="P22" s="1">
        <f>[1]Results!S1382</f>
        <v>-6.3043735119141413</v>
      </c>
      <c r="Q22" s="1">
        <f>[1]Results!T1382</f>
        <v>-6.5683649986740811</v>
      </c>
      <c r="R22" s="1">
        <f>[1]Results!U1382</f>
        <v>-6.825079056631111</v>
      </c>
      <c r="S22" s="1">
        <f>[1]Results!V1382</f>
        <v>-7.0781924347367298</v>
      </c>
      <c r="T22" s="1">
        <f>[1]Results!W1382</f>
        <v>-7.3252377613076352</v>
      </c>
      <c r="U22" s="1">
        <f>[1]Results!X1382</f>
        <v>-7.5647113807690296</v>
      </c>
      <c r="V22" s="1">
        <f>[1]Results!Y1382</f>
        <v>-7.7957336059095939</v>
      </c>
      <c r="W22" s="1">
        <f>[1]Results!Z1382</f>
        <v>-8.0178522790256288</v>
      </c>
      <c r="X22" s="1">
        <f>[1]Results!AA1382</f>
        <v>-8.2305752160629737</v>
      </c>
      <c r="Y22" s="1">
        <f>[1]Results!AB1382</f>
        <v>-8.4335701426960128</v>
      </c>
      <c r="Z22" s="1">
        <f>[1]Results!AC1382</f>
        <v>-8.6267519988062809</v>
      </c>
      <c r="AA22" s="1">
        <f>[1]Results!AD1382</f>
        <v>-8.8101044559341872</v>
      </c>
      <c r="AB22" s="1">
        <f>[1]Results!AE1382</f>
        <v>-8.9838696267174445</v>
      </c>
      <c r="AC22" s="1">
        <f>[1]Results!AF1382</f>
        <v>-9.1465724950206546</v>
      </c>
      <c r="AD22" s="1">
        <f>[1]Results!AG1382</f>
        <v>-9.2986677980814729</v>
      </c>
      <c r="AE22" s="1">
        <f>[1]Results!AH1382</f>
        <v>-9.4405770894842469</v>
      </c>
      <c r="AF22" s="1">
        <f>[1]Results!AI1382</f>
        <v>-9.5726199907091196</v>
      </c>
      <c r="AG22" s="1">
        <f>[1]Results!AJ1382</f>
        <v>-9.6950515996818591</v>
      </c>
      <c r="AH22" s="1">
        <f>[1]Results!AK1382</f>
        <v>-9.8073636183557475</v>
      </c>
      <c r="AI22" s="1">
        <f>[1]Results!AL1382</f>
        <v>-9.9101058624286971</v>
      </c>
      <c r="AJ22" s="1">
        <f>[1]Results!AM1382</f>
        <v>-10.003683792958352</v>
      </c>
      <c r="AK22" s="1">
        <f>[1]Results!AN1382</f>
        <v>-10.088428444655229</v>
      </c>
      <c r="AL22" s="1">
        <f>[1]Results!AO1382</f>
        <v>-10.164652103686944</v>
      </c>
      <c r="AM22" s="1">
        <f>[1]Results!AP1382</f>
        <v>-10.226679858268739</v>
      </c>
      <c r="AN22" s="1">
        <f>[1]Results!AQ1382</f>
        <v>-10.277617778011205</v>
      </c>
      <c r="AO22" s="1">
        <f>[1]Results!AR1382</f>
        <v>-10.319204734472265</v>
      </c>
      <c r="AP22" s="1">
        <f>[1]Results!AS1382</f>
        <v>-10.352451712555011</v>
      </c>
      <c r="AQ22" s="1">
        <f>[1]Results!AT1382</f>
        <v>-10.37808543347426</v>
      </c>
      <c r="AR22" s="1">
        <f>[1]Results!AU1382</f>
        <v>-10.395827705167926</v>
      </c>
      <c r="AS22" s="1">
        <f>[1]Results!AV1382</f>
        <v>-10.406654894834055</v>
      </c>
      <c r="AT22" s="1">
        <f>[1]Results!AW1382</f>
        <v>-10.411341649769824</v>
      </c>
      <c r="AU22" s="1">
        <f>[1]Results!AX1382</f>
        <v>-10.410536157623007</v>
      </c>
      <c r="AV22" s="1">
        <f>[1]Results!AY1382</f>
        <v>-10.404823544390851</v>
      </c>
      <c r="AW22" s="1">
        <f>[1]Results!AZ1382</f>
        <v>-10.391899620250268</v>
      </c>
      <c r="AX22" s="1">
        <f>[1]Results!BA1382</f>
        <v>-10.373534266089003</v>
      </c>
      <c r="AY22" s="1">
        <f>[1]Results!BB1382</f>
        <v>-10.350922300984699</v>
      </c>
      <c r="AZ22" s="1">
        <f>[1]Results!BC1382</f>
        <v>-10.324861559162601</v>
      </c>
      <c r="BA22" s="1">
        <f>[1]Results!BD1382</f>
        <v>-10.29596737285422</v>
      </c>
      <c r="BB22" s="1">
        <f>[1]Results!BE1382</f>
        <v>-1.6590830803153711E-2</v>
      </c>
      <c r="BC22" s="1">
        <f>[1]Results!BF1382</f>
        <v>6.790661820388344E-3</v>
      </c>
      <c r="BD22" s="1">
        <f>[1]Results!BG1382</f>
        <v>3.1922676942941486E-2</v>
      </c>
      <c r="BE22" s="1">
        <f>[1]Results!BH1382</f>
        <v>5.8664753424508831E-2</v>
      </c>
      <c r="BF22" s="1">
        <f>[1]Results!BI1382</f>
        <v>8.686713636258947E-2</v>
      </c>
    </row>
    <row r="23" spans="1:58" x14ac:dyDescent="0.35">
      <c r="A23" s="3" t="str">
        <f>[1]Results!E1383</f>
        <v>100*(X_2/X_0-1)</v>
      </c>
      <c r="B23" t="s">
        <v>22</v>
      </c>
      <c r="C23" s="1">
        <f>[1]Results!F1383</f>
        <v>-6.1195222917956427</v>
      </c>
      <c r="D23" s="1">
        <f>[1]Results!G1383</f>
        <v>-6.3680390851061031</v>
      </c>
      <c r="E23" s="1">
        <f>[1]Results!H1383</f>
        <v>-6.5610013385818959</v>
      </c>
      <c r="F23" s="1">
        <f>[1]Results!I1383</f>
        <v>-6.7208789922285632</v>
      </c>
      <c r="G23" s="1">
        <f>[1]Results!J1383</f>
        <v>-6.8633445603294652</v>
      </c>
      <c r="H23" s="1">
        <f>[1]Results!K1383</f>
        <v>-6.9982392747727884</v>
      </c>
      <c r="I23" s="1">
        <f>[1]Results!L1383</f>
        <v>-7.1376328158838209</v>
      </c>
      <c r="J23" s="1">
        <f>[1]Results!M1383</f>
        <v>-7.2789403852116408</v>
      </c>
      <c r="K23" s="1">
        <f>[1]Results!N1383</f>
        <v>-7.4249716331636462</v>
      </c>
      <c r="L23" s="1">
        <f>[1]Results!O1383</f>
        <v>-7.5779649391837118</v>
      </c>
      <c r="M23" s="1">
        <f>[1]Results!P1383</f>
        <v>-7.7397505417237671</v>
      </c>
      <c r="N23" s="1">
        <f>[1]Results!Q1383</f>
        <v>-7.9337722969738405</v>
      </c>
      <c r="O23" s="1">
        <f>[1]Results!R1383</f>
        <v>-8.1371406787384757</v>
      </c>
      <c r="P23" s="1">
        <f>[1]Results!S1383</f>
        <v>-8.3499903073787287</v>
      </c>
      <c r="Q23" s="1">
        <f>[1]Results!T1383</f>
        <v>-8.5720766940414741</v>
      </c>
      <c r="R23" s="1">
        <f>[1]Results!U1383</f>
        <v>-8.8028214044573403</v>
      </c>
      <c r="S23" s="1">
        <f>[1]Results!V1383</f>
        <v>-9.06186830558282</v>
      </c>
      <c r="T23" s="1">
        <f>[1]Results!W1383</f>
        <v>-9.3263552547763755</v>
      </c>
      <c r="U23" s="1">
        <f>[1]Results!X1383</f>
        <v>-9.5950588177876277</v>
      </c>
      <c r="V23" s="1">
        <f>[1]Results!Y1383</f>
        <v>-9.8667748363825645</v>
      </c>
      <c r="W23" s="1">
        <f>[1]Results!Z1383</f>
        <v>-10.140297778756457</v>
      </c>
      <c r="X23" s="1">
        <f>[1]Results!AA1383</f>
        <v>-10.413660885183463</v>
      </c>
      <c r="Y23" s="1">
        <f>[1]Results!AB1383</f>
        <v>-10.686773340930756</v>
      </c>
      <c r="Z23" s="1">
        <f>[1]Results!AC1383</f>
        <v>-10.958718093334497</v>
      </c>
      <c r="AA23" s="1">
        <f>[1]Results!AD1383</f>
        <v>-11.228666252118824</v>
      </c>
      <c r="AB23" s="1">
        <f>[1]Results!AE1383</f>
        <v>-11.495778022244874</v>
      </c>
      <c r="AC23" s="1">
        <f>[1]Results!AF1383</f>
        <v>-11.750498475750359</v>
      </c>
      <c r="AD23" s="1">
        <f>[1]Results!AG1383</f>
        <v>-12.001742598451715</v>
      </c>
      <c r="AE23" s="1">
        <f>[1]Results!AH1383</f>
        <v>-12.24918980870603</v>
      </c>
      <c r="AF23" s="1">
        <f>[1]Results!AI1383</f>
        <v>-12.49259658746773</v>
      </c>
      <c r="AG23" s="1">
        <f>[1]Results!AJ1383</f>
        <v>-12.731785506487137</v>
      </c>
      <c r="AH23" s="1">
        <f>[1]Results!AK1383</f>
        <v>-12.962938513425225</v>
      </c>
      <c r="AI23" s="1">
        <f>[1]Results!AL1383</f>
        <v>-13.189894684135094</v>
      </c>
      <c r="AJ23" s="1">
        <f>[1]Results!AM1383</f>
        <v>-13.412653751434133</v>
      </c>
      <c r="AK23" s="1">
        <f>[1]Results!AN1383</f>
        <v>-13.631245618364252</v>
      </c>
      <c r="AL23" s="1">
        <f>[1]Results!AO1383</f>
        <v>-13.845730079557638</v>
      </c>
      <c r="AM23" s="1">
        <f>[1]Results!AP1383</f>
        <v>-14.025950012455969</v>
      </c>
      <c r="AN23" s="1">
        <f>[1]Results!AQ1383</f>
        <v>-14.203719785361301</v>
      </c>
      <c r="AO23" s="1">
        <f>[1]Results!AR1383</f>
        <v>-14.379275307484086</v>
      </c>
      <c r="AP23" s="1">
        <f>[1]Results!AS1383</f>
        <v>-14.552765029797122</v>
      </c>
      <c r="AQ23" s="1">
        <f>[1]Results!AT1383</f>
        <v>-14.724284733847204</v>
      </c>
      <c r="AR23" s="1">
        <f>[1]Results!AU1383</f>
        <v>-14.889368983377494</v>
      </c>
      <c r="AS23" s="1">
        <f>[1]Results!AV1383</f>
        <v>-15.05280068561129</v>
      </c>
      <c r="AT23" s="1">
        <f>[1]Results!AW1383</f>
        <v>-15.21462572671739</v>
      </c>
      <c r="AU23" s="1">
        <f>[1]Results!AX1383</f>
        <v>-15.374855890343387</v>
      </c>
      <c r="AV23" s="1">
        <f>[1]Results!AY1383</f>
        <v>-15.533476629557208</v>
      </c>
      <c r="AW23" s="1">
        <f>[1]Results!AZ1383</f>
        <v>-15.676121344219984</v>
      </c>
      <c r="AX23" s="1">
        <f>[1]Results!BA1383</f>
        <v>-15.817699903769578</v>
      </c>
      <c r="AY23" s="1">
        <f>[1]Results!BB1383</f>
        <v>-15.958215067934756</v>
      </c>
      <c r="AZ23" s="1">
        <f>[1]Results!BC1383</f>
        <v>-16.097609343020491</v>
      </c>
      <c r="BA23" s="1">
        <f>[1]Results!BD1383</f>
        <v>-16.235791393622712</v>
      </c>
      <c r="BB23" s="1">
        <f>[1]Results!BE1383</f>
        <v>-0.54398262451842427</v>
      </c>
      <c r="BC23" s="1">
        <f>[1]Results!BF1383</f>
        <v>-0.56541867023395254</v>
      </c>
      <c r="BD23" s="1">
        <f>[1]Results!BG1383</f>
        <v>-0.5866946144340468</v>
      </c>
      <c r="BE23" s="1">
        <f>[1]Results!BH1383</f>
        <v>-0.60781986002279575</v>
      </c>
      <c r="BF23" s="1">
        <f>[1]Results!BI1383</f>
        <v>-0.62881021150971161</v>
      </c>
    </row>
    <row r="24" spans="1:58" x14ac:dyDescent="0.35">
      <c r="A24" s="3" t="str">
        <f>[1]Results!E1384</f>
        <v>100*(M_2/M_0-1)</v>
      </c>
      <c r="B24" t="s">
        <v>23</v>
      </c>
      <c r="C24" s="1">
        <f>[1]Results!F1384</f>
        <v>-2.0641381186982444</v>
      </c>
      <c r="D24" s="1">
        <f>[1]Results!G1384</f>
        <v>-2.8154054665453065</v>
      </c>
      <c r="E24" s="1">
        <f>[1]Results!H1384</f>
        <v>-3.374664098804514</v>
      </c>
      <c r="F24" s="1">
        <f>[1]Results!I1384</f>
        <v>-3.8492242418397771</v>
      </c>
      <c r="G24" s="1">
        <f>[1]Results!J1384</f>
        <v>-4.2615073293707724</v>
      </c>
      <c r="H24" s="1">
        <f>[1]Results!K1384</f>
        <v>-4.6216363737105803</v>
      </c>
      <c r="I24" s="1">
        <f>[1]Results!L1384</f>
        <v>-4.9400742551085735</v>
      </c>
      <c r="J24" s="1">
        <f>[1]Results!M1384</f>
        <v>-5.2228186817852018</v>
      </c>
      <c r="K24" s="1">
        <f>[1]Results!N1384</f>
        <v>-5.4762717954750855</v>
      </c>
      <c r="L24" s="1">
        <f>[1]Results!O1384</f>
        <v>-5.7059835356736972</v>
      </c>
      <c r="M24" s="1">
        <f>[1]Results!P1384</f>
        <v>-5.9161478801660339</v>
      </c>
      <c r="N24" s="1">
        <f>[1]Results!Q1384</f>
        <v>-6.1180170108270708</v>
      </c>
      <c r="O24" s="1">
        <f>[1]Results!R1384</f>
        <v>-6.3084403333065424</v>
      </c>
      <c r="P24" s="1">
        <f>[1]Results!S1384</f>
        <v>-6.4881239258056</v>
      </c>
      <c r="Q24" s="1">
        <f>[1]Results!T1384</f>
        <v>-6.6579869596444681</v>
      </c>
      <c r="R24" s="1">
        <f>[1]Results!U1384</f>
        <v>-6.8188990435280594</v>
      </c>
      <c r="S24" s="1">
        <f>[1]Results!V1384</f>
        <v>-6.9787093124981547</v>
      </c>
      <c r="T24" s="1">
        <f>[1]Results!W1384</f>
        <v>-7.1329538350269006</v>
      </c>
      <c r="U24" s="1">
        <f>[1]Results!X1384</f>
        <v>-7.2815795067887041</v>
      </c>
      <c r="V24" s="1">
        <f>[1]Results!Y1384</f>
        <v>-7.4250516871931627</v>
      </c>
      <c r="W24" s="1">
        <f>[1]Results!Z1384</f>
        <v>-7.5640865352593734</v>
      </c>
      <c r="X24" s="1">
        <f>[1]Results!AA1384</f>
        <v>-7.6989649508633189</v>
      </c>
      <c r="Y24" s="1">
        <f>[1]Results!AB1384</f>
        <v>-7.8302187128631573</v>
      </c>
      <c r="Z24" s="1">
        <f>[1]Results!AC1384</f>
        <v>-7.9584458839758838</v>
      </c>
      <c r="AA24" s="1">
        <f>[1]Results!AD1384</f>
        <v>-8.0841262424869438</v>
      </c>
      <c r="AB24" s="1">
        <f>[1]Results!AE1384</f>
        <v>-8.2078200535321102</v>
      </c>
      <c r="AC24" s="1">
        <f>[1]Results!AF1384</f>
        <v>-8.3272443365194011</v>
      </c>
      <c r="AD24" s="1">
        <f>[1]Results!AG1384</f>
        <v>-8.4441710862892769</v>
      </c>
      <c r="AE24" s="1">
        <f>[1]Results!AH1384</f>
        <v>-8.5590924164636206</v>
      </c>
      <c r="AF24" s="1">
        <f>[1]Results!AI1384</f>
        <v>-8.6722517386988223</v>
      </c>
      <c r="AG24" s="1">
        <f>[1]Results!AJ1384</f>
        <v>-8.7837793168993645</v>
      </c>
      <c r="AH24" s="1">
        <f>[1]Results!AK1384</f>
        <v>-8.8924744126073421</v>
      </c>
      <c r="AI24" s="1">
        <f>[1]Results!AL1384</f>
        <v>-8.9993025863057916</v>
      </c>
      <c r="AJ24" s="1">
        <f>[1]Results!AM1384</f>
        <v>-9.1044260484348989</v>
      </c>
      <c r="AK24" s="1">
        <f>[1]Results!AN1384</f>
        <v>-9.2079026685742189</v>
      </c>
      <c r="AL24" s="1">
        <f>[1]Results!AO1384</f>
        <v>-9.3097601090039959</v>
      </c>
      <c r="AM24" s="1">
        <f>[1]Results!AP1384</f>
        <v>-9.3995479834538376</v>
      </c>
      <c r="AN24" s="1">
        <f>[1]Results!AQ1384</f>
        <v>-9.4851310168965863</v>
      </c>
      <c r="AO24" s="1">
        <f>[1]Results!AR1384</f>
        <v>-9.5677142930291392</v>
      </c>
      <c r="AP24" s="1">
        <f>[1]Results!AS1384</f>
        <v>-9.6478043015871826</v>
      </c>
      <c r="AQ24" s="1">
        <f>[1]Results!AT1384</f>
        <v>-9.7257638345964121</v>
      </c>
      <c r="AR24" s="1">
        <f>[1]Results!AU1384</f>
        <v>-9.8003362900203399</v>
      </c>
      <c r="AS24" s="1">
        <f>[1]Results!AV1384</f>
        <v>-9.8729415237802662</v>
      </c>
      <c r="AT24" s="1">
        <f>[1]Results!AW1384</f>
        <v>-9.9440109641303778</v>
      </c>
      <c r="AU24" s="1">
        <f>[1]Results!AX1384</f>
        <v>-10.013833769584245</v>
      </c>
      <c r="AV24" s="1">
        <f>[1]Results!AY1384</f>
        <v>-10.082644104940542</v>
      </c>
      <c r="AW24" s="1">
        <f>[1]Results!AZ1384</f>
        <v>-10.145662159755064</v>
      </c>
      <c r="AX24" s="1">
        <f>[1]Results!BA1384</f>
        <v>-10.20668851511396</v>
      </c>
      <c r="AY24" s="1">
        <f>[1]Results!BB1384</f>
        <v>-10.266477486470748</v>
      </c>
      <c r="AZ24" s="1">
        <f>[1]Results!BC1384</f>
        <v>-10.325457467520426</v>
      </c>
      <c r="BA24" s="1">
        <f>[1]Results!BD1384</f>
        <v>-10.383934470267796</v>
      </c>
      <c r="BB24" s="1">
        <f>[1]Results!BE1384</f>
        <v>0.12102451906113032</v>
      </c>
      <c r="BC24" s="1">
        <f>[1]Results!BF1384</f>
        <v>0.1305828611516846</v>
      </c>
      <c r="BD24" s="1">
        <f>[1]Results!BG1384</f>
        <v>0.14036785952271646</v>
      </c>
      <c r="BE24" s="1">
        <f>[1]Results!BH1384</f>
        <v>0.15031976500954336</v>
      </c>
      <c r="BF24" s="1">
        <f>[1]Results!BI1384</f>
        <v>0.1603921557421506</v>
      </c>
    </row>
    <row r="25" spans="1:58" x14ac:dyDescent="0.35">
      <c r="A25" s="3" t="str">
        <f>[1]Results!E1385</f>
        <v>100*((CH_2-CH_ccon_2)/(CH_0-CH_ccon_0)-1)</v>
      </c>
      <c r="B25" t="str">
        <f>[1]Results!C1385</f>
        <v>Consommation des ménages</v>
      </c>
      <c r="C25" s="1">
        <f>[1]Results!F1385</f>
        <v>-0.56499816433077665</v>
      </c>
      <c r="D25" s="1">
        <f>[1]Results!G1385</f>
        <v>-1.2422591375281566</v>
      </c>
      <c r="E25" s="1">
        <f>[1]Results!H1385</f>
        <v>-1.8762038310166984</v>
      </c>
      <c r="F25" s="1">
        <f>[1]Results!I1385</f>
        <v>-2.4215885633921075</v>
      </c>
      <c r="G25" s="1">
        <f>[1]Results!J1385</f>
        <v>-2.8700444668762426</v>
      </c>
      <c r="H25" s="1">
        <f>[1]Results!K1385</f>
        <v>-3.2272719830156893</v>
      </c>
      <c r="I25" s="1">
        <f>[1]Results!L1385</f>
        <v>-3.5058304547452512</v>
      </c>
      <c r="J25" s="1">
        <f>[1]Results!M1385</f>
        <v>-3.7186437736424049</v>
      </c>
      <c r="K25" s="1">
        <f>[1]Results!N1385</f>
        <v>-3.8787441640670162</v>
      </c>
      <c r="L25" s="1">
        <f>[1]Results!O1385</f>
        <v>-3.9978837860333738</v>
      </c>
      <c r="M25" s="1">
        <f>[1]Results!P1385</f>
        <v>-4.0848900397178589</v>
      </c>
      <c r="N25" s="1">
        <f>[1]Results!Q1385</f>
        <v>-4.1510610672561343</v>
      </c>
      <c r="O25" s="1">
        <f>[1]Results!R1385</f>
        <v>-4.2014396507744305</v>
      </c>
      <c r="P25" s="1">
        <f>[1]Results!S1385</f>
        <v>-4.2394519487068738</v>
      </c>
      <c r="Q25" s="1">
        <f>[1]Results!T1385</f>
        <v>-4.2675733463915737</v>
      </c>
      <c r="R25" s="1">
        <f>[1]Results!U1385</f>
        <v>-4.2877173588616309</v>
      </c>
      <c r="S25" s="1">
        <f>[1]Results!V1385</f>
        <v>-4.3032774724198974</v>
      </c>
      <c r="T25" s="1">
        <f>[1]Results!W1385</f>
        <v>-4.3159255772931786</v>
      </c>
      <c r="U25" s="1">
        <f>[1]Results!X1385</f>
        <v>-4.3267465944037635</v>
      </c>
      <c r="V25" s="1">
        <f>[1]Results!Y1385</f>
        <v>-4.3366343576422439</v>
      </c>
      <c r="W25" s="1">
        <f>[1]Results!Z1385</f>
        <v>-4.3470301416395856</v>
      </c>
      <c r="X25" s="1">
        <f>[1]Results!AA1385</f>
        <v>-4.3573588100385807</v>
      </c>
      <c r="Y25" s="1">
        <f>[1]Results!AB1385</f>
        <v>-4.3686833897409461</v>
      </c>
      <c r="Z25" s="1">
        <f>[1]Results!AC1385</f>
        <v>-4.381747965318894</v>
      </c>
      <c r="AA25" s="1">
        <f>[1]Results!AD1385</f>
        <v>-4.3970514298114267</v>
      </c>
      <c r="AB25" s="1">
        <f>[1]Results!AE1385</f>
        <v>-4.4165272733043608</v>
      </c>
      <c r="AC25" s="1">
        <f>[1]Results!AF1385</f>
        <v>-4.4369442363475624</v>
      </c>
      <c r="AD25" s="1">
        <f>[1]Results!AG1385</f>
        <v>-4.4585552181936166</v>
      </c>
      <c r="AE25" s="1">
        <f>[1]Results!AH1385</f>
        <v>-4.4816742051127623</v>
      </c>
      <c r="AF25" s="1">
        <f>[1]Results!AI1385</f>
        <v>-4.506497556420463</v>
      </c>
      <c r="AG25" s="1">
        <f>[1]Results!AJ1385</f>
        <v>-4.5330929848190209</v>
      </c>
      <c r="AH25" s="1">
        <f>[1]Results!AK1385</f>
        <v>-4.5610995414008588</v>
      </c>
      <c r="AI25" s="1">
        <f>[1]Results!AL1385</f>
        <v>-4.5903797003524982</v>
      </c>
      <c r="AJ25" s="1">
        <f>[1]Results!AM1385</f>
        <v>-4.6208490802043256</v>
      </c>
      <c r="AK25" s="1">
        <f>[1]Results!AN1385</f>
        <v>-4.6524258460556522</v>
      </c>
      <c r="AL25" s="1">
        <f>[1]Results!AO1385</f>
        <v>-4.6850217143101673</v>
      </c>
      <c r="AM25" s="1">
        <f>[1]Results!AP1385</f>
        <v>-4.7161109206186431</v>
      </c>
      <c r="AN25" s="1">
        <f>[1]Results!AQ1385</f>
        <v>-4.7448319531684273</v>
      </c>
      <c r="AO25" s="1">
        <f>[1]Results!AR1385</f>
        <v>-4.771373370945331</v>
      </c>
      <c r="AP25" s="1">
        <f>[1]Results!AS1385</f>
        <v>-4.7962781752633905</v>
      </c>
      <c r="AQ25" s="1">
        <f>[1]Results!AT1385</f>
        <v>-4.8201694653662308</v>
      </c>
      <c r="AR25" s="1">
        <f>[1]Results!AU1385</f>
        <v>-4.8432266615697444</v>
      </c>
      <c r="AS25" s="1">
        <f>[1]Results!AV1385</f>
        <v>-4.8659015921282744</v>
      </c>
      <c r="AT25" s="1">
        <f>[1]Results!AW1385</f>
        <v>-4.8886629060563962</v>
      </c>
      <c r="AU25" s="1">
        <f>[1]Results!AX1385</f>
        <v>-4.91191405068313</v>
      </c>
      <c r="AV25" s="1">
        <f>[1]Results!AY1385</f>
        <v>-4.9359787894237561</v>
      </c>
      <c r="AW25" s="1">
        <f>[1]Results!AZ1385</f>
        <v>-4.9597839330120959</v>
      </c>
      <c r="AX25" s="1">
        <f>[1]Results!BA1385</f>
        <v>-4.9833773859336628</v>
      </c>
      <c r="AY25" s="1">
        <f>[1]Results!BB1385</f>
        <v>-5.0071045665664453</v>
      </c>
      <c r="AZ25" s="1">
        <f>[1]Results!BC1385</f>
        <v>-5.0313450794889025</v>
      </c>
      <c r="BA25" s="1">
        <f>[1]Results!BD1385</f>
        <v>-5.0564316873762287</v>
      </c>
      <c r="BB25" s="1">
        <f>[1]Results!BE1385</f>
        <v>5.0694879674284543E-2</v>
      </c>
      <c r="BC25" s="1">
        <f>[1]Results!BF1385</f>
        <v>5.4749036903967152E-2</v>
      </c>
      <c r="BD25" s="1">
        <f>[1]Results!BG1385</f>
        <v>5.8653461274560392E-2</v>
      </c>
      <c r="BE25" s="1">
        <f>[1]Results!BH1385</f>
        <v>6.230993204430213E-2</v>
      </c>
      <c r="BF25" s="1">
        <f>[1]Results!BI1385</f>
        <v>6.5658514727173767E-2</v>
      </c>
    </row>
    <row r="26" spans="1:58" x14ac:dyDescent="0.35">
      <c r="A26" s="3" t="str">
        <f>[1]Results!E1386</f>
        <v>100*((I_2+CH_ccon_2)/(I_0+CH_ccon_0)-1)</v>
      </c>
      <c r="B26" t="str">
        <f>[1]Results!C1386</f>
        <v>Investissement</v>
      </c>
      <c r="C26" s="1">
        <f>[1]Results!F1386</f>
        <v>-1.1675202059834189</v>
      </c>
      <c r="D26" s="1">
        <f>[1]Results!G1386</f>
        <v>-1.9211268991937036</v>
      </c>
      <c r="E26" s="1">
        <f>[1]Results!H1386</f>
        <v>-2.4496114332779206</v>
      </c>
      <c r="F26" s="1">
        <f>[1]Results!I1386</f>
        <v>-2.8710026728334115</v>
      </c>
      <c r="G26" s="1">
        <f>[1]Results!J1386</f>
        <v>-3.2389759105276195</v>
      </c>
      <c r="H26" s="1">
        <f>[1]Results!K1386</f>
        <v>-3.5763954805926201</v>
      </c>
      <c r="I26" s="1">
        <f>[1]Results!L1386</f>
        <v>-3.8942006673045149</v>
      </c>
      <c r="J26" s="1">
        <f>[1]Results!M1386</f>
        <v>-4.1961547018446783</v>
      </c>
      <c r="K26" s="1">
        <f>[1]Results!N1386</f>
        <v>-4.4843421230579388</v>
      </c>
      <c r="L26" s="1">
        <f>[1]Results!O1386</f>
        <v>-4.7605454440765582</v>
      </c>
      <c r="M26" s="1">
        <f>[1]Results!P1386</f>
        <v>-5.0262615278514495</v>
      </c>
      <c r="N26" s="1">
        <f>[1]Results!Q1386</f>
        <v>-5.2873087059869377</v>
      </c>
      <c r="O26" s="1">
        <f>[1]Results!R1386</f>
        <v>-5.5427928305257996</v>
      </c>
      <c r="P26" s="1">
        <f>[1]Results!S1386</f>
        <v>-5.7921358408881796</v>
      </c>
      <c r="Q26" s="1">
        <f>[1]Results!T1386</f>
        <v>-6.0349283197157932</v>
      </c>
      <c r="R26" s="1">
        <f>[1]Results!U1386</f>
        <v>-6.2707616746341959</v>
      </c>
      <c r="S26" s="1">
        <f>[1]Results!V1386</f>
        <v>-6.5029904355583534</v>
      </c>
      <c r="T26" s="1">
        <f>[1]Results!W1386</f>
        <v>-6.7294248669350187</v>
      </c>
      <c r="U26" s="1">
        <f>[1]Results!X1386</f>
        <v>-6.9487395372642924</v>
      </c>
      <c r="V26" s="1">
        <f>[1]Results!Y1386</f>
        <v>-7.1601820456928422</v>
      </c>
      <c r="W26" s="1">
        <f>[1]Results!Z1386</f>
        <v>-7.3635500359155444</v>
      </c>
      <c r="X26" s="1">
        <f>[1]Results!AA1386</f>
        <v>-7.5581157202690319</v>
      </c>
      <c r="Y26" s="1">
        <f>[1]Results!AB1386</f>
        <v>-7.7437652818745928</v>
      </c>
      <c r="Z26" s="1">
        <f>[1]Results!AC1386</f>
        <v>-7.9205125961688383</v>
      </c>
      <c r="AA26" s="1">
        <f>[1]Results!AD1386</f>
        <v>-8.0883950557010138</v>
      </c>
      <c r="AB26" s="1">
        <f>[1]Results!AE1386</f>
        <v>-8.2481232154235649</v>
      </c>
      <c r="AC26" s="1">
        <f>[1]Results!AF1386</f>
        <v>-8.3976111230778976</v>
      </c>
      <c r="AD26" s="1">
        <f>[1]Results!AG1386</f>
        <v>-8.5374347522983669</v>
      </c>
      <c r="AE26" s="1">
        <f>[1]Results!AH1386</f>
        <v>-8.6680570452397738</v>
      </c>
      <c r="AF26" s="1">
        <f>[1]Results!AI1386</f>
        <v>-8.7898083931039377</v>
      </c>
      <c r="AG26" s="1">
        <f>[1]Results!AJ1386</f>
        <v>-8.9029409888808146</v>
      </c>
      <c r="AH26" s="1">
        <f>[1]Results!AK1386</f>
        <v>-9.007001133814807</v>
      </c>
      <c r="AI26" s="1">
        <f>[1]Results!AL1386</f>
        <v>-9.1024875549448936</v>
      </c>
      <c r="AJ26" s="1">
        <f>[1]Results!AM1386</f>
        <v>-9.1897665323516726</v>
      </c>
      <c r="AK26" s="1">
        <f>[1]Results!AN1386</f>
        <v>-9.2691336461115164</v>
      </c>
      <c r="AL26" s="1">
        <f>[1]Results!AO1386</f>
        <v>-9.34086487702357</v>
      </c>
      <c r="AM26" s="1">
        <f>[1]Results!AP1386</f>
        <v>-9.3998887677552041</v>
      </c>
      <c r="AN26" s="1">
        <f>[1]Results!AQ1386</f>
        <v>-9.4488678405033824</v>
      </c>
      <c r="AO26" s="1">
        <f>[1]Results!AR1386</f>
        <v>-9.4893437253819162</v>
      </c>
      <c r="AP26" s="1">
        <f>[1]Results!AS1386</f>
        <v>-9.5222282899473214</v>
      </c>
      <c r="AQ26" s="1">
        <f>[1]Results!AT1386</f>
        <v>-9.5481814973198187</v>
      </c>
      <c r="AR26" s="1">
        <f>[1]Results!AU1386</f>
        <v>-9.5669495952334422</v>
      </c>
      <c r="AS26" s="1">
        <f>[1]Results!AV1386</f>
        <v>-9.5794170484411527</v>
      </c>
      <c r="AT26" s="1">
        <f>[1]Results!AW1386</f>
        <v>-9.5862878899151571</v>
      </c>
      <c r="AU26" s="1">
        <f>[1]Results!AX1386</f>
        <v>-9.5881499999941884</v>
      </c>
      <c r="AV26" s="1">
        <f>[1]Results!AY1386</f>
        <v>-9.5855330850645686</v>
      </c>
      <c r="AW26" s="1">
        <f>[1]Results!AZ1386</f>
        <v>-9.5763306351260962</v>
      </c>
      <c r="AX26" s="1">
        <f>[1]Results!BA1386</f>
        <v>-9.5621546120083103</v>
      </c>
      <c r="AY26" s="1">
        <f>[1]Results!BB1386</f>
        <v>-9.5440950351227904</v>
      </c>
      <c r="AZ26" s="1">
        <f>[1]Results!BC1386</f>
        <v>-9.5228651916096965</v>
      </c>
      <c r="BA26" s="1">
        <f>[1]Results!BD1386</f>
        <v>-9.499011816290249</v>
      </c>
      <c r="BB26" s="1">
        <f>[1]Results!BE1386</f>
        <v>-2.4029598338692892E-2</v>
      </c>
      <c r="BC26" s="1">
        <f>[1]Results!BF1386</f>
        <v>-2.9464789680022641E-3</v>
      </c>
      <c r="BD26" s="1">
        <f>[1]Results!BG1386</f>
        <v>1.9727906363664616E-2</v>
      </c>
      <c r="BE26" s="1">
        <f>[1]Results!BH1386</f>
        <v>4.3856441714518191E-2</v>
      </c>
      <c r="BF26" s="1">
        <f>[1]Results!BI1386</f>
        <v>6.9296504480398369E-2</v>
      </c>
    </row>
    <row r="27" spans="1:58" x14ac:dyDescent="0.35">
      <c r="A27" s="3" t="str">
        <f>[1]Results!E1387</f>
        <v>100*((CH_ccon_2)/(CH_ccon_0)-1)</v>
      </c>
      <c r="B27" t="str">
        <f>[1]Results!C1387</f>
        <v>Investissement ménages</v>
      </c>
      <c r="C27" s="1">
        <f>[1]Results!F1387</f>
        <v>-0.58123528497633359</v>
      </c>
      <c r="D27" s="1">
        <f>[1]Results!G1387</f>
        <v>-1.1458907684340547</v>
      </c>
      <c r="E27" s="1">
        <f>[1]Results!H1387</f>
        <v>-1.6100746181347936</v>
      </c>
      <c r="F27" s="1">
        <f>[1]Results!I1387</f>
        <v>-1.9994969829814857</v>
      </c>
      <c r="G27" s="1">
        <f>[1]Results!J1387</f>
        <v>-2.3415062301918033</v>
      </c>
      <c r="H27" s="1">
        <f>[1]Results!K1387</f>
        <v>-2.645066958468878</v>
      </c>
      <c r="I27" s="1">
        <f>[1]Results!L1387</f>
        <v>-2.9141866957176243</v>
      </c>
      <c r="J27" s="1">
        <f>[1]Results!M1387</f>
        <v>-3.1469187182182945</v>
      </c>
      <c r="K27" s="1">
        <f>[1]Results!N1387</f>
        <v>-3.3432845318240423</v>
      </c>
      <c r="L27" s="1">
        <f>[1]Results!O1387</f>
        <v>-3.5058055773249053</v>
      </c>
      <c r="M27" s="1">
        <f>[1]Results!P1387</f>
        <v>-3.6376834051185858</v>
      </c>
      <c r="N27" s="1">
        <f>[1]Results!Q1387</f>
        <v>-3.7467696132155837</v>
      </c>
      <c r="O27" s="1">
        <f>[1]Results!R1387</f>
        <v>-3.8363769007002446</v>
      </c>
      <c r="P27" s="1">
        <f>[1]Results!S1387</f>
        <v>-3.9092620495665531</v>
      </c>
      <c r="Q27" s="1">
        <f>[1]Results!T1387</f>
        <v>-3.9678860059431331</v>
      </c>
      <c r="R27" s="1">
        <f>[1]Results!U1387</f>
        <v>-4.0144909594963529</v>
      </c>
      <c r="S27" s="1">
        <f>[1]Results!V1387</f>
        <v>-4.0527167054659197</v>
      </c>
      <c r="T27" s="1">
        <f>[1]Results!W1387</f>
        <v>-4.0845948361925561</v>
      </c>
      <c r="U27" s="1">
        <f>[1]Results!X1387</f>
        <v>-4.1117356590230187</v>
      </c>
      <c r="V27" s="1">
        <f>[1]Results!Y1387</f>
        <v>-4.1356956278352346</v>
      </c>
      <c r="W27" s="1">
        <f>[1]Results!Z1387</f>
        <v>-4.1585546229709003</v>
      </c>
      <c r="X27" s="1">
        <f>[1]Results!AA1387</f>
        <v>-4.1805165267150173</v>
      </c>
      <c r="Y27" s="1">
        <f>[1]Results!AB1387</f>
        <v>-4.203213766470193</v>
      </c>
      <c r="Z27" s="1">
        <f>[1]Results!AC1387</f>
        <v>-4.2278503140688928</v>
      </c>
      <c r="AA27" s="1">
        <f>[1]Results!AD1387</f>
        <v>-4.2552517594702248</v>
      </c>
      <c r="AB27" s="1">
        <f>[1]Results!AE1387</f>
        <v>-4.2873818895231235</v>
      </c>
      <c r="AC27" s="1">
        <f>[1]Results!AF1387</f>
        <v>-4.321503789530567</v>
      </c>
      <c r="AD27" s="1">
        <f>[1]Results!AG1387</f>
        <v>-4.3581128175724686</v>
      </c>
      <c r="AE27" s="1">
        <f>[1]Results!AH1387</f>
        <v>-4.3976824985456853</v>
      </c>
      <c r="AF27" s="1">
        <f>[1]Results!AI1387</f>
        <v>-4.4404285273391348</v>
      </c>
      <c r="AG27" s="1">
        <f>[1]Results!AJ1387</f>
        <v>-4.4863137074777288</v>
      </c>
      <c r="AH27" s="1">
        <f>[1]Results!AK1387</f>
        <v>-4.5348486727914477</v>
      </c>
      <c r="AI27" s="1">
        <f>[1]Results!AL1387</f>
        <v>-4.5857282704575901</v>
      </c>
      <c r="AJ27" s="1">
        <f>[1]Results!AM1387</f>
        <v>-4.638672499530605</v>
      </c>
      <c r="AK27" s="1">
        <f>[1]Results!AN1387</f>
        <v>-4.693389918030344</v>
      </c>
      <c r="AL27" s="1">
        <f>[1]Results!AO1387</f>
        <v>-4.7495842985144758</v>
      </c>
      <c r="AM27" s="1">
        <f>[1]Results!AP1387</f>
        <v>-4.8049007043733933</v>
      </c>
      <c r="AN27" s="1">
        <f>[1]Results!AQ1387</f>
        <v>-4.8586314532120145</v>
      </c>
      <c r="AO27" s="1">
        <f>[1]Results!AR1387</f>
        <v>-4.9108896162894595</v>
      </c>
      <c r="AP27" s="1">
        <f>[1]Results!AS1387</f>
        <v>-4.9619296307572336</v>
      </c>
      <c r="AQ27" s="1">
        <f>[1]Results!AT1387</f>
        <v>-5.011977508816412</v>
      </c>
      <c r="AR27" s="1">
        <f>[1]Results!AU1387</f>
        <v>-5.0608685297999889</v>
      </c>
      <c r="AS27" s="1">
        <f>[1]Results!AV1387</f>
        <v>-5.1087422769908075</v>
      </c>
      <c r="AT27" s="1">
        <f>[1]Results!AW1387</f>
        <v>-5.1557853033213474</v>
      </c>
      <c r="AU27" s="1">
        <f>[1]Results!AX1387</f>
        <v>-5.2021472752799225</v>
      </c>
      <c r="AV27" s="1">
        <f>[1]Results!AY1387</f>
        <v>-5.2479524573959218</v>
      </c>
      <c r="AW27" s="1">
        <f>[1]Results!AZ1387</f>
        <v>-5.2922539438326037</v>
      </c>
      <c r="AX27" s="1">
        <f>[1]Results!BA1387</f>
        <v>-5.3353008404160125</v>
      </c>
      <c r="AY27" s="1">
        <f>[1]Results!BB1387</f>
        <v>-5.3774715211916124</v>
      </c>
      <c r="AZ27" s="1">
        <f>[1]Results!BC1387</f>
        <v>-5.4187403788387156</v>
      </c>
      <c r="BA27" s="1">
        <f>[1]Results!BD1387</f>
        <v>-5.4590500046829638</v>
      </c>
      <c r="BB27" s="1">
        <f>[1]Results!BE1387</f>
        <v>-0.17458533209651073</v>
      </c>
      <c r="BC27" s="1">
        <f>[1]Results!BF1387</f>
        <v>-0.18184727266860046</v>
      </c>
      <c r="BD27" s="1">
        <f>[1]Results!BG1387</f>
        <v>-0.18919186420462974</v>
      </c>
      <c r="BE27" s="1">
        <f>[1]Results!BH1387</f>
        <v>-0.19676894095761455</v>
      </c>
      <c r="BF27" s="1">
        <f>[1]Results!BI1387</f>
        <v>-0.20467680295104262</v>
      </c>
    </row>
    <row r="28" spans="1:58" x14ac:dyDescent="0.35">
      <c r="A28" s="3" t="str">
        <f>[1]Results!E1388</f>
        <v>100*((IA_spub_2)/(IA_spub_0)-1)</v>
      </c>
      <c r="B28" t="str">
        <f>[1]Results!C1388</f>
        <v>Investissement public</v>
      </c>
      <c r="C28" s="1">
        <f>[1]Results!F1388</f>
        <v>-0.17454162572327903</v>
      </c>
      <c r="D28" s="1">
        <f>[1]Results!G1388</f>
        <v>-0.26137365163757531</v>
      </c>
      <c r="E28" s="1">
        <f>[1]Results!H1388</f>
        <v>-0.30028422839574187</v>
      </c>
      <c r="F28" s="1">
        <f>[1]Results!I1388</f>
        <v>-0.32839903545627269</v>
      </c>
      <c r="G28" s="1">
        <f>[1]Results!J1388</f>
        <v>-0.36302429685183268</v>
      </c>
      <c r="H28" s="1">
        <f>[1]Results!K1388</f>
        <v>-0.40906101979696352</v>
      </c>
      <c r="I28" s="1">
        <f>[1]Results!L1388</f>
        <v>-0.46646513705251857</v>
      </c>
      <c r="J28" s="1">
        <f>[1]Results!M1388</f>
        <v>-0.53277650208057858</v>
      </c>
      <c r="K28" s="1">
        <f>[1]Results!N1388</f>
        <v>-0.60575953106598579</v>
      </c>
      <c r="L28" s="1">
        <f>[1]Results!O1388</f>
        <v>-0.68372383143872062</v>
      </c>
      <c r="M28" s="1">
        <f>[1]Results!P1388</f>
        <v>-0.76502239741027545</v>
      </c>
      <c r="N28" s="1">
        <f>[1]Results!Q1388</f>
        <v>-0.84990005255444201</v>
      </c>
      <c r="O28" s="1">
        <f>[1]Results!R1388</f>
        <v>-0.93644680177543682</v>
      </c>
      <c r="P28" s="1">
        <f>[1]Results!S1388</f>
        <v>-1.0231823897107417</v>
      </c>
      <c r="Q28" s="1">
        <f>[1]Results!T1388</f>
        <v>-1.1089046049744478</v>
      </c>
      <c r="R28" s="1">
        <f>[1]Results!U1388</f>
        <v>-1.1925939961700882</v>
      </c>
      <c r="S28" s="1">
        <f>[1]Results!V1388</f>
        <v>-1.2739458684643656</v>
      </c>
      <c r="T28" s="1">
        <f>[1]Results!W1388</f>
        <v>-1.3519323306469988</v>
      </c>
      <c r="U28" s="1">
        <f>[1]Results!X1388</f>
        <v>-1.425877940289666</v>
      </c>
      <c r="V28" s="1">
        <f>[1]Results!Y1388</f>
        <v>-1.495407734936649</v>
      </c>
      <c r="W28" s="1">
        <f>[1]Results!Z1388</f>
        <v>-1.5606008925287296</v>
      </c>
      <c r="X28" s="1">
        <f>[1]Results!AA1388</f>
        <v>-1.6208406476439285</v>
      </c>
      <c r="Y28" s="1">
        <f>[1]Results!AB1388</f>
        <v>-1.6764912925222197</v>
      </c>
      <c r="Z28" s="1">
        <f>[1]Results!AC1388</f>
        <v>-1.7278211608777183</v>
      </c>
      <c r="AA28" s="1">
        <f>[1]Results!AD1388</f>
        <v>-1.7750841103236326</v>
      </c>
      <c r="AB28" s="1">
        <f>[1]Results!AE1388</f>
        <v>-1.8192360207376912</v>
      </c>
      <c r="AC28" s="1">
        <f>[1]Results!AF1388</f>
        <v>-1.859052556059082</v>
      </c>
      <c r="AD28" s="1">
        <f>[1]Results!AG1388</f>
        <v>-1.8952984438616371</v>
      </c>
      <c r="AE28" s="1">
        <f>[1]Results!AH1388</f>
        <v>-1.9285466133999951</v>
      </c>
      <c r="AF28" s="1">
        <f>[1]Results!AI1388</f>
        <v>-1.9592466313731127</v>
      </c>
      <c r="AG28" s="1">
        <f>[1]Results!AJ1388</f>
        <v>-1.987771240849534</v>
      </c>
      <c r="AH28" s="1">
        <f>[1]Results!AK1388</f>
        <v>-2.0143412031579877</v>
      </c>
      <c r="AI28" s="1">
        <f>[1]Results!AL1388</f>
        <v>-2.0392957184722893</v>
      </c>
      <c r="AJ28" s="1">
        <f>[1]Results!AM1388</f>
        <v>-2.0629115691740529</v>
      </c>
      <c r="AK28" s="1">
        <f>[1]Results!AN1388</f>
        <v>-2.0854159121295068</v>
      </c>
      <c r="AL28" s="1">
        <f>[1]Results!AO1388</f>
        <v>-2.1070031559734081</v>
      </c>
      <c r="AM28" s="1">
        <f>[1]Results!AP1388</f>
        <v>-2.1271924636445783</v>
      </c>
      <c r="AN28" s="1">
        <f>[1]Results!AQ1388</f>
        <v>-2.1464071145531283</v>
      </c>
      <c r="AO28" s="1">
        <f>[1]Results!AR1388</f>
        <v>-2.1649683320643764</v>
      </c>
      <c r="AP28" s="1">
        <f>[1]Results!AS1388</f>
        <v>-2.1830505662828625</v>
      </c>
      <c r="AQ28" s="1">
        <f>[1]Results!AT1388</f>
        <v>-2.2007540338134235</v>
      </c>
      <c r="AR28" s="1">
        <f>[1]Results!AU1388</f>
        <v>-2.2180259835298699</v>
      </c>
      <c r="AS28" s="1">
        <f>[1]Results!AV1388</f>
        <v>-2.2349880679815914</v>
      </c>
      <c r="AT28" s="1">
        <f>[1]Results!AW1388</f>
        <v>-2.2517084957880185</v>
      </c>
      <c r="AU28" s="1">
        <f>[1]Results!AX1388</f>
        <v>-2.2682123713037572</v>
      </c>
      <c r="AV28" s="1">
        <f>[1]Results!AY1388</f>
        <v>-2.284502433239477</v>
      </c>
      <c r="AW28" s="1">
        <f>[1]Results!AZ1388</f>
        <v>-2.3001831485423674</v>
      </c>
      <c r="AX28" s="1">
        <f>[1]Results!BA1388</f>
        <v>-2.3155045643445282</v>
      </c>
      <c r="AY28" s="1">
        <f>[1]Results!BB1388</f>
        <v>-2.3305768845522823</v>
      </c>
      <c r="AZ28" s="1">
        <f>[1]Results!BC1388</f>
        <v>-2.3453887799908202</v>
      </c>
      <c r="BA28" s="1">
        <f>[1]Results!BD1388</f>
        <v>-2.3598902591173032</v>
      </c>
      <c r="BB28" s="1">
        <f>[1]Results!BE1388</f>
        <v>-4.6237572208673861E-2</v>
      </c>
      <c r="BC28" s="1">
        <f>[1]Results!BF1388</f>
        <v>-3.9788414709518438E-2</v>
      </c>
      <c r="BD28" s="1">
        <f>[1]Results!BG1388</f>
        <v>-3.2910111721817792E-2</v>
      </c>
      <c r="BE28" s="1">
        <f>[1]Results!BH1388</f>
        <v>-2.5688620004793439E-2</v>
      </c>
      <c r="BF28" s="1">
        <f>[1]Results!BI1388</f>
        <v>-1.8194280593819556E-2</v>
      </c>
    </row>
    <row r="29" spans="1:58" x14ac:dyDescent="0.35">
      <c r="A29" s="3" t="str">
        <f>[1]Results!E1389</f>
        <v>100*(DISPINC_AT_VAL_2/DISPINC_AT_VAL_0-1)</v>
      </c>
      <c r="B29" t="str">
        <f>[1]Results!C1389</f>
        <v>Revenu disponible des ménages</v>
      </c>
      <c r="C29" s="1">
        <f>[1]Results!F1389</f>
        <v>-1.0804736895875466</v>
      </c>
      <c r="D29" s="1">
        <f>[1]Results!G1389</f>
        <v>-2.0863320257419993</v>
      </c>
      <c r="E29" s="1">
        <f>[1]Results!H1389</f>
        <v>-3.0017792569264068</v>
      </c>
      <c r="F29" s="1">
        <f>[1]Results!I1389</f>
        <v>-3.8194401740620831</v>
      </c>
      <c r="G29" s="1">
        <f>[1]Results!J1389</f>
        <v>-4.5381692771139122</v>
      </c>
      <c r="H29" s="1">
        <f>[1]Results!K1389</f>
        <v>-5.1626287354164297</v>
      </c>
      <c r="I29" s="1">
        <f>[1]Results!L1389</f>
        <v>-5.7029937416142591</v>
      </c>
      <c r="J29" s="1">
        <f>[1]Results!M1389</f>
        <v>-6.1670204638728077</v>
      </c>
      <c r="K29" s="1">
        <f>[1]Results!N1389</f>
        <v>-6.5634095181692391</v>
      </c>
      <c r="L29" s="1">
        <f>[1]Results!O1389</f>
        <v>-6.8998911949424535</v>
      </c>
      <c r="M29" s="1">
        <f>[1]Results!P1389</f>
        <v>-7.181525484058648</v>
      </c>
      <c r="N29" s="1">
        <f>[1]Results!Q1389</f>
        <v>-7.4211998486913844</v>
      </c>
      <c r="O29" s="1">
        <f>[1]Results!R1389</f>
        <v>-7.621260647635431</v>
      </c>
      <c r="P29" s="1">
        <f>[1]Results!S1389</f>
        <v>-7.7859083283764345</v>
      </c>
      <c r="Q29" s="1">
        <f>[1]Results!T1389</f>
        <v>-7.9191500977710323</v>
      </c>
      <c r="R29" s="1">
        <f>[1]Results!U1389</f>
        <v>-8.0248913894148561</v>
      </c>
      <c r="S29" s="1">
        <f>[1]Results!V1389</f>
        <v>-8.1103005836550945</v>
      </c>
      <c r="T29" s="1">
        <f>[1]Results!W1389</f>
        <v>-8.1786612535986407</v>
      </c>
      <c r="U29" s="1">
        <f>[1]Results!X1389</f>
        <v>-8.2331281060451396</v>
      </c>
      <c r="V29" s="1">
        <f>[1]Results!Y1389</f>
        <v>-8.2766890733162573</v>
      </c>
      <c r="W29" s="1">
        <f>[1]Results!Z1389</f>
        <v>-8.3132437058031083</v>
      </c>
      <c r="X29" s="1">
        <f>[1]Results!AA1389</f>
        <v>-8.3427372391125747</v>
      </c>
      <c r="Y29" s="1">
        <f>[1]Results!AB1389</f>
        <v>-8.368766329987432</v>
      </c>
      <c r="Z29" s="1">
        <f>[1]Results!AC1389</f>
        <v>-8.3932509183975093</v>
      </c>
      <c r="AA29" s="1">
        <f>[1]Results!AD1389</f>
        <v>-8.4177975225313126</v>
      </c>
      <c r="AB29" s="1">
        <f>[1]Results!AE1389</f>
        <v>-8.4466377102306094</v>
      </c>
      <c r="AC29" s="1">
        <f>[1]Results!AF1389</f>
        <v>-8.4741356346932584</v>
      </c>
      <c r="AD29" s="1">
        <f>[1]Results!AG1389</f>
        <v>-8.5031331920103028</v>
      </c>
      <c r="AE29" s="1">
        <f>[1]Results!AH1389</f>
        <v>-8.5342773213055061</v>
      </c>
      <c r="AF29" s="1">
        <f>[1]Results!AI1389</f>
        <v>-8.5679841516399069</v>
      </c>
      <c r="AG29" s="1">
        <f>[1]Results!AJ1389</f>
        <v>-8.6044987915193776</v>
      </c>
      <c r="AH29" s="1">
        <f>[1]Results!AK1389</f>
        <v>-8.6433195881705842</v>
      </c>
      <c r="AI29" s="1">
        <f>[1]Results!AL1389</f>
        <v>-8.6845300431162009</v>
      </c>
      <c r="AJ29" s="1">
        <f>[1]Results!AM1389</f>
        <v>-8.7281244622478216</v>
      </c>
      <c r="AK29" s="1">
        <f>[1]Results!AN1389</f>
        <v>-8.7740265424224635</v>
      </c>
      <c r="AL29" s="1">
        <f>[1]Results!AO1389</f>
        <v>-8.8221065786031723</v>
      </c>
      <c r="AM29" s="1">
        <f>[1]Results!AP1389</f>
        <v>-8.8677231873347075</v>
      </c>
      <c r="AN29" s="1">
        <f>[1]Results!AQ1389</f>
        <v>-8.9105839730215131</v>
      </c>
      <c r="AO29" s="1">
        <f>[1]Results!AR1389</f>
        <v>-8.9512158077959754</v>
      </c>
      <c r="AP29" s="1">
        <f>[1]Results!AS1389</f>
        <v>-8.990157755705475</v>
      </c>
      <c r="AQ29" s="1">
        <f>[1]Results!AT1389</f>
        <v>-9.0279333377458411</v>
      </c>
      <c r="AR29" s="1">
        <f>[1]Results!AU1389</f>
        <v>-9.064273729187688</v>
      </c>
      <c r="AS29" s="1">
        <f>[1]Results!AV1389</f>
        <v>-9.0997197360579314</v>
      </c>
      <c r="AT29" s="1">
        <f>[1]Results!AW1389</f>
        <v>-9.1347656624822129</v>
      </c>
      <c r="AU29" s="1">
        <f>[1]Results!AX1389</f>
        <v>-9.1698605188231248</v>
      </c>
      <c r="AV29" s="1">
        <f>[1]Results!AY1389</f>
        <v>-9.2054118426627802</v>
      </c>
      <c r="AW29" s="1">
        <f>[1]Results!AZ1389</f>
        <v>-9.2393479945134693</v>
      </c>
      <c r="AX29" s="1">
        <f>[1]Results!BA1389</f>
        <v>-9.2723883699567189</v>
      </c>
      <c r="AY29" s="1">
        <f>[1]Results!BB1389</f>
        <v>-9.3051693359485039</v>
      </c>
      <c r="AZ29" s="1">
        <f>[1]Results!BC1389</f>
        <v>-9.3382609901473401</v>
      </c>
      <c r="BA29" s="1">
        <f>[1]Results!BD1389</f>
        <v>-9.3721660138058045</v>
      </c>
      <c r="BB29" s="1">
        <f>[1]Results!BE1389</f>
        <v>0.8125431429759411</v>
      </c>
      <c r="BC29" s="1">
        <f>[1]Results!BF1389</f>
        <v>0.84413600174433334</v>
      </c>
      <c r="BD29" s="1">
        <f>[1]Results!BG1389</f>
        <v>0.87530829797670684</v>
      </c>
      <c r="BE29" s="1">
        <f>[1]Results!BH1389</f>
        <v>0.90604525289521565</v>
      </c>
      <c r="BF29" s="1">
        <f>[1]Results!BI1389</f>
        <v>0.93634214291802298</v>
      </c>
    </row>
    <row r="30" spans="1:58" x14ac:dyDescent="0.35">
      <c r="A30" s="3" t="str">
        <f>[1]Results!E1390</f>
        <v>100*(DISPINC_AT_VAL_2/DISPINC_AT_VAL_0-1)-100*(PCH_2/PCH_0-1)</v>
      </c>
      <c r="B30" t="str">
        <f>[1]Results!C1390</f>
        <v>Revenu disponible réel des ménages</v>
      </c>
      <c r="C30" s="1">
        <f>[1]Results!F1390</f>
        <v>-0.82789282708083389</v>
      </c>
      <c r="D30" s="1">
        <f>[1]Results!G1390</f>
        <v>-1.4792410812695778</v>
      </c>
      <c r="E30" s="1">
        <f>[1]Results!H1390</f>
        <v>-2.0145593616308077</v>
      </c>
      <c r="F30" s="1">
        <f>[1]Results!I1390</f>
        <v>-2.4599101941492951</v>
      </c>
      <c r="G30" s="1">
        <f>[1]Results!J1390</f>
        <v>-2.8262366934506562</v>
      </c>
      <c r="H30" s="1">
        <f>[1]Results!K1390</f>
        <v>-3.1216703975272093</v>
      </c>
      <c r="I30" s="1">
        <f>[1]Results!L1390</f>
        <v>-3.3570321807880328</v>
      </c>
      <c r="J30" s="1">
        <f>[1]Results!M1390</f>
        <v>-3.540860148273639</v>
      </c>
      <c r="K30" s="1">
        <f>[1]Results!N1390</f>
        <v>-3.6829695246498488</v>
      </c>
      <c r="L30" s="1">
        <f>[1]Results!O1390</f>
        <v>-3.7921199774584302</v>
      </c>
      <c r="M30" s="1">
        <f>[1]Results!P1390</f>
        <v>-3.8741714683395485</v>
      </c>
      <c r="N30" s="1">
        <f>[1]Results!Q1390</f>
        <v>-3.9405442547656433</v>
      </c>
      <c r="O30" s="1">
        <f>[1]Results!R1390</f>
        <v>-3.9923026256978082</v>
      </c>
      <c r="P30" s="1">
        <f>[1]Results!S1390</f>
        <v>-4.0321233880166627</v>
      </c>
      <c r="Q30" s="1">
        <f>[1]Results!T1390</f>
        <v>-4.0621899176513256</v>
      </c>
      <c r="R30" s="1">
        <f>[1]Results!U1390</f>
        <v>-4.084332214521524</v>
      </c>
      <c r="S30" s="1">
        <f>[1]Results!V1390</f>
        <v>-4.1026489604592769</v>
      </c>
      <c r="T30" s="1">
        <f>[1]Results!W1390</f>
        <v>-4.11789436164175</v>
      </c>
      <c r="U30" s="1">
        <f>[1]Results!X1390</f>
        <v>-4.1309815842674009</v>
      </c>
      <c r="V30" s="1">
        <f>[1]Results!Y1390</f>
        <v>-4.1428371619785525</v>
      </c>
      <c r="W30" s="1">
        <f>[1]Results!Z1390</f>
        <v>-4.1552195356327921</v>
      </c>
      <c r="X30" s="1">
        <f>[1]Results!AA1390</f>
        <v>-4.1666195235622325</v>
      </c>
      <c r="Y30" s="1">
        <f>[1]Results!AB1390</f>
        <v>-4.1791060423407078</v>
      </c>
      <c r="Z30" s="1">
        <f>[1]Results!AC1390</f>
        <v>-4.1931993438730766</v>
      </c>
      <c r="AA30" s="1">
        <f>[1]Results!AD1390</f>
        <v>-4.209264721553275</v>
      </c>
      <c r="AB30" s="1">
        <f>[1]Results!AE1390</f>
        <v>-4.2298516395354984</v>
      </c>
      <c r="AC30" s="1">
        <f>[1]Results!AF1390</f>
        <v>-4.2492513833953911</v>
      </c>
      <c r="AD30" s="1">
        <f>[1]Results!AG1390</f>
        <v>-4.2699258800114928</v>
      </c>
      <c r="AE30" s="1">
        <f>[1]Results!AH1390</f>
        <v>-4.2921500008219153</v>
      </c>
      <c r="AF30" s="1">
        <f>[1]Results!AI1390</f>
        <v>-4.3160107284961775</v>
      </c>
      <c r="AG30" s="1">
        <f>[1]Results!AJ1390</f>
        <v>-4.3414907385230022</v>
      </c>
      <c r="AH30" s="1">
        <f>[1]Results!AK1390</f>
        <v>-4.3680555284091316</v>
      </c>
      <c r="AI30" s="1">
        <f>[1]Results!AL1390</f>
        <v>-4.3957253978064053</v>
      </c>
      <c r="AJ30" s="1">
        <f>[1]Results!AM1390</f>
        <v>-4.4244533034643263</v>
      </c>
      <c r="AK30" s="1">
        <f>[1]Results!AN1390</f>
        <v>-4.4541629209946976</v>
      </c>
      <c r="AL30" s="1">
        <f>[1]Results!AO1390</f>
        <v>-4.4847680392583467</v>
      </c>
      <c r="AM30" s="1">
        <f>[1]Results!AP1390</f>
        <v>-4.5128321144755841</v>
      </c>
      <c r="AN30" s="1">
        <f>[1]Results!AQ1390</f>
        <v>-4.5385719701275136</v>
      </c>
      <c r="AO30" s="1">
        <f>[1]Results!AR1390</f>
        <v>-4.5626778902565608</v>
      </c>
      <c r="AP30" s="1">
        <f>[1]Results!AS1390</f>
        <v>-4.5857180624826581</v>
      </c>
      <c r="AQ30" s="1">
        <f>[1]Results!AT1390</f>
        <v>-4.6081949788705057</v>
      </c>
      <c r="AR30" s="1">
        <f>[1]Results!AU1390</f>
        <v>-4.6299825942013202</v>
      </c>
      <c r="AS30" s="1">
        <f>[1]Results!AV1390</f>
        <v>-4.6516099370633164</v>
      </c>
      <c r="AT30" s="1">
        <f>[1]Results!AW1390</f>
        <v>-4.6734753008925587</v>
      </c>
      <c r="AU30" s="1">
        <f>[1]Results!AX1390</f>
        <v>-4.6958865518858861</v>
      </c>
      <c r="AV30" s="1">
        <f>[1]Results!AY1390</f>
        <v>-4.7190859011936759</v>
      </c>
      <c r="AW30" s="1">
        <f>[1]Results!AZ1390</f>
        <v>-4.7414385232014133</v>
      </c>
      <c r="AX30" s="1">
        <f>[1]Results!BA1390</f>
        <v>-4.7636625479598678</v>
      </c>
      <c r="AY30" s="1">
        <f>[1]Results!BB1390</f>
        <v>-4.7861946979866561</v>
      </c>
      <c r="AZ30" s="1">
        <f>[1]Results!BC1390</f>
        <v>-4.8093439926589436</v>
      </c>
      <c r="BA30" s="1">
        <f>[1]Results!BD1390</f>
        <v>-4.8333532464520204</v>
      </c>
      <c r="BB30" s="1">
        <f>[1]Results!BE1390</f>
        <v>4.7498446736571331E-2</v>
      </c>
      <c r="BC30" s="1">
        <f>[1]Results!BF1390</f>
        <v>5.1407209653087094E-2</v>
      </c>
      <c r="BD30" s="1">
        <f>[1]Results!BG1390</f>
        <v>5.5114852930970848E-2</v>
      </c>
      <c r="BE30" s="1">
        <f>[1]Results!BH1390</f>
        <v>5.8544590700004839E-2</v>
      </c>
      <c r="BF30" s="1">
        <f>[1]Results!BI1390</f>
        <v>6.1660941499108723E-2</v>
      </c>
    </row>
    <row r="31" spans="1:58" x14ac:dyDescent="0.35">
      <c r="A31" s="3" t="str">
        <f>[1]Results!E1391</f>
        <v>100*(DISPINC_AT_VAL_2/DISPINC_AT_VAL_0-1)-100*((F_L_2/F_L_0)-1)</v>
      </c>
      <c r="B31" t="str">
        <f>[1]Results!C1391</f>
        <v>Revenu disponible par emploi en valeur</v>
      </c>
      <c r="C31" s="1">
        <f>[1]Results!F1391</f>
        <v>-0.1529806668734035</v>
      </c>
      <c r="D31" s="1">
        <f>[1]Results!G1391</f>
        <v>-0.38364605868062007</v>
      </c>
      <c r="E31" s="1">
        <f>[1]Results!H1391</f>
        <v>-0.70758016428200676</v>
      </c>
      <c r="F31" s="1">
        <f>[1]Results!I1391</f>
        <v>-1.0871158742756237</v>
      </c>
      <c r="G31" s="1">
        <f>[1]Results!J1391</f>
        <v>-1.4860660684541611</v>
      </c>
      <c r="H31" s="1">
        <f>[1]Results!K1391</f>
        <v>-1.8796568443288804</v>
      </c>
      <c r="I31" s="1">
        <f>[1]Results!L1391</f>
        <v>-2.2532896444691692</v>
      </c>
      <c r="J31" s="1">
        <f>[1]Results!M1391</f>
        <v>-2.5965496429380619</v>
      </c>
      <c r="K31" s="1">
        <f>[1]Results!N1391</f>
        <v>-2.9040944777290361</v>
      </c>
      <c r="L31" s="1">
        <f>[1]Results!O1391</f>
        <v>-3.1727826871297826</v>
      </c>
      <c r="M31" s="1">
        <f>[1]Results!P1391</f>
        <v>-3.399743066541427</v>
      </c>
      <c r="N31" s="1">
        <f>[1]Results!Q1391</f>
        <v>-3.5878081115503502</v>
      </c>
      <c r="O31" s="1">
        <f>[1]Results!R1391</f>
        <v>-3.7359642752225035</v>
      </c>
      <c r="P31" s="1">
        <f>[1]Results!S1391</f>
        <v>-3.8465547983151165</v>
      </c>
      <c r="Q31" s="1">
        <f>[1]Results!T1391</f>
        <v>-3.9226328499529446</v>
      </c>
      <c r="R31" s="1">
        <f>[1]Results!U1391</f>
        <v>-3.9677403765922099</v>
      </c>
      <c r="S31" s="1">
        <f>[1]Results!V1391</f>
        <v>-3.9859967249231136</v>
      </c>
      <c r="T31" s="1">
        <f>[1]Results!W1391</f>
        <v>-3.9817416001684425</v>
      </c>
      <c r="U31" s="1">
        <f>[1]Results!X1391</f>
        <v>-3.9592841693047438</v>
      </c>
      <c r="V31" s="1">
        <f>[1]Results!Y1391</f>
        <v>-3.9226101607190422</v>
      </c>
      <c r="W31" s="1">
        <f>[1]Results!Z1391</f>
        <v>-3.8761755120500618</v>
      </c>
      <c r="X31" s="1">
        <f>[1]Results!AA1391</f>
        <v>-3.8211196650091548</v>
      </c>
      <c r="Y31" s="1">
        <f>[1]Results!AB1391</f>
        <v>-3.7615433983314022</v>
      </c>
      <c r="Z31" s="1">
        <f>[1]Results!AC1391</f>
        <v>-3.6997629304115645</v>
      </c>
      <c r="AA31" s="1">
        <f>[1]Results!AD1391</f>
        <v>-3.6377358152275727</v>
      </c>
      <c r="AB31" s="1">
        <f>[1]Results!AE1391</f>
        <v>-3.579356994683403</v>
      </c>
      <c r="AC31" s="1">
        <f>[1]Results!AF1391</f>
        <v>-3.5213344507077915</v>
      </c>
      <c r="AD31" s="1">
        <f>[1]Results!AG1391</f>
        <v>-3.4666266279306903</v>
      </c>
      <c r="AE31" s="1">
        <f>[1]Results!AH1391</f>
        <v>-3.415889365840175</v>
      </c>
      <c r="AF31" s="1">
        <f>[1]Results!AI1391</f>
        <v>-3.3695436258109783</v>
      </c>
      <c r="AG31" s="1">
        <f>[1]Results!AJ1391</f>
        <v>-3.3278633193384088</v>
      </c>
      <c r="AH31" s="1">
        <f>[1]Results!AK1391</f>
        <v>-3.2909498996043123</v>
      </c>
      <c r="AI31" s="1">
        <f>[1]Results!AL1391</f>
        <v>-3.2588153221743017</v>
      </c>
      <c r="AJ31" s="1">
        <f>[1]Results!AM1391</f>
        <v>-3.2313843499390815</v>
      </c>
      <c r="AK31" s="1">
        <f>[1]Results!AN1391</f>
        <v>-3.2085362155365171</v>
      </c>
      <c r="AL31" s="1">
        <f>[1]Results!AO1391</f>
        <v>-3.19011205916454</v>
      </c>
      <c r="AM31" s="1">
        <f>[1]Results!AP1391</f>
        <v>-3.1758322547525406</v>
      </c>
      <c r="AN31" s="1">
        <f>[1]Results!AQ1391</f>
        <v>-3.1643076075515086</v>
      </c>
      <c r="AO31" s="1">
        <f>[1]Results!AR1391</f>
        <v>-3.1549229990441177</v>
      </c>
      <c r="AP31" s="1">
        <f>[1]Results!AS1391</f>
        <v>-3.1472882136834972</v>
      </c>
      <c r="AQ31" s="1">
        <f>[1]Results!AT1391</f>
        <v>-3.1411916194114209</v>
      </c>
      <c r="AR31" s="1">
        <f>[1]Results!AU1391</f>
        <v>-3.1364580961536266</v>
      </c>
      <c r="AS31" s="1">
        <f>[1]Results!AV1391</f>
        <v>-3.1329968410342524</v>
      </c>
      <c r="AT31" s="1">
        <f>[1]Results!AW1391</f>
        <v>-3.1307617705738195</v>
      </c>
      <c r="AU31" s="1">
        <f>[1]Results!AX1391</f>
        <v>-3.1297784702528642</v>
      </c>
      <c r="AV31" s="1">
        <f>[1]Results!AY1391</f>
        <v>-3.1301291607252146</v>
      </c>
      <c r="AW31" s="1">
        <f>[1]Results!AZ1391</f>
        <v>-3.1316462047993321</v>
      </c>
      <c r="AX31" s="1">
        <f>[1]Results!BA1391</f>
        <v>-3.1342986781789595</v>
      </c>
      <c r="AY31" s="1">
        <f>[1]Results!BB1391</f>
        <v>-3.1379978211543147</v>
      </c>
      <c r="AZ31" s="1">
        <f>[1]Results!BC1391</f>
        <v>-3.1427991319963988</v>
      </c>
      <c r="BA31" s="1">
        <f>[1]Results!BD1391</f>
        <v>-3.1488614411051659</v>
      </c>
      <c r="BB31" s="1">
        <f>[1]Results!BE1391</f>
        <v>0.67226973873200091</v>
      </c>
      <c r="BC31" s="1">
        <f>[1]Results!BF1391</f>
        <v>0.69672447596293985</v>
      </c>
      <c r="BD31" s="1">
        <f>[1]Results!BG1391</f>
        <v>0.72048719210395795</v>
      </c>
      <c r="BE31" s="1">
        <f>[1]Results!BH1391</f>
        <v>0.74351876459619604</v>
      </c>
      <c r="BF31" s="1">
        <f>[1]Results!BI1391</f>
        <v>0.76583071177447337</v>
      </c>
    </row>
    <row r="32" spans="1:58" x14ac:dyDescent="0.35">
      <c r="A32" s="3" t="str">
        <f>[1]Results!E1392</f>
        <v>100*(DISPINC_AT_VAL_2/DISPINC_AT_VAL_0-1)-100*((F_L_2/F_L_0)-1)-100*(PCH_2/PCH_0-1)</v>
      </c>
      <c r="B32" t="str">
        <f>[1]Results!C1392</f>
        <v>Revenu disponible réel par emploi</v>
      </c>
      <c r="C32" s="1">
        <f>[1]Results!F1392</f>
        <v>9.9600195633309241E-2</v>
      </c>
      <c r="D32" s="1">
        <f>[1]Results!G1392</f>
        <v>0.22344488579180144</v>
      </c>
      <c r="E32" s="1">
        <f>[1]Results!H1392</f>
        <v>0.2796397310135923</v>
      </c>
      <c r="F32" s="1">
        <f>[1]Results!I1392</f>
        <v>0.27241410563716428</v>
      </c>
      <c r="G32" s="1">
        <f>[1]Results!J1392</f>
        <v>0.22586651520909484</v>
      </c>
      <c r="H32" s="1">
        <f>[1]Results!K1392</f>
        <v>0.16130149356034007</v>
      </c>
      <c r="I32" s="1">
        <f>[1]Results!L1392</f>
        <v>9.2671916357057071E-2</v>
      </c>
      <c r="J32" s="1">
        <f>[1]Results!M1392</f>
        <v>2.9610672661106729E-2</v>
      </c>
      <c r="K32" s="1">
        <f>[1]Results!N1392</f>
        <v>-2.3654484209645776E-2</v>
      </c>
      <c r="L32" s="1">
        <f>[1]Results!O1392</f>
        <v>-6.5011469645759323E-2</v>
      </c>
      <c r="M32" s="1">
        <f>[1]Results!P1392</f>
        <v>-9.2389050822327512E-2</v>
      </c>
      <c r="N32" s="1">
        <f>[1]Results!Q1392</f>
        <v>-0.10715251762460909</v>
      </c>
      <c r="O32" s="1">
        <f>[1]Results!R1392</f>
        <v>-0.10700625328488078</v>
      </c>
      <c r="P32" s="1">
        <f>[1]Results!S1392</f>
        <v>-9.2769857955344204E-2</v>
      </c>
      <c r="Q32" s="1">
        <f>[1]Results!T1392</f>
        <v>-6.5672669833238384E-2</v>
      </c>
      <c r="R32" s="1">
        <f>[1]Results!U1392</f>
        <v>-2.7181201698877722E-2</v>
      </c>
      <c r="S32" s="1">
        <f>[1]Results!V1392</f>
        <v>2.165489827270406E-2</v>
      </c>
      <c r="T32" s="1">
        <f>[1]Results!W1392</f>
        <v>7.9025291788448193E-2</v>
      </c>
      <c r="U32" s="1">
        <f>[1]Results!X1392</f>
        <v>0.14286235247299484</v>
      </c>
      <c r="V32" s="1">
        <f>[1]Results!Y1392</f>
        <v>0.21124175061866257</v>
      </c>
      <c r="W32" s="1">
        <f>[1]Results!Z1392</f>
        <v>0.28184865812025439</v>
      </c>
      <c r="X32" s="1">
        <f>[1]Results!AA1392</f>
        <v>0.35499805054118738</v>
      </c>
      <c r="Y32" s="1">
        <f>[1]Results!AB1392</f>
        <v>0.42811688931532199</v>
      </c>
      <c r="Z32" s="1">
        <f>[1]Results!AC1392</f>
        <v>0.50028864411286822</v>
      </c>
      <c r="AA32" s="1">
        <f>[1]Results!AD1392</f>
        <v>0.57079698575046489</v>
      </c>
      <c r="AB32" s="1">
        <f>[1]Results!AE1392</f>
        <v>0.63742907601170806</v>
      </c>
      <c r="AC32" s="1">
        <f>[1]Results!AF1392</f>
        <v>0.70354980059007577</v>
      </c>
      <c r="AD32" s="1">
        <f>[1]Results!AG1392</f>
        <v>0.76658068406811974</v>
      </c>
      <c r="AE32" s="1">
        <f>[1]Results!AH1392</f>
        <v>0.82623795464341576</v>
      </c>
      <c r="AF32" s="1">
        <f>[1]Results!AI1392</f>
        <v>0.88242979733275106</v>
      </c>
      <c r="AG32" s="1">
        <f>[1]Results!AJ1392</f>
        <v>0.93514473365796658</v>
      </c>
      <c r="AH32" s="1">
        <f>[1]Results!AK1392</f>
        <v>0.98431416015714035</v>
      </c>
      <c r="AI32" s="1">
        <f>[1]Results!AL1392</f>
        <v>1.029989323135494</v>
      </c>
      <c r="AJ32" s="1">
        <f>[1]Results!AM1392</f>
        <v>1.0722868088444137</v>
      </c>
      <c r="AK32" s="1">
        <f>[1]Results!AN1392</f>
        <v>1.1113274058912488</v>
      </c>
      <c r="AL32" s="1">
        <f>[1]Results!AO1392</f>
        <v>1.1472264801802856</v>
      </c>
      <c r="AM32" s="1">
        <f>[1]Results!AP1392</f>
        <v>1.1790588181065829</v>
      </c>
      <c r="AN32" s="1">
        <f>[1]Results!AQ1392</f>
        <v>1.2077043953424909</v>
      </c>
      <c r="AO32" s="1">
        <f>[1]Results!AR1392</f>
        <v>1.2336149184952969</v>
      </c>
      <c r="AP32" s="1">
        <f>[1]Results!AS1392</f>
        <v>1.2571514795393197</v>
      </c>
      <c r="AQ32" s="1">
        <f>[1]Results!AT1392</f>
        <v>1.2785467394639145</v>
      </c>
      <c r="AR32" s="1">
        <f>[1]Results!AU1392</f>
        <v>1.2978330388327413</v>
      </c>
      <c r="AS32" s="1">
        <f>[1]Results!AV1392</f>
        <v>1.3151129579603626</v>
      </c>
      <c r="AT32" s="1">
        <f>[1]Results!AW1392</f>
        <v>1.3305285910158346</v>
      </c>
      <c r="AU32" s="1">
        <f>[1]Results!AX1392</f>
        <v>1.3441954966843745</v>
      </c>
      <c r="AV32" s="1">
        <f>[1]Results!AY1392</f>
        <v>1.3561967807438897</v>
      </c>
      <c r="AW32" s="1">
        <f>[1]Results!AZ1392</f>
        <v>1.3662632665127239</v>
      </c>
      <c r="AX32" s="1">
        <f>[1]Results!BA1392</f>
        <v>1.3744271438178917</v>
      </c>
      <c r="AY32" s="1">
        <f>[1]Results!BB1392</f>
        <v>1.3809768168075331</v>
      </c>
      <c r="AZ32" s="1">
        <f>[1]Results!BC1392</f>
        <v>1.3861178654919977</v>
      </c>
      <c r="BA32" s="1">
        <f>[1]Results!BD1392</f>
        <v>1.3899513262486183</v>
      </c>
      <c r="BB32" s="1">
        <f>[1]Results!BE1392</f>
        <v>-9.277495750736886E-2</v>
      </c>
      <c r="BC32" s="1">
        <f>[1]Results!BF1392</f>
        <v>-9.6004316128306399E-2</v>
      </c>
      <c r="BD32" s="1">
        <f>[1]Results!BG1392</f>
        <v>-9.970625294177804E-2</v>
      </c>
      <c r="BE32" s="1">
        <f>[1]Results!BH1392</f>
        <v>-0.10398189759901477</v>
      </c>
      <c r="BF32" s="1">
        <f>[1]Results!BI1392</f>
        <v>-0.10885048964444088</v>
      </c>
    </row>
    <row r="33" spans="1:58" x14ac:dyDescent="0.35">
      <c r="A33" s="3" t="str">
        <f>[1]Results!E1393</f>
        <v>100*(MPS_n_2-MPS_n_0)</v>
      </c>
      <c r="B33" t="str">
        <f>[1]Results!C1393</f>
        <v>Taux d'épargne</v>
      </c>
      <c r="C33" s="1">
        <f>[1]Results!F1393</f>
        <v>0</v>
      </c>
      <c r="D33" s="1">
        <f>[1]Results!G1393</f>
        <v>0</v>
      </c>
      <c r="E33" s="1">
        <f>[1]Results!H1393</f>
        <v>0</v>
      </c>
      <c r="F33" s="1">
        <f>[1]Results!I1393</f>
        <v>0</v>
      </c>
      <c r="G33" s="1">
        <f>[1]Results!J1393</f>
        <v>0</v>
      </c>
      <c r="H33" s="1">
        <f>[1]Results!K1393</f>
        <v>0</v>
      </c>
      <c r="I33" s="1">
        <f>[1]Results!L1393</f>
        <v>0</v>
      </c>
      <c r="J33" s="1">
        <f>[1]Results!M1393</f>
        <v>0</v>
      </c>
      <c r="K33" s="1">
        <f>[1]Results!N1393</f>
        <v>0</v>
      </c>
      <c r="L33" s="1">
        <f>[1]Results!O1393</f>
        <v>0</v>
      </c>
      <c r="M33" s="1">
        <f>[1]Results!P1393</f>
        <v>0</v>
      </c>
      <c r="N33" s="1">
        <f>[1]Results!Q1393</f>
        <v>0</v>
      </c>
      <c r="O33" s="1">
        <f>[1]Results!R1393</f>
        <v>0</v>
      </c>
      <c r="P33" s="1">
        <f>[1]Results!S1393</f>
        <v>0</v>
      </c>
      <c r="Q33" s="1">
        <f>[1]Results!T1393</f>
        <v>0</v>
      </c>
      <c r="R33" s="1">
        <f>[1]Results!U1393</f>
        <v>0</v>
      </c>
      <c r="S33" s="1">
        <f>[1]Results!V1393</f>
        <v>0</v>
      </c>
      <c r="T33" s="1">
        <f>[1]Results!W1393</f>
        <v>0</v>
      </c>
      <c r="U33" s="1">
        <f>[1]Results!X1393</f>
        <v>0</v>
      </c>
      <c r="V33" s="1">
        <f>[1]Results!Y1393</f>
        <v>0</v>
      </c>
      <c r="W33" s="1">
        <f>[1]Results!Z1393</f>
        <v>0</v>
      </c>
      <c r="X33" s="1">
        <f>[1]Results!AA1393</f>
        <v>0</v>
      </c>
      <c r="Y33" s="1">
        <f>[1]Results!AB1393</f>
        <v>0</v>
      </c>
      <c r="Z33" s="1">
        <f>[1]Results!AC1393</f>
        <v>0</v>
      </c>
      <c r="AA33" s="1">
        <f>[1]Results!AD1393</f>
        <v>0</v>
      </c>
      <c r="AB33" s="1">
        <f>[1]Results!AE1393</f>
        <v>0</v>
      </c>
      <c r="AC33" s="1">
        <f>[1]Results!AF1393</f>
        <v>0</v>
      </c>
      <c r="AD33" s="1">
        <f>[1]Results!AG1393</f>
        <v>0</v>
      </c>
      <c r="AE33" s="1">
        <f>[1]Results!AH1393</f>
        <v>0</v>
      </c>
      <c r="AF33" s="1">
        <f>[1]Results!AI1393</f>
        <v>0</v>
      </c>
      <c r="AG33" s="1">
        <f>[1]Results!AJ1393</f>
        <v>0</v>
      </c>
      <c r="AH33" s="1">
        <f>[1]Results!AK1393</f>
        <v>0</v>
      </c>
      <c r="AI33" s="1">
        <f>[1]Results!AL1393</f>
        <v>0</v>
      </c>
      <c r="AJ33" s="1">
        <f>[1]Results!AM1393</f>
        <v>0</v>
      </c>
      <c r="AK33" s="1">
        <f>[1]Results!AN1393</f>
        <v>0</v>
      </c>
      <c r="AL33" s="1">
        <f>[1]Results!AO1393</f>
        <v>0</v>
      </c>
      <c r="AM33" s="1">
        <f>[1]Results!AP1393</f>
        <v>0</v>
      </c>
      <c r="AN33" s="1">
        <f>[1]Results!AQ1393</f>
        <v>0</v>
      </c>
      <c r="AO33" s="1">
        <f>[1]Results!AR1393</f>
        <v>0</v>
      </c>
      <c r="AP33" s="1">
        <f>[1]Results!AS1393</f>
        <v>0</v>
      </c>
      <c r="AQ33" s="1">
        <f>[1]Results!AT1393</f>
        <v>0</v>
      </c>
      <c r="AR33" s="1">
        <f>[1]Results!AU1393</f>
        <v>0</v>
      </c>
      <c r="AS33" s="1">
        <f>[1]Results!AV1393</f>
        <v>0</v>
      </c>
      <c r="AT33" s="1">
        <f>[1]Results!AW1393</f>
        <v>0</v>
      </c>
      <c r="AU33" s="1">
        <f>[1]Results!AX1393</f>
        <v>0</v>
      </c>
      <c r="AV33" s="1">
        <f>[1]Results!AY1393</f>
        <v>0</v>
      </c>
      <c r="AW33" s="1">
        <f>[1]Results!AZ1393</f>
        <v>0</v>
      </c>
      <c r="AX33" s="1">
        <f>[1]Results!BA1393</f>
        <v>0</v>
      </c>
      <c r="AY33" s="1">
        <f>[1]Results!BB1393</f>
        <v>0</v>
      </c>
      <c r="AZ33" s="1">
        <f>[1]Results!BC1393</f>
        <v>0</v>
      </c>
      <c r="BA33" s="1">
        <f>[1]Results!BD1393</f>
        <v>0</v>
      </c>
      <c r="BB33" s="1">
        <f>[1]Results!BE1393</f>
        <v>0</v>
      </c>
      <c r="BC33" s="1">
        <f>[1]Results!BF1393</f>
        <v>0</v>
      </c>
      <c r="BD33" s="1">
        <f>[1]Results!BG1393</f>
        <v>0</v>
      </c>
      <c r="BE33" s="1">
        <f>[1]Results!BH1393</f>
        <v>0</v>
      </c>
      <c r="BF33" s="1">
        <f>[1]Results!BI1393</f>
        <v>0</v>
      </c>
    </row>
    <row r="34" spans="1:58" x14ac:dyDescent="0.35">
      <c r="A34" s="3" t="str">
        <f>[1]Results!E1394</f>
        <v>100*(PCH_2/PCH_0-1)</v>
      </c>
      <c r="B34" t="str">
        <f>[1]Results!C1394</f>
        <v>Prix à la consommation des ménages</v>
      </c>
      <c r="C34" s="1">
        <f>[1]Results!F1394</f>
        <v>-0.82789282708083389</v>
      </c>
      <c r="D34" s="1">
        <f>[1]Results!G1394</f>
        <v>-1.4792410812695778</v>
      </c>
      <c r="E34" s="1">
        <f>[1]Results!H1394</f>
        <v>-2.0145593616308077</v>
      </c>
      <c r="F34" s="1">
        <f>[1]Results!I1394</f>
        <v>-2.4599101941492951</v>
      </c>
      <c r="G34" s="1">
        <f>[1]Results!J1394</f>
        <v>-2.8262366934506562</v>
      </c>
      <c r="H34" s="1">
        <f>[1]Results!K1394</f>
        <v>-3.1216703975272093</v>
      </c>
      <c r="I34" s="1">
        <f>[1]Results!L1394</f>
        <v>-3.3570321807880328</v>
      </c>
      <c r="J34" s="1">
        <f>[1]Results!M1394</f>
        <v>-3.540860148273639</v>
      </c>
      <c r="K34" s="1">
        <f>[1]Results!N1394</f>
        <v>-3.6829695246498488</v>
      </c>
      <c r="L34" s="1">
        <f>[1]Results!O1394</f>
        <v>-3.7921199774584302</v>
      </c>
      <c r="M34" s="1">
        <f>[1]Results!P1394</f>
        <v>-3.8741714683395485</v>
      </c>
      <c r="N34" s="1">
        <f>[1]Results!Q1394</f>
        <v>-3.9405442547656433</v>
      </c>
      <c r="O34" s="1">
        <f>[1]Results!R1394</f>
        <v>-3.9923026256978082</v>
      </c>
      <c r="P34" s="1">
        <f>[1]Results!S1394</f>
        <v>-4.0321233880166627</v>
      </c>
      <c r="Q34" s="1">
        <f>[1]Results!T1394</f>
        <v>-4.0621899176513256</v>
      </c>
      <c r="R34" s="1">
        <f>[1]Results!U1394</f>
        <v>-4.084332214521524</v>
      </c>
      <c r="S34" s="1">
        <f>[1]Results!V1394</f>
        <v>-4.1026489604592769</v>
      </c>
      <c r="T34" s="1">
        <f>[1]Results!W1394</f>
        <v>-4.11789436164175</v>
      </c>
      <c r="U34" s="1">
        <f>[1]Results!X1394</f>
        <v>-4.1309815842674009</v>
      </c>
      <c r="V34" s="1">
        <f>[1]Results!Y1394</f>
        <v>-4.1428371619785525</v>
      </c>
      <c r="W34" s="1">
        <f>[1]Results!Z1394</f>
        <v>-4.1552195356327921</v>
      </c>
      <c r="X34" s="1">
        <f>[1]Results!AA1394</f>
        <v>-4.1666195235622325</v>
      </c>
      <c r="Y34" s="1">
        <f>[1]Results!AB1394</f>
        <v>-4.1791060423407078</v>
      </c>
      <c r="Z34" s="1">
        <f>[1]Results!AC1394</f>
        <v>-4.1931993438730766</v>
      </c>
      <c r="AA34" s="1">
        <f>[1]Results!AD1394</f>
        <v>-4.209264721553275</v>
      </c>
      <c r="AB34" s="1">
        <f>[1]Results!AE1394</f>
        <v>-4.2298516395354984</v>
      </c>
      <c r="AC34" s="1">
        <f>[1]Results!AF1394</f>
        <v>-4.2492513833953911</v>
      </c>
      <c r="AD34" s="1">
        <f>[1]Results!AG1394</f>
        <v>-4.2699258800114928</v>
      </c>
      <c r="AE34" s="1">
        <f>[1]Results!AH1394</f>
        <v>-4.2921500008219153</v>
      </c>
      <c r="AF34" s="1">
        <f>[1]Results!AI1394</f>
        <v>-4.3160107284961775</v>
      </c>
      <c r="AG34" s="1">
        <f>[1]Results!AJ1394</f>
        <v>-4.3414907385230022</v>
      </c>
      <c r="AH34" s="1">
        <f>[1]Results!AK1394</f>
        <v>-4.3680555284091316</v>
      </c>
      <c r="AI34" s="1">
        <f>[1]Results!AL1394</f>
        <v>-4.3957253978064053</v>
      </c>
      <c r="AJ34" s="1">
        <f>[1]Results!AM1394</f>
        <v>-4.4244533034643263</v>
      </c>
      <c r="AK34" s="1">
        <f>[1]Results!AN1394</f>
        <v>-4.4541629209946976</v>
      </c>
      <c r="AL34" s="1">
        <f>[1]Results!AO1394</f>
        <v>-4.4847680392583467</v>
      </c>
      <c r="AM34" s="1">
        <f>[1]Results!AP1394</f>
        <v>-4.5128321144755841</v>
      </c>
      <c r="AN34" s="1">
        <f>[1]Results!AQ1394</f>
        <v>-4.5385719701275136</v>
      </c>
      <c r="AO34" s="1">
        <f>[1]Results!AR1394</f>
        <v>-4.5626778902565608</v>
      </c>
      <c r="AP34" s="1">
        <f>[1]Results!AS1394</f>
        <v>-4.5857180624826581</v>
      </c>
      <c r="AQ34" s="1">
        <f>[1]Results!AT1394</f>
        <v>-4.6081949788705057</v>
      </c>
      <c r="AR34" s="1">
        <f>[1]Results!AU1394</f>
        <v>-4.6299825942013202</v>
      </c>
      <c r="AS34" s="1">
        <f>[1]Results!AV1394</f>
        <v>-4.6516099370633164</v>
      </c>
      <c r="AT34" s="1">
        <f>[1]Results!AW1394</f>
        <v>-4.6734753008925587</v>
      </c>
      <c r="AU34" s="1">
        <f>[1]Results!AX1394</f>
        <v>-4.6958865518858861</v>
      </c>
      <c r="AV34" s="1">
        <f>[1]Results!AY1394</f>
        <v>-4.7190859011936759</v>
      </c>
      <c r="AW34" s="1">
        <f>[1]Results!AZ1394</f>
        <v>-4.7414385232014133</v>
      </c>
      <c r="AX34" s="1">
        <f>[1]Results!BA1394</f>
        <v>-4.7636625479598678</v>
      </c>
      <c r="AY34" s="1">
        <f>[1]Results!BB1394</f>
        <v>-4.7861946979866561</v>
      </c>
      <c r="AZ34" s="1">
        <f>[1]Results!BC1394</f>
        <v>-4.8093439926589436</v>
      </c>
      <c r="BA34" s="1">
        <f>[1]Results!BD1394</f>
        <v>-4.8333532464520204</v>
      </c>
      <c r="BB34" s="1">
        <f>[1]Results!BE1394</f>
        <v>4.7498446736571331E-2</v>
      </c>
      <c r="BC34" s="1">
        <f>[1]Results!BF1394</f>
        <v>5.1407209653087094E-2</v>
      </c>
      <c r="BD34" s="1">
        <f>[1]Results!BG1394</f>
        <v>5.5114852930970848E-2</v>
      </c>
      <c r="BE34" s="1">
        <f>[1]Results!BH1394</f>
        <v>5.8544590700004839E-2</v>
      </c>
      <c r="BF34" s="1">
        <f>[1]Results!BI1394</f>
        <v>6.1660941499108723E-2</v>
      </c>
    </row>
    <row r="35" spans="1:58" x14ac:dyDescent="0.35">
      <c r="A35" s="3" t="str">
        <f>[1]Results!E1395</f>
        <v>100*(PY_2/PY_0-1)</v>
      </c>
      <c r="B35" t="str">
        <f>[1]Results!C1395</f>
        <v>Prix à la production marchande</v>
      </c>
      <c r="C35" s="1">
        <f>[1]Results!F1395</f>
        <v>-0.31434240791052837</v>
      </c>
      <c r="D35" s="1">
        <f>[1]Results!G1395</f>
        <v>-0.75224852583084534</v>
      </c>
      <c r="E35" s="1">
        <f>[1]Results!H1395</f>
        <v>-1.2182122237874848</v>
      </c>
      <c r="F35" s="1">
        <f>[1]Results!I1395</f>
        <v>-1.6703358362052279</v>
      </c>
      <c r="G35" s="1">
        <f>[1]Results!J1395</f>
        <v>-2.0940959717666185</v>
      </c>
      <c r="H35" s="1">
        <f>[1]Results!K1395</f>
        <v>-2.4862137401408524</v>
      </c>
      <c r="I35" s="1">
        <f>[1]Results!L1395</f>
        <v>-2.8470213096172925</v>
      </c>
      <c r="J35" s="1">
        <f>[1]Results!M1395</f>
        <v>-3.1764600366769202</v>
      </c>
      <c r="K35" s="1">
        <f>[1]Results!N1395</f>
        <v>-3.4738673423029498</v>
      </c>
      <c r="L35" s="1">
        <f>[1]Results!O1395</f>
        <v>-3.7384924677119624</v>
      </c>
      <c r="M35" s="1">
        <f>[1]Results!P1395</f>
        <v>-3.9697413270677662</v>
      </c>
      <c r="N35" s="1">
        <f>[1]Results!Q1395</f>
        <v>-4.1697221208089275</v>
      </c>
      <c r="O35" s="1">
        <f>[1]Results!R1395</f>
        <v>-4.3401454858118971</v>
      </c>
      <c r="P35" s="1">
        <f>[1]Results!S1395</f>
        <v>-4.4829903131850752</v>
      </c>
      <c r="Q35" s="1">
        <f>[1]Results!T1395</f>
        <v>-4.6005266405241159</v>
      </c>
      <c r="R35" s="1">
        <f>[1]Results!U1395</f>
        <v>-4.6952690833769299</v>
      </c>
      <c r="S35" s="1">
        <f>[1]Results!V1395</f>
        <v>-4.7709265614891745</v>
      </c>
      <c r="T35" s="1">
        <f>[1]Results!W1395</f>
        <v>-4.8304531592046729</v>
      </c>
      <c r="U35" s="1">
        <f>[1]Results!X1395</f>
        <v>-4.8764366535656301</v>
      </c>
      <c r="V35" s="1">
        <f>[1]Results!Y1395</f>
        <v>-4.9112312057087433</v>
      </c>
      <c r="W35" s="1">
        <f>[1]Results!Z1395</f>
        <v>-4.9372560291298999</v>
      </c>
      <c r="X35" s="1">
        <f>[1]Results!AA1395</f>
        <v>-4.9561860502953188</v>
      </c>
      <c r="Y35" s="1">
        <f>[1]Results!AB1395</f>
        <v>-4.9697485552310567</v>
      </c>
      <c r="Z35" s="1">
        <f>[1]Results!AC1395</f>
        <v>-4.9795339518981745</v>
      </c>
      <c r="AA35" s="1">
        <f>[1]Results!AD1395</f>
        <v>-4.9869619416937567</v>
      </c>
      <c r="AB35" s="1">
        <f>[1]Results!AE1395</f>
        <v>-4.9939047936861103</v>
      </c>
      <c r="AC35" s="1">
        <f>[1]Results!AF1395</f>
        <v>-5.0004845340547499</v>
      </c>
      <c r="AD35" s="1">
        <f>[1]Results!AG1395</f>
        <v>-5.0071292958795866</v>
      </c>
      <c r="AE35" s="1">
        <f>[1]Results!AH1395</f>
        <v>-5.014275063595619</v>
      </c>
      <c r="AF35" s="1">
        <f>[1]Results!AI1395</f>
        <v>-5.0223241848412865</v>
      </c>
      <c r="AG35" s="1">
        <f>[1]Results!AJ1395</f>
        <v>-5.0316048702546912</v>
      </c>
      <c r="AH35" s="1">
        <f>[1]Results!AK1395</f>
        <v>-5.0421635170098007</v>
      </c>
      <c r="AI35" s="1">
        <f>[1]Results!AL1395</f>
        <v>-5.0540928344852798</v>
      </c>
      <c r="AJ35" s="1">
        <f>[1]Results!AM1395</f>
        <v>-5.0674598267105742</v>
      </c>
      <c r="AK35" s="1">
        <f>[1]Results!AN1395</f>
        <v>-5.0822829469155621</v>
      </c>
      <c r="AL35" s="1">
        <f>[1]Results!AO1395</f>
        <v>-5.0985288677264489</v>
      </c>
      <c r="AM35" s="1">
        <f>[1]Results!AP1395</f>
        <v>-5.1146805957394186</v>
      </c>
      <c r="AN35" s="1">
        <f>[1]Results!AQ1395</f>
        <v>-5.1301866231045938</v>
      </c>
      <c r="AO35" s="1">
        <f>[1]Results!AR1395</f>
        <v>-5.1449012753904348</v>
      </c>
      <c r="AP35" s="1">
        <f>[1]Results!AS1395</f>
        <v>-5.1588457052975434</v>
      </c>
      <c r="AQ35" s="1">
        <f>[1]Results!AT1395</f>
        <v>-5.1720978580722443</v>
      </c>
      <c r="AR35" s="1">
        <f>[1]Results!AU1395</f>
        <v>-5.184519813812094</v>
      </c>
      <c r="AS35" s="1">
        <f>[1]Results!AV1395</f>
        <v>-5.1961644669536895</v>
      </c>
      <c r="AT35" s="1">
        <f>[1]Results!AW1395</f>
        <v>-5.2071764936435834</v>
      </c>
      <c r="AU35" s="1">
        <f>[1]Results!AX1395</f>
        <v>-5.2177485786131577</v>
      </c>
      <c r="AV35" s="1">
        <f>[1]Results!AY1395</f>
        <v>-5.2280959973180385</v>
      </c>
      <c r="AW35" s="1">
        <f>[1]Results!AZ1395</f>
        <v>-5.2376717776723254</v>
      </c>
      <c r="AX35" s="1">
        <f>[1]Results!BA1395</f>
        <v>-5.246497529888094</v>
      </c>
      <c r="AY35" s="1">
        <f>[1]Results!BB1395</f>
        <v>-5.2548244441115166</v>
      </c>
      <c r="AZ35" s="1">
        <f>[1]Results!BC1395</f>
        <v>-5.2629779123889993</v>
      </c>
      <c r="BA35" s="1">
        <f>[1]Results!BD1395</f>
        <v>-5.2712771871213153</v>
      </c>
      <c r="BB35" s="1">
        <f>[1]Results!BE1395</f>
        <v>0.92349145427912394</v>
      </c>
      <c r="BC35" s="1">
        <f>[1]Results!BF1395</f>
        <v>0.95712879840108567</v>
      </c>
      <c r="BD35" s="1">
        <f>[1]Results!BG1395</f>
        <v>0.99049300470144264</v>
      </c>
      <c r="BE35" s="1">
        <f>[1]Results!BH1395</f>
        <v>1.0236628073144516</v>
      </c>
      <c r="BF35" s="1">
        <f>[1]Results!BI1395</f>
        <v>1.0566729836185118</v>
      </c>
    </row>
    <row r="36" spans="1:58" x14ac:dyDescent="0.35">
      <c r="A36" s="3" t="str">
        <f>[1]Results!E1396</f>
        <v>100*(PX_2/PX_0-1)</v>
      </c>
      <c r="B36" t="str">
        <f>[1]Results!C1396</f>
        <v>Prix des exportations</v>
      </c>
      <c r="C36" s="1">
        <f>[1]Results!F1396</f>
        <v>-0.35426355845842306</v>
      </c>
      <c r="D36" s="1">
        <f>[1]Results!G1396</f>
        <v>-0.77507499904483357</v>
      </c>
      <c r="E36" s="1">
        <f>[1]Results!H1396</f>
        <v>-1.1796139264838579</v>
      </c>
      <c r="F36" s="1">
        <f>[1]Results!I1396</f>
        <v>-1.5473384802571877</v>
      </c>
      <c r="G36" s="1">
        <f>[1]Results!J1396</f>
        <v>-1.8787794954046699</v>
      </c>
      <c r="H36" s="1">
        <f>[1]Results!K1396</f>
        <v>-2.1793474207689623</v>
      </c>
      <c r="I36" s="1">
        <f>[1]Results!L1396</f>
        <v>-2.45376485405433</v>
      </c>
      <c r="J36" s="1">
        <f>[1]Results!M1396</f>
        <v>-2.7039246746144552</v>
      </c>
      <c r="K36" s="1">
        <f>[1]Results!N1396</f>
        <v>-2.9297895722908529</v>
      </c>
      <c r="L36" s="1">
        <f>[1]Results!O1396</f>
        <v>-3.1306130989513736</v>
      </c>
      <c r="M36" s="1">
        <f>[1]Results!P1396</f>
        <v>-3.3056395698271457</v>
      </c>
      <c r="N36" s="1">
        <f>[1]Results!Q1396</f>
        <v>-3.4565163653683895</v>
      </c>
      <c r="O36" s="1">
        <f>[1]Results!R1396</f>
        <v>-3.5843967337813698</v>
      </c>
      <c r="P36" s="1">
        <f>[1]Results!S1396</f>
        <v>-3.6906853266124751</v>
      </c>
      <c r="Q36" s="1">
        <f>[1]Results!T1396</f>
        <v>-3.7771438987661443</v>
      </c>
      <c r="R36" s="1">
        <f>[1]Results!U1396</f>
        <v>-3.8458117235644518</v>
      </c>
      <c r="S36" s="1">
        <f>[1]Results!V1396</f>
        <v>-3.900070916509113</v>
      </c>
      <c r="T36" s="1">
        <f>[1]Results!W1396</f>
        <v>-3.9422250000043846</v>
      </c>
      <c r="U36" s="1">
        <f>[1]Results!X1396</f>
        <v>-3.9742405747795639</v>
      </c>
      <c r="V36" s="1">
        <f>[1]Results!Y1396</f>
        <v>-3.9979338188208424</v>
      </c>
      <c r="W36" s="1">
        <f>[1]Results!Z1396</f>
        <v>-4.0151887982609713</v>
      </c>
      <c r="X36" s="1">
        <f>[1]Results!AA1396</f>
        <v>-4.0273770647187623</v>
      </c>
      <c r="Y36" s="1">
        <f>[1]Results!AB1396</f>
        <v>-4.0358154347982627</v>
      </c>
      <c r="Z36" s="1">
        <f>[1]Results!AC1396</f>
        <v>-4.0417321799578581</v>
      </c>
      <c r="AA36" s="1">
        <f>[1]Results!AD1396</f>
        <v>-4.0462235427129016</v>
      </c>
      <c r="AB36" s="1">
        <f>[1]Results!AE1396</f>
        <v>-4.0507150970672479</v>
      </c>
      <c r="AC36" s="1">
        <f>[1]Results!AF1396</f>
        <v>-4.0552752811901289</v>
      </c>
      <c r="AD36" s="1">
        <f>[1]Results!AG1396</f>
        <v>-4.0602091907420252</v>
      </c>
      <c r="AE36" s="1">
        <f>[1]Results!AH1396</f>
        <v>-4.0658385737517122</v>
      </c>
      <c r="AF36" s="1">
        <f>[1]Results!AI1396</f>
        <v>-4.0724446113216128</v>
      </c>
      <c r="AG36" s="1">
        <f>[1]Results!AJ1396</f>
        <v>-4.0802453969262515</v>
      </c>
      <c r="AH36" s="1">
        <f>[1]Results!AK1396</f>
        <v>-4.0891694185743788</v>
      </c>
      <c r="AI36" s="1">
        <f>[1]Results!AL1396</f>
        <v>-4.0992792048017428</v>
      </c>
      <c r="AJ36" s="1">
        <f>[1]Results!AM1396</f>
        <v>-4.1106269169154945</v>
      </c>
      <c r="AK36" s="1">
        <f>[1]Results!AN1396</f>
        <v>-4.1232197745636352</v>
      </c>
      <c r="AL36" s="1">
        <f>[1]Results!AO1396</f>
        <v>-4.1370181163700952</v>
      </c>
      <c r="AM36" s="1">
        <f>[1]Results!AP1396</f>
        <v>-4.1502403085433848</v>
      </c>
      <c r="AN36" s="1">
        <f>[1]Results!AQ1396</f>
        <v>-4.1626610120029772</v>
      </c>
      <c r="AO36" s="1">
        <f>[1]Results!AR1396</f>
        <v>-4.1743962274675912</v>
      </c>
      <c r="AP36" s="1">
        <f>[1]Results!AS1396</f>
        <v>-4.1855914624909456</v>
      </c>
      <c r="AQ36" s="1">
        <f>[1]Results!AT1396</f>
        <v>-4.1963528528751066</v>
      </c>
      <c r="AR36" s="1">
        <f>[1]Results!AU1396</f>
        <v>-4.2064829430290445</v>
      </c>
      <c r="AS36" s="1">
        <f>[1]Results!AV1396</f>
        <v>-4.2160289448240906</v>
      </c>
      <c r="AT36" s="1">
        <f>[1]Results!AW1396</f>
        <v>-4.2251143330651164</v>
      </c>
      <c r="AU36" s="1">
        <f>[1]Results!AX1396</f>
        <v>-4.2338913871104218</v>
      </c>
      <c r="AV36" s="1">
        <f>[1]Results!AY1396</f>
        <v>-4.2425238035358799</v>
      </c>
      <c r="AW36" s="1">
        <f>[1]Results!AZ1396</f>
        <v>-4.2503010349401071</v>
      </c>
      <c r="AX36" s="1">
        <f>[1]Results!BA1396</f>
        <v>-4.2573213474480509</v>
      </c>
      <c r="AY36" s="1">
        <f>[1]Results!BB1396</f>
        <v>-4.2638912306533054</v>
      </c>
      <c r="AZ36" s="1">
        <f>[1]Results!BC1396</f>
        <v>-4.2703351488977193</v>
      </c>
      <c r="BA36" s="1">
        <f>[1]Results!BD1396</f>
        <v>-4.2769347455762219</v>
      </c>
      <c r="BB36" s="1">
        <f>[1]Results!BE1396</f>
        <v>0.76004335846093785</v>
      </c>
      <c r="BC36" s="1">
        <f>[1]Results!BF1396</f>
        <v>0.7871795426503958</v>
      </c>
      <c r="BD36" s="1">
        <f>[1]Results!BG1396</f>
        <v>0.81408310092607739</v>
      </c>
      <c r="BE36" s="1">
        <f>[1]Results!BH1396</f>
        <v>0.8408317434181356</v>
      </c>
      <c r="BF36" s="1">
        <f>[1]Results!BI1396</f>
        <v>0.86746467176475051</v>
      </c>
    </row>
    <row r="37" spans="1:58" x14ac:dyDescent="0.35">
      <c r="A37" s="3" t="str">
        <f>[1]Results!E1397</f>
        <v>100*(PM_2/PM_0-1)</v>
      </c>
      <c r="B37" t="str">
        <f>[1]Results!C1397</f>
        <v>Prix des importations</v>
      </c>
      <c r="C37" s="1">
        <f>[1]Results!F1397</f>
        <v>0</v>
      </c>
      <c r="D37" s="1">
        <f>[1]Results!G1397</f>
        <v>0</v>
      </c>
      <c r="E37" s="1">
        <f>[1]Results!H1397</f>
        <v>0</v>
      </c>
      <c r="F37" s="1">
        <f>[1]Results!I1397</f>
        <v>0</v>
      </c>
      <c r="G37" s="1">
        <f>[1]Results!J1397</f>
        <v>0</v>
      </c>
      <c r="H37" s="1">
        <f>[1]Results!K1397</f>
        <v>0</v>
      </c>
      <c r="I37" s="1">
        <f>[1]Results!L1397</f>
        <v>0</v>
      </c>
      <c r="J37" s="1">
        <f>[1]Results!M1397</f>
        <v>0</v>
      </c>
      <c r="K37" s="1">
        <f>[1]Results!N1397</f>
        <v>0</v>
      </c>
      <c r="L37" s="1">
        <f>[1]Results!O1397</f>
        <v>0</v>
      </c>
      <c r="M37" s="1">
        <f>[1]Results!P1397</f>
        <v>0</v>
      </c>
      <c r="N37" s="1">
        <f>[1]Results!Q1397</f>
        <v>0</v>
      </c>
      <c r="O37" s="1">
        <f>[1]Results!R1397</f>
        <v>0</v>
      </c>
      <c r="P37" s="1">
        <f>[1]Results!S1397</f>
        <v>0</v>
      </c>
      <c r="Q37" s="1">
        <f>[1]Results!T1397</f>
        <v>0</v>
      </c>
      <c r="R37" s="1">
        <f>[1]Results!U1397</f>
        <v>0</v>
      </c>
      <c r="S37" s="1">
        <f>[1]Results!V1397</f>
        <v>0</v>
      </c>
      <c r="T37" s="1">
        <f>[1]Results!W1397</f>
        <v>0</v>
      </c>
      <c r="U37" s="1">
        <f>[1]Results!X1397</f>
        <v>0</v>
      </c>
      <c r="V37" s="1">
        <f>[1]Results!Y1397</f>
        <v>0</v>
      </c>
      <c r="W37" s="1">
        <f>[1]Results!Z1397</f>
        <v>0</v>
      </c>
      <c r="X37" s="1">
        <f>[1]Results!AA1397</f>
        <v>0</v>
      </c>
      <c r="Y37" s="1">
        <f>[1]Results!AB1397</f>
        <v>0</v>
      </c>
      <c r="Z37" s="1">
        <f>[1]Results!AC1397</f>
        <v>0</v>
      </c>
      <c r="AA37" s="1">
        <f>[1]Results!AD1397</f>
        <v>0</v>
      </c>
      <c r="AB37" s="1">
        <f>[1]Results!AE1397</f>
        <v>0</v>
      </c>
      <c r="AC37" s="1">
        <f>[1]Results!AF1397</f>
        <v>0</v>
      </c>
      <c r="AD37" s="1">
        <f>[1]Results!AG1397</f>
        <v>0</v>
      </c>
      <c r="AE37" s="1">
        <f>[1]Results!AH1397</f>
        <v>0</v>
      </c>
      <c r="AF37" s="1">
        <f>[1]Results!AI1397</f>
        <v>0</v>
      </c>
      <c r="AG37" s="1">
        <f>[1]Results!AJ1397</f>
        <v>0</v>
      </c>
      <c r="AH37" s="1">
        <f>[1]Results!AK1397</f>
        <v>0</v>
      </c>
      <c r="AI37" s="1">
        <f>[1]Results!AL1397</f>
        <v>0</v>
      </c>
      <c r="AJ37" s="1">
        <f>[1]Results!AM1397</f>
        <v>0</v>
      </c>
      <c r="AK37" s="1">
        <f>[1]Results!AN1397</f>
        <v>0</v>
      </c>
      <c r="AL37" s="1">
        <f>[1]Results!AO1397</f>
        <v>0</v>
      </c>
      <c r="AM37" s="1">
        <f>[1]Results!AP1397</f>
        <v>0</v>
      </c>
      <c r="AN37" s="1">
        <f>[1]Results!AQ1397</f>
        <v>0</v>
      </c>
      <c r="AO37" s="1">
        <f>[1]Results!AR1397</f>
        <v>0</v>
      </c>
      <c r="AP37" s="1">
        <f>[1]Results!AS1397</f>
        <v>0</v>
      </c>
      <c r="AQ37" s="1">
        <f>[1]Results!AT1397</f>
        <v>0</v>
      </c>
      <c r="AR37" s="1">
        <f>[1]Results!AU1397</f>
        <v>0</v>
      </c>
      <c r="AS37" s="1">
        <f>[1]Results!AV1397</f>
        <v>0</v>
      </c>
      <c r="AT37" s="1">
        <f>[1]Results!AW1397</f>
        <v>0</v>
      </c>
      <c r="AU37" s="1">
        <f>[1]Results!AX1397</f>
        <v>0</v>
      </c>
      <c r="AV37" s="1">
        <f>[1]Results!AY1397</f>
        <v>0</v>
      </c>
      <c r="AW37" s="1">
        <f>[1]Results!AZ1397</f>
        <v>0</v>
      </c>
      <c r="AX37" s="1">
        <f>[1]Results!BA1397</f>
        <v>0</v>
      </c>
      <c r="AY37" s="1">
        <f>[1]Results!BB1397</f>
        <v>0</v>
      </c>
      <c r="AZ37" s="1">
        <f>[1]Results!BC1397</f>
        <v>0</v>
      </c>
      <c r="BA37" s="1">
        <f>[1]Results!BD1397</f>
        <v>0</v>
      </c>
      <c r="BB37" s="1">
        <f>[1]Results!BE1397</f>
        <v>0</v>
      </c>
      <c r="BC37" s="1">
        <f>[1]Results!BF1397</f>
        <v>0</v>
      </c>
      <c r="BD37" s="1">
        <f>[1]Results!BG1397</f>
        <v>0</v>
      </c>
      <c r="BE37" s="1">
        <f>[1]Results!BH1397</f>
        <v>0</v>
      </c>
      <c r="BF37" s="1">
        <f>[1]Results!BI1397</f>
        <v>0</v>
      </c>
    </row>
    <row r="38" spans="1:58" x14ac:dyDescent="0.35">
      <c r="A38" s="3" t="str">
        <f>[1]Results!E1398</f>
        <v>100*(W_2/W_0-1)</v>
      </c>
      <c r="B38" t="str">
        <f>[1]Results!C1398</f>
        <v>Salaire net nominal (hors cotisations employeurs et employés, unitaire)</v>
      </c>
      <c r="C38" s="1">
        <f>[1]Results!F1398</f>
        <v>-0.18766011560877871</v>
      </c>
      <c r="D38" s="1">
        <f>[1]Results!G1398</f>
        <v>-0.49660177557723229</v>
      </c>
      <c r="E38" s="1">
        <f>[1]Results!H1398</f>
        <v>-0.90307011063530673</v>
      </c>
      <c r="F38" s="1">
        <f>[1]Results!I1398</f>
        <v>-1.3708015899111858</v>
      </c>
      <c r="G38" s="1">
        <f>[1]Results!J1398</f>
        <v>-1.8640297671842498</v>
      </c>
      <c r="H38" s="1">
        <f>[1]Results!K1398</f>
        <v>-2.3548821014663601</v>
      </c>
      <c r="I38" s="1">
        <f>[1]Results!L1398</f>
        <v>-2.825250829002246</v>
      </c>
      <c r="J38" s="1">
        <f>[1]Results!M1398</f>
        <v>-3.2643101572778277</v>
      </c>
      <c r="K38" s="1">
        <f>[1]Results!N1398</f>
        <v>-3.666667378628885</v>
      </c>
      <c r="L38" s="1">
        <f>[1]Results!O1398</f>
        <v>-4.0302282188158234</v>
      </c>
      <c r="M38" s="1">
        <f>[1]Results!P1398</f>
        <v>-4.354334915257418</v>
      </c>
      <c r="N38" s="1">
        <f>[1]Results!Q1398</f>
        <v>-4.6412618115718951</v>
      </c>
      <c r="O38" s="1">
        <f>[1]Results!R1398</f>
        <v>-4.8927013225723792</v>
      </c>
      <c r="P38" s="1">
        <f>[1]Results!S1398</f>
        <v>-5.1108228669740967</v>
      </c>
      <c r="Q38" s="1">
        <f>[1]Results!T1398</f>
        <v>-5.2980441065341726</v>
      </c>
      <c r="R38" s="1">
        <f>[1]Results!U1398</f>
        <v>-5.456930851698405</v>
      </c>
      <c r="S38" s="1">
        <f>[1]Results!V1398</f>
        <v>-5.5907515079936516</v>
      </c>
      <c r="T38" s="1">
        <f>[1]Results!W1398</f>
        <v>-5.702572582402377</v>
      </c>
      <c r="U38" s="1">
        <f>[1]Results!X1398</f>
        <v>-5.7953880763861871</v>
      </c>
      <c r="V38" s="1">
        <f>[1]Results!Y1398</f>
        <v>-5.8720464394989236</v>
      </c>
      <c r="W38" s="1">
        <f>[1]Results!Z1398</f>
        <v>-5.9355469290652945</v>
      </c>
      <c r="X38" s="1">
        <f>[1]Results!AA1398</f>
        <v>-5.9877950650101823</v>
      </c>
      <c r="Y38" s="1">
        <f>[1]Results!AB1398</f>
        <v>-6.0311958898020324</v>
      </c>
      <c r="Z38" s="1">
        <f>[1]Results!AC1398</f>
        <v>-6.0678548669109045</v>
      </c>
      <c r="AA38" s="1">
        <f>[1]Results!AD1398</f>
        <v>-6.0996328772748747</v>
      </c>
      <c r="AB38" s="1">
        <f>[1]Results!AE1398</f>
        <v>-6.1291211737573459</v>
      </c>
      <c r="AC38" s="1">
        <f>[1]Results!AF1398</f>
        <v>-6.1563105403917966</v>
      </c>
      <c r="AD38" s="1">
        <f>[1]Results!AG1398</f>
        <v>-6.1823462450775306</v>
      </c>
      <c r="AE38" s="1">
        <f>[1]Results!AH1398</f>
        <v>-6.2080957072779386</v>
      </c>
      <c r="AF38" s="1">
        <f>[1]Results!AI1398</f>
        <v>-6.2342227818125595</v>
      </c>
      <c r="AG38" s="1">
        <f>[1]Results!AJ1398</f>
        <v>-6.2612341141008994</v>
      </c>
      <c r="AH38" s="1">
        <f>[1]Results!AK1398</f>
        <v>-6.2893964236900857</v>
      </c>
      <c r="AI38" s="1">
        <f>[1]Results!AL1398</f>
        <v>-6.318906373677347</v>
      </c>
      <c r="AJ38" s="1">
        <f>[1]Results!AM1398</f>
        <v>-6.3498723704156763</v>
      </c>
      <c r="AK38" s="1">
        <f>[1]Results!AN1398</f>
        <v>-6.3823324262997634</v>
      </c>
      <c r="AL38" s="1">
        <f>[1]Results!AO1398</f>
        <v>-6.4162653245218415</v>
      </c>
      <c r="AM38" s="1">
        <f>[1]Results!AP1398</f>
        <v>-6.4509427350145305</v>
      </c>
      <c r="AN38" s="1">
        <f>[1]Results!AQ1398</f>
        <v>-6.4855831786271967</v>
      </c>
      <c r="AO38" s="1">
        <f>[1]Results!AR1398</f>
        <v>-6.5196231812693961</v>
      </c>
      <c r="AP38" s="1">
        <f>[1]Results!AS1398</f>
        <v>-6.5527080891043425</v>
      </c>
      <c r="AQ38" s="1">
        <f>[1]Results!AT1398</f>
        <v>-6.5846594389003865</v>
      </c>
      <c r="AR38" s="1">
        <f>[1]Results!AU1398</f>
        <v>-6.6152974189300107</v>
      </c>
      <c r="AS38" s="1">
        <f>[1]Results!AV1398</f>
        <v>-6.6445874879912825</v>
      </c>
      <c r="AT38" s="1">
        <f>[1]Results!AW1398</f>
        <v>-6.672574096586537</v>
      </c>
      <c r="AU38" s="1">
        <f>[1]Results!AX1398</f>
        <v>-6.6993676948618353</v>
      </c>
      <c r="AV38" s="1">
        <f>[1]Results!AY1398</f>
        <v>-6.725129066008706</v>
      </c>
      <c r="AW38" s="1">
        <f>[1]Results!AZ1398</f>
        <v>-6.7496147862117217</v>
      </c>
      <c r="AX38" s="1">
        <f>[1]Results!BA1398</f>
        <v>-6.7728123513336236</v>
      </c>
      <c r="AY38" s="1">
        <f>[1]Results!BB1398</f>
        <v>-6.7947837171553394</v>
      </c>
      <c r="AZ38" s="1">
        <f>[1]Results!BC1398</f>
        <v>-6.8156877157424134</v>
      </c>
      <c r="BA38" s="1">
        <f>[1]Results!BD1398</f>
        <v>-6.8357593939903154</v>
      </c>
      <c r="BB38" s="1">
        <f>[1]Results!BE1398</f>
        <v>0.52299662863573015</v>
      </c>
      <c r="BC38" s="1">
        <f>[1]Results!BF1398</f>
        <v>0.54651107442689195</v>
      </c>
      <c r="BD38" s="1">
        <f>[1]Results!BG1398</f>
        <v>0.5699060909814424</v>
      </c>
      <c r="BE38" s="1">
        <f>[1]Results!BH1398</f>
        <v>0.5931206808498013</v>
      </c>
      <c r="BF38" s="1">
        <f>[1]Results!BI1398</f>
        <v>0.61613815686294426</v>
      </c>
    </row>
    <row r="39" spans="1:58" x14ac:dyDescent="0.35">
      <c r="A39" s="3" t="str">
        <f>[1]Results!E1399</f>
        <v>100*((W_2/PCH_2)/(W_0/PCH_0)-1)</v>
      </c>
      <c r="B39" t="str">
        <f>[1]Results!C1399</f>
        <v>Salaire net réel (hors cotisations employeurs et employés, unitaire)</v>
      </c>
      <c r="C39" s="1">
        <f>[1]Results!F1399</f>
        <v>6.5085139504650336E-2</v>
      </c>
      <c r="D39" s="1">
        <f>[1]Results!G1399</f>
        <v>0.11116403568938171</v>
      </c>
      <c r="E39" s="1">
        <f>[1]Results!H1399</f>
        <v>8.4988811112363116E-2</v>
      </c>
      <c r="F39" s="1">
        <f>[1]Results!I1399</f>
        <v>-1.1426962985983113E-2</v>
      </c>
      <c r="G39" s="1">
        <f>[1]Results!J1399</f>
        <v>-0.15474633647717395</v>
      </c>
      <c r="H39" s="1">
        <f>[1]Results!K1399</f>
        <v>-0.32046430656187397</v>
      </c>
      <c r="I39" s="1">
        <f>[1]Results!L1399</f>
        <v>-0.49080332553227413</v>
      </c>
      <c r="J39" s="1">
        <f>[1]Results!M1399</f>
        <v>-0.65536066334341836</v>
      </c>
      <c r="K39" s="1">
        <f>[1]Results!N1399</f>
        <v>-0.80954586805895845</v>
      </c>
      <c r="L39" s="1">
        <f>[1]Results!O1399</f>
        <v>-0.95204436199144427</v>
      </c>
      <c r="M39" s="1">
        <f>[1]Results!P1399</f>
        <v>-1.0827926869521498</v>
      </c>
      <c r="N39" s="1">
        <f>[1]Results!Q1399</f>
        <v>-1.2024596984033353</v>
      </c>
      <c r="O39" s="1">
        <f>[1]Results!R1399</f>
        <v>-1.3113309503516857</v>
      </c>
      <c r="P39" s="1">
        <f>[1]Results!S1399</f>
        <v>-1.4099649796861291</v>
      </c>
      <c r="Q39" s="1">
        <f>[1]Results!T1399</f>
        <v>-1.4988957381774748</v>
      </c>
      <c r="R39" s="1">
        <f>[1]Results!U1399</f>
        <v>-1.5785764145409664</v>
      </c>
      <c r="S39" s="1">
        <f>[1]Results!V1399</f>
        <v>-1.6491938280159602</v>
      </c>
      <c r="T39" s="1">
        <f>[1]Results!W1399</f>
        <v>-1.7112974924414326</v>
      </c>
      <c r="U39" s="1">
        <f>[1]Results!X1399</f>
        <v>-1.7656720074479937</v>
      </c>
      <c r="V39" s="1">
        <f>[1]Results!Y1399</f>
        <v>-1.8131473547405297</v>
      </c>
      <c r="W39" s="1">
        <f>[1]Results!Z1399</f>
        <v>-1.8546391009833019</v>
      </c>
      <c r="X39" s="1">
        <f>[1]Results!AA1399</f>
        <v>-1.8906323833571492</v>
      </c>
      <c r="Y39" s="1">
        <f>[1]Results!AB1399</f>
        <v>-1.9220635347751314</v>
      </c>
      <c r="Z39" s="1">
        <f>[1]Results!AC1399</f>
        <v>-1.9496913339566824</v>
      </c>
      <c r="AA39" s="1">
        <f>[1]Results!AD1399</f>
        <v>-1.9741842688010713</v>
      </c>
      <c r="AB39" s="1">
        <f>[1]Results!AE1399</f>
        <v>-1.9965242599540245</v>
      </c>
      <c r="AC39" s="1">
        <f>[1]Results!AF1399</f>
        <v>-2.0166264211694318</v>
      </c>
      <c r="AD39" s="1">
        <f>[1]Results!AG1399</f>
        <v>-2.0352972866375718</v>
      </c>
      <c r="AE39" s="1">
        <f>[1]Results!AH1399</f>
        <v>-2.0530618859653127</v>
      </c>
      <c r="AF39" s="1">
        <f>[1]Results!AI1399</f>
        <v>-2.0702769858945147</v>
      </c>
      <c r="AG39" s="1">
        <f>[1]Results!AJ1399</f>
        <v>-2.0872037239384578</v>
      </c>
      <c r="AH39" s="1">
        <f>[1]Results!AK1399</f>
        <v>-2.1040876677748788</v>
      </c>
      <c r="AI39" s="1">
        <f>[1]Results!AL1399</f>
        <v>-2.1210702894727373</v>
      </c>
      <c r="AJ39" s="1">
        <f>[1]Results!AM1399</f>
        <v>-2.1382233116040705</v>
      </c>
      <c r="AK39" s="1">
        <f>[1]Results!AN1399</f>
        <v>-2.1555872336046167</v>
      </c>
      <c r="AL39" s="1">
        <f>[1]Results!AO1399</f>
        <v>-2.1731851836801042</v>
      </c>
      <c r="AM39" s="1">
        <f>[1]Results!AP1399</f>
        <v>-2.191488603721603</v>
      </c>
      <c r="AN39" s="1">
        <f>[1]Results!AQ1399</f>
        <v>-2.2102014483428856</v>
      </c>
      <c r="AO39" s="1">
        <f>[1]Results!AR1399</f>
        <v>-2.2289014489622838</v>
      </c>
      <c r="AP39" s="1">
        <f>[1]Results!AS1399</f>
        <v>-2.2472470363555486</v>
      </c>
      <c r="AQ39" s="1">
        <f>[1]Results!AT1399</f>
        <v>-2.2650294557192807</v>
      </c>
      <c r="AR39" s="1">
        <f>[1]Results!AU1399</f>
        <v>-2.2822059396057193</v>
      </c>
      <c r="AS39" s="1">
        <f>[1]Results!AV1399</f>
        <v>-2.2987276173983662</v>
      </c>
      <c r="AT39" s="1">
        <f>[1]Results!AW1399</f>
        <v>-2.3145421822903245</v>
      </c>
      <c r="AU39" s="1">
        <f>[1]Results!AX1399</f>
        <v>-2.3296203352522693</v>
      </c>
      <c r="AV39" s="1">
        <f>[1]Results!AY1399</f>
        <v>-2.3439608481270136</v>
      </c>
      <c r="AW39" s="1">
        <f>[1]Results!AZ1399</f>
        <v>-2.3577550003717196</v>
      </c>
      <c r="AX39" s="1">
        <f>[1]Results!BA1399</f>
        <v>-2.3709878717466215</v>
      </c>
      <c r="AY39" s="1">
        <f>[1]Results!BB1399</f>
        <v>-2.3835197313437195</v>
      </c>
      <c r="AZ39" s="1">
        <f>[1]Results!BC1399</f>
        <v>-2.3952495837863963</v>
      </c>
      <c r="BA39" s="1">
        <f>[1]Results!BD1399</f>
        <v>-2.4061576157006104</v>
      </c>
      <c r="BB39" s="1">
        <f>[1]Results!BE1399</f>
        <v>-0.24021035105309396</v>
      </c>
      <c r="BC39" s="1">
        <f>[1]Results!BF1399</f>
        <v>-0.24428123002031565</v>
      </c>
      <c r="BD39" s="1">
        <f>[1]Results!BG1399</f>
        <v>-0.24825121388079019</v>
      </c>
      <c r="BE39" s="1">
        <f>[1]Results!BH1399</f>
        <v>-0.25224222680291231</v>
      </c>
      <c r="BF39" s="1">
        <f>[1]Results!BI1399</f>
        <v>-0.25630122591391302</v>
      </c>
    </row>
    <row r="40" spans="1:58" x14ac:dyDescent="0.35">
      <c r="A40" s="3" t="str">
        <f>[1]Results!E1400</f>
        <v>100*(C_L_2/C_L_0-1)</v>
      </c>
      <c r="B40" t="str">
        <f>[1]Results!C1400</f>
        <v>Coût du travail nominal (yc. Cotisations employeurs et employés, unitaire)</v>
      </c>
      <c r="C40" s="1">
        <f>[1]Results!F1400</f>
        <v>-0.18766011906717894</v>
      </c>
      <c r="D40" s="1">
        <f>[1]Results!G1400</f>
        <v>-0.49660179800774529</v>
      </c>
      <c r="E40" s="1">
        <f>[1]Results!H1400</f>
        <v>-0.90307009219412482</v>
      </c>
      <c r="F40" s="1">
        <f>[1]Results!I1400</f>
        <v>-1.3708015846872645</v>
      </c>
      <c r="G40" s="1">
        <f>[1]Results!J1400</f>
        <v>-1.8640297906473591</v>
      </c>
      <c r="H40" s="1">
        <f>[1]Results!K1400</f>
        <v>-2.3548820979271912</v>
      </c>
      <c r="I40" s="1">
        <f>[1]Results!L1400</f>
        <v>-2.8252508299763002</v>
      </c>
      <c r="J40" s="1">
        <f>[1]Results!M1400</f>
        <v>-3.2643101684602271</v>
      </c>
      <c r="K40" s="1">
        <f>[1]Results!N1400</f>
        <v>-3.6666673844662268</v>
      </c>
      <c r="L40" s="1">
        <f>[1]Results!O1400</f>
        <v>-4.0302282069202722</v>
      </c>
      <c r="M40" s="1">
        <f>[1]Results!P1400</f>
        <v>-4.3543349070481181</v>
      </c>
      <c r="N40" s="1">
        <f>[1]Results!Q1400</f>
        <v>-4.6412618051046017</v>
      </c>
      <c r="O40" s="1">
        <f>[1]Results!R1400</f>
        <v>-4.8927013131700008</v>
      </c>
      <c r="P40" s="1">
        <f>[1]Results!S1400</f>
        <v>-5.1108228635139081</v>
      </c>
      <c r="Q40" s="1">
        <f>[1]Results!T1400</f>
        <v>-5.2980441145985875</v>
      </c>
      <c r="R40" s="1">
        <f>[1]Results!U1400</f>
        <v>-5.4569308463338633</v>
      </c>
      <c r="S40" s="1">
        <f>[1]Results!V1400</f>
        <v>-5.5907515171184414</v>
      </c>
      <c r="T40" s="1">
        <f>[1]Results!W1400</f>
        <v>-5.7025725818610207</v>
      </c>
      <c r="U40" s="1">
        <f>[1]Results!X1400</f>
        <v>-5.7953880738297103</v>
      </c>
      <c r="V40" s="1">
        <f>[1]Results!Y1400</f>
        <v>-5.8720464446180838</v>
      </c>
      <c r="W40" s="1">
        <f>[1]Results!Z1400</f>
        <v>-5.9355469317292293</v>
      </c>
      <c r="X40" s="1">
        <f>[1]Results!AA1400</f>
        <v>-5.987795076384284</v>
      </c>
      <c r="Y40" s="1">
        <f>[1]Results!AB1400</f>
        <v>-6.0311959100658559</v>
      </c>
      <c r="Z40" s="1">
        <f>[1]Results!AC1400</f>
        <v>-6.0678548577104197</v>
      </c>
      <c r="AA40" s="1">
        <f>[1]Results!AD1400</f>
        <v>-6.0996329565845215</v>
      </c>
      <c r="AB40" s="1">
        <f>[1]Results!AE1400</f>
        <v>-6.1291211675089219</v>
      </c>
      <c r="AC40" s="1">
        <f>[1]Results!AF1400</f>
        <v>-6.1563105725080618</v>
      </c>
      <c r="AD40" s="1">
        <f>[1]Results!AG1400</f>
        <v>-6.182346197677302</v>
      </c>
      <c r="AE40" s="1">
        <f>[1]Results!AH1400</f>
        <v>-6.2080957667170473</v>
      </c>
      <c r="AF40" s="1">
        <f>[1]Results!AI1400</f>
        <v>-6.2342228425831037</v>
      </c>
      <c r="AG40" s="1">
        <f>[1]Results!AJ1400</f>
        <v>-6.2612340664842332</v>
      </c>
      <c r="AH40" s="1">
        <f>[1]Results!AK1400</f>
        <v>-6.2893963718429706</v>
      </c>
      <c r="AI40" s="1">
        <f>[1]Results!AL1400</f>
        <v>-6.3189063473302998</v>
      </c>
      <c r="AJ40" s="1">
        <f>[1]Results!AM1400</f>
        <v>-6.349872385658295</v>
      </c>
      <c r="AK40" s="1">
        <f>[1]Results!AN1400</f>
        <v>-6.3823324712669161</v>
      </c>
      <c r="AL40" s="1">
        <f>[1]Results!AO1400</f>
        <v>-6.4162653423746825</v>
      </c>
      <c r="AM40" s="1">
        <f>[1]Results!AP1400</f>
        <v>-6.4509426958019089</v>
      </c>
      <c r="AN40" s="1">
        <f>[1]Results!AQ1400</f>
        <v>-6.48558312768448</v>
      </c>
      <c r="AO40" s="1">
        <f>[1]Results!AR1400</f>
        <v>-6.5196232451205871</v>
      </c>
      <c r="AP40" s="1">
        <f>[1]Results!AS1400</f>
        <v>-6.5527080788866705</v>
      </c>
      <c r="AQ40" s="1">
        <f>[1]Results!AT1400</f>
        <v>-6.5846594666323366</v>
      </c>
      <c r="AR40" s="1">
        <f>[1]Results!AU1400</f>
        <v>-6.6152974274934824</v>
      </c>
      <c r="AS40" s="1">
        <f>[1]Results!AV1400</f>
        <v>-6.6445875200759836</v>
      </c>
      <c r="AT40" s="1">
        <f>[1]Results!AW1400</f>
        <v>-6.672574123147001</v>
      </c>
      <c r="AU40" s="1">
        <f>[1]Results!AX1400</f>
        <v>-6.6993677144708723</v>
      </c>
      <c r="AV40" s="1">
        <f>[1]Results!AY1400</f>
        <v>-6.725129060120361</v>
      </c>
      <c r="AW40" s="1">
        <f>[1]Results!AZ1400</f>
        <v>-6.7496147817229897</v>
      </c>
      <c r="AX40" s="1">
        <f>[1]Results!BA1400</f>
        <v>-6.7728123716055748</v>
      </c>
      <c r="AY40" s="1">
        <f>[1]Results!BB1400</f>
        <v>-6.7947837005096989</v>
      </c>
      <c r="AZ40" s="1">
        <f>[1]Results!BC1400</f>
        <v>-6.8156877048294984</v>
      </c>
      <c r="BA40" s="1">
        <f>[1]Results!BD1400</f>
        <v>-6.8357593639488456</v>
      </c>
      <c r="BB40" s="1">
        <f>[1]Results!BE1400</f>
        <v>0.52299658260768211</v>
      </c>
      <c r="BC40" s="1">
        <f>[1]Results!BF1400</f>
        <v>0.54651106337506583</v>
      </c>
      <c r="BD40" s="1">
        <f>[1]Results!BG1400</f>
        <v>0.5699060494213759</v>
      </c>
      <c r="BE40" s="1">
        <f>[1]Results!BH1400</f>
        <v>0.59312071470607464</v>
      </c>
      <c r="BF40" s="1">
        <f>[1]Results!BI1400</f>
        <v>0.61613814107257525</v>
      </c>
    </row>
    <row r="41" spans="1:58" x14ac:dyDescent="0.35">
      <c r="A41" s="3" t="str">
        <f>[1]Results!E1401</f>
        <v>100*((C_L_2/PVA_2)/(C_L_0/PVA_0)-1)</v>
      </c>
      <c r="B41" t="str">
        <f>[1]Results!C1401</f>
        <v>Coût réel du travail (yc. Cotisations employeurs et employés, unitaire)</v>
      </c>
      <c r="C41" s="1">
        <f>[1]Results!F1401</f>
        <v>0.18675232802864983</v>
      </c>
      <c r="D41" s="1">
        <f>[1]Results!G1401</f>
        <v>0.40238060712463053</v>
      </c>
      <c r="E41" s="1">
        <f>[1]Results!H1401</f>
        <v>0.55662183919251706</v>
      </c>
      <c r="F41" s="1">
        <f>[1]Results!I1401</f>
        <v>0.63299007949959574</v>
      </c>
      <c r="G41" s="1">
        <f>[1]Results!J1401</f>
        <v>0.64799057648683434</v>
      </c>
      <c r="H41" s="1">
        <f>[1]Results!K1401</f>
        <v>0.62500813386474618</v>
      </c>
      <c r="I41" s="1">
        <f>[1]Results!L1401</f>
        <v>0.58289721579511955</v>
      </c>
      <c r="J41" s="1">
        <f>[1]Results!M1401</f>
        <v>0.53285900016162291</v>
      </c>
      <c r="K41" s="1">
        <f>[1]Results!N1401</f>
        <v>0.48006340767665634</v>
      </c>
      <c r="L41" s="1">
        <f>[1]Results!O1401</f>
        <v>0.42614508139904306</v>
      </c>
      <c r="M41" s="1">
        <f>[1]Results!P1401</f>
        <v>0.37122110783223139</v>
      </c>
      <c r="N41" s="1">
        <f>[1]Results!Q1401</f>
        <v>0.3162290440097637</v>
      </c>
      <c r="O41" s="1">
        <f>[1]Results!R1401</f>
        <v>0.2614265020409956</v>
      </c>
      <c r="P41" s="1">
        <f>[1]Results!S1401</f>
        <v>0.20725031021895379</v>
      </c>
      <c r="Q41" s="1">
        <f>[1]Results!T1401</f>
        <v>0.1541272920171588</v>
      </c>
      <c r="R41" s="1">
        <f>[1]Results!U1401</f>
        <v>0.10258054677065864</v>
      </c>
      <c r="S41" s="1">
        <f>[1]Results!V1401</f>
        <v>5.3842298246542519E-2</v>
      </c>
      <c r="T41" s="1">
        <f>[1]Results!W1401</f>
        <v>8.3895721913140875E-3</v>
      </c>
      <c r="U41" s="1">
        <f>[1]Results!X1401</f>
        <v>-3.3695279274714718E-2</v>
      </c>
      <c r="V41" s="1">
        <f>[1]Results!Y1401</f>
        <v>-7.2499654376001477E-2</v>
      </c>
      <c r="W41" s="1">
        <f>[1]Results!Z1401</f>
        <v>-0.10808873671211972</v>
      </c>
      <c r="X41" s="1">
        <f>[1]Results!AA1401</f>
        <v>-0.14072378949051556</v>
      </c>
      <c r="Y41" s="1">
        <f>[1]Results!AB1401</f>
        <v>-0.17058654975431464</v>
      </c>
      <c r="Z41" s="1">
        <f>[1]Results!AC1401</f>
        <v>-0.19799523500544369</v>
      </c>
      <c r="AA41" s="1">
        <f>[1]Results!AD1401</f>
        <v>-0.22318004790615742</v>
      </c>
      <c r="AB41" s="1">
        <f>[1]Results!AE1401</f>
        <v>-0.24627443152710482</v>
      </c>
      <c r="AC41" s="1">
        <f>[1]Results!AF1401</f>
        <v>-0.2677958129330027</v>
      </c>
      <c r="AD41" s="1">
        <f>[1]Results!AG1401</f>
        <v>-0.28803019270491337</v>
      </c>
      <c r="AE41" s="1">
        <f>[1]Results!AH1401</f>
        <v>-0.30741479668717764</v>
      </c>
      <c r="AF41" s="1">
        <f>[1]Results!AI1401</f>
        <v>-0.32615435633215339</v>
      </c>
      <c r="AG41" s="1">
        <f>[1]Results!AJ1401</f>
        <v>-0.344370302288588</v>
      </c>
      <c r="AH41" s="1">
        <f>[1]Results!AK1401</f>
        <v>-0.36227983399702568</v>
      </c>
      <c r="AI41" s="1">
        <f>[1]Results!AL1401</f>
        <v>-0.37997134866908366</v>
      </c>
      <c r="AJ41" s="1">
        <f>[1]Results!AM1401</f>
        <v>-0.39747431389531851</v>
      </c>
      <c r="AK41" s="1">
        <f>[1]Results!AN1401</f>
        <v>-0.41480197937733276</v>
      </c>
      <c r="AL41" s="1">
        <f>[1]Results!AO1401</f>
        <v>-0.43196868225717777</v>
      </c>
      <c r="AM41" s="1">
        <f>[1]Results!AP1401</f>
        <v>-0.45001662589950753</v>
      </c>
      <c r="AN41" s="1">
        <f>[1]Results!AQ1401</f>
        <v>-0.46890801948460403</v>
      </c>
      <c r="AO41" s="1">
        <f>[1]Results!AR1401</f>
        <v>-0.48820861825458195</v>
      </c>
      <c r="AP41" s="1">
        <f>[1]Results!AS1401</f>
        <v>-0.50749927244913007</v>
      </c>
      <c r="AQ41" s="1">
        <f>[1]Results!AT1401</f>
        <v>-0.52647284406752703</v>
      </c>
      <c r="AR41" s="1">
        <f>[1]Results!AU1401</f>
        <v>-0.54508702978116608</v>
      </c>
      <c r="AS41" s="1">
        <f>[1]Results!AV1401</f>
        <v>-0.56322184543143861</v>
      </c>
      <c r="AT41" s="1">
        <f>[1]Results!AW1401</f>
        <v>-0.58073282888955191</v>
      </c>
      <c r="AU41" s="1">
        <f>[1]Results!AX1401</f>
        <v>-0.59748604970110142</v>
      </c>
      <c r="AV41" s="1">
        <f>[1]Results!AY1401</f>
        <v>-0.61337515775683471</v>
      </c>
      <c r="AW41" s="1">
        <f>[1]Results!AZ1401</f>
        <v>-0.62881335415115869</v>
      </c>
      <c r="AX41" s="1">
        <f>[1]Results!BA1401</f>
        <v>-0.64374853070421345</v>
      </c>
      <c r="AY41" s="1">
        <f>[1]Results!BB1401</f>
        <v>-0.65794254913067451</v>
      </c>
      <c r="AZ41" s="1">
        <f>[1]Results!BC1401</f>
        <v>-0.67115948877657372</v>
      </c>
      <c r="BA41" s="1">
        <f>[1]Results!BD1401</f>
        <v>-0.68325062408643999</v>
      </c>
      <c r="BB41" s="1">
        <f>[1]Results!BE1401</f>
        <v>-0.55346485136600343</v>
      </c>
      <c r="BC41" s="1">
        <f>[1]Results!BF1401</f>
        <v>-0.56941968367145712</v>
      </c>
      <c r="BD41" s="1">
        <f>[1]Results!BG1401</f>
        <v>-0.58518679972733301</v>
      </c>
      <c r="BE41" s="1">
        <f>[1]Results!BH1401</f>
        <v>-0.60091463051668015</v>
      </c>
      <c r="BF41" s="1">
        <f>[1]Results!BI1401</f>
        <v>-0.61665616465492734</v>
      </c>
    </row>
    <row r="42" spans="1:58" x14ac:dyDescent="0.35">
      <c r="A42" s="3" t="str">
        <f>[1]Results!E1402</f>
        <v>((F_L_2/F_L_0)-1)*100</v>
      </c>
      <c r="B42" t="str">
        <f>[1]Results!C1402</f>
        <v>Emploi en %</v>
      </c>
      <c r="C42" s="1">
        <f>[1]Results!F1402</f>
        <v>-0.92749302271414313</v>
      </c>
      <c r="D42" s="1">
        <f>[1]Results!G1402</f>
        <v>-1.7026859670613792</v>
      </c>
      <c r="E42" s="1">
        <f>[1]Results!H1402</f>
        <v>-2.2941990926444</v>
      </c>
      <c r="F42" s="1">
        <f>[1]Results!I1402</f>
        <v>-2.7323242997864594</v>
      </c>
      <c r="G42" s="1">
        <f>[1]Results!J1402</f>
        <v>-3.052103208659751</v>
      </c>
      <c r="H42" s="1">
        <f>[1]Results!K1402</f>
        <v>-3.2829718910875494</v>
      </c>
      <c r="I42" s="1">
        <f>[1]Results!L1402</f>
        <v>-3.4497040971450899</v>
      </c>
      <c r="J42" s="1">
        <f>[1]Results!M1402</f>
        <v>-3.5704708209347458</v>
      </c>
      <c r="K42" s="1">
        <f>[1]Results!N1402</f>
        <v>-3.6593150404402031</v>
      </c>
      <c r="L42" s="1">
        <f>[1]Results!O1402</f>
        <v>-3.7271085078126709</v>
      </c>
      <c r="M42" s="1">
        <f>[1]Results!P1402</f>
        <v>-3.781782417517221</v>
      </c>
      <c r="N42" s="1">
        <f>[1]Results!Q1402</f>
        <v>-3.8333917371410342</v>
      </c>
      <c r="O42" s="1">
        <f>[1]Results!R1402</f>
        <v>-3.8852963724129275</v>
      </c>
      <c r="P42" s="1">
        <f>[1]Results!S1402</f>
        <v>-3.9393535300613181</v>
      </c>
      <c r="Q42" s="1">
        <f>[1]Results!T1402</f>
        <v>-3.9965172478180877</v>
      </c>
      <c r="R42" s="1">
        <f>[1]Results!U1402</f>
        <v>-4.0571510128226462</v>
      </c>
      <c r="S42" s="1">
        <f>[1]Results!V1402</f>
        <v>-4.1243038587319809</v>
      </c>
      <c r="T42" s="1">
        <f>[1]Results!W1402</f>
        <v>-4.1969196534301982</v>
      </c>
      <c r="U42" s="1">
        <f>[1]Results!X1402</f>
        <v>-4.2738439367403958</v>
      </c>
      <c r="V42" s="1">
        <f>[1]Results!Y1402</f>
        <v>-4.354078912597215</v>
      </c>
      <c r="W42" s="1">
        <f>[1]Results!Z1402</f>
        <v>-4.4370681937530465</v>
      </c>
      <c r="X42" s="1">
        <f>[1]Results!AA1402</f>
        <v>-4.5216175741034199</v>
      </c>
      <c r="Y42" s="1">
        <f>[1]Results!AB1402</f>
        <v>-4.6072229316560298</v>
      </c>
      <c r="Z42" s="1">
        <f>[1]Results!AC1402</f>
        <v>-4.6934879879859448</v>
      </c>
      <c r="AA42" s="1">
        <f>[1]Results!AD1402</f>
        <v>-4.7800617073037399</v>
      </c>
      <c r="AB42" s="1">
        <f>[1]Results!AE1402</f>
        <v>-4.8672807155472064</v>
      </c>
      <c r="AC42" s="1">
        <f>[1]Results!AF1402</f>
        <v>-4.9528011839854669</v>
      </c>
      <c r="AD42" s="1">
        <f>[1]Results!AG1402</f>
        <v>-5.0365065640796125</v>
      </c>
      <c r="AE42" s="1">
        <f>[1]Results!AH1402</f>
        <v>-5.1183879554653311</v>
      </c>
      <c r="AF42" s="1">
        <f>[1]Results!AI1402</f>
        <v>-5.1984405258289286</v>
      </c>
      <c r="AG42" s="1">
        <f>[1]Results!AJ1402</f>
        <v>-5.2766354721809687</v>
      </c>
      <c r="AH42" s="1">
        <f>[1]Results!AK1402</f>
        <v>-5.3523696885662719</v>
      </c>
      <c r="AI42" s="1">
        <f>[1]Results!AL1402</f>
        <v>-5.4257147209418992</v>
      </c>
      <c r="AJ42" s="1">
        <f>[1]Results!AM1402</f>
        <v>-5.49674011230874</v>
      </c>
      <c r="AK42" s="1">
        <f>[1]Results!AN1402</f>
        <v>-5.5654903268859464</v>
      </c>
      <c r="AL42" s="1">
        <f>[1]Results!AO1402</f>
        <v>-5.6319945194386323</v>
      </c>
      <c r="AM42" s="1">
        <f>[1]Results!AP1402</f>
        <v>-5.6918909325821669</v>
      </c>
      <c r="AN42" s="1">
        <f>[1]Results!AQ1402</f>
        <v>-5.7462763654700044</v>
      </c>
      <c r="AO42" s="1">
        <f>[1]Results!AR1402</f>
        <v>-5.7962928087518577</v>
      </c>
      <c r="AP42" s="1">
        <f>[1]Results!AS1402</f>
        <v>-5.8428695420219778</v>
      </c>
      <c r="AQ42" s="1">
        <f>[1]Results!AT1402</f>
        <v>-5.8867417183344202</v>
      </c>
      <c r="AR42" s="1">
        <f>[1]Results!AU1402</f>
        <v>-5.9278156330340614</v>
      </c>
      <c r="AS42" s="1">
        <f>[1]Results!AV1402</f>
        <v>-5.966722895023679</v>
      </c>
      <c r="AT42" s="1">
        <f>[1]Results!AW1402</f>
        <v>-6.0040038919083933</v>
      </c>
      <c r="AU42" s="1">
        <f>[1]Results!AX1402</f>
        <v>-6.0400820485702607</v>
      </c>
      <c r="AV42" s="1">
        <f>[1]Results!AY1402</f>
        <v>-6.0752826819375656</v>
      </c>
      <c r="AW42" s="1">
        <f>[1]Results!AZ1402</f>
        <v>-6.1077017897141372</v>
      </c>
      <c r="AX42" s="1">
        <f>[1]Results!BA1402</f>
        <v>-6.1380896917777594</v>
      </c>
      <c r="AY42" s="1">
        <f>[1]Results!BB1402</f>
        <v>-6.1671715147941892</v>
      </c>
      <c r="AZ42" s="1">
        <f>[1]Results!BC1402</f>
        <v>-6.1954618581509413</v>
      </c>
      <c r="BA42" s="1">
        <f>[1]Results!BD1402</f>
        <v>-6.2233045727006386</v>
      </c>
      <c r="BB42" s="1">
        <f>[1]Results!BE1402</f>
        <v>0.14027340424394019</v>
      </c>
      <c r="BC42" s="1">
        <f>[1]Results!BF1402</f>
        <v>0.14741152578139349</v>
      </c>
      <c r="BD42" s="1">
        <f>[1]Results!BG1402</f>
        <v>0.15482110587274889</v>
      </c>
      <c r="BE42" s="1">
        <f>[1]Results!BH1402</f>
        <v>0.16252648829901961</v>
      </c>
      <c r="BF42" s="1">
        <f>[1]Results!BI1402</f>
        <v>0.17051143114354961</v>
      </c>
    </row>
    <row r="43" spans="1:58" x14ac:dyDescent="0.35">
      <c r="A43" s="3" t="str">
        <f>[1]Results!E1403</f>
        <v>F_L_2-F_L_0</v>
      </c>
      <c r="B43" t="str">
        <f>[1]Results!C1403</f>
        <v>Emploi en millier</v>
      </c>
      <c r="C43" s="1">
        <f>[1]Results!F1403</f>
        <v>-253.87197000000015</v>
      </c>
      <c r="D43" s="1">
        <f>[1]Results!G1403</f>
        <v>-466.56308999999965</v>
      </c>
      <c r="E43" s="1">
        <f>[1]Results!H1403</f>
        <v>-629.5176799999972</v>
      </c>
      <c r="F43" s="1">
        <f>[1]Results!I1403</f>
        <v>-751.24732999999833</v>
      </c>
      <c r="G43" s="1">
        <f>[1]Results!J1403</f>
        <v>-841.47231000000102</v>
      </c>
      <c r="H43" s="1">
        <f>[1]Results!K1403</f>
        <v>-908.23111000000063</v>
      </c>
      <c r="I43" s="1">
        <f>[1]Results!L1403</f>
        <v>-957.8216199999988</v>
      </c>
      <c r="J43" s="1">
        <f>[1]Results!M1403</f>
        <v>-995.09530999999697</v>
      </c>
      <c r="K43" s="1">
        <f>[1]Results!N1403</f>
        <v>-1023.8177700000015</v>
      </c>
      <c r="L43" s="1">
        <f>[1]Results!O1403</f>
        <v>-1046.9144300000007</v>
      </c>
      <c r="M43" s="1">
        <f>[1]Results!P1403</f>
        <v>-1067.2003199999999</v>
      </c>
      <c r="N43" s="1">
        <f>[1]Results!Q1403</f>
        <v>-1086.6694499999976</v>
      </c>
      <c r="O43" s="1">
        <f>[1]Results!R1403</f>
        <v>-1106.2151999999987</v>
      </c>
      <c r="P43" s="1">
        <f>[1]Results!S1403</f>
        <v>-1126.3618199999983</v>
      </c>
      <c r="Q43" s="1">
        <f>[1]Results!T1403</f>
        <v>-1147.3944200000005</v>
      </c>
      <c r="R43" s="1">
        <f>[1]Results!U1403</f>
        <v>-1169.4366200000004</v>
      </c>
      <c r="S43" s="1">
        <f>[1]Results!V1403</f>
        <v>-1193.3933100000031</v>
      </c>
      <c r="T43" s="1">
        <f>[1]Results!W1403</f>
        <v>-1218.9919599999994</v>
      </c>
      <c r="U43" s="1">
        <f>[1]Results!X1403</f>
        <v>-1245.9271899999985</v>
      </c>
      <c r="V43" s="1">
        <f>[1]Results!Y1403</f>
        <v>-1273.9342799999977</v>
      </c>
      <c r="W43" s="1">
        <f>[1]Results!Z1403</f>
        <v>-1302.3482100000001</v>
      </c>
      <c r="X43" s="1">
        <f>[1]Results!AA1403</f>
        <v>-1331.4387800000004</v>
      </c>
      <c r="Y43" s="1">
        <f>[1]Results!AB1403</f>
        <v>-1361.0950699999994</v>
      </c>
      <c r="Z43" s="1">
        <f>[1]Results!AC1403</f>
        <v>-1391.2040099999977</v>
      </c>
      <c r="AA43" s="1">
        <f>[1]Results!AD1403</f>
        <v>-1421.6569600000003</v>
      </c>
      <c r="AB43" s="1">
        <f>[1]Results!AE1403</f>
        <v>-1450.9767700000011</v>
      </c>
      <c r="AC43" s="1">
        <f>[1]Results!AF1403</f>
        <v>-1479.5065600000016</v>
      </c>
      <c r="AD43" s="1">
        <f>[1]Results!AG1403</f>
        <v>-1507.364590000001</v>
      </c>
      <c r="AE43" s="1">
        <f>[1]Results!AH1403</f>
        <v>-1534.644479999999</v>
      </c>
      <c r="AF43" s="1">
        <f>[1]Results!AI1403</f>
        <v>-1561.4145900000003</v>
      </c>
      <c r="AG43" s="1">
        <f>[1]Results!AJ1403</f>
        <v>-1587.7163699999983</v>
      </c>
      <c r="AH43" s="1">
        <f>[1]Results!AK1403</f>
        <v>-1613.4008900000008</v>
      </c>
      <c r="AI43" s="1">
        <f>[1]Results!AL1403</f>
        <v>-1638.50677</v>
      </c>
      <c r="AJ43" s="1">
        <f>[1]Results!AM1403</f>
        <v>-1663.0601000000024</v>
      </c>
      <c r="AK43" s="1">
        <f>[1]Results!AN1403</f>
        <v>-1687.070499999998</v>
      </c>
      <c r="AL43" s="1">
        <f>[1]Results!AO1403</f>
        <v>-1710.5369400000018</v>
      </c>
      <c r="AM43" s="1">
        <f>[1]Results!AP1403</f>
        <v>-1731.7274499999985</v>
      </c>
      <c r="AN43" s="1">
        <f>[1]Results!AQ1403</f>
        <v>-1751.0135300000002</v>
      </c>
      <c r="AO43" s="1">
        <f>[1]Results!AR1403</f>
        <v>-1768.8001199999999</v>
      </c>
      <c r="AP43" s="1">
        <f>[1]Results!AS1403</f>
        <v>-1785.4238499999992</v>
      </c>
      <c r="AQ43" s="1">
        <f>[1]Results!AT1403</f>
        <v>-1801.1536999999989</v>
      </c>
      <c r="AR43" s="1">
        <f>[1]Results!AU1403</f>
        <v>-1815.9956300000013</v>
      </c>
      <c r="AS43" s="1">
        <f>[1]Results!AV1403</f>
        <v>-1830.1682499999988</v>
      </c>
      <c r="AT43" s="1">
        <f>[1]Results!AW1403</f>
        <v>-1843.8544799999981</v>
      </c>
      <c r="AU43" s="1">
        <f>[1]Results!AX1403</f>
        <v>-1857.1948300000004</v>
      </c>
      <c r="AV43" s="1">
        <f>[1]Results!AY1403</f>
        <v>-1870.2945900000013</v>
      </c>
      <c r="AW43" s="1">
        <f>[1]Results!AZ1403</f>
        <v>-1882.6023600000008</v>
      </c>
      <c r="AX43" s="1">
        <f>[1]Results!BA1403</f>
        <v>-1894.3412199999984</v>
      </c>
      <c r="AY43" s="1">
        <f>[1]Results!BB1403</f>
        <v>-1905.7249599999996</v>
      </c>
      <c r="AZ43" s="1">
        <f>[1]Results!BC1403</f>
        <v>-1916.902399999999</v>
      </c>
      <c r="BA43" s="1">
        <f>[1]Results!BD1403</f>
        <v>-1927.9708100000025</v>
      </c>
      <c r="BB43" s="1">
        <f>[1]Results!BE1403</f>
        <v>43.635760000001028</v>
      </c>
      <c r="BC43" s="1">
        <f>[1]Results!BF1403</f>
        <v>45.909630000001926</v>
      </c>
      <c r="BD43" s="1">
        <f>[1]Results!BG1403</f>
        <v>48.272320000000036</v>
      </c>
      <c r="BE43" s="1">
        <f>[1]Results!BH1403</f>
        <v>50.7316000000028</v>
      </c>
      <c r="BF43" s="1">
        <f>[1]Results!BI1403</f>
        <v>53.282609999998385</v>
      </c>
    </row>
    <row r="44" spans="1:58" x14ac:dyDescent="0.35">
      <c r="A44" s="3" t="str">
        <f>[1]Results!E1404</f>
        <v>100*(UnR_2-UnR_0)</v>
      </c>
      <c r="B44" t="str">
        <f>[1]Results!C1404</f>
        <v>Taux de chômage (en point)</v>
      </c>
      <c r="C44" s="1">
        <f>[1]Results!F1404</f>
        <v>0.67784744999999924</v>
      </c>
      <c r="D44" s="1">
        <f>[1]Results!G1404</f>
        <v>1.1937365800000017</v>
      </c>
      <c r="E44" s="1">
        <f>[1]Results!H1404</f>
        <v>1.5611608900000018</v>
      </c>
      <c r="F44" s="1">
        <f>[1]Results!I1404</f>
        <v>1.8210621000000011</v>
      </c>
      <c r="G44" s="1">
        <f>[1]Results!J1404</f>
        <v>2.0051751199999996</v>
      </c>
      <c r="H44" s="1">
        <f>[1]Results!K1404</f>
        <v>2.1356755099999987</v>
      </c>
      <c r="I44" s="1">
        <f>[1]Results!L1404</f>
        <v>2.2302396800000013</v>
      </c>
      <c r="J44" s="1">
        <f>[1]Results!M1404</f>
        <v>2.2985366700000007</v>
      </c>
      <c r="K44" s="1">
        <f>[1]Results!N1404</f>
        <v>2.3491250600000013</v>
      </c>
      <c r="L44" s="1">
        <f>[1]Results!O1404</f>
        <v>2.3884557400000004</v>
      </c>
      <c r="M44" s="1">
        <f>[1]Results!P1404</f>
        <v>2.4193574600000018</v>
      </c>
      <c r="N44" s="1">
        <f>[1]Results!Q1404</f>
        <v>2.4528554600000003</v>
      </c>
      <c r="O44" s="1">
        <f>[1]Results!R1404</f>
        <v>2.4870839699999978</v>
      </c>
      <c r="P44" s="1">
        <f>[1]Results!S1404</f>
        <v>2.5230004199999989</v>
      </c>
      <c r="Q44" s="1">
        <f>[1]Results!T1404</f>
        <v>2.5610452300000004</v>
      </c>
      <c r="R44" s="1">
        <f>[1]Results!U1404</f>
        <v>2.6013343299999994</v>
      </c>
      <c r="S44" s="1">
        <f>[1]Results!V1404</f>
        <v>2.6460459500000004</v>
      </c>
      <c r="T44" s="1">
        <f>[1]Results!W1404</f>
        <v>2.6942218500000004</v>
      </c>
      <c r="U44" s="1">
        <f>[1]Results!X1404</f>
        <v>2.7450027700000019</v>
      </c>
      <c r="V44" s="1">
        <f>[1]Results!Y1404</f>
        <v>2.7977223999999996</v>
      </c>
      <c r="W44" s="1">
        <f>[1]Results!Z1404</f>
        <v>2.8533739400000009</v>
      </c>
      <c r="X44" s="1">
        <f>[1]Results!AA1404</f>
        <v>2.9076652799999989</v>
      </c>
      <c r="Y44" s="1">
        <f>[1]Results!AB1404</f>
        <v>2.9628564699999997</v>
      </c>
      <c r="Z44" s="1">
        <f>[1]Results!AC1404</f>
        <v>3.0185882100000008</v>
      </c>
      <c r="AA44" s="1">
        <f>[1]Results!AD1404</f>
        <v>3.0745844699999996</v>
      </c>
      <c r="AB44" s="1">
        <f>[1]Results!AE1404</f>
        <v>3.1349732900000009</v>
      </c>
      <c r="AC44" s="1">
        <f>[1]Results!AF1404</f>
        <v>3.189534220000001</v>
      </c>
      <c r="AD44" s="1">
        <f>[1]Results!AG1404</f>
        <v>3.2427236300000022</v>
      </c>
      <c r="AE44" s="1">
        <f>[1]Results!AH1404</f>
        <v>3.2946329600000017</v>
      </c>
      <c r="AF44" s="1">
        <f>[1]Results!AI1404</f>
        <v>3.3453336800000013</v>
      </c>
      <c r="AG44" s="1">
        <f>[1]Results!AJ1404</f>
        <v>3.3948596899999988</v>
      </c>
      <c r="AH44" s="1">
        <f>[1]Results!AK1404</f>
        <v>3.4428006300000007</v>
      </c>
      <c r="AI44" s="1">
        <f>[1]Results!AL1404</f>
        <v>3.4892599400000002</v>
      </c>
      <c r="AJ44" s="1">
        <f>[1]Results!AM1404</f>
        <v>3.5343025899999994</v>
      </c>
      <c r="AK44" s="1">
        <f>[1]Results!AN1404</f>
        <v>3.5779550899999983</v>
      </c>
      <c r="AL44" s="1">
        <f>[1]Results!AO1404</f>
        <v>3.6202236000000001</v>
      </c>
      <c r="AM44" s="1">
        <f>[1]Results!AP1404</f>
        <v>3.6587989599999982</v>
      </c>
      <c r="AN44" s="1">
        <f>[1]Results!AQ1404</f>
        <v>3.6931455500000014</v>
      </c>
      <c r="AO44" s="1">
        <f>[1]Results!AR1404</f>
        <v>3.7243871200000003</v>
      </c>
      <c r="AP44" s="1">
        <f>[1]Results!AS1404</f>
        <v>3.7533046799999998</v>
      </c>
      <c r="AQ44" s="1">
        <f>[1]Results!AT1404</f>
        <v>3.7804586000000002</v>
      </c>
      <c r="AR44" s="1">
        <f>[1]Results!AU1404</f>
        <v>3.8057645400000006</v>
      </c>
      <c r="AS44" s="1">
        <f>[1]Results!AV1404</f>
        <v>3.82970232</v>
      </c>
      <c r="AT44" s="1">
        <f>[1]Results!AW1404</f>
        <v>3.8526505500000003</v>
      </c>
      <c r="AU44" s="1">
        <f>[1]Results!AX1404</f>
        <v>3.8748876200000004</v>
      </c>
      <c r="AV44" s="1">
        <f>[1]Results!AY1404</f>
        <v>3.8966168299999993</v>
      </c>
      <c r="AW44" s="1">
        <f>[1]Results!AZ1404</f>
        <v>3.9163109599999997</v>
      </c>
      <c r="AX44" s="1">
        <f>[1]Results!BA1404</f>
        <v>3.9347456300000001</v>
      </c>
      <c r="AY44" s="1">
        <f>[1]Results!BB1404</f>
        <v>3.9524310499999995</v>
      </c>
      <c r="AZ44" s="1">
        <f>[1]Results!BC1404</f>
        <v>3.9696913499999988</v>
      </c>
      <c r="BA44" s="1">
        <f>[1]Results!BD1404</f>
        <v>3.9867238100000009</v>
      </c>
      <c r="BB44" s="1">
        <f>[1]Results!BE1404</f>
        <v>-8.9909590000000761E-2</v>
      </c>
      <c r="BC44" s="1">
        <f>[1]Results!BF1404</f>
        <v>-9.4422660000001435E-2</v>
      </c>
      <c r="BD44" s="1">
        <f>[1]Results!BG1404</f>
        <v>-9.911473000000226E-2</v>
      </c>
      <c r="BE44" s="1">
        <f>[1]Results!BH1404</f>
        <v>-0.10399653000000009</v>
      </c>
      <c r="BF44" s="1">
        <f>[1]Results!BI1404</f>
        <v>-0.10905186999999872</v>
      </c>
    </row>
    <row r="45" spans="1:58" x14ac:dyDescent="0.35">
      <c r="A45" s="3" t="str">
        <f>[1]Results!E1405</f>
        <v>100*(Bal_Trade_VAL_2/(GDP_2*PGDP_2)-Bal_Trade_VAL_0/(GDP_0*PGDP_0))</v>
      </c>
      <c r="B45" t="str">
        <f>[1]Results!C1405</f>
        <v>Balance commerciale</v>
      </c>
      <c r="C45" s="1">
        <f>[1]Results!F1405</f>
        <v>-1.2899260187835482</v>
      </c>
      <c r="D45" s="1">
        <f>[1]Results!G1405</f>
        <v>-1.2750905505375836</v>
      </c>
      <c r="E45" s="1">
        <f>[1]Results!H1405</f>
        <v>-1.2975970018977816</v>
      </c>
      <c r="F45" s="1">
        <f>[1]Results!I1405</f>
        <v>-1.3234175219585886</v>
      </c>
      <c r="G45" s="1">
        <f>[1]Results!J1405</f>
        <v>-1.3501857470461378</v>
      </c>
      <c r="H45" s="1">
        <f>[1]Results!K1405</f>
        <v>-1.3794012811341876</v>
      </c>
      <c r="I45" s="1">
        <f>[1]Results!L1405</f>
        <v>-1.4129575563683492</v>
      </c>
      <c r="J45" s="1">
        <f>[1]Results!M1405</f>
        <v>-1.44939690126177</v>
      </c>
      <c r="K45" s="1">
        <f>[1]Results!N1405</f>
        <v>-1.4877745376782836</v>
      </c>
      <c r="L45" s="1">
        <f>[1]Results!O1405</f>
        <v>-1.5269773852122277</v>
      </c>
      <c r="M45" s="1">
        <f>[1]Results!P1405</f>
        <v>-1.5663922656100795</v>
      </c>
      <c r="N45" s="1">
        <f>[1]Results!Q1405</f>
        <v>-1.6096833033400089</v>
      </c>
      <c r="O45" s="1">
        <f>[1]Results!R1405</f>
        <v>-1.6516505078789923</v>
      </c>
      <c r="P45" s="1">
        <f>[1]Results!S1405</f>
        <v>-1.6927063678716381</v>
      </c>
      <c r="Q45" s="1">
        <f>[1]Results!T1405</f>
        <v>-1.7331388791386602</v>
      </c>
      <c r="R45" s="1">
        <f>[1]Results!U1405</f>
        <v>-1.773222692198009</v>
      </c>
      <c r="S45" s="1">
        <f>[1]Results!V1405</f>
        <v>-1.8177412850706918</v>
      </c>
      <c r="T45" s="1">
        <f>[1]Results!W1405</f>
        <v>-1.8617965016702522</v>
      </c>
      <c r="U45" s="1">
        <f>[1]Results!X1405</f>
        <v>-1.9057249113047952</v>
      </c>
      <c r="V45" s="1">
        <f>[1]Results!Y1405</f>
        <v>-1.9496421080052513</v>
      </c>
      <c r="W45" s="1">
        <f>[1]Results!Z1405</f>
        <v>-1.9933478563234532</v>
      </c>
      <c r="X45" s="1">
        <f>[1]Results!AA1405</f>
        <v>-2.0373499609800261</v>
      </c>
      <c r="Y45" s="1">
        <f>[1]Results!AB1405</f>
        <v>-2.0814602720406743</v>
      </c>
      <c r="Z45" s="1">
        <f>[1]Results!AC1405</f>
        <v>-2.1255830117689429</v>
      </c>
      <c r="AA45" s="1">
        <f>[1]Results!AD1405</f>
        <v>-2.1696714505089685</v>
      </c>
      <c r="AB45" s="1">
        <f>[1]Results!AE1405</f>
        <v>-2.2128488343171644</v>
      </c>
      <c r="AC45" s="1">
        <f>[1]Results!AF1405</f>
        <v>-2.2550355508818902</v>
      </c>
      <c r="AD45" s="1">
        <f>[1]Results!AG1405</f>
        <v>-2.2977188824900403</v>
      </c>
      <c r="AE45" s="1">
        <f>[1]Results!AH1405</f>
        <v>-2.3406676828426622</v>
      </c>
      <c r="AF45" s="1">
        <f>[1]Results!AI1405</f>
        <v>-2.3837705174529855</v>
      </c>
      <c r="AG45" s="1">
        <f>[1]Results!AJ1405</f>
        <v>-2.4269554577751467</v>
      </c>
      <c r="AH45" s="1">
        <f>[1]Results!AK1405</f>
        <v>-2.4693380915013732</v>
      </c>
      <c r="AI45" s="1">
        <f>[1]Results!AL1405</f>
        <v>-2.5117900888230538</v>
      </c>
      <c r="AJ45" s="1">
        <f>[1]Results!AM1405</f>
        <v>-2.5542341580051318</v>
      </c>
      <c r="AK45" s="1">
        <f>[1]Results!AN1405</f>
        <v>-2.5966261649329114</v>
      </c>
      <c r="AL45" s="1">
        <f>[1]Results!AO1405</f>
        <v>-2.6389291933780488</v>
      </c>
      <c r="AM45" s="1">
        <f>[1]Results!AP1405</f>
        <v>-2.6740345350800867</v>
      </c>
      <c r="AN45" s="1">
        <f>[1]Results!AQ1405</f>
        <v>-2.7098811837978634</v>
      </c>
      <c r="AO45" s="1">
        <f>[1]Results!AR1405</f>
        <v>-2.746155375353637</v>
      </c>
      <c r="AP45" s="1">
        <f>[1]Results!AS1405</f>
        <v>-2.7827449817919061</v>
      </c>
      <c r="AQ45" s="1">
        <f>[1]Results!AT1405</f>
        <v>-2.8195567520114455</v>
      </c>
      <c r="AR45" s="1">
        <f>[1]Results!AU1405</f>
        <v>-2.8554625223648715</v>
      </c>
      <c r="AS45" s="1">
        <f>[1]Results!AV1405</f>
        <v>-2.8915110185187602</v>
      </c>
      <c r="AT45" s="1">
        <f>[1]Results!AW1405</f>
        <v>-2.9275832863736571</v>
      </c>
      <c r="AU45" s="1">
        <f>[1]Results!AX1405</f>
        <v>-2.9636101308317651</v>
      </c>
      <c r="AV45" s="1">
        <f>[1]Results!AY1405</f>
        <v>-2.9995387019458359</v>
      </c>
      <c r="AW45" s="1">
        <f>[1]Results!AZ1405</f>
        <v>-3.0320400787178214</v>
      </c>
      <c r="AX45" s="1">
        <f>[1]Results!BA1405</f>
        <v>-3.0646540598091323</v>
      </c>
      <c r="AY45" s="1">
        <f>[1]Results!BB1405</f>
        <v>-3.0972127974550645</v>
      </c>
      <c r="AZ45" s="1">
        <f>[1]Results!BC1405</f>
        <v>-3.1296509301901212</v>
      </c>
      <c r="BA45" s="1">
        <f>[1]Results!BD1405</f>
        <v>-3.1619220538560824</v>
      </c>
      <c r="BB45" s="1">
        <f>[1]Results!BE1405</f>
        <v>2.5088340241877227E-2</v>
      </c>
      <c r="BC45" s="1">
        <f>[1]Results!BF1405</f>
        <v>2.3677838209086803E-2</v>
      </c>
      <c r="BD45" s="1">
        <f>[1]Results!BG1405</f>
        <v>2.2157323216682578E-2</v>
      </c>
      <c r="BE45" s="1">
        <f>[1]Results!BH1405</f>
        <v>2.0562063689133103E-2</v>
      </c>
      <c r="BF45" s="1">
        <f>[1]Results!BI1405</f>
        <v>1.8911098973554932E-2</v>
      </c>
    </row>
    <row r="46" spans="1:58" x14ac:dyDescent="0.35">
      <c r="A46" s="3" t="str">
        <f>[1]Results!E1406</f>
        <v>100*(ENER_BILL_2/(GDP_2*PGDP_2)-ENER_BILL_0/(GDP_0*PGDP_0))</v>
      </c>
      <c r="B46" t="str">
        <f>[1]Results!C1406</f>
        <v>Facture énergétique</v>
      </c>
      <c r="C46" s="1">
        <f>[1]Results!F1406</f>
        <v>4.1688147332378037E-2</v>
      </c>
      <c r="D46" s="1">
        <f>[1]Results!G1406</f>
        <v>4.4476572575530282E-2</v>
      </c>
      <c r="E46" s="1">
        <f>[1]Results!H1406</f>
        <v>5.2703122289599579E-2</v>
      </c>
      <c r="F46" s="1">
        <f>[1]Results!I1406</f>
        <v>6.1254369663651595E-2</v>
      </c>
      <c r="G46" s="1">
        <f>[1]Results!J1406</f>
        <v>6.9443135690021307E-2</v>
      </c>
      <c r="H46" s="1">
        <f>[1]Results!K1406</f>
        <v>7.6989571886737496E-2</v>
      </c>
      <c r="I46" s="1">
        <f>[1]Results!L1406</f>
        <v>8.411600508536568E-2</v>
      </c>
      <c r="J46" s="1">
        <f>[1]Results!M1406</f>
        <v>9.0813383237724546E-2</v>
      </c>
      <c r="K46" s="1">
        <f>[1]Results!N1406</f>
        <v>9.7058055176725208E-2</v>
      </c>
      <c r="L46" s="1">
        <f>[1]Results!O1406</f>
        <v>0.10280352277095145</v>
      </c>
      <c r="M46" s="1">
        <f>[1]Results!P1406</f>
        <v>0.10795900482774255</v>
      </c>
      <c r="N46" s="1">
        <f>[1]Results!Q1406</f>
        <v>0.11272966488577105</v>
      </c>
      <c r="O46" s="1">
        <f>[1]Results!R1406</f>
        <v>0.11691886087256478</v>
      </c>
      <c r="P46" s="1">
        <f>[1]Results!S1406</f>
        <v>0.12056874301196903</v>
      </c>
      <c r="Q46" s="1">
        <f>[1]Results!T1406</f>
        <v>0.12370814576682342</v>
      </c>
      <c r="R46" s="1">
        <f>[1]Results!U1406</f>
        <v>0.12637013590139046</v>
      </c>
      <c r="S46" s="1">
        <f>[1]Results!V1406</f>
        <v>0.12873194427569598</v>
      </c>
      <c r="T46" s="1">
        <f>[1]Results!W1406</f>
        <v>0.13069677862741597</v>
      </c>
      <c r="U46" s="1">
        <f>[1]Results!X1406</f>
        <v>0.13233708443687614</v>
      </c>
      <c r="V46" s="1">
        <f>[1]Results!Y1406</f>
        <v>0.13370350410927562</v>
      </c>
      <c r="W46" s="1">
        <f>[1]Results!Z1406</f>
        <v>0.13487475338475885</v>
      </c>
      <c r="X46" s="1">
        <f>[1]Results!AA1406</f>
        <v>0.13583447858471331</v>
      </c>
      <c r="Y46" s="1">
        <f>[1]Results!AB1406</f>
        <v>0.13664728729051756</v>
      </c>
      <c r="Z46" s="1">
        <f>[1]Results!AC1406</f>
        <v>0.13734395385984788</v>
      </c>
      <c r="AA46" s="1">
        <f>[1]Results!AD1406</f>
        <v>0.13795365230125975</v>
      </c>
      <c r="AB46" s="1">
        <f>[1]Results!AE1406</f>
        <v>0.13858569393145231</v>
      </c>
      <c r="AC46" s="1">
        <f>[1]Results!AF1406</f>
        <v>0.13911781456770381</v>
      </c>
      <c r="AD46" s="1">
        <f>[1]Results!AG1406</f>
        <v>0.13965058317375445</v>
      </c>
      <c r="AE46" s="1">
        <f>[1]Results!AH1406</f>
        <v>0.14018158705680125</v>
      </c>
      <c r="AF46" s="1">
        <f>[1]Results!AI1406</f>
        <v>0.14071615622779071</v>
      </c>
      <c r="AG46" s="1">
        <f>[1]Results!AJ1406</f>
        <v>0.141259717182525</v>
      </c>
      <c r="AH46" s="1">
        <f>[1]Results!AK1406</f>
        <v>0.14179256830456727</v>
      </c>
      <c r="AI46" s="1">
        <f>[1]Results!AL1406</f>
        <v>0.14234186896347426</v>
      </c>
      <c r="AJ46" s="1">
        <f>[1]Results!AM1406</f>
        <v>0.14290400379301221</v>
      </c>
      <c r="AK46" s="1">
        <f>[1]Results!AN1406</f>
        <v>0.14347792136897783</v>
      </c>
      <c r="AL46" s="1">
        <f>[1]Results!AO1406</f>
        <v>0.14406220000891742</v>
      </c>
      <c r="AM46" s="1">
        <f>[1]Results!AP1406</f>
        <v>0.14448092426953518</v>
      </c>
      <c r="AN46" s="1">
        <f>[1]Results!AQ1406</f>
        <v>0.14493236230858769</v>
      </c>
      <c r="AO46" s="1">
        <f>[1]Results!AR1406</f>
        <v>0.14537948203045581</v>
      </c>
      <c r="AP46" s="1">
        <f>[1]Results!AS1406</f>
        <v>0.14581529671326543</v>
      </c>
      <c r="AQ46" s="1">
        <f>[1]Results!AT1406</f>
        <v>0.14623710829120476</v>
      </c>
      <c r="AR46" s="1">
        <f>[1]Results!AU1406</f>
        <v>0.14661451671972095</v>
      </c>
      <c r="AS46" s="1">
        <f>[1]Results!AV1406</f>
        <v>0.14697629863565914</v>
      </c>
      <c r="AT46" s="1">
        <f>[1]Results!AW1406</f>
        <v>0.1473162423679456</v>
      </c>
      <c r="AU46" s="1">
        <f>[1]Results!AX1406</f>
        <v>0.14763364518244962</v>
      </c>
      <c r="AV46" s="1">
        <f>[1]Results!AY1406</f>
        <v>0.14793078518622604</v>
      </c>
      <c r="AW46" s="1">
        <f>[1]Results!AZ1406</f>
        <v>0.1481274989380478</v>
      </c>
      <c r="AX46" s="1">
        <f>[1]Results!BA1406</f>
        <v>0.14833444853056352</v>
      </c>
      <c r="AY46" s="1">
        <f>[1]Results!BB1406</f>
        <v>0.14855393016565099</v>
      </c>
      <c r="AZ46" s="1">
        <f>[1]Results!BC1406</f>
        <v>0.14875657276491092</v>
      </c>
      <c r="BA46" s="1">
        <f>[1]Results!BD1406</f>
        <v>0.14892020622645669</v>
      </c>
      <c r="BB46" s="1">
        <f>[1]Results!BE1406</f>
        <v>-1.4290277810535823E-2</v>
      </c>
      <c r="BC46" s="1">
        <f>[1]Results!BF1406</f>
        <v>-1.4575120011606733E-2</v>
      </c>
      <c r="BD46" s="1">
        <f>[1]Results!BG1406</f>
        <v>-1.4850600843896618E-2</v>
      </c>
      <c r="BE46" s="1">
        <f>[1]Results!BH1406</f>
        <v>-1.5118730917251105E-2</v>
      </c>
      <c r="BF46" s="1">
        <f>[1]Results!BI1406</f>
        <v>-1.5380040732979224E-2</v>
      </c>
    </row>
    <row r="47" spans="1:58" x14ac:dyDescent="0.35">
      <c r="A47" s="3" t="str">
        <f>[1]Results!E1407</f>
        <v>100*((-Bal_G_prim_VAL_2)/(GDP_2*PGDP_2)-(-Bal_G_prim_VAL_0)/(GDP_0*PGDP_0))</v>
      </c>
      <c r="B47" t="str">
        <f>[1]Results!C1407</f>
        <v>Solde public primaire</v>
      </c>
      <c r="C47" s="1">
        <f>[1]Results!F1407</f>
        <v>0.67698412293571009</v>
      </c>
      <c r="D47" s="1">
        <f>[1]Results!G1407</f>
        <v>1.1607258718348081</v>
      </c>
      <c r="E47" s="1">
        <f>[1]Results!H1407</f>
        <v>1.545076005171852</v>
      </c>
      <c r="F47" s="1">
        <f>[1]Results!I1407</f>
        <v>1.8464608407800782</v>
      </c>
      <c r="G47" s="1">
        <f>[1]Results!J1407</f>
        <v>2.0783950399984317</v>
      </c>
      <c r="H47" s="1">
        <f>[1]Results!K1407</f>
        <v>2.2533095798855949</v>
      </c>
      <c r="I47" s="1">
        <f>[1]Results!L1407</f>
        <v>2.3830669521676837</v>
      </c>
      <c r="J47" s="1">
        <f>[1]Results!M1407</f>
        <v>2.4782824930335914</v>
      </c>
      <c r="K47" s="1">
        <f>[1]Results!N1407</f>
        <v>2.5473884103378515</v>
      </c>
      <c r="L47" s="1">
        <f>[1]Results!O1407</f>
        <v>2.5972242733616784</v>
      </c>
      <c r="M47" s="1">
        <f>[1]Results!P1407</f>
        <v>2.633715571820515</v>
      </c>
      <c r="N47" s="1">
        <f>[1]Results!Q1407</f>
        <v>2.6613112957767657</v>
      </c>
      <c r="O47" s="1">
        <f>[1]Results!R1407</f>
        <v>2.683398246079455</v>
      </c>
      <c r="P47" s="1">
        <f>[1]Results!S1407</f>
        <v>2.7015141261957853</v>
      </c>
      <c r="Q47" s="1">
        <f>[1]Results!T1407</f>
        <v>2.7167904254425284</v>
      </c>
      <c r="R47" s="1">
        <f>[1]Results!U1407</f>
        <v>2.7300972800499137</v>
      </c>
      <c r="S47" s="1">
        <f>[1]Results!V1407</f>
        <v>2.7445489938507164</v>
      </c>
      <c r="T47" s="1">
        <f>[1]Results!W1407</f>
        <v>2.7597506576763666</v>
      </c>
      <c r="U47" s="1">
        <f>[1]Results!X1407</f>
        <v>2.7757912685942325</v>
      </c>
      <c r="V47" s="1">
        <f>[1]Results!Y1407</f>
        <v>2.7928135055852708</v>
      </c>
      <c r="W47" s="1">
        <f>[1]Results!Z1407</f>
        <v>2.8104767050122503</v>
      </c>
      <c r="X47" s="1">
        <f>[1]Results!AA1407</f>
        <v>2.8305454065964324</v>
      </c>
      <c r="Y47" s="1">
        <f>[1]Results!AB1407</f>
        <v>2.8517893680840896</v>
      </c>
      <c r="Z47" s="1">
        <f>[1]Results!AC1407</f>
        <v>2.8743234289352766</v>
      </c>
      <c r="AA47" s="1">
        <f>[1]Results!AD1407</f>
        <v>2.8982043437836378</v>
      </c>
      <c r="AB47" s="1">
        <f>[1]Results!AE1407</f>
        <v>2.9218297055385118</v>
      </c>
      <c r="AC47" s="1">
        <f>[1]Results!AF1407</f>
        <v>2.948517199997867</v>
      </c>
      <c r="AD47" s="1">
        <f>[1]Results!AG1407</f>
        <v>2.9761256241591911</v>
      </c>
      <c r="AE47" s="1">
        <f>[1]Results!AH1407</f>
        <v>3.0045344462352985</v>
      </c>
      <c r="AF47" s="1">
        <f>[1]Results!AI1407</f>
        <v>3.0335896725958258</v>
      </c>
      <c r="AG47" s="1">
        <f>[1]Results!AJ1407</f>
        <v>3.0631281888352682</v>
      </c>
      <c r="AH47" s="1">
        <f>[1]Results!AK1407</f>
        <v>3.0925525886724934</v>
      </c>
      <c r="AI47" s="1">
        <f>[1]Results!AL1407</f>
        <v>3.1218994944276801</v>
      </c>
      <c r="AJ47" s="1">
        <f>[1]Results!AM1407</f>
        <v>3.1511269487621298</v>
      </c>
      <c r="AK47" s="1">
        <f>[1]Results!AN1407</f>
        <v>3.1801915277293666</v>
      </c>
      <c r="AL47" s="1">
        <f>[1]Results!AO1407</f>
        <v>3.2090535739895611</v>
      </c>
      <c r="AM47" s="1">
        <f>[1]Results!AP1407</f>
        <v>3.2335788288734171</v>
      </c>
      <c r="AN47" s="1">
        <f>[1]Results!AQ1407</f>
        <v>3.2560890026800315</v>
      </c>
      <c r="AO47" s="1">
        <f>[1]Results!AR1407</f>
        <v>3.2771277287731535</v>
      </c>
      <c r="AP47" s="1">
        <f>[1]Results!AS1407</f>
        <v>3.2971273177222091</v>
      </c>
      <c r="AQ47" s="1">
        <f>[1]Results!AT1407</f>
        <v>3.3164442341453557</v>
      </c>
      <c r="AR47" s="1">
        <f>[1]Results!AU1407</f>
        <v>3.3348214161811085</v>
      </c>
      <c r="AS47" s="1">
        <f>[1]Results!AV1407</f>
        <v>3.3527235381810039</v>
      </c>
      <c r="AT47" s="1">
        <f>[1]Results!AW1407</f>
        <v>3.3704482152212876</v>
      </c>
      <c r="AU47" s="1">
        <f>[1]Results!AX1407</f>
        <v>3.3882304106528998</v>
      </c>
      <c r="AV47" s="1">
        <f>[1]Results!AY1407</f>
        <v>3.4062550817535704</v>
      </c>
      <c r="AW47" s="1">
        <f>[1]Results!AZ1407</f>
        <v>3.4229396555458846</v>
      </c>
      <c r="AX47" s="1">
        <f>[1]Results!BA1407</f>
        <v>3.4390397527016106</v>
      </c>
      <c r="AY47" s="1">
        <f>[1]Results!BB1407</f>
        <v>3.454979556612122</v>
      </c>
      <c r="AZ47" s="1">
        <f>[1]Results!BC1407</f>
        <v>3.4710837381289448</v>
      </c>
      <c r="BA47" s="1">
        <f>[1]Results!BD1407</f>
        <v>3.4875900944809302</v>
      </c>
      <c r="BB47" s="1">
        <f>[1]Results!BE1407</f>
        <v>-3.3322679994021893E-2</v>
      </c>
      <c r="BC47" s="1">
        <f>[1]Results!BF1407</f>
        <v>-3.5692533237813295E-2</v>
      </c>
      <c r="BD47" s="1">
        <f>[1]Results!BG1407</f>
        <v>-3.8023948859414007E-2</v>
      </c>
      <c r="BE47" s="1">
        <f>[1]Results!BH1407</f>
        <v>-4.0292657603382964E-2</v>
      </c>
      <c r="BF47" s="1">
        <f>[1]Results!BI1407</f>
        <v>-4.248222650924012E-2</v>
      </c>
    </row>
    <row r="48" spans="1:58" x14ac:dyDescent="0.35">
      <c r="A48" s="3" t="str">
        <f>[1]Results!E1408</f>
        <v>100*((-Bal_G_tot_VAL_2)/(GDP_2*PGDP_2)-(-Bal_G_tot_VAL_0)/(GDP_0*PGDP_0))</v>
      </c>
      <c r="B48" t="str">
        <f>[1]Results!C1408</f>
        <v xml:space="preserve">Solde public </v>
      </c>
      <c r="C48" s="1">
        <f>[1]Results!F1408</f>
        <v>0.71960110597272153</v>
      </c>
      <c r="D48" s="1">
        <f>[1]Results!G1408</f>
        <v>1.1108822587465976</v>
      </c>
      <c r="E48" s="1">
        <f>[1]Results!H1408</f>
        <v>1.4155243685742513</v>
      </c>
      <c r="F48" s="1">
        <f>[1]Results!I1408</f>
        <v>1.679806374448755</v>
      </c>
      <c r="G48" s="1">
        <f>[1]Results!J1408</f>
        <v>1.9145887798886838</v>
      </c>
      <c r="H48" s="1">
        <f>[1]Results!K1408</f>
        <v>2.121322368776013</v>
      </c>
      <c r="I48" s="1">
        <f>[1]Results!L1408</f>
        <v>2.3018293246060169</v>
      </c>
      <c r="J48" s="1">
        <f>[1]Results!M1408</f>
        <v>2.4596626097016108</v>
      </c>
      <c r="K48" s="1">
        <f>[1]Results!N1408</f>
        <v>2.5992048552493481</v>
      </c>
      <c r="L48" s="1">
        <f>[1]Results!O1408</f>
        <v>2.725093220783199</v>
      </c>
      <c r="M48" s="1">
        <f>[1]Results!P1408</f>
        <v>2.8415719143312397</v>
      </c>
      <c r="N48" s="1">
        <f>[1]Results!Q1408</f>
        <v>2.9530739980005789</v>
      </c>
      <c r="O48" s="1">
        <f>[1]Results!R1408</f>
        <v>3.0603409815148885</v>
      </c>
      <c r="P48" s="1">
        <f>[1]Results!S1408</f>
        <v>3.1635506392605399</v>
      </c>
      <c r="Q48" s="1">
        <f>[1]Results!T1408</f>
        <v>3.2628534056666401</v>
      </c>
      <c r="R48" s="1">
        <f>[1]Results!U1408</f>
        <v>3.3582841849683311</v>
      </c>
      <c r="S48" s="1">
        <f>[1]Results!V1408</f>
        <v>3.4524246946617287</v>
      </c>
      <c r="T48" s="1">
        <f>[1]Results!W1408</f>
        <v>3.5436547455607328</v>
      </c>
      <c r="U48" s="1">
        <f>[1]Results!X1408</f>
        <v>3.6317546494429309</v>
      </c>
      <c r="V48" s="1">
        <f>[1]Results!Y1408</f>
        <v>3.7168414863773784</v>
      </c>
      <c r="W48" s="1">
        <f>[1]Results!Z1408</f>
        <v>3.7994096623969895</v>
      </c>
      <c r="X48" s="1">
        <f>[1]Results!AA1408</f>
        <v>3.8793019779826912</v>
      </c>
      <c r="Y48" s="1">
        <f>[1]Results!AB1408</f>
        <v>3.9568529391625482</v>
      </c>
      <c r="Z48" s="1">
        <f>[1]Results!AC1408</f>
        <v>4.0326186859736328</v>
      </c>
      <c r="AA48" s="1">
        <f>[1]Results!AD1408</f>
        <v>4.1069447774964161</v>
      </c>
      <c r="AB48" s="1">
        <f>[1]Results!AE1408</f>
        <v>4.1810494798353623</v>
      </c>
      <c r="AC48" s="1">
        <f>[1]Results!AF1408</f>
        <v>4.2527972133525456</v>
      </c>
      <c r="AD48" s="1">
        <f>[1]Results!AG1408</f>
        <v>4.3229952325836392</v>
      </c>
      <c r="AE48" s="1">
        <f>[1]Results!AH1408</f>
        <v>4.3924134258808234</v>
      </c>
      <c r="AF48" s="1">
        <f>[1]Results!AI1408</f>
        <v>4.4613874968485483</v>
      </c>
      <c r="AG48" s="1">
        <f>[1]Results!AJ1408</f>
        <v>4.5300941667409003</v>
      </c>
      <c r="AH48" s="1">
        <f>[1]Results!AK1408</f>
        <v>4.5982062694875951</v>
      </c>
      <c r="AI48" s="1">
        <f>[1]Results!AL1408</f>
        <v>4.6662068003211736</v>
      </c>
      <c r="AJ48" s="1">
        <f>[1]Results!AM1408</f>
        <v>4.7343330889653625</v>
      </c>
      <c r="AK48" s="1">
        <f>[1]Results!AN1408</f>
        <v>4.8027653127158585</v>
      </c>
      <c r="AL48" s="1">
        <f>[1]Results!AO1408</f>
        <v>4.8716483338523995</v>
      </c>
      <c r="AM48" s="1">
        <f>[1]Results!AP1408</f>
        <v>4.9373648711973246</v>
      </c>
      <c r="AN48" s="1">
        <f>[1]Results!AQ1408</f>
        <v>5.0022634600928804</v>
      </c>
      <c r="AO48" s="1">
        <f>[1]Results!AR1408</f>
        <v>5.0667409348922741</v>
      </c>
      <c r="AP48" s="1">
        <f>[1]Results!AS1408</f>
        <v>5.1310202367184861</v>
      </c>
      <c r="AQ48" s="1">
        <f>[1]Results!AT1408</f>
        <v>5.1952921921999806</v>
      </c>
      <c r="AR48" s="1">
        <f>[1]Results!AU1408</f>
        <v>5.2591347861259701</v>
      </c>
      <c r="AS48" s="1">
        <f>[1]Results!AV1408</f>
        <v>5.3231268242107932</v>
      </c>
      <c r="AT48" s="1">
        <f>[1]Results!AW1408</f>
        <v>5.3874898392828152</v>
      </c>
      <c r="AU48" s="1">
        <f>[1]Results!AX1408</f>
        <v>5.4523594144715641</v>
      </c>
      <c r="AV48" s="1">
        <f>[1]Results!AY1408</f>
        <v>5.5178354728824388</v>
      </c>
      <c r="AW48" s="1">
        <f>[1]Results!AZ1408</f>
        <v>5.5820172493557569</v>
      </c>
      <c r="AX48" s="1">
        <f>[1]Results!BA1408</f>
        <v>5.6463517673320833</v>
      </c>
      <c r="AY48" s="1">
        <f>[1]Results!BB1408</f>
        <v>5.7111177373296265</v>
      </c>
      <c r="AZ48" s="1">
        <f>[1]Results!BC1408</f>
        <v>5.7763633801579797</v>
      </c>
      <c r="BA48" s="1">
        <f>[1]Results!BD1408</f>
        <v>5.8420973222538111</v>
      </c>
      <c r="BB48" s="1">
        <f>[1]Results!BE1408</f>
        <v>-2.889316514713032E-2</v>
      </c>
      <c r="BC48" s="1">
        <f>[1]Results!BF1408</f>
        <v>-3.2486357194434073E-2</v>
      </c>
      <c r="BD48" s="1">
        <f>[1]Results!BG1408</f>
        <v>-3.6087102957965168E-2</v>
      </c>
      <c r="BE48" s="1">
        <f>[1]Results!BH1408</f>
        <v>-3.964266266881554E-2</v>
      </c>
      <c r="BF48" s="1">
        <f>[1]Results!BI1408</f>
        <v>-4.3128238461639587E-2</v>
      </c>
    </row>
    <row r="49" spans="1:58" x14ac:dyDescent="0.35">
      <c r="A49" s="3" t="str">
        <f>[1]Results!E1409</f>
        <v>(DEBT_G_VAL_2/(PGDP_2*GDP_2)-DEBT_G_VAL_0/(PGDP_0*GDP_0))*100</v>
      </c>
      <c r="B49" t="str">
        <f>[1]Results!C1409</f>
        <v>Dette publique</v>
      </c>
      <c r="C49" s="1">
        <f>[1]Results!F1409</f>
        <v>2.6787369408558193</v>
      </c>
      <c r="D49" s="1">
        <f>[1]Results!G1409</f>
        <v>4.5773706246460932</v>
      </c>
      <c r="E49" s="1">
        <f>[1]Results!H1409</f>
        <v>6.7410006264186029</v>
      </c>
      <c r="F49" s="1">
        <f>[1]Results!I1409</f>
        <v>9.0443996089107692</v>
      </c>
      <c r="G49" s="1">
        <f>[1]Results!J1409</f>
        <v>11.432840434628144</v>
      </c>
      <c r="H49" s="1">
        <f>[1]Results!K1409</f>
        <v>13.871079162186007</v>
      </c>
      <c r="I49" s="1">
        <f>[1]Results!L1409</f>
        <v>16.344380335864418</v>
      </c>
      <c r="J49" s="1">
        <f>[1]Results!M1409</f>
        <v>18.824275237193522</v>
      </c>
      <c r="K49" s="1">
        <f>[1]Results!N1409</f>
        <v>21.293961231432444</v>
      </c>
      <c r="L49" s="1">
        <f>[1]Results!O1409</f>
        <v>23.741945357672734</v>
      </c>
      <c r="M49" s="1">
        <f>[1]Results!P1409</f>
        <v>26.133781666482236</v>
      </c>
      <c r="N49" s="1">
        <f>[1]Results!Q1409</f>
        <v>28.524740560626206</v>
      </c>
      <c r="O49" s="1">
        <f>[1]Results!R1409</f>
        <v>30.891465405402073</v>
      </c>
      <c r="P49" s="1">
        <f>[1]Results!S1409</f>
        <v>33.23523651541089</v>
      </c>
      <c r="Q49" s="1">
        <f>[1]Results!T1409</f>
        <v>35.557386341539434</v>
      </c>
      <c r="R49" s="1">
        <f>[1]Results!U1409</f>
        <v>37.859500134342319</v>
      </c>
      <c r="S49" s="1">
        <f>[1]Results!V1409</f>
        <v>40.154837896222958</v>
      </c>
      <c r="T49" s="1">
        <f>[1]Results!W1409</f>
        <v>42.439748256407185</v>
      </c>
      <c r="U49" s="1">
        <f>[1]Results!X1409</f>
        <v>44.71627635844316</v>
      </c>
      <c r="V49" s="1">
        <f>[1]Results!Y1409</f>
        <v>46.986041211041076</v>
      </c>
      <c r="W49" s="1">
        <f>[1]Results!Z1409</f>
        <v>49.28522330014934</v>
      </c>
      <c r="X49" s="1">
        <f>[1]Results!AA1409</f>
        <v>51.556706364044288</v>
      </c>
      <c r="Y49" s="1">
        <f>[1]Results!AB1409</f>
        <v>53.823709548147356</v>
      </c>
      <c r="Z49" s="1">
        <f>[1]Results!AC1409</f>
        <v>56.087479146359257</v>
      </c>
      <c r="AA49" s="1">
        <f>[1]Results!AD1409</f>
        <v>58.34941413848491</v>
      </c>
      <c r="AB49" s="1">
        <f>[1]Results!AE1409</f>
        <v>60.725692113540767</v>
      </c>
      <c r="AC49" s="1">
        <f>[1]Results!AF1409</f>
        <v>63.074789461719213</v>
      </c>
      <c r="AD49" s="1">
        <f>[1]Results!AG1409</f>
        <v>65.435253921810542</v>
      </c>
      <c r="AE49" s="1">
        <f>[1]Results!AH1409</f>
        <v>67.804557237201507</v>
      </c>
      <c r="AF49" s="1">
        <f>[1]Results!AI1409</f>
        <v>70.180890357675636</v>
      </c>
      <c r="AG49" s="1">
        <f>[1]Results!AJ1409</f>
        <v>72.562608306976813</v>
      </c>
      <c r="AH49" s="1">
        <f>[1]Results!AK1409</f>
        <v>74.945821852216071</v>
      </c>
      <c r="AI49" s="1">
        <f>[1]Results!AL1409</f>
        <v>77.330285743020653</v>
      </c>
      <c r="AJ49" s="1">
        <f>[1]Results!AM1409</f>
        <v>79.714787237546986</v>
      </c>
      <c r="AK49" s="1">
        <f>[1]Results!AN1409</f>
        <v>82.098420477415274</v>
      </c>
      <c r="AL49" s="1">
        <f>[1]Results!AO1409</f>
        <v>84.480503236393233</v>
      </c>
      <c r="AM49" s="1">
        <f>[1]Results!AP1409</f>
        <v>86.874894055556311</v>
      </c>
      <c r="AN49" s="1">
        <f>[1]Results!AQ1409</f>
        <v>89.26830585884953</v>
      </c>
      <c r="AO49" s="1">
        <f>[1]Results!AR1409</f>
        <v>91.658235580422129</v>
      </c>
      <c r="AP49" s="1">
        <f>[1]Results!AS1409</f>
        <v>94.042976990691969</v>
      </c>
      <c r="AQ49" s="1">
        <f>[1]Results!AT1409</f>
        <v>96.421297624014471</v>
      </c>
      <c r="AR49" s="1">
        <f>[1]Results!AU1409</f>
        <v>98.789158132116711</v>
      </c>
      <c r="AS49" s="1">
        <f>[1]Results!AV1409</f>
        <v>101.14762791020952</v>
      </c>
      <c r="AT49" s="1">
        <f>[1]Results!AW1409</f>
        <v>103.49649452550894</v>
      </c>
      <c r="AU49" s="1">
        <f>[1]Results!AX1409</f>
        <v>105.83595197931434</v>
      </c>
      <c r="AV49" s="1">
        <f>[1]Results!AY1409</f>
        <v>108.16645994792266</v>
      </c>
      <c r="AW49" s="1">
        <f>[1]Results!AZ1409</f>
        <v>110.47453724098202</v>
      </c>
      <c r="AX49" s="1">
        <f>[1]Results!BA1409</f>
        <v>112.76866647364005</v>
      </c>
      <c r="AY49" s="1">
        <f>[1]Results!BB1409</f>
        <v>115.04988286856603</v>
      </c>
      <c r="AZ49" s="1">
        <f>[1]Results!BC1409</f>
        <v>117.31961571287658</v>
      </c>
      <c r="BA49" s="1">
        <f>[1]Results!BD1409</f>
        <v>119.57931415009311</v>
      </c>
      <c r="BB49" s="1">
        <f>[1]Results!BE1409</f>
        <v>-0.31622750646672637</v>
      </c>
      <c r="BC49" s="1">
        <f>[1]Results!BF1409</f>
        <v>-0.35047498363949825</v>
      </c>
      <c r="BD49" s="1">
        <f>[1]Results!BG1409</f>
        <v>-0.38649508567719648</v>
      </c>
      <c r="BE49" s="1">
        <f>[1]Results!BH1409</f>
        <v>-0.42419383410826628</v>
      </c>
      <c r="BF49" s="1">
        <f>[1]Results!BI1409</f>
        <v>-0.46344306992865403</v>
      </c>
    </row>
    <row r="50" spans="1:58" x14ac:dyDescent="0.35">
      <c r="A50" s="3" t="str">
        <f>[1]Results!E1410</f>
        <v>GDP_2</v>
      </c>
      <c r="B50" t="str">
        <f>[1]Results!C1410</f>
        <v>PIB</v>
      </c>
      <c r="C50" s="1">
        <f>[1]Results!F1410</f>
        <v>2162986.15</v>
      </c>
      <c r="D50" s="1">
        <f>[1]Results!G1410</f>
        <v>2181709.9309999999</v>
      </c>
      <c r="E50" s="1">
        <f>[1]Results!H1410</f>
        <v>2203815.872</v>
      </c>
      <c r="F50" s="1">
        <f>[1]Results!I1410</f>
        <v>2228873.3169999998</v>
      </c>
      <c r="G50" s="1">
        <f>[1]Results!J1410</f>
        <v>2256655.8220000002</v>
      </c>
      <c r="H50" s="1">
        <f>[1]Results!K1410</f>
        <v>2286849.8650000002</v>
      </c>
      <c r="I50" s="1">
        <f>[1]Results!L1410</f>
        <v>2317580.7170000002</v>
      </c>
      <c r="J50" s="1">
        <f>[1]Results!M1410</f>
        <v>2349710.4160000002</v>
      </c>
      <c r="K50" s="1">
        <f>[1]Results!N1410</f>
        <v>2383066.4720000001</v>
      </c>
      <c r="L50" s="1">
        <f>[1]Results!O1410</f>
        <v>2417489.8319999999</v>
      </c>
      <c r="M50" s="1">
        <f>[1]Results!P1410</f>
        <v>2455513.9210000001</v>
      </c>
      <c r="N50" s="1">
        <f>[1]Results!Q1410</f>
        <v>2492237.2919999999</v>
      </c>
      <c r="O50" s="1">
        <f>[1]Results!R1410</f>
        <v>2529491.1919999998</v>
      </c>
      <c r="P50" s="1">
        <f>[1]Results!S1410</f>
        <v>2567206.92</v>
      </c>
      <c r="Q50" s="1">
        <f>[1]Results!T1410</f>
        <v>2605353.38</v>
      </c>
      <c r="R50" s="1">
        <f>[1]Results!U1410</f>
        <v>2643921.156</v>
      </c>
      <c r="S50" s="1">
        <f>[1]Results!V1410</f>
        <v>2682756.2579999999</v>
      </c>
      <c r="T50" s="1">
        <f>[1]Results!W1410</f>
        <v>2722010.3960000002</v>
      </c>
      <c r="U50" s="1">
        <f>[1]Results!X1410</f>
        <v>2761705.923</v>
      </c>
      <c r="V50" s="1">
        <f>[1]Results!Y1410</f>
        <v>2801869.4330000002</v>
      </c>
      <c r="W50" s="1">
        <f>[1]Results!Z1410</f>
        <v>2840551.3829999999</v>
      </c>
      <c r="X50" s="1">
        <f>[1]Results!AA1410</f>
        <v>2881181.68</v>
      </c>
      <c r="Y50" s="1">
        <f>[1]Results!AB1410</f>
        <v>2922463.8739999998</v>
      </c>
      <c r="Z50" s="1">
        <f>[1]Results!AC1410</f>
        <v>2964417.6159999999</v>
      </c>
      <c r="AA50" s="1">
        <f>[1]Results!AD1410</f>
        <v>3007050.4739999999</v>
      </c>
      <c r="AB50" s="1">
        <f>[1]Results!AE1410</f>
        <v>3044680.585</v>
      </c>
      <c r="AC50" s="1">
        <f>[1]Results!AF1410</f>
        <v>3084463.4</v>
      </c>
      <c r="AD50" s="1">
        <f>[1]Results!AG1410</f>
        <v>3124470.8769999999</v>
      </c>
      <c r="AE50" s="1">
        <f>[1]Results!AH1410</f>
        <v>3164841.023</v>
      </c>
      <c r="AF50" s="1">
        <f>[1]Results!AI1410</f>
        <v>3205678.952</v>
      </c>
      <c r="AG50" s="1">
        <f>[1]Results!AJ1410</f>
        <v>3247065.2390000001</v>
      </c>
      <c r="AH50" s="1">
        <f>[1]Results!AK1410</f>
        <v>3289093.1189999999</v>
      </c>
      <c r="AI50" s="1">
        <f>[1]Results!AL1410</f>
        <v>3331769.93</v>
      </c>
      <c r="AJ50" s="1">
        <f>[1]Results!AM1410</f>
        <v>3375116.9410000001</v>
      </c>
      <c r="AK50" s="1">
        <f>[1]Results!AN1410</f>
        <v>3419143.764</v>
      </c>
      <c r="AL50" s="1">
        <f>[1]Results!AO1410</f>
        <v>3463853.077</v>
      </c>
      <c r="AM50" s="1">
        <f>[1]Results!AP1410</f>
        <v>3508191.9049999998</v>
      </c>
      <c r="AN50" s="1">
        <f>[1]Results!AQ1410</f>
        <v>3552860.372</v>
      </c>
      <c r="AO50" s="1">
        <f>[1]Results!AR1410</f>
        <v>3597923.4309999999</v>
      </c>
      <c r="AP50" s="1">
        <f>[1]Results!AS1410</f>
        <v>3643440.1469999999</v>
      </c>
      <c r="AQ50" s="1">
        <f>[1]Results!AT1410</f>
        <v>3689462.4640000002</v>
      </c>
      <c r="AR50" s="1">
        <f>[1]Results!AU1410</f>
        <v>3736084.2</v>
      </c>
      <c r="AS50" s="1">
        <f>[1]Results!AV1410</f>
        <v>3783297.2349999999</v>
      </c>
      <c r="AT50" s="1">
        <f>[1]Results!AW1410</f>
        <v>3831125.9419999998</v>
      </c>
      <c r="AU50" s="1">
        <f>[1]Results!AX1410</f>
        <v>3879586.2829999998</v>
      </c>
      <c r="AV50" s="1">
        <f>[1]Results!AY1410</f>
        <v>3928688.5159999998</v>
      </c>
      <c r="AW50" s="1">
        <f>[1]Results!AZ1410</f>
        <v>3978733.61</v>
      </c>
      <c r="AX50" s="1">
        <f>[1]Results!BA1410</f>
        <v>4029495.781</v>
      </c>
      <c r="AY50" s="1">
        <f>[1]Results!BB1410</f>
        <v>4080969.3059999999</v>
      </c>
      <c r="AZ50" s="1">
        <f>[1]Results!BC1410</f>
        <v>4133145.8289999999</v>
      </c>
      <c r="BA50" s="1">
        <f>[1]Results!BD1410</f>
        <v>4186018.8640000001</v>
      </c>
      <c r="BB50" s="1">
        <f>[1]Results!BE1410</f>
        <v>4934052.733</v>
      </c>
      <c r="BC50" s="1">
        <f>[1]Results!BF1410</f>
        <v>5016319.7319999998</v>
      </c>
      <c r="BD50" s="1">
        <f>[1]Results!BG1410</f>
        <v>5099876.3890000004</v>
      </c>
      <c r="BE50" s="1">
        <f>[1]Results!BH1410</f>
        <v>5184742.5460000001</v>
      </c>
      <c r="BF50" s="1">
        <f>[1]Results!BI1410</f>
        <v>5270939.8990000002</v>
      </c>
    </row>
    <row r="51" spans="1:58" x14ac:dyDescent="0.35">
      <c r="A51" s="3" t="str">
        <f>[1]Results!E1411</f>
        <v>(GDPter_2/GDPbis_2-1)*100</v>
      </c>
      <c r="B51" t="str">
        <f>[1]Results!C1411</f>
        <v>Ecart PIB</v>
      </c>
      <c r="C51" s="1">
        <f>[1]Results!F1411</f>
        <v>0</v>
      </c>
      <c r="D51" s="1">
        <f>[1]Results!G1411</f>
        <v>0</v>
      </c>
      <c r="E51" s="1">
        <f>[1]Results!H1411</f>
        <v>0</v>
      </c>
      <c r="F51" s="1">
        <f>[1]Results!I1411</f>
        <v>0</v>
      </c>
      <c r="G51" s="1">
        <f>[1]Results!J1411</f>
        <v>0</v>
      </c>
      <c r="H51" s="1">
        <f>[1]Results!K1411</f>
        <v>0</v>
      </c>
      <c r="I51" s="1">
        <f>[1]Results!L1411</f>
        <v>0</v>
      </c>
      <c r="J51" s="1">
        <f>[1]Results!M1411</f>
        <v>0</v>
      </c>
      <c r="K51" s="1">
        <f>[1]Results!N1411</f>
        <v>0</v>
      </c>
      <c r="L51" s="1">
        <f>[1]Results!O1411</f>
        <v>0</v>
      </c>
      <c r="M51" s="1">
        <f>[1]Results!P1411</f>
        <v>0</v>
      </c>
      <c r="N51" s="1">
        <f>[1]Results!Q1411</f>
        <v>0</v>
      </c>
      <c r="O51" s="1">
        <f>[1]Results!R1411</f>
        <v>0</v>
      </c>
      <c r="P51" s="1">
        <f>[1]Results!S1411</f>
        <v>0</v>
      </c>
      <c r="Q51" s="1">
        <f>[1]Results!T1411</f>
        <v>0</v>
      </c>
      <c r="R51" s="1">
        <f>[1]Results!U1411</f>
        <v>0</v>
      </c>
      <c r="S51" s="1">
        <f>[1]Results!V1411</f>
        <v>0</v>
      </c>
      <c r="T51" s="1">
        <f>[1]Results!W1411</f>
        <v>0</v>
      </c>
      <c r="U51" s="1">
        <f>[1]Results!X1411</f>
        <v>0</v>
      </c>
      <c r="V51" s="1">
        <f>[1]Results!Y1411</f>
        <v>0</v>
      </c>
      <c r="W51" s="1">
        <f>[1]Results!Z1411</f>
        <v>0</v>
      </c>
      <c r="X51" s="1">
        <f>[1]Results!AA1411</f>
        <v>0</v>
      </c>
      <c r="Y51" s="1">
        <f>[1]Results!AB1411</f>
        <v>0</v>
      </c>
      <c r="Z51" s="1">
        <f>[1]Results!AC1411</f>
        <v>0</v>
      </c>
      <c r="AA51" s="1">
        <f>[1]Results!AD1411</f>
        <v>0</v>
      </c>
      <c r="AB51" s="1">
        <f>[1]Results!AE1411</f>
        <v>0</v>
      </c>
      <c r="AC51" s="1">
        <f>[1]Results!AF1411</f>
        <v>0</v>
      </c>
      <c r="AD51" s="1">
        <f>[1]Results!AG1411</f>
        <v>0</v>
      </c>
      <c r="AE51" s="1">
        <f>[1]Results!AH1411</f>
        <v>0</v>
      </c>
      <c r="AF51" s="1">
        <f>[1]Results!AI1411</f>
        <v>0</v>
      </c>
      <c r="AG51" s="1">
        <f>[1]Results!AJ1411</f>
        <v>0</v>
      </c>
      <c r="AH51" s="1">
        <f>[1]Results!AK1411</f>
        <v>0</v>
      </c>
      <c r="AI51" s="1">
        <f>[1]Results!AL1411</f>
        <v>0</v>
      </c>
      <c r="AJ51" s="1">
        <f>[1]Results!AM1411</f>
        <v>0</v>
      </c>
      <c r="AK51" s="1">
        <f>[1]Results!AN1411</f>
        <v>0</v>
      </c>
      <c r="AL51" s="1">
        <f>[1]Results!AO1411</f>
        <v>0</v>
      </c>
      <c r="AM51" s="1">
        <f>[1]Results!AP1411</f>
        <v>0</v>
      </c>
      <c r="AN51" s="1">
        <f>[1]Results!AQ1411</f>
        <v>0</v>
      </c>
      <c r="AO51" s="1">
        <f>[1]Results!AR1411</f>
        <v>0</v>
      </c>
      <c r="AP51" s="1">
        <f>[1]Results!AS1411</f>
        <v>0</v>
      </c>
      <c r="AQ51" s="1">
        <f>[1]Results!AT1411</f>
        <v>0</v>
      </c>
      <c r="AR51" s="1">
        <f>[1]Results!AU1411</f>
        <v>0</v>
      </c>
      <c r="AS51" s="1">
        <f>[1]Results!AV1411</f>
        <v>0</v>
      </c>
      <c r="AT51" s="1">
        <f>[1]Results!AW1411</f>
        <v>-2.6101976136061467E-8</v>
      </c>
      <c r="AU51" s="1">
        <f>[1]Results!AX1411</f>
        <v>0</v>
      </c>
      <c r="AV51" s="1">
        <f>[1]Results!AY1411</f>
        <v>0</v>
      </c>
      <c r="AW51" s="1">
        <f>[1]Results!AZ1411</f>
        <v>0</v>
      </c>
      <c r="AX51" s="1">
        <f>[1]Results!BA1411</f>
        <v>0</v>
      </c>
      <c r="AY51" s="1">
        <f>[1]Results!BB1411</f>
        <v>0</v>
      </c>
      <c r="AZ51" s="1">
        <f>[1]Results!BC1411</f>
        <v>-2.419463518421594E-8</v>
      </c>
      <c r="BA51" s="1">
        <f>[1]Results!BD1411</f>
        <v>0</v>
      </c>
      <c r="BB51" s="1">
        <f>[1]Results!BE1411</f>
        <v>0</v>
      </c>
      <c r="BC51" s="1">
        <f>[1]Results!BF1411</f>
        <v>0</v>
      </c>
      <c r="BD51" s="1">
        <f>[1]Results!BG1411</f>
        <v>0</v>
      </c>
      <c r="BE51" s="1">
        <f>[1]Results!BH1411</f>
        <v>0</v>
      </c>
      <c r="BF51" s="1">
        <f>[1]Results!BI1411</f>
        <v>-1.8971946236234771E-8</v>
      </c>
    </row>
    <row r="52" spans="1:58" x14ac:dyDescent="0.35">
      <c r="A52" s="3" t="str">
        <f>[1]Results!E1412</f>
        <v>SPEND_G_VAL_2</v>
      </c>
      <c r="B52" t="str">
        <f>[1]Results!C1412</f>
        <v>Dépenses publiques</v>
      </c>
      <c r="C52" s="1">
        <f>[1]Results!F1412</f>
        <v>1178209.514</v>
      </c>
      <c r="D52" s="1">
        <f>[1]Results!G1412</f>
        <v>1213269.422</v>
      </c>
      <c r="E52" s="1">
        <f>[1]Results!H1412</f>
        <v>1249814.8</v>
      </c>
      <c r="F52" s="1">
        <f>[1]Results!I1412</f>
        <v>1288337.1089999999</v>
      </c>
      <c r="G52" s="1">
        <f>[1]Results!J1412</f>
        <v>1329522.4269999999</v>
      </c>
      <c r="H52" s="1">
        <f>[1]Results!K1412</f>
        <v>1373551.2830000001</v>
      </c>
      <c r="I52" s="1">
        <f>[1]Results!L1412</f>
        <v>1419041.2579999999</v>
      </c>
      <c r="J52" s="1">
        <f>[1]Results!M1412</f>
        <v>1467257.8840000001</v>
      </c>
      <c r="K52" s="1">
        <f>[1]Results!N1412</f>
        <v>1518182.8049999999</v>
      </c>
      <c r="L52" s="1">
        <f>[1]Results!O1412</f>
        <v>1571845.3589999999</v>
      </c>
      <c r="M52" s="1">
        <f>[1]Results!P1412</f>
        <v>1630867.4620000001</v>
      </c>
      <c r="N52" s="1">
        <f>[1]Results!Q1412</f>
        <v>1690259.9620000001</v>
      </c>
      <c r="O52" s="1">
        <f>[1]Results!R1412</f>
        <v>1752519.4450000001</v>
      </c>
      <c r="P52" s="1">
        <f>[1]Results!S1412</f>
        <v>1817621.986</v>
      </c>
      <c r="Q52" s="1">
        <f>[1]Results!T1412</f>
        <v>1885565.8330000001</v>
      </c>
      <c r="R52" s="1">
        <f>[1]Results!U1412</f>
        <v>1956347.2560000001</v>
      </c>
      <c r="S52" s="1">
        <f>[1]Results!V1412</f>
        <v>2029956.692</v>
      </c>
      <c r="T52" s="1">
        <f>[1]Results!W1412</f>
        <v>2106356.4509999999</v>
      </c>
      <c r="U52" s="1">
        <f>[1]Results!X1412</f>
        <v>2185535.1269999999</v>
      </c>
      <c r="V52" s="1">
        <f>[1]Results!Y1412</f>
        <v>2267496.5150000001</v>
      </c>
      <c r="W52" s="1">
        <f>[1]Results!Z1412</f>
        <v>2349934.2949999999</v>
      </c>
      <c r="X52" s="1">
        <f>[1]Results!AA1412</f>
        <v>2437389.7880000002</v>
      </c>
      <c r="Y52" s="1">
        <f>[1]Results!AB1412</f>
        <v>2527674.5070000002</v>
      </c>
      <c r="Z52" s="1">
        <f>[1]Results!AC1412</f>
        <v>2620868.0520000001</v>
      </c>
      <c r="AA52" s="1">
        <f>[1]Results!AD1412</f>
        <v>2717036.7769999998</v>
      </c>
      <c r="AB52" s="1">
        <f>[1]Results!AE1412</f>
        <v>2808839.608</v>
      </c>
      <c r="AC52" s="1">
        <f>[1]Results!AF1412</f>
        <v>2907195.2960000001</v>
      </c>
      <c r="AD52" s="1">
        <f>[1]Results!AG1412</f>
        <v>3008384.443</v>
      </c>
      <c r="AE52" s="1">
        <f>[1]Results!AH1412</f>
        <v>3112561.233</v>
      </c>
      <c r="AF52" s="1">
        <f>[1]Results!AI1412</f>
        <v>3219847.8149999999</v>
      </c>
      <c r="AG52" s="1">
        <f>[1]Results!AJ1412</f>
        <v>3330367.662</v>
      </c>
      <c r="AH52" s="1">
        <f>[1]Results!AK1412</f>
        <v>3444260.6690000002</v>
      </c>
      <c r="AI52" s="1">
        <f>[1]Results!AL1412</f>
        <v>3561695.0759999999</v>
      </c>
      <c r="AJ52" s="1">
        <f>[1]Results!AM1412</f>
        <v>3682848.003</v>
      </c>
      <c r="AK52" s="1">
        <f>[1]Results!AN1412</f>
        <v>3807906.142</v>
      </c>
      <c r="AL52" s="1">
        <f>[1]Results!AO1412</f>
        <v>3937063.7379999999</v>
      </c>
      <c r="AM52" s="1">
        <f>[1]Results!AP1412</f>
        <v>4068310.73</v>
      </c>
      <c r="AN52" s="1">
        <f>[1]Results!AQ1412</f>
        <v>4203949.6509999996</v>
      </c>
      <c r="AO52" s="1">
        <f>[1]Results!AR1412</f>
        <v>4344151.4610000001</v>
      </c>
      <c r="AP52" s="1">
        <f>[1]Results!AS1412</f>
        <v>4489094.0970000001</v>
      </c>
      <c r="AQ52" s="1">
        <f>[1]Results!AT1412</f>
        <v>4638958.3770000003</v>
      </c>
      <c r="AR52" s="1">
        <f>[1]Results!AU1412</f>
        <v>4793929.4170000004</v>
      </c>
      <c r="AS52" s="1">
        <f>[1]Results!AV1412</f>
        <v>4954215.4649999999</v>
      </c>
      <c r="AT52" s="1">
        <f>[1]Results!AW1412</f>
        <v>5120018.0839999998</v>
      </c>
      <c r="AU52" s="1">
        <f>[1]Results!AX1412</f>
        <v>5291541.6840000004</v>
      </c>
      <c r="AV52" s="1">
        <f>[1]Results!AY1412</f>
        <v>5468996.5480000004</v>
      </c>
      <c r="AW52" s="1">
        <f>[1]Results!AZ1412</f>
        <v>5652836.8090000004</v>
      </c>
      <c r="AX52" s="1">
        <f>[1]Results!BA1412</f>
        <v>5843128.6030000001</v>
      </c>
      <c r="AY52" s="1">
        <f>[1]Results!BB1412</f>
        <v>6040106.7050000001</v>
      </c>
      <c r="AZ52" s="1">
        <f>[1]Results!BC1412</f>
        <v>6243987.9890000001</v>
      </c>
      <c r="BA52" s="1">
        <f>[1]Results!BD1412</f>
        <v>6454990.8550000004</v>
      </c>
      <c r="BB52" s="1">
        <f>[1]Results!BE1412</f>
        <v>6406006.1739999996</v>
      </c>
      <c r="BC52" s="1">
        <f>[1]Results!BF1412</f>
        <v>6609777.1940000001</v>
      </c>
      <c r="BD52" s="1">
        <f>[1]Results!BG1412</f>
        <v>6819700.4450000003</v>
      </c>
      <c r="BE52" s="1">
        <f>[1]Results!BH1412</f>
        <v>7035997.3969999999</v>
      </c>
      <c r="BF52" s="1">
        <f>[1]Results!BI1412</f>
        <v>7258896.4110000003</v>
      </c>
    </row>
    <row r="53" spans="1:58" x14ac:dyDescent="0.35">
      <c r="A53" s="3" t="str">
        <f>[1]Results!E1413</f>
        <v>INC_G_VAL_2</v>
      </c>
      <c r="B53" t="str">
        <f>[1]Results!C1413</f>
        <v>Recettes publiques</v>
      </c>
      <c r="C53" s="1">
        <f>[1]Results!F1413</f>
        <v>996814.38970000006</v>
      </c>
      <c r="D53" s="1">
        <f>[1]Results!G1413</f>
        <v>1016411.836</v>
      </c>
      <c r="E53" s="1">
        <f>[1]Results!H1413</f>
        <v>1037996.969</v>
      </c>
      <c r="F53" s="1">
        <f>[1]Results!I1413</f>
        <v>1061939.9380000001</v>
      </c>
      <c r="G53" s="1">
        <f>[1]Results!J1413</f>
        <v>1088643.2250000001</v>
      </c>
      <c r="H53" s="1">
        <f>[1]Results!K1413</f>
        <v>1118327.5660000001</v>
      </c>
      <c r="I53" s="1">
        <f>[1]Results!L1413</f>
        <v>1150374.314</v>
      </c>
      <c r="J53" s="1">
        <f>[1]Results!M1413</f>
        <v>1185028.287</v>
      </c>
      <c r="K53" s="1">
        <f>[1]Results!N1413</f>
        <v>1222280.4950000001</v>
      </c>
      <c r="L53" s="1">
        <f>[1]Results!O1413</f>
        <v>1262106.1329999999</v>
      </c>
      <c r="M53" s="1">
        <f>[1]Results!P1413</f>
        <v>1305751.5249999999</v>
      </c>
      <c r="N53" s="1">
        <f>[1]Results!Q1413</f>
        <v>1351360.233</v>
      </c>
      <c r="O53" s="1">
        <f>[1]Results!R1413</f>
        <v>1399286.213</v>
      </c>
      <c r="P53" s="1">
        <f>[1]Results!S1413</f>
        <v>1449482.5630000001</v>
      </c>
      <c r="Q53" s="1">
        <f>[1]Results!T1413</f>
        <v>1501919.81</v>
      </c>
      <c r="R53" s="1">
        <f>[1]Results!U1413</f>
        <v>1556576.926</v>
      </c>
      <c r="S53" s="1">
        <f>[1]Results!V1413</f>
        <v>1613360.169</v>
      </c>
      <c r="T53" s="1">
        <f>[1]Results!W1413</f>
        <v>1672263.97</v>
      </c>
      <c r="U53" s="1">
        <f>[1]Results!X1413</f>
        <v>1733275.8929999999</v>
      </c>
      <c r="V53" s="1">
        <f>[1]Results!Y1413</f>
        <v>1796384.7790000001</v>
      </c>
      <c r="W53" s="1">
        <f>[1]Results!Z1413</f>
        <v>1860417.2830000001</v>
      </c>
      <c r="X53" s="1">
        <f>[1]Results!AA1413</f>
        <v>1926962.452</v>
      </c>
      <c r="Y53" s="1">
        <f>[1]Results!AB1413</f>
        <v>1995687.1810000001</v>
      </c>
      <c r="Z53" s="1">
        <f>[1]Results!AC1413</f>
        <v>2066616.2309999999</v>
      </c>
      <c r="AA53" s="1">
        <f>[1]Results!AD1413</f>
        <v>2139766.5249999999</v>
      </c>
      <c r="AB53" s="1">
        <f>[1]Results!AE1413</f>
        <v>2211434.3130000001</v>
      </c>
      <c r="AC53" s="1">
        <f>[1]Results!AF1413</f>
        <v>2284975.6320000002</v>
      </c>
      <c r="AD53" s="1">
        <f>[1]Results!AG1413</f>
        <v>2359958.1839999999</v>
      </c>
      <c r="AE53" s="1">
        <f>[1]Results!AH1413</f>
        <v>2436582.35</v>
      </c>
      <c r="AF53" s="1">
        <f>[1]Results!AI1413</f>
        <v>2515031.19</v>
      </c>
      <c r="AG53" s="1">
        <f>[1]Results!AJ1413</f>
        <v>2595471.085</v>
      </c>
      <c r="AH53" s="1">
        <f>[1]Results!AK1413</f>
        <v>2678077.6660000002</v>
      </c>
      <c r="AI53" s="1">
        <f>[1]Results!AL1413</f>
        <v>2762989.4470000002</v>
      </c>
      <c r="AJ53" s="1">
        <f>[1]Results!AM1413</f>
        <v>2850340.4789999998</v>
      </c>
      <c r="AK53" s="1">
        <f>[1]Results!AN1413</f>
        <v>2940261.3450000002</v>
      </c>
      <c r="AL53" s="1">
        <f>[1]Results!AO1413</f>
        <v>3032881.7220000001</v>
      </c>
      <c r="AM53" s="1">
        <f>[1]Results!AP1413</f>
        <v>3127454.8160000001</v>
      </c>
      <c r="AN53" s="1">
        <f>[1]Results!AQ1413</f>
        <v>3224452.5329999998</v>
      </c>
      <c r="AO53" s="1">
        <f>[1]Results!AR1413</f>
        <v>3324063.2379999999</v>
      </c>
      <c r="AP53" s="1">
        <f>[1]Results!AS1413</f>
        <v>3426489.6749999998</v>
      </c>
      <c r="AQ53" s="1">
        <f>[1]Results!AT1413</f>
        <v>3531933.7519999999</v>
      </c>
      <c r="AR53" s="1">
        <f>[1]Results!AU1413</f>
        <v>3640628.602</v>
      </c>
      <c r="AS53" s="1">
        <f>[1]Results!AV1413</f>
        <v>3752751.43</v>
      </c>
      <c r="AT53" s="1">
        <f>[1]Results!AW1413</f>
        <v>3868472.3509999998</v>
      </c>
      <c r="AU53" s="1">
        <f>[1]Results!AX1413</f>
        <v>3987952.0970000001</v>
      </c>
      <c r="AV53" s="1">
        <f>[1]Results!AY1413</f>
        <v>4111344.3149999999</v>
      </c>
      <c r="AW53" s="1">
        <f>[1]Results!AZ1413</f>
        <v>4239062.6660000002</v>
      </c>
      <c r="AX53" s="1">
        <f>[1]Results!BA1413</f>
        <v>4371191.483</v>
      </c>
      <c r="AY53" s="1">
        <f>[1]Results!BB1413</f>
        <v>4507860.5410000002</v>
      </c>
      <c r="AZ53" s="1">
        <f>[1]Results!BC1413</f>
        <v>4649198.1330000004</v>
      </c>
      <c r="BA53" s="1">
        <f>[1]Results!BD1413</f>
        <v>4795334.5750000002</v>
      </c>
      <c r="BB53" s="1">
        <f>[1]Results!BE1413</f>
        <v>6227547.3530000001</v>
      </c>
      <c r="BC53" s="1">
        <f>[1]Results!BF1413</f>
        <v>6447101.7589999996</v>
      </c>
      <c r="BD53" s="1">
        <f>[1]Results!BG1413</f>
        <v>6673897.7949999999</v>
      </c>
      <c r="BE53" s="1">
        <f>[1]Results!BH1413</f>
        <v>6908213.1090000002</v>
      </c>
      <c r="BF53" s="1">
        <f>[1]Results!BI1413</f>
        <v>7150343.2790000001</v>
      </c>
    </row>
    <row r="54" spans="1:58" x14ac:dyDescent="0.35">
      <c r="A54" s="3" t="str">
        <f>[1]Results!E1414</f>
        <v>Bal_G_tot_VAL_2</v>
      </c>
      <c r="B54" t="str">
        <f>[1]Results!C1414</f>
        <v>Solde public</v>
      </c>
      <c r="C54" s="1">
        <f>[1]Results!F1414</f>
        <v>-79418.056689999998</v>
      </c>
      <c r="D54" s="1">
        <f>[1]Results!G1414</f>
        <v>-90909.614920000007</v>
      </c>
      <c r="E54" s="1">
        <f>[1]Results!H1414</f>
        <v>-101324.38</v>
      </c>
      <c r="F54" s="1">
        <f>[1]Results!I1414</f>
        <v>-110837.50079999999</v>
      </c>
      <c r="G54" s="1">
        <f>[1]Results!J1414</f>
        <v>-119777.65609999999</v>
      </c>
      <c r="H54" s="1">
        <f>[1]Results!K1414</f>
        <v>-128133.28909999999</v>
      </c>
      <c r="I54" s="1">
        <f>[1]Results!L1414</f>
        <v>-135169.85159999999</v>
      </c>
      <c r="J54" s="1">
        <f>[1]Results!M1414</f>
        <v>-141974.01149999999</v>
      </c>
      <c r="K54" s="1">
        <f>[1]Results!N1414</f>
        <v>-148548.0245</v>
      </c>
      <c r="L54" s="1">
        <f>[1]Results!O1414</f>
        <v>-154957.5393</v>
      </c>
      <c r="M54" s="1">
        <f>[1]Results!P1414</f>
        <v>-162586.37280000001</v>
      </c>
      <c r="N54" s="1">
        <f>[1]Results!Q1414</f>
        <v>-168240.84650000001</v>
      </c>
      <c r="O54" s="1">
        <f>[1]Results!R1414</f>
        <v>-174162.30669999999</v>
      </c>
      <c r="P54" s="1">
        <f>[1]Results!S1414</f>
        <v>-180360.3824</v>
      </c>
      <c r="Q54" s="1">
        <f>[1]Results!T1414</f>
        <v>-186848.96369999999</v>
      </c>
      <c r="R54" s="1">
        <f>[1]Results!U1414</f>
        <v>-193630.82269999999</v>
      </c>
      <c r="S54" s="1">
        <f>[1]Results!V1414</f>
        <v>-200775.47450000001</v>
      </c>
      <c r="T54" s="1">
        <f>[1]Results!W1414</f>
        <v>-208232.65839999999</v>
      </c>
      <c r="U54" s="1">
        <f>[1]Results!X1414</f>
        <v>-215987.77859999999</v>
      </c>
      <c r="V54" s="1">
        <f>[1]Results!Y1414</f>
        <v>-224040.89110000001</v>
      </c>
      <c r="W54" s="1">
        <f>[1]Results!Z1414</f>
        <v>-231244.12340000001</v>
      </c>
      <c r="X54" s="1">
        <f>[1]Results!AA1414</f>
        <v>-240592.24069999999</v>
      </c>
      <c r="Y54" s="1">
        <f>[1]Results!AB1414</f>
        <v>-250122.6189</v>
      </c>
      <c r="Z54" s="1">
        <f>[1]Results!AC1414</f>
        <v>-259880.98360000001</v>
      </c>
      <c r="AA54" s="1">
        <f>[1]Results!AD1414</f>
        <v>-269905.36499999999</v>
      </c>
      <c r="AB54" s="1">
        <f>[1]Results!AE1414</f>
        <v>-276545.13959999999</v>
      </c>
      <c r="AC54" s="1">
        <f>[1]Results!AF1414</f>
        <v>-287532.2524</v>
      </c>
      <c r="AD54" s="1">
        <f>[1]Results!AG1414</f>
        <v>-299362.23379999999</v>
      </c>
      <c r="AE54" s="1">
        <f>[1]Results!AH1414</f>
        <v>-311946.74540000001</v>
      </c>
      <c r="AF54" s="1">
        <f>[1]Results!AI1414</f>
        <v>-325187.15169999999</v>
      </c>
      <c r="AG54" s="1">
        <f>[1]Results!AJ1414</f>
        <v>-339007.74540000001</v>
      </c>
      <c r="AH54" s="1">
        <f>[1]Results!AK1414</f>
        <v>-353343.78379999998</v>
      </c>
      <c r="AI54" s="1">
        <f>[1]Results!AL1414</f>
        <v>-368199.22149999999</v>
      </c>
      <c r="AJ54" s="1">
        <f>[1]Results!AM1414</f>
        <v>-383591.15539999999</v>
      </c>
      <c r="AK54" s="1">
        <f>[1]Results!AN1414</f>
        <v>-399548.86940000003</v>
      </c>
      <c r="AL54" s="1">
        <f>[1]Results!AO1414</f>
        <v>-416108.64630000002</v>
      </c>
      <c r="AM54" s="1">
        <f>[1]Results!AP1414</f>
        <v>-431977.11139999999</v>
      </c>
      <c r="AN54" s="1">
        <f>[1]Results!AQ1414</f>
        <v>-449019.46059999999</v>
      </c>
      <c r="AO54" s="1">
        <f>[1]Results!AR1414</f>
        <v>-467159.59250000003</v>
      </c>
      <c r="AP54" s="1">
        <f>[1]Results!AS1414</f>
        <v>-486317.81109999999</v>
      </c>
      <c r="AQ54" s="1">
        <f>[1]Results!AT1414</f>
        <v>-506422.12359999999</v>
      </c>
      <c r="AR54" s="1">
        <f>[1]Results!AU1414</f>
        <v>-527377.20770000003</v>
      </c>
      <c r="AS54" s="1">
        <f>[1]Results!AV1414</f>
        <v>-549171.56709999999</v>
      </c>
      <c r="AT54" s="1">
        <f>[1]Results!AW1414</f>
        <v>-571794.68720000004</v>
      </c>
      <c r="AU54" s="1">
        <f>[1]Results!AX1414</f>
        <v>-595248.80619999999</v>
      </c>
      <c r="AV54" s="1">
        <f>[1]Results!AY1414</f>
        <v>-619549.01240000001</v>
      </c>
      <c r="AW54" s="1">
        <f>[1]Results!AZ1414</f>
        <v>-644693.47149999999</v>
      </c>
      <c r="AX54" s="1">
        <f>[1]Results!BA1414</f>
        <v>-670621.77529999998</v>
      </c>
      <c r="AY54" s="1">
        <f>[1]Results!BB1414</f>
        <v>-697399.72990000003</v>
      </c>
      <c r="AZ54" s="1">
        <f>[1]Results!BC1414</f>
        <v>-725073.43559999997</v>
      </c>
      <c r="BA54" s="1">
        <f>[1]Results!BD1414</f>
        <v>-753686.18810000003</v>
      </c>
      <c r="BB54" s="1">
        <f>[1]Results!BE1414</f>
        <v>77863.230030000006</v>
      </c>
      <c r="BC54" s="1">
        <f>[1]Results!BF1414</f>
        <v>89753.453880000001</v>
      </c>
      <c r="BD54" s="1">
        <f>[1]Results!BG1414</f>
        <v>102138.5665</v>
      </c>
      <c r="BE54" s="1">
        <f>[1]Results!BH1414</f>
        <v>115050</v>
      </c>
      <c r="BF54" s="1">
        <f>[1]Results!BI1414</f>
        <v>128528.6568</v>
      </c>
    </row>
    <row r="55" spans="1:58" x14ac:dyDescent="0.35">
      <c r="A55" s="3" t="str">
        <f>[1]Results!E1415</f>
        <v>DEBT_G_VAL_2</v>
      </c>
      <c r="B55" t="str">
        <f>[1]Results!C1415</f>
        <v>Dette publique</v>
      </c>
      <c r="C55" s="1">
        <f>[1]Results!F1415</f>
        <v>2118959.41</v>
      </c>
      <c r="D55" s="1">
        <f>[1]Results!G1415</f>
        <v>2209869.0249999999</v>
      </c>
      <c r="E55" s="1">
        <f>[1]Results!H1415</f>
        <v>2311193.4049999998</v>
      </c>
      <c r="F55" s="1">
        <f>[1]Results!I1415</f>
        <v>2422030.906</v>
      </c>
      <c r="G55" s="1">
        <f>[1]Results!J1415</f>
        <v>2541808.5619999999</v>
      </c>
      <c r="H55" s="1">
        <f>[1]Results!K1415</f>
        <v>2669941.8509999998</v>
      </c>
      <c r="I55" s="1">
        <f>[1]Results!L1415</f>
        <v>2805111.7030000002</v>
      </c>
      <c r="J55" s="1">
        <f>[1]Results!M1415</f>
        <v>2947085.7140000002</v>
      </c>
      <c r="K55" s="1">
        <f>[1]Results!N1415</f>
        <v>3095633.7390000001</v>
      </c>
      <c r="L55" s="1">
        <f>[1]Results!O1415</f>
        <v>3250591.2779999999</v>
      </c>
      <c r="M55" s="1">
        <f>[1]Results!P1415</f>
        <v>3413177.6510000001</v>
      </c>
      <c r="N55" s="1">
        <f>[1]Results!Q1415</f>
        <v>3581418.497</v>
      </c>
      <c r="O55" s="1">
        <f>[1]Results!R1415</f>
        <v>3755580.804</v>
      </c>
      <c r="P55" s="1">
        <f>[1]Results!S1415</f>
        <v>3935941.1860000002</v>
      </c>
      <c r="Q55" s="1">
        <f>[1]Results!T1415</f>
        <v>4122790.15</v>
      </c>
      <c r="R55" s="1">
        <f>[1]Results!U1415</f>
        <v>4316420.9730000002</v>
      </c>
      <c r="S55" s="1">
        <f>[1]Results!V1415</f>
        <v>4517196.4469999997</v>
      </c>
      <c r="T55" s="1">
        <f>[1]Results!W1415</f>
        <v>4725429.1059999997</v>
      </c>
      <c r="U55" s="1">
        <f>[1]Results!X1415</f>
        <v>4941416.8839999996</v>
      </c>
      <c r="V55" s="1">
        <f>[1]Results!Y1415</f>
        <v>5165457.7750000004</v>
      </c>
      <c r="W55" s="1">
        <f>[1]Results!Z1415</f>
        <v>5396701.8990000002</v>
      </c>
      <c r="X55" s="1">
        <f>[1]Results!AA1415</f>
        <v>5637294.1390000004</v>
      </c>
      <c r="Y55" s="1">
        <f>[1]Results!AB1415</f>
        <v>5887416.7580000004</v>
      </c>
      <c r="Z55" s="1">
        <f>[1]Results!AC1415</f>
        <v>6147297.7419999996</v>
      </c>
      <c r="AA55" s="1">
        <f>[1]Results!AD1415</f>
        <v>6417203.1069999998</v>
      </c>
      <c r="AB55" s="1">
        <f>[1]Results!AE1415</f>
        <v>6693748.2460000003</v>
      </c>
      <c r="AC55" s="1">
        <f>[1]Results!AF1415</f>
        <v>6981280.4989999998</v>
      </c>
      <c r="AD55" s="1">
        <f>[1]Results!AG1415</f>
        <v>7280642.733</v>
      </c>
      <c r="AE55" s="1">
        <f>[1]Results!AH1415</f>
        <v>7592589.4780000001</v>
      </c>
      <c r="AF55" s="1">
        <f>[1]Results!AI1415</f>
        <v>7917776.6299999999</v>
      </c>
      <c r="AG55" s="1">
        <f>[1]Results!AJ1415</f>
        <v>8256784.375</v>
      </c>
      <c r="AH55" s="1">
        <f>[1]Results!AK1415</f>
        <v>8610128.159</v>
      </c>
      <c r="AI55" s="1">
        <f>[1]Results!AL1415</f>
        <v>8978327.3800000008</v>
      </c>
      <c r="AJ55" s="1">
        <f>[1]Results!AM1415</f>
        <v>9361918.5360000003</v>
      </c>
      <c r="AK55" s="1">
        <f>[1]Results!AN1415</f>
        <v>9761467.4049999993</v>
      </c>
      <c r="AL55" s="1">
        <f>[1]Results!AO1415</f>
        <v>10177576.050000001</v>
      </c>
      <c r="AM55" s="1">
        <f>[1]Results!AP1415</f>
        <v>10609553.16</v>
      </c>
      <c r="AN55" s="1">
        <f>[1]Results!AQ1415</f>
        <v>11058572.619999999</v>
      </c>
      <c r="AO55" s="1">
        <f>[1]Results!AR1415</f>
        <v>11525732.220000001</v>
      </c>
      <c r="AP55" s="1">
        <f>[1]Results!AS1415</f>
        <v>12012050.029999999</v>
      </c>
      <c r="AQ55" s="1">
        <f>[1]Results!AT1415</f>
        <v>12518472.15</v>
      </c>
      <c r="AR55" s="1">
        <f>[1]Results!AU1415</f>
        <v>13045849.359999999</v>
      </c>
      <c r="AS55" s="1">
        <f>[1]Results!AV1415</f>
        <v>13595020.93</v>
      </c>
      <c r="AT55" s="1">
        <f>[1]Results!AW1415</f>
        <v>14166815.609999999</v>
      </c>
      <c r="AU55" s="1">
        <f>[1]Results!AX1415</f>
        <v>14762064.42</v>
      </c>
      <c r="AV55" s="1">
        <f>[1]Results!AY1415</f>
        <v>15381613.43</v>
      </c>
      <c r="AW55" s="1">
        <f>[1]Results!AZ1415</f>
        <v>16026306.9</v>
      </c>
      <c r="AX55" s="1">
        <f>[1]Results!BA1415</f>
        <v>16696928.68</v>
      </c>
      <c r="AY55" s="1">
        <f>[1]Results!BB1415</f>
        <v>17394328.41</v>
      </c>
      <c r="AZ55" s="1">
        <f>[1]Results!BC1415</f>
        <v>18119401.84</v>
      </c>
      <c r="BA55" s="1">
        <f>[1]Results!BD1415</f>
        <v>18873088.030000001</v>
      </c>
      <c r="BB55" s="1">
        <f>[1]Results!BE1415</f>
        <v>5048577.7790000001</v>
      </c>
      <c r="BC55" s="1">
        <f>[1]Results!BF1415</f>
        <v>4958824.3250000002</v>
      </c>
      <c r="BD55" s="1">
        <f>[1]Results!BG1415</f>
        <v>4856685.7580000004</v>
      </c>
      <c r="BE55" s="1">
        <f>[1]Results!BH1415</f>
        <v>4741635.7580000004</v>
      </c>
      <c r="BF55" s="1">
        <f>[1]Results!BI1415</f>
        <v>4613107.102</v>
      </c>
    </row>
    <row r="56" spans="1:58" x14ac:dyDescent="0.35"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 spans="1:58" x14ac:dyDescent="0.35"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 spans="1:58" x14ac:dyDescent="0.35">
      <c r="A58" s="13" t="s">
        <v>49</v>
      </c>
      <c r="B58" t="s">
        <v>4</v>
      </c>
      <c r="C58" s="1">
        <f>[1]Results!F1731</f>
        <v>1202984.926</v>
      </c>
      <c r="D58" s="1">
        <f>[1]Results!G1731</f>
        <v>1218429.125</v>
      </c>
      <c r="E58" s="1">
        <f>[1]Results!H1731</f>
        <v>1234998.9720000001</v>
      </c>
      <c r="F58" s="1">
        <f>[1]Results!I1731</f>
        <v>1252452.5930000001</v>
      </c>
      <c r="G58" s="1">
        <f>[1]Results!J1731</f>
        <v>1270716.763</v>
      </c>
      <c r="H58" s="1">
        <f>[1]Results!K1731</f>
        <v>1289816.5049999999</v>
      </c>
      <c r="I58" s="1">
        <f>[1]Results!L1731</f>
        <v>1309182.9140000001</v>
      </c>
      <c r="J58" s="1">
        <f>[1]Results!M1731</f>
        <v>1328965.3359999999</v>
      </c>
      <c r="K58" s="1">
        <f>[1]Results!N1731</f>
        <v>1349231.845</v>
      </c>
      <c r="L58" s="1">
        <f>[1]Results!O1731</f>
        <v>1370000.6510000001</v>
      </c>
      <c r="M58" s="1">
        <f>[1]Results!P1731</f>
        <v>1392318.794</v>
      </c>
      <c r="N58" s="1">
        <f>[1]Results!Q1731</f>
        <v>1414841.2560000001</v>
      </c>
      <c r="O58" s="1">
        <f>[1]Results!R1731</f>
        <v>1437589.7560000001</v>
      </c>
      <c r="P58" s="1">
        <f>[1]Results!S1731</f>
        <v>1460541.0830000001</v>
      </c>
      <c r="Q58" s="1">
        <f>[1]Results!T1731</f>
        <v>1483671.7139999999</v>
      </c>
      <c r="R58" s="1">
        <f>[1]Results!U1731</f>
        <v>1506967.818</v>
      </c>
      <c r="S58" s="1">
        <f>[1]Results!V1731</f>
        <v>1530424.6529999999</v>
      </c>
      <c r="T58" s="1">
        <f>[1]Results!W1731</f>
        <v>1554043.49</v>
      </c>
      <c r="U58" s="1">
        <f>[1]Results!X1731</f>
        <v>1577828.804</v>
      </c>
      <c r="V58" s="1">
        <f>[1]Results!Y1731</f>
        <v>1601786.466</v>
      </c>
      <c r="W58" s="1">
        <f>[1]Results!Z1731</f>
        <v>1625133.1229999999</v>
      </c>
      <c r="X58" s="1">
        <f>[1]Results!AA1731</f>
        <v>1648849.0079999999</v>
      </c>
      <c r="Y58" s="1">
        <f>[1]Results!AB1731</f>
        <v>1672897.05</v>
      </c>
      <c r="Z58" s="1">
        <f>[1]Results!AC1731</f>
        <v>1697269.878</v>
      </c>
      <c r="AA58" s="1">
        <f>[1]Results!AD1731</f>
        <v>1721961.953</v>
      </c>
      <c r="AB58" s="1">
        <f>[1]Results!AE1731</f>
        <v>1744684.3259999999</v>
      </c>
      <c r="AC58" s="1">
        <f>[1]Results!AF1731</f>
        <v>1767155.689</v>
      </c>
      <c r="AD58" s="1">
        <f>[1]Results!AG1731</f>
        <v>1789481.3019999999</v>
      </c>
      <c r="AE58" s="1">
        <f>[1]Results!AH1731</f>
        <v>1811794.179</v>
      </c>
      <c r="AF58" s="1">
        <f>[1]Results!AI1731</f>
        <v>1834213.182</v>
      </c>
      <c r="AG58" s="1">
        <f>[1]Results!AJ1731</f>
        <v>1856831.0490000001</v>
      </c>
      <c r="AH58" s="1">
        <f>[1]Results!AK1731</f>
        <v>1879714.1880000001</v>
      </c>
      <c r="AI58" s="1">
        <f>[1]Results!AL1731</f>
        <v>1902907.084</v>
      </c>
      <c r="AJ58" s="1">
        <f>[1]Results!AM1731</f>
        <v>1926438.023</v>
      </c>
      <c r="AK58" s="1">
        <f>[1]Results!AN1731</f>
        <v>1950324.48</v>
      </c>
      <c r="AL58" s="1">
        <f>[1]Results!AO1731</f>
        <v>1974577.466</v>
      </c>
      <c r="AM58" s="1">
        <f>[1]Results!AP1731</f>
        <v>1998657.446</v>
      </c>
      <c r="AN58" s="1">
        <f>[1]Results!AQ1731</f>
        <v>2022691.6580000001</v>
      </c>
      <c r="AO58" s="1">
        <f>[1]Results!AR1731</f>
        <v>2046778.5889999999</v>
      </c>
      <c r="AP58" s="1">
        <f>[1]Results!AS1731</f>
        <v>2071007.237</v>
      </c>
      <c r="AQ58" s="1">
        <f>[1]Results!AT1731</f>
        <v>2095457.1950000001</v>
      </c>
      <c r="AR58" s="1">
        <f>[1]Results!AU1731</f>
        <v>2120195.8280000002</v>
      </c>
      <c r="AS58" s="1">
        <f>[1]Results!AV1731</f>
        <v>2145276.804</v>
      </c>
      <c r="AT58" s="1">
        <f>[1]Results!AW1731</f>
        <v>2170740.5219999999</v>
      </c>
      <c r="AU58" s="1">
        <f>[1]Results!AX1731</f>
        <v>2196615.8810000001</v>
      </c>
      <c r="AV58" s="1">
        <f>[1]Results!AY1731</f>
        <v>2222922.696</v>
      </c>
      <c r="AW58" s="1">
        <f>[1]Results!AZ1731</f>
        <v>2249723.2620000001</v>
      </c>
      <c r="AX58" s="1">
        <f>[1]Results!BA1731</f>
        <v>2277015.77</v>
      </c>
      <c r="AY58" s="1">
        <f>[1]Results!BB1731</f>
        <v>2304798.35</v>
      </c>
      <c r="AZ58" s="1">
        <f>[1]Results!BC1731</f>
        <v>2333068.1290000002</v>
      </c>
      <c r="BA58" s="1">
        <f>[1]Results!BD1731</f>
        <v>2361822.0070000002</v>
      </c>
      <c r="BB58" s="1">
        <f>[1]Results!BE1731</f>
        <v>2577085.8969999999</v>
      </c>
      <c r="BC58" s="1">
        <f>[1]Results!BF1731</f>
        <v>2615222.8059999999</v>
      </c>
      <c r="BD58" s="1">
        <f>[1]Results!BG1731</f>
        <v>2653889.335</v>
      </c>
      <c r="BE58" s="1">
        <f>[1]Results!BH1731</f>
        <v>2693104.4959999998</v>
      </c>
      <c r="BF58" s="1">
        <f>[1]Results!BI1731</f>
        <v>2732888.68</v>
      </c>
    </row>
    <row r="59" spans="1:58" x14ac:dyDescent="0.35">
      <c r="A59" s="14"/>
      <c r="B59" t="s">
        <v>6</v>
      </c>
      <c r="C59" s="1">
        <f>[1]Results!F1702</f>
        <v>1196185.173</v>
      </c>
      <c r="D59" s="1">
        <f>[1]Results!G1702</f>
        <v>1203310.54</v>
      </c>
      <c r="E59" s="1">
        <f>[1]Results!H1702</f>
        <v>1211876.6669999999</v>
      </c>
      <c r="F59" s="1">
        <f>[1]Results!I1702</f>
        <v>1222201.736</v>
      </c>
      <c r="G59" s="1">
        <f>[1]Results!J1702</f>
        <v>1234346.162</v>
      </c>
      <c r="H59" s="1">
        <f>[1]Results!K1702</f>
        <v>1248301.8810000001</v>
      </c>
      <c r="I59" s="1">
        <f>[1]Results!L1702</f>
        <v>1263399.9369999999</v>
      </c>
      <c r="J59" s="1">
        <f>[1]Results!M1702</f>
        <v>1279658.419</v>
      </c>
      <c r="K59" s="1">
        <f>[1]Results!N1702</f>
        <v>1297005.638</v>
      </c>
      <c r="L59" s="1">
        <f>[1]Results!O1702</f>
        <v>1315329.517</v>
      </c>
      <c r="M59" s="1">
        <f>[1]Results!P1702</f>
        <v>1335536.388</v>
      </c>
      <c r="N59" s="1">
        <f>[1]Results!Q1702</f>
        <v>1356195.1340000001</v>
      </c>
      <c r="O59" s="1">
        <f>[1]Results!R1702</f>
        <v>1377268.1229999999</v>
      </c>
      <c r="P59" s="1">
        <f>[1]Results!S1702</f>
        <v>1398693.699</v>
      </c>
      <c r="Q59" s="1">
        <f>[1]Results!T1702</f>
        <v>1420420.942</v>
      </c>
      <c r="R59" s="1">
        <f>[1]Results!U1702</f>
        <v>1442414.4580000001</v>
      </c>
      <c r="S59" s="1">
        <f>[1]Results!V1702</f>
        <v>1464623.233</v>
      </c>
      <c r="T59" s="1">
        <f>[1]Results!W1702</f>
        <v>1487025.6070000001</v>
      </c>
      <c r="U59" s="1">
        <f>[1]Results!X1702</f>
        <v>1509610.6569999999</v>
      </c>
      <c r="V59" s="1">
        <f>[1]Results!Y1702</f>
        <v>1532370.804</v>
      </c>
      <c r="W59" s="1">
        <f>[1]Results!Z1702</f>
        <v>1554533.781</v>
      </c>
      <c r="X59" s="1">
        <f>[1]Results!AA1702</f>
        <v>1577046.274</v>
      </c>
      <c r="Y59" s="1">
        <f>[1]Results!AB1702</f>
        <v>1599854.845</v>
      </c>
      <c r="Z59" s="1">
        <f>[1]Results!AC1702</f>
        <v>1622938.8689999999</v>
      </c>
      <c r="AA59" s="1">
        <f>[1]Results!AD1702</f>
        <v>1646282.9709999999</v>
      </c>
      <c r="AB59" s="1">
        <f>[1]Results!AE1702</f>
        <v>1667663.6529999999</v>
      </c>
      <c r="AC59" s="1">
        <f>[1]Results!AF1702</f>
        <v>1688778.6029999999</v>
      </c>
      <c r="AD59" s="1">
        <f>[1]Results!AG1702</f>
        <v>1709723.308</v>
      </c>
      <c r="AE59" s="1">
        <f>[1]Results!AH1702</f>
        <v>1730618.371</v>
      </c>
      <c r="AF59" s="1">
        <f>[1]Results!AI1702</f>
        <v>1751572.6740000001</v>
      </c>
      <c r="AG59" s="1">
        <f>[1]Results!AJ1702</f>
        <v>1772672.28</v>
      </c>
      <c r="AH59" s="1">
        <f>[1]Results!AK1702</f>
        <v>1793986.01</v>
      </c>
      <c r="AI59" s="1">
        <f>[1]Results!AL1702</f>
        <v>1815557.763</v>
      </c>
      <c r="AJ59" s="1">
        <f>[1]Results!AM1702</f>
        <v>1837415.0260000001</v>
      </c>
      <c r="AK59" s="1">
        <f>[1]Results!AN1702</f>
        <v>1859574.956</v>
      </c>
      <c r="AL59" s="1">
        <f>[1]Results!AO1702</f>
        <v>1882048.7109999999</v>
      </c>
      <c r="AM59" s="1">
        <f>[1]Results!AP1702</f>
        <v>1904371.541</v>
      </c>
      <c r="AN59" s="1">
        <f>[1]Results!AQ1702</f>
        <v>1926683.2649999999</v>
      </c>
      <c r="AO59" s="1">
        <f>[1]Results!AR1702</f>
        <v>1949075.57</v>
      </c>
      <c r="AP59" s="1">
        <f>[1]Results!AS1702</f>
        <v>1971623.5519999999</v>
      </c>
      <c r="AQ59" s="1">
        <f>[1]Results!AT1702</f>
        <v>1994391.112</v>
      </c>
      <c r="AR59" s="1">
        <f>[1]Results!AU1702</f>
        <v>2017439.2390000001</v>
      </c>
      <c r="AS59" s="1">
        <f>[1]Results!AV1702</f>
        <v>2040809.817</v>
      </c>
      <c r="AT59" s="1">
        <f>[1]Results!AW1702</f>
        <v>2064531.2479999999</v>
      </c>
      <c r="AU59" s="1">
        <f>[1]Results!AX1702</f>
        <v>2088621.9140000001</v>
      </c>
      <c r="AV59" s="1">
        <f>[1]Results!AY1702</f>
        <v>2113092.8659999999</v>
      </c>
      <c r="AW59" s="1">
        <f>[1]Results!AZ1702</f>
        <v>2138026.466</v>
      </c>
      <c r="AX59" s="1">
        <f>[1]Results!BA1702</f>
        <v>2163419.702</v>
      </c>
      <c r="AY59" s="1">
        <f>[1]Results!BB1702</f>
        <v>2189262.66</v>
      </c>
      <c r="AZ59" s="1">
        <f>[1]Results!BC1702</f>
        <v>2215543.452</v>
      </c>
      <c r="BA59" s="1">
        <f>[1]Results!BD1702</f>
        <v>2242250.6460000002</v>
      </c>
      <c r="BB59" s="1">
        <f>[1]Results!BE1702</f>
        <v>2578303.1260000002</v>
      </c>
      <c r="BC59" s="1">
        <f>[1]Results!BF1702</f>
        <v>2616559.395</v>
      </c>
      <c r="BD59" s="1">
        <f>[1]Results!BG1702</f>
        <v>2655344.5720000002</v>
      </c>
      <c r="BE59" s="1">
        <f>[1]Results!BH1702</f>
        <v>2694674.9</v>
      </c>
      <c r="BF59" s="1">
        <f>[1]Results!BI1702</f>
        <v>2734568.8939999999</v>
      </c>
    </row>
    <row r="60" spans="1:58" x14ac:dyDescent="0.35">
      <c r="A60" s="14"/>
      <c r="C60" s="1"/>
      <c r="D60" s="1"/>
      <c r="E60" s="1"/>
      <c r="F60" s="1"/>
      <c r="G60" s="1"/>
      <c r="H60" s="4">
        <f t="shared" ref="H60:U60" si="0">H58/G58-1</f>
        <v>1.5030683907016229E-2</v>
      </c>
      <c r="I60" s="4">
        <f t="shared" si="0"/>
        <v>1.5014855930999493E-2</v>
      </c>
      <c r="J60" s="4">
        <f t="shared" si="0"/>
        <v>1.5110510371356467E-2</v>
      </c>
      <c r="K60" s="4">
        <f t="shared" si="0"/>
        <v>1.5249840195982411E-2</v>
      </c>
      <c r="L60" s="4">
        <f t="shared" si="0"/>
        <v>1.5393059448578494E-2</v>
      </c>
      <c r="M60" s="4">
        <f t="shared" si="0"/>
        <v>1.6290607587455819E-2</v>
      </c>
      <c r="N60" s="4">
        <f t="shared" si="0"/>
        <v>1.617622494004789E-2</v>
      </c>
      <c r="O60" s="4">
        <f t="shared" si="0"/>
        <v>1.6078482235041713E-2</v>
      </c>
      <c r="P60" s="4">
        <f t="shared" si="0"/>
        <v>1.5965143674827376E-2</v>
      </c>
      <c r="Q60" s="4">
        <f t="shared" si="0"/>
        <v>1.5837028666450648E-2</v>
      </c>
      <c r="R60" s="4">
        <f t="shared" si="0"/>
        <v>1.5701656761517357E-2</v>
      </c>
      <c r="S60" s="4">
        <f t="shared" si="0"/>
        <v>1.5565584559815715E-2</v>
      </c>
      <c r="T60" s="4">
        <f t="shared" si="0"/>
        <v>1.5432864959213477E-2</v>
      </c>
      <c r="U60" s="4">
        <f t="shared" si="0"/>
        <v>1.5305436529321259E-2</v>
      </c>
      <c r="V60" s="4">
        <f>V58/U58-1</f>
        <v>1.5183942604713563E-2</v>
      </c>
      <c r="W60" s="4">
        <f t="shared" ref="W60:AL60" si="1">W58/V58-1</f>
        <v>1.457538660462121E-2</v>
      </c>
      <c r="X60" s="4">
        <f t="shared" si="1"/>
        <v>1.4593195267733172E-2</v>
      </c>
      <c r="Y60" s="4">
        <f t="shared" si="1"/>
        <v>1.4584744802781824E-2</v>
      </c>
      <c r="Z60" s="4">
        <f t="shared" si="1"/>
        <v>1.4569233653678904E-2</v>
      </c>
      <c r="AA60" s="4">
        <f t="shared" si="1"/>
        <v>1.4548113602944612E-2</v>
      </c>
      <c r="AB60" s="4">
        <f t="shared" si="1"/>
        <v>1.3195630112740275E-2</v>
      </c>
      <c r="AC60" s="4">
        <f t="shared" si="1"/>
        <v>1.2879901919861769E-2</v>
      </c>
      <c r="AD60" s="4">
        <f t="shared" si="1"/>
        <v>1.2633642377392063E-2</v>
      </c>
      <c r="AE60" s="4">
        <f t="shared" si="1"/>
        <v>1.2468907596330903E-2</v>
      </c>
      <c r="AF60" s="4">
        <f t="shared" si="1"/>
        <v>1.2373923738056236E-2</v>
      </c>
      <c r="AG60" s="4">
        <f t="shared" si="1"/>
        <v>1.2331100453295107E-2</v>
      </c>
      <c r="AH60" s="4">
        <f t="shared" si="1"/>
        <v>1.2323759349200714E-2</v>
      </c>
      <c r="AI60" s="4">
        <f t="shared" si="1"/>
        <v>1.2338522605224833E-2</v>
      </c>
      <c r="AJ60" s="4">
        <f t="shared" si="1"/>
        <v>1.2365784539798419E-2</v>
      </c>
      <c r="AK60" s="4">
        <f t="shared" si="1"/>
        <v>1.2399286514705565E-2</v>
      </c>
      <c r="AL60" s="4">
        <f t="shared" si="1"/>
        <v>1.2435359474132213E-2</v>
      </c>
      <c r="AM60" s="4">
        <f t="shared" ref="AM60" si="2">AM58/AL58-1</f>
        <v>1.2195003951290806E-2</v>
      </c>
      <c r="AN60" s="4">
        <f t="shared" ref="AN60" si="3">AN58/AM58-1</f>
        <v>1.2025178225563815E-2</v>
      </c>
      <c r="AO60" s="4">
        <f t="shared" ref="AO60" si="4">AO58/AN58-1</f>
        <v>1.1908355336678778E-2</v>
      </c>
      <c r="AP60" s="4">
        <f t="shared" ref="AP60" si="5">AP58/AO58-1</f>
        <v>1.1837454295355654E-2</v>
      </c>
      <c r="AQ60" s="4">
        <f t="shared" ref="AQ60" si="6">AQ58/AP58-1</f>
        <v>1.1805829339069707E-2</v>
      </c>
      <c r="AR60" s="4">
        <f t="shared" ref="AR60" si="7">AR58/AQ58-1</f>
        <v>1.1805840300164183E-2</v>
      </c>
      <c r="AS60" s="4">
        <f t="shared" ref="AS60" si="8">AS58/AR58-1</f>
        <v>1.1829556340396508E-2</v>
      </c>
      <c r="AT60" s="4">
        <f t="shared" ref="AT60" si="9">AT58/AS58-1</f>
        <v>1.186966546812096E-2</v>
      </c>
      <c r="AU60" s="4">
        <f t="shared" ref="AU60" si="10">AU58/AT58-1</f>
        <v>1.1920060798496612E-2</v>
      </c>
      <c r="AV60" s="4">
        <f t="shared" ref="AV60" si="11">AV58/AU58-1</f>
        <v>1.1976065195351326E-2</v>
      </c>
      <c r="AW60" s="4">
        <f t="shared" ref="AW60" si="12">AW58/AV58-1</f>
        <v>1.2056454346444756E-2</v>
      </c>
      <c r="AX60" s="4">
        <f t="shared" ref="AX60" si="13">AX58/AW58-1</f>
        <v>1.2131495664821079E-2</v>
      </c>
      <c r="AY60" s="4">
        <f t="shared" ref="AY60" si="14">AY58/AX58-1</f>
        <v>1.2201312070842629E-2</v>
      </c>
      <c r="AZ60" s="4">
        <f t="shared" ref="AZ60" si="15">AZ58/AY58-1</f>
        <v>1.2265619246039527E-2</v>
      </c>
      <c r="BA60" s="4">
        <f t="shared" ref="BA60" si="16">BA58/AZ58-1</f>
        <v>1.2324491360792056E-2</v>
      </c>
      <c r="BB60" s="4">
        <f t="shared" ref="BB60" si="17">BB58/BA58-1</f>
        <v>9.114314684256386E-2</v>
      </c>
      <c r="BC60" s="4">
        <f t="shared" ref="BC60" si="18">BC58/BB58-1</f>
        <v>1.4798462497658926E-2</v>
      </c>
      <c r="BD60" s="4">
        <f t="shared" ref="BD60" si="19">BD58/BC58-1</f>
        <v>1.4785175821841579E-2</v>
      </c>
      <c r="BE60" s="4">
        <f t="shared" ref="BE60" si="20">BE58/BD58-1</f>
        <v>1.4776486902759123E-2</v>
      </c>
      <c r="BF60" s="4">
        <f t="shared" ref="BF60" si="21">BF58/BE58-1</f>
        <v>1.4772610590896518E-2</v>
      </c>
    </row>
    <row r="61" spans="1:58" x14ac:dyDescent="0.35">
      <c r="A61" s="16" t="s">
        <v>3</v>
      </c>
      <c r="B61" t="s">
        <v>4</v>
      </c>
      <c r="C61" s="1">
        <f>[1]Results!F1789</f>
        <v>0.99928330870000004</v>
      </c>
      <c r="D61" s="1">
        <f>[1]Results!G1789</f>
        <v>1.0179891590000001</v>
      </c>
      <c r="E61" s="1">
        <f>[1]Results!H1789</f>
        <v>1.036837593</v>
      </c>
      <c r="F61" s="1">
        <f>[1]Results!I1789</f>
        <v>1.056122352</v>
      </c>
      <c r="G61" s="1">
        <f>[1]Results!J1789</f>
        <v>1.0760451769999999</v>
      </c>
      <c r="H61" s="1">
        <f>[1]Results!K1789</f>
        <v>1.0967217010000001</v>
      </c>
      <c r="I61" s="1">
        <f>[1]Results!L1789</f>
        <v>1.1181780400000001</v>
      </c>
      <c r="J61" s="1">
        <f>[1]Results!M1789</f>
        <v>1.1404204389999999</v>
      </c>
      <c r="K61" s="1">
        <f>[1]Results!N1789</f>
        <v>1.163445136</v>
      </c>
      <c r="L61" s="1">
        <f>[1]Results!O1789</f>
        <v>1.1872427350000001</v>
      </c>
      <c r="M61" s="1">
        <f>[1]Results!P1789</f>
        <v>1.211853488</v>
      </c>
      <c r="N61" s="1">
        <f>[1]Results!Q1789</f>
        <v>1.2372341600000001</v>
      </c>
      <c r="O61" s="1">
        <f>[1]Results!R1789</f>
        <v>1.2633510699999999</v>
      </c>
      <c r="P61" s="1">
        <f>[1]Results!S1789</f>
        <v>1.290175217</v>
      </c>
      <c r="Q61" s="1">
        <f>[1]Results!T1789</f>
        <v>1.3176784210000001</v>
      </c>
      <c r="R61" s="1">
        <f>[1]Results!U1789</f>
        <v>1.3458319910000001</v>
      </c>
      <c r="S61" s="1">
        <f>[1]Results!V1789</f>
        <v>1.3746071559999999</v>
      </c>
      <c r="T61" s="1">
        <f>[1]Results!W1789</f>
        <v>1.403976232</v>
      </c>
      <c r="U61" s="1">
        <f>[1]Results!X1789</f>
        <v>1.4339138469999999</v>
      </c>
      <c r="V61" s="1">
        <f>[1]Results!Y1789</f>
        <v>1.464397886</v>
      </c>
      <c r="W61" s="1">
        <f>[1]Results!Z1789</f>
        <v>1.495368941</v>
      </c>
      <c r="X61" s="1">
        <f>[1]Results!AA1789</f>
        <v>1.526832296</v>
      </c>
      <c r="Y61" s="1">
        <f>[1]Results!AB1789</f>
        <v>1.5587890310000001</v>
      </c>
      <c r="Z61" s="1">
        <f>[1]Results!AC1789</f>
        <v>1.5912391029999999</v>
      </c>
      <c r="AA61" s="1">
        <f>[1]Results!AD1789</f>
        <v>1.624184466</v>
      </c>
      <c r="AB61" s="1">
        <f>[1]Results!AE1789</f>
        <v>1.657508985</v>
      </c>
      <c r="AC61" s="1">
        <f>[1]Results!AF1789</f>
        <v>1.691219611</v>
      </c>
      <c r="AD61" s="1">
        <f>[1]Results!AG1789</f>
        <v>1.7253282350000001</v>
      </c>
      <c r="AE61" s="1">
        <f>[1]Results!AH1789</f>
        <v>1.7598483110000001</v>
      </c>
      <c r="AF61" s="1">
        <f>[1]Results!AI1789</f>
        <v>1.794796778</v>
      </c>
      <c r="AG61" s="1">
        <f>[1]Results!AJ1789</f>
        <v>1.830195534</v>
      </c>
      <c r="AH61" s="1">
        <f>[1]Results!AK1789</f>
        <v>1.8660716129999999</v>
      </c>
      <c r="AI61" s="1">
        <f>[1]Results!AL1789</f>
        <v>1.902456366</v>
      </c>
      <c r="AJ61" s="1">
        <f>[1]Results!AM1789</f>
        <v>1.9393841890000001</v>
      </c>
      <c r="AK61" s="1">
        <f>[1]Results!AN1789</f>
        <v>1.976891205</v>
      </c>
      <c r="AL61" s="1">
        <f>[1]Results!AO1789</f>
        <v>2.01501412</v>
      </c>
      <c r="AM61" s="1">
        <f>[1]Results!AP1789</f>
        <v>2.0537577520000001</v>
      </c>
      <c r="AN61" s="1">
        <f>[1]Results!AQ1789</f>
        <v>2.0931402050000001</v>
      </c>
      <c r="AO61" s="1">
        <f>[1]Results!AR1789</f>
        <v>2.1331864679999999</v>
      </c>
      <c r="AP61" s="1">
        <f>[1]Results!AS1789</f>
        <v>2.1739241690000002</v>
      </c>
      <c r="AQ61" s="1">
        <f>[1]Results!AT1789</f>
        <v>2.215381931</v>
      </c>
      <c r="AR61" s="1">
        <f>[1]Results!AU1789</f>
        <v>2.2575890250000001</v>
      </c>
      <c r="AS61" s="1">
        <f>[1]Results!AV1789</f>
        <v>2.3005753819999999</v>
      </c>
      <c r="AT61" s="1">
        <f>[1]Results!AW1789</f>
        <v>2.34437155</v>
      </c>
      <c r="AU61" s="1">
        <f>[1]Results!AX1789</f>
        <v>2.3890084919999999</v>
      </c>
      <c r="AV61" s="1">
        <f>[1]Results!AY1789</f>
        <v>2.4345172960000001</v>
      </c>
      <c r="AW61" s="1">
        <f>[1]Results!AZ1789</f>
        <v>2.4809319909999998</v>
      </c>
      <c r="AX61" s="1">
        <f>[1]Results!BA1789</f>
        <v>2.528284786</v>
      </c>
      <c r="AY61" s="1">
        <f>[1]Results!BB1789</f>
        <v>2.5766066049999998</v>
      </c>
      <c r="AZ61" s="1">
        <f>[1]Results!BC1789</f>
        <v>2.6259271050000002</v>
      </c>
      <c r="BA61" s="1">
        <f>[1]Results!BD1789</f>
        <v>2.676274705</v>
      </c>
      <c r="BB61" s="1">
        <f>[1]Results!BE1789</f>
        <v>2.7865971890000001</v>
      </c>
      <c r="BC61" s="1">
        <f>[1]Results!BF1789</f>
        <v>2.8403224690000002</v>
      </c>
      <c r="BD61" s="1">
        <f>[1]Results!BG1789</f>
        <v>2.894939376</v>
      </c>
      <c r="BE61" s="1">
        <f>[1]Results!BH1789</f>
        <v>2.950470615</v>
      </c>
      <c r="BF61" s="1">
        <f>[1]Results!BI1789</f>
        <v>3.0069409239999998</v>
      </c>
    </row>
    <row r="62" spans="1:58" x14ac:dyDescent="0.35">
      <c r="A62" s="16"/>
      <c r="B62" t="s">
        <v>6</v>
      </c>
      <c r="C62" s="1">
        <f>[1]Results!F1760</f>
        <v>0.99675931029999998</v>
      </c>
      <c r="D62" s="1">
        <f>[1]Results!G1760</f>
        <v>1.0118090390000001</v>
      </c>
      <c r="E62" s="1">
        <f>[1]Results!H1760</f>
        <v>1.026601726</v>
      </c>
      <c r="F62" s="1">
        <f>[1]Results!I1760</f>
        <v>1.041764052</v>
      </c>
      <c r="G62" s="1">
        <f>[1]Results!J1760</f>
        <v>1.057624009</v>
      </c>
      <c r="H62" s="1">
        <f>[1]Results!K1760</f>
        <v>1.0743380680000001</v>
      </c>
      <c r="I62" s="1">
        <f>[1]Results!L1760</f>
        <v>1.091946013</v>
      </c>
      <c r="J62" s="1">
        <f>[1]Results!M1760</f>
        <v>1.1104711700000001</v>
      </c>
      <c r="K62" s="1">
        <f>[1]Results!N1760</f>
        <v>1.1299327969999999</v>
      </c>
      <c r="L62" s="1">
        <f>[1]Results!O1760</f>
        <v>1.1503459469999999</v>
      </c>
      <c r="M62" s="1">
        <f>[1]Results!P1760</f>
        <v>1.1717732030000001</v>
      </c>
      <c r="N62" s="1">
        <f>[1]Results!Q1760</f>
        <v>1.1941702999999999</v>
      </c>
      <c r="O62" s="1">
        <f>[1]Results!R1760</f>
        <v>1.2175045900000001</v>
      </c>
      <c r="P62" s="1">
        <f>[1]Results!S1760</f>
        <v>1.241744814</v>
      </c>
      <c r="Q62" s="1">
        <f>[1]Results!T1760</f>
        <v>1.266856089</v>
      </c>
      <c r="R62" s="1">
        <f>[1]Results!U1760</f>
        <v>1.2927986849999999</v>
      </c>
      <c r="S62" s="1">
        <f>[1]Results!V1760</f>
        <v>1.3195176900000001</v>
      </c>
      <c r="T62" s="1">
        <f>[1]Results!W1760</f>
        <v>1.3469640300000001</v>
      </c>
      <c r="U62" s="1">
        <f>[1]Results!X1760</f>
        <v>1.3750926000000001</v>
      </c>
      <c r="V62" s="1">
        <f>[1]Results!Y1760</f>
        <v>1.4038618460000001</v>
      </c>
      <c r="W62" s="1">
        <f>[1]Results!Z1760</f>
        <v>1.4331911390000001</v>
      </c>
      <c r="X62" s="1">
        <f>[1]Results!AA1760</f>
        <v>1.4630699819999999</v>
      </c>
      <c r="Y62" s="1">
        <f>[1]Results!AB1760</f>
        <v>1.493481066</v>
      </c>
      <c r="Z62" s="1">
        <f>[1]Results!AC1760</f>
        <v>1.52440624</v>
      </c>
      <c r="AA62" s="1">
        <f>[1]Results!AD1760</f>
        <v>1.5558301299999999</v>
      </c>
      <c r="AB62" s="1">
        <f>[1]Results!AE1760</f>
        <v>1.5876153770000001</v>
      </c>
      <c r="AC62" s="1">
        <f>[1]Results!AF1760</f>
        <v>1.61976754</v>
      </c>
      <c r="AD62" s="1">
        <f>[1]Results!AG1760</f>
        <v>1.6522915140000001</v>
      </c>
      <c r="AE62" s="1">
        <f>[1]Results!AH1760</f>
        <v>1.6851933050000001</v>
      </c>
      <c r="AF62" s="1">
        <f>[1]Results!AI1760</f>
        <v>1.718482496</v>
      </c>
      <c r="AG62" s="1">
        <f>[1]Results!AJ1760</f>
        <v>1.752174151</v>
      </c>
      <c r="AH62" s="1">
        <f>[1]Results!AK1760</f>
        <v>1.786292124</v>
      </c>
      <c r="AI62" s="1">
        <f>[1]Results!AL1760</f>
        <v>1.820863729</v>
      </c>
      <c r="AJ62" s="1">
        <f>[1]Results!AM1760</f>
        <v>1.855919471</v>
      </c>
      <c r="AK62" s="1">
        <f>[1]Results!AN1760</f>
        <v>1.8914922009999999</v>
      </c>
      <c r="AL62" s="1">
        <f>[1]Results!AO1760</f>
        <v>1.9276161359999999</v>
      </c>
      <c r="AM62" s="1">
        <f>[1]Results!AP1760</f>
        <v>1.9643188389999999</v>
      </c>
      <c r="AN62" s="1">
        <f>[1]Results!AQ1760</f>
        <v>2.001627864</v>
      </c>
      <c r="AO62" s="1">
        <f>[1]Results!AR1760</f>
        <v>2.0395707710000002</v>
      </c>
      <c r="AP62" s="1">
        <f>[1]Results!AS1760</f>
        <v>2.0781749899999999</v>
      </c>
      <c r="AQ62" s="1">
        <f>[1]Results!AT1760</f>
        <v>2.1174678459999998</v>
      </c>
      <c r="AR62" s="1">
        <f>[1]Results!AU1760</f>
        <v>2.157480955</v>
      </c>
      <c r="AS62" s="1">
        <f>[1]Results!AV1760</f>
        <v>2.1982432630000002</v>
      </c>
      <c r="AT62" s="1">
        <f>[1]Results!AW1760</f>
        <v>2.239782328</v>
      </c>
      <c r="AU62" s="1">
        <f>[1]Results!AX1760</f>
        <v>2.282124874</v>
      </c>
      <c r="AV62" s="1">
        <f>[1]Results!AY1760</f>
        <v>2.325296915</v>
      </c>
      <c r="AW62" s="1">
        <f>[1]Results!AZ1760</f>
        <v>2.3693419160000002</v>
      </c>
      <c r="AX62" s="1">
        <f>[1]Results!BA1760</f>
        <v>2.4142913570000002</v>
      </c>
      <c r="AY62" s="1">
        <f>[1]Results!BB1760</f>
        <v>2.460170406</v>
      </c>
      <c r="AZ62" s="1">
        <f>[1]Results!BC1760</f>
        <v>2.5070010460000001</v>
      </c>
      <c r="BA62" s="1">
        <f>[1]Results!BD1760</f>
        <v>2.5548036070000002</v>
      </c>
      <c r="BB62" s="1">
        <f>[1]Results!BE1760</f>
        <v>2.807915903</v>
      </c>
      <c r="BC62" s="1">
        <f>[1]Results!BF1760</f>
        <v>2.8628385230000002</v>
      </c>
      <c r="BD62" s="1">
        <f>[1]Results!BG1760</f>
        <v>2.9186834789999998</v>
      </c>
      <c r="BE62" s="1">
        <f>[1]Results!BH1760</f>
        <v>2.9754758730000002</v>
      </c>
      <c r="BF62" s="1">
        <f>[1]Results!BI1760</f>
        <v>3.0332420710000001</v>
      </c>
    </row>
    <row r="63" spans="1:58" x14ac:dyDescent="0.35">
      <c r="A63" s="1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 spans="1:58" x14ac:dyDescent="0.35">
      <c r="A64" s="16" t="s">
        <v>1</v>
      </c>
      <c r="B64" t="str">
        <f>B61</f>
        <v>Baseline</v>
      </c>
      <c r="D64" s="1">
        <f t="shared" ref="D64:AL64" si="22">(D61/C61-1)*100</f>
        <v>1.8719266235253329</v>
      </c>
      <c r="E64" s="1">
        <f t="shared" si="22"/>
        <v>1.8515358276030458</v>
      </c>
      <c r="F64" s="1">
        <f t="shared" si="22"/>
        <v>1.8599594700459576</v>
      </c>
      <c r="G64" s="1">
        <f t="shared" si="22"/>
        <v>1.8864125886808081</v>
      </c>
      <c r="H64" s="1">
        <f t="shared" si="22"/>
        <v>1.9215293597287575</v>
      </c>
      <c r="I64" s="1">
        <f t="shared" si="22"/>
        <v>1.9564068970675086</v>
      </c>
      <c r="J64" s="1">
        <f t="shared" si="22"/>
        <v>1.9891643552577554</v>
      </c>
      <c r="K64" s="1">
        <f t="shared" si="22"/>
        <v>2.0189656562267233</v>
      </c>
      <c r="L64" s="1">
        <f t="shared" si="22"/>
        <v>2.045442304380396</v>
      </c>
      <c r="M64" s="1">
        <f t="shared" si="22"/>
        <v>2.0729335522107872</v>
      </c>
      <c r="N64" s="1">
        <f t="shared" si="22"/>
        <v>2.0943680280928412</v>
      </c>
      <c r="O64" s="1">
        <f t="shared" si="22"/>
        <v>2.1109108400304555</v>
      </c>
      <c r="P64" s="1">
        <f t="shared" si="22"/>
        <v>2.1232535941098307</v>
      </c>
      <c r="Q64" s="1">
        <f t="shared" si="22"/>
        <v>2.1317417694592056</v>
      </c>
      <c r="R64" s="1">
        <f t="shared" si="22"/>
        <v>2.1366040113667495</v>
      </c>
      <c r="S64" s="1">
        <f t="shared" si="22"/>
        <v>2.1380948879524686</v>
      </c>
      <c r="T64" s="1">
        <f t="shared" si="22"/>
        <v>2.1365432204981216</v>
      </c>
      <c r="U64" s="1">
        <f t="shared" si="22"/>
        <v>2.1323448586699323</v>
      </c>
      <c r="V64" s="1">
        <f t="shared" si="22"/>
        <v>2.1259323957138809</v>
      </c>
      <c r="W64" s="1">
        <f t="shared" si="22"/>
        <v>2.1149344243180712</v>
      </c>
      <c r="X64" s="1">
        <f t="shared" si="22"/>
        <v>2.1040529957081722</v>
      </c>
      <c r="Y64" s="1">
        <f t="shared" si="22"/>
        <v>2.0930088447644435</v>
      </c>
      <c r="Z64" s="1">
        <f t="shared" si="22"/>
        <v>2.0817488033760601</v>
      </c>
      <c r="AA64" s="1">
        <f t="shared" si="22"/>
        <v>2.0704219081775666</v>
      </c>
      <c r="AB64" s="1">
        <f t="shared" si="22"/>
        <v>2.0517693462535513</v>
      </c>
      <c r="AC64" s="1">
        <f t="shared" si="22"/>
        <v>2.0338125648229788</v>
      </c>
      <c r="AD64" s="1">
        <f t="shared" si="22"/>
        <v>2.016806320016129</v>
      </c>
      <c r="AE64" s="1">
        <f t="shared" si="22"/>
        <v>2.0007831147561328</v>
      </c>
      <c r="AF64" s="1">
        <f t="shared" si="22"/>
        <v>1.9858795091345804</v>
      </c>
      <c r="AG64" s="1">
        <f t="shared" si="22"/>
        <v>1.9722988381696283</v>
      </c>
      <c r="AH64" s="1">
        <f t="shared" si="22"/>
        <v>1.9602320262245732</v>
      </c>
      <c r="AI64" s="1">
        <f t="shared" si="22"/>
        <v>1.9498047527503948</v>
      </c>
      <c r="AJ64" s="1">
        <f t="shared" si="22"/>
        <v>1.9410601819815909</v>
      </c>
      <c r="AK64" s="1">
        <f t="shared" si="22"/>
        <v>1.9339652356008763</v>
      </c>
      <c r="AL64" s="1">
        <f t="shared" si="22"/>
        <v>1.9284275686784591</v>
      </c>
      <c r="AM64" s="1">
        <f t="shared" ref="AM64:AM65" si="23">(AM61/AL61-1)*100</f>
        <v>1.9227474197550665</v>
      </c>
      <c r="AN64" s="1">
        <f t="shared" ref="AN64:AN65" si="24">(AN61/AM61-1)*100</f>
        <v>1.9175802482862547</v>
      </c>
      <c r="AO64" s="1">
        <f t="shared" ref="AO64:AO65" si="25">(AO61/AN61-1)*100</f>
        <v>1.9132145521995714</v>
      </c>
      <c r="AP64" s="1">
        <f t="shared" ref="AP64:AP65" si="26">(AP61/AO61-1)*100</f>
        <v>1.9097112048622078</v>
      </c>
      <c r="AQ64" s="1">
        <f t="shared" ref="AQ64:AQ65" si="27">(AQ61/AP61-1)*100</f>
        <v>1.9070472922277926</v>
      </c>
      <c r="AR64" s="1">
        <f t="shared" ref="AR64:AR65" si="28">(AR61/AQ61-1)*100</f>
        <v>1.9051836349025519</v>
      </c>
      <c r="AS64" s="1">
        <f t="shared" ref="AS64:AS65" si="29">(AS61/AR61-1)*100</f>
        <v>1.9040824757730057</v>
      </c>
      <c r="AT64" s="1">
        <f t="shared" ref="AT64:AT65" si="30">(AT61/AS61-1)*100</f>
        <v>1.903704974966991</v>
      </c>
      <c r="AU64" s="1">
        <f t="shared" ref="AU64:AU65" si="31">(AU61/AT61-1)*100</f>
        <v>1.9040045934698213</v>
      </c>
      <c r="AV64" s="1">
        <f t="shared" ref="AV64:AV65" si="32">(AV61/AU61-1)*100</f>
        <v>1.904924329586688</v>
      </c>
      <c r="AW64" s="1">
        <f t="shared" ref="AW64:AW65" si="33">(AW61/AV61-1)*100</f>
        <v>1.9065255800918113</v>
      </c>
      <c r="AX64" s="1">
        <f t="shared" ref="AX64:AX65" si="34">(AX61/AW61-1)*100</f>
        <v>1.9086696117338375</v>
      </c>
      <c r="AY64" s="1">
        <f t="shared" ref="AY64:AY65" si="35">(AY61/AX61-1)*100</f>
        <v>1.9112490518305103</v>
      </c>
      <c r="AZ64" s="1">
        <f t="shared" ref="AZ64:AZ65" si="36">(AZ61/AY61-1)*100</f>
        <v>1.9141649293412444</v>
      </c>
      <c r="BA64" s="1">
        <f t="shared" ref="BA64:BA65" si="37">(BA61/AZ61-1)*100</f>
        <v>1.9173266426220748</v>
      </c>
      <c r="BB64" s="1">
        <f t="shared" ref="BB64:BB65" si="38">(BB61/BA61-1)*100</f>
        <v>4.1222406576532755</v>
      </c>
      <c r="BC64" s="1">
        <f t="shared" ref="BC64:BC65" si="39">(BC61/BB61-1)*100</f>
        <v>1.9279887388130135</v>
      </c>
      <c r="BD64" s="1">
        <f t="shared" ref="BD64:BD65" si="40">(BD61/BC61-1)*100</f>
        <v>1.9229121902918589</v>
      </c>
      <c r="BE64" s="1">
        <f t="shared" ref="BE64:BE65" si="41">(BE61/BD61-1)*100</f>
        <v>1.9182176822206465</v>
      </c>
      <c r="BF64" s="1">
        <f t="shared" ref="BF64:BF65" si="42">(BF61/BE61-1)*100</f>
        <v>1.9139424305027353</v>
      </c>
    </row>
    <row r="65" spans="1:58" x14ac:dyDescent="0.35">
      <c r="A65" s="16"/>
      <c r="B65" t="str">
        <f>B62</f>
        <v>NZ50</v>
      </c>
      <c r="D65" s="1">
        <f t="shared" ref="D65:AL65" si="43">(D62/C62-1)*100</f>
        <v>1.5098658767953133</v>
      </c>
      <c r="E65" s="1">
        <f t="shared" si="43"/>
        <v>1.4620038396395474</v>
      </c>
      <c r="F65" s="1">
        <f t="shared" si="43"/>
        <v>1.4769433574866264</v>
      </c>
      <c r="G65" s="1">
        <f t="shared" si="43"/>
        <v>1.5224135416797901</v>
      </c>
      <c r="H65" s="1">
        <f t="shared" si="43"/>
        <v>1.5803403532606453</v>
      </c>
      <c r="I65" s="1">
        <f t="shared" si="43"/>
        <v>1.6389575613548812</v>
      </c>
      <c r="J65" s="1">
        <f t="shared" si="43"/>
        <v>1.6965268227047359</v>
      </c>
      <c r="K65" s="1">
        <f t="shared" si="43"/>
        <v>1.7525558092606586</v>
      </c>
      <c r="L65" s="1">
        <f t="shared" si="43"/>
        <v>1.8065808917306692</v>
      </c>
      <c r="M65" s="1">
        <f t="shared" si="43"/>
        <v>1.8626793145036569</v>
      </c>
      <c r="N65" s="1">
        <f t="shared" si="43"/>
        <v>1.911384979845776</v>
      </c>
      <c r="O65" s="1">
        <f t="shared" si="43"/>
        <v>1.9540169438144739</v>
      </c>
      <c r="P65" s="1">
        <f t="shared" si="43"/>
        <v>1.9909759847394071</v>
      </c>
      <c r="Q65" s="1">
        <f t="shared" si="43"/>
        <v>2.0222572880421064</v>
      </c>
      <c r="R65" s="1">
        <f t="shared" si="43"/>
        <v>2.0477934490947369</v>
      </c>
      <c r="S65" s="1">
        <f t="shared" si="43"/>
        <v>2.0667568206878428</v>
      </c>
      <c r="T65" s="1">
        <f t="shared" si="43"/>
        <v>2.0800281957569</v>
      </c>
      <c r="U65" s="1">
        <f t="shared" si="43"/>
        <v>2.0882940727080967</v>
      </c>
      <c r="V65" s="1">
        <f t="shared" si="43"/>
        <v>2.0921679020016626</v>
      </c>
      <c r="W65" s="1">
        <f t="shared" si="43"/>
        <v>2.0891865594586445</v>
      </c>
      <c r="X65" s="1">
        <f t="shared" si="43"/>
        <v>2.084777262916071</v>
      </c>
      <c r="Y65" s="1">
        <f t="shared" si="43"/>
        <v>2.0785802712204093</v>
      </c>
      <c r="Z65" s="1">
        <f t="shared" si="43"/>
        <v>2.0706773392733524</v>
      </c>
      <c r="AA65" s="1">
        <f t="shared" si="43"/>
        <v>2.0613855529743708</v>
      </c>
      <c r="AB65" s="1">
        <f t="shared" si="43"/>
        <v>2.0429766969482843</v>
      </c>
      <c r="AC65" s="1">
        <f t="shared" si="43"/>
        <v>2.0251859150391516</v>
      </c>
      <c r="AD65" s="1">
        <f t="shared" si="43"/>
        <v>2.0079408431656898</v>
      </c>
      <c r="AE65" s="1">
        <f t="shared" si="43"/>
        <v>1.9912824535634588</v>
      </c>
      <c r="AF65" s="1">
        <f t="shared" si="43"/>
        <v>1.9753930247188967</v>
      </c>
      <c r="AG65" s="1">
        <f t="shared" si="43"/>
        <v>1.96054688240479</v>
      </c>
      <c r="AH65" s="1">
        <f t="shared" si="43"/>
        <v>1.9471793360567702</v>
      </c>
      <c r="AI65" s="1">
        <f t="shared" si="43"/>
        <v>1.9353836103013666</v>
      </c>
      <c r="AJ65" s="1">
        <f t="shared" si="43"/>
        <v>1.9252260035544921</v>
      </c>
      <c r="AK65" s="1">
        <f t="shared" si="43"/>
        <v>1.9167173229144963</v>
      </c>
      <c r="AL65" s="1">
        <f t="shared" si="43"/>
        <v>1.9098114695319302</v>
      </c>
      <c r="AM65" s="1">
        <f t="shared" si="23"/>
        <v>1.9040462628706623</v>
      </c>
      <c r="AN65" s="1">
        <f t="shared" si="24"/>
        <v>1.8993365160104858</v>
      </c>
      <c r="AO65" s="1">
        <f t="shared" si="25"/>
        <v>1.8956024584997566</v>
      </c>
      <c r="AP65" s="1">
        <f t="shared" si="26"/>
        <v>1.8927619256414507</v>
      </c>
      <c r="AQ65" s="1">
        <f t="shared" si="27"/>
        <v>1.8907385657643827</v>
      </c>
      <c r="AR65" s="1">
        <f t="shared" si="28"/>
        <v>1.889667844335241</v>
      </c>
      <c r="AS65" s="1">
        <f t="shared" si="29"/>
        <v>1.8893472920598731</v>
      </c>
      <c r="AT65" s="1">
        <f t="shared" si="30"/>
        <v>1.889648234077157</v>
      </c>
      <c r="AU65" s="1">
        <f t="shared" si="31"/>
        <v>1.8904759391422443</v>
      </c>
      <c r="AV65" s="1">
        <f t="shared" si="32"/>
        <v>1.8917475328302347</v>
      </c>
      <c r="AW65" s="1">
        <f t="shared" si="33"/>
        <v>1.8941667498836523</v>
      </c>
      <c r="AX65" s="1">
        <f t="shared" si="34"/>
        <v>1.8971276663979797</v>
      </c>
      <c r="AY65" s="1">
        <f t="shared" si="35"/>
        <v>1.9003111976099385</v>
      </c>
      <c r="AZ65" s="1">
        <f t="shared" si="36"/>
        <v>1.9035526923576906</v>
      </c>
      <c r="BA65" s="1">
        <f t="shared" si="37"/>
        <v>1.9067627066319259</v>
      </c>
      <c r="BB65" s="1">
        <f t="shared" si="38"/>
        <v>9.9073093253230216</v>
      </c>
      <c r="BC65" s="1">
        <f t="shared" si="39"/>
        <v>1.9559923408432711</v>
      </c>
      <c r="BD65" s="1">
        <f t="shared" si="40"/>
        <v>1.950684802909497</v>
      </c>
      <c r="BE65" s="1">
        <f t="shared" si="41"/>
        <v>1.9458222999726882</v>
      </c>
      <c r="BF65" s="1">
        <f t="shared" si="42"/>
        <v>1.9414103983897313</v>
      </c>
    </row>
    <row r="66" spans="1:58" x14ac:dyDescent="0.35">
      <c r="A66" s="1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58" x14ac:dyDescent="0.35">
      <c r="A67" s="15" t="s">
        <v>2</v>
      </c>
      <c r="B67" t="str">
        <f>B64</f>
        <v>Baseline</v>
      </c>
      <c r="C67" s="6">
        <f>[1]Emissions!B820</f>
        <v>350.59143469999998</v>
      </c>
      <c r="D67" s="6">
        <f>[1]Emissions!C820</f>
        <v>352.9591886</v>
      </c>
      <c r="E67" s="6">
        <f>[1]Emissions!D820</f>
        <v>355.10135250000002</v>
      </c>
      <c r="F67" s="6">
        <f>[1]Emissions!E820</f>
        <v>357.50077909999999</v>
      </c>
      <c r="G67" s="6">
        <f>[1]Emissions!F820</f>
        <v>360.28418240000002</v>
      </c>
      <c r="H67" s="6">
        <f>[1]Emissions!G820</f>
        <v>363.50913209999999</v>
      </c>
      <c r="I67" s="6">
        <f>[1]Emissions!H820</f>
        <v>366.97360420000001</v>
      </c>
      <c r="J67" s="6">
        <f>[1]Emissions!I820</f>
        <v>370.7066562</v>
      </c>
      <c r="K67" s="6">
        <f>[1]Emissions!J820</f>
        <v>374.66677659999999</v>
      </c>
      <c r="L67" s="6">
        <f>[1]Emissions!K820</f>
        <v>378.80649940000001</v>
      </c>
      <c r="M67" s="6">
        <f>[1]Emissions!L820</f>
        <v>383.39145610000003</v>
      </c>
      <c r="N67" s="6">
        <f>[1]Emissions!M820</f>
        <v>387.92491519999999</v>
      </c>
      <c r="O67" s="6">
        <f>[1]Emissions!N820</f>
        <v>392.50193359999997</v>
      </c>
      <c r="P67" s="6">
        <f>[1]Emissions!O820</f>
        <v>397.13402450000001</v>
      </c>
      <c r="Q67" s="6">
        <f>[1]Emissions!P820</f>
        <v>401.81830150000002</v>
      </c>
      <c r="R67" s="6">
        <f>[1]Emissions!Q820</f>
        <v>406.55097389999997</v>
      </c>
      <c r="S67" s="6">
        <f>[1]Emissions!R820</f>
        <v>411.32977310000001</v>
      </c>
      <c r="T67" s="6">
        <f>[1]Emissions!S820</f>
        <v>416.15408710000003</v>
      </c>
      <c r="U67" s="6">
        <f>[1]Emissions!T820</f>
        <v>421.02463920000002</v>
      </c>
      <c r="V67" s="6">
        <f>[1]Emissions!U820</f>
        <v>425.94312580000002</v>
      </c>
      <c r="W67" s="6">
        <f>[1]Emissions!V820</f>
        <v>430.688783</v>
      </c>
      <c r="X67" s="6">
        <f>[1]Emissions!W820</f>
        <v>435.60816110000002</v>
      </c>
      <c r="Y67" s="6">
        <f>[1]Emissions!X820</f>
        <v>440.61967729999998</v>
      </c>
      <c r="Z67" s="6">
        <f>[1]Emissions!Y820</f>
        <v>445.70789380000002</v>
      </c>
      <c r="AA67" s="6">
        <f>[1]Emissions!Z820</f>
        <v>450.87080959999997</v>
      </c>
      <c r="AB67" s="6">
        <f>[1]Emissions!AA820</f>
        <v>455.46839039999998</v>
      </c>
      <c r="AC67" s="6">
        <f>[1]Emissions!AB820</f>
        <v>460.18465120000002</v>
      </c>
      <c r="AD67" s="6">
        <f>[1]Emissions!AC820</f>
        <v>464.93809320000003</v>
      </c>
      <c r="AE67" s="6">
        <f>[1]Emissions!AD820</f>
        <v>469.72401439999999</v>
      </c>
      <c r="AF67" s="6">
        <f>[1]Emissions!AE820</f>
        <v>474.55095319999998</v>
      </c>
      <c r="AG67" s="6">
        <f>[1]Emissions!AF820</f>
        <v>479.42876849999999</v>
      </c>
      <c r="AH67" s="6">
        <f>[1]Emissions!AG820</f>
        <v>484.36595899999998</v>
      </c>
      <c r="AI67" s="6">
        <f>[1]Emissions!AH820</f>
        <v>489.36906959999999</v>
      </c>
      <c r="AJ67" s="6">
        <f>[1]Emissions!AI820</f>
        <v>494.44276480000002</v>
      </c>
      <c r="AK67" s="6">
        <f>[1]Emissions!AJ820</f>
        <v>499.59011889999999</v>
      </c>
      <c r="AL67" s="6">
        <f>[1]Emissions!AK820</f>
        <v>504.81296459999999</v>
      </c>
      <c r="AM67" s="6">
        <f>[1]Emissions!AL820</f>
        <v>509.95921540000001</v>
      </c>
      <c r="AN67" s="6">
        <f>[1]Emissions!AM820</f>
        <v>515.11030800000003</v>
      </c>
      <c r="AO67" s="6">
        <f>[1]Emissions!AN820</f>
        <v>520.28988630000003</v>
      </c>
      <c r="AP67" s="6">
        <f>[1]Emissions!AO820</f>
        <v>525.50918839999997</v>
      </c>
      <c r="AQ67" s="6">
        <f>[1]Emissions!AP820</f>
        <v>530.77613989999998</v>
      </c>
      <c r="AR67" s="6">
        <f>[1]Emissions!AQ820</f>
        <v>536.0971816</v>
      </c>
      <c r="AS67" s="6">
        <f>[1]Emissions!AR820</f>
        <v>541.47760479999999</v>
      </c>
      <c r="AT67" s="6">
        <f>[1]Emissions!AS820</f>
        <v>546.9215825</v>
      </c>
      <c r="AU67" s="6">
        <f>[1]Emissions!AT820</f>
        <v>552.43208990000005</v>
      </c>
      <c r="AV67" s="6">
        <f>[1]Emissions!AU820</f>
        <v>558.01046470000006</v>
      </c>
      <c r="AW67" s="6">
        <f>[1]Emissions!AV820</f>
        <v>563.66745089999995</v>
      </c>
      <c r="AX67" s="6">
        <f>[1]Emissions!AW820</f>
        <v>569.39278209999998</v>
      </c>
      <c r="AY67" s="6">
        <f>[1]Emissions!AX820</f>
        <v>575.17944169999998</v>
      </c>
      <c r="AZ67" s="6">
        <f>[1]Emissions!AY820</f>
        <v>581.03923450000002</v>
      </c>
      <c r="BA67" s="6">
        <f>[1]Emissions!AZ820</f>
        <v>586.98229619999995</v>
      </c>
      <c r="BB67" s="6">
        <f>[1]Emissions!BA820</f>
        <v>639.6781585</v>
      </c>
      <c r="BC67" s="6">
        <f>[1]Emissions!BB820</f>
        <v>648.44547050000006</v>
      </c>
      <c r="BD67" s="6">
        <f>[1]Emissions!BC820</f>
        <v>657.34065229999999</v>
      </c>
      <c r="BE67" s="6">
        <f>[1]Emissions!BD820</f>
        <v>666.36737129999995</v>
      </c>
      <c r="BF67" s="6">
        <f>[1]Emissions!BE820</f>
        <v>675.52932920000001</v>
      </c>
    </row>
    <row r="68" spans="1:58" x14ac:dyDescent="0.35">
      <c r="A68" s="11"/>
      <c r="B68" t="s">
        <v>25</v>
      </c>
      <c r="C68" s="6">
        <f>[1]Emissions!B824</f>
        <v>119.490486</v>
      </c>
      <c r="D68" s="6">
        <f>[1]Emissions!C824</f>
        <v>119.269642</v>
      </c>
      <c r="E68" s="6">
        <f>[1]Emissions!D824</f>
        <v>118.66364110000001</v>
      </c>
      <c r="F68" s="6">
        <f>[1]Emissions!E824</f>
        <v>118.08609060000001</v>
      </c>
      <c r="G68" s="6">
        <f>[1]Emissions!F824</f>
        <v>117.6365855</v>
      </c>
      <c r="H68" s="6">
        <f>[1]Emissions!G824</f>
        <v>117.38251820000001</v>
      </c>
      <c r="I68" s="6">
        <f>[1]Emissions!H824</f>
        <v>117.2909866</v>
      </c>
      <c r="J68" s="6">
        <f>[1]Emissions!I824</f>
        <v>117.3363148</v>
      </c>
      <c r="K68" s="6">
        <f>[1]Emissions!J824</f>
        <v>117.4824586</v>
      </c>
      <c r="L68" s="6">
        <f>[1]Emissions!K824</f>
        <v>117.69769429999999</v>
      </c>
      <c r="M68" s="6">
        <f>[1]Emissions!L824</f>
        <v>118.0047012</v>
      </c>
      <c r="N68" s="6">
        <f>[1]Emissions!M824</f>
        <v>118.3229044</v>
      </c>
      <c r="O68" s="6">
        <f>[1]Emissions!N824</f>
        <v>118.6525496</v>
      </c>
      <c r="P68" s="6">
        <f>[1]Emissions!O824</f>
        <v>118.9917219</v>
      </c>
      <c r="Q68" s="6">
        <f>[1]Emissions!P824</f>
        <v>119.33808260000001</v>
      </c>
      <c r="R68" s="6">
        <f>[1]Emissions!Q824</f>
        <v>119.6895107</v>
      </c>
      <c r="S68" s="6">
        <f>[1]Emissions!R824</f>
        <v>120.0442741</v>
      </c>
      <c r="T68" s="6">
        <f>[1]Emissions!S824</f>
        <v>120.4010183</v>
      </c>
      <c r="U68" s="6">
        <f>[1]Emissions!T824</f>
        <v>120.7587015</v>
      </c>
      <c r="V68" s="6">
        <f>[1]Emissions!U824</f>
        <v>121.1165273</v>
      </c>
      <c r="W68" s="6">
        <f>[1]Emissions!V824</f>
        <v>121.4434122</v>
      </c>
      <c r="X68" s="6">
        <f>[1]Emissions!W824</f>
        <v>121.7824786</v>
      </c>
      <c r="Y68" s="6">
        <f>[1]Emissions!X824</f>
        <v>122.12676399999999</v>
      </c>
      <c r="Z68" s="6">
        <f>[1]Emissions!Y824</f>
        <v>122.4730636</v>
      </c>
      <c r="AA68" s="6">
        <f>[1]Emissions!Z824</f>
        <v>122.8199406</v>
      </c>
      <c r="AB68" s="6">
        <f>[1]Emissions!AA824</f>
        <v>123.0831458</v>
      </c>
      <c r="AC68" s="6">
        <f>[1]Emissions!AB824</f>
        <v>123.34240269999999</v>
      </c>
      <c r="AD68" s="6">
        <f>[1]Emissions!AC824</f>
        <v>123.59622779999999</v>
      </c>
      <c r="AE68" s="6">
        <f>[1]Emissions!AD824</f>
        <v>123.8446959</v>
      </c>
      <c r="AF68" s="6">
        <f>[1]Emissions!AE824</f>
        <v>124.0881747</v>
      </c>
      <c r="AG68" s="6">
        <f>[1]Emissions!AF824</f>
        <v>124.32754129999999</v>
      </c>
      <c r="AH68" s="6">
        <f>[1]Emissions!AG824</f>
        <v>124.5639122</v>
      </c>
      <c r="AI68" s="6">
        <f>[1]Emissions!AH824</f>
        <v>124.7983838</v>
      </c>
      <c r="AJ68" s="6">
        <f>[1]Emissions!AI824</f>
        <v>125.03192869999999</v>
      </c>
      <c r="AK68" s="6">
        <f>[1]Emissions!AJ824</f>
        <v>125.2653727</v>
      </c>
      <c r="AL68" s="6">
        <f>[1]Emissions!AK824</f>
        <v>125.4994066</v>
      </c>
      <c r="AM68" s="6">
        <f>[1]Emissions!AL824</f>
        <v>125.71655749999999</v>
      </c>
      <c r="AN68" s="6">
        <f>[1]Emissions!AM824</f>
        <v>125.92481600000001</v>
      </c>
      <c r="AO68" s="6">
        <f>[1]Emissions!AN824</f>
        <v>126.1283293</v>
      </c>
      <c r="AP68" s="6">
        <f>[1]Emissions!AO824</f>
        <v>126.3294899</v>
      </c>
      <c r="AQ68" s="6">
        <f>[1]Emissions!AP824</f>
        <v>126.5298793</v>
      </c>
      <c r="AR68" s="6">
        <f>[1]Emissions!AQ824</f>
        <v>126.7306557</v>
      </c>
      <c r="AS68" s="6">
        <f>[1]Emissions!AR824</f>
        <v>126.9326803</v>
      </c>
      <c r="AT68" s="6">
        <f>[1]Emissions!AS824</f>
        <v>127.136494</v>
      </c>
      <c r="AU68" s="6">
        <f>[1]Emissions!AT824</f>
        <v>127.34215089999999</v>
      </c>
      <c r="AV68" s="6">
        <f>[1]Emissions!AU824</f>
        <v>127.54862919999999</v>
      </c>
      <c r="AW68" s="6">
        <f>[1]Emissions!AV824</f>
        <v>127.7524287</v>
      </c>
      <c r="AX68" s="6">
        <f>[1]Emissions!AW824</f>
        <v>127.9518996</v>
      </c>
      <c r="AY68" s="6">
        <f>[1]Emissions!AX824</f>
        <v>128.1417142</v>
      </c>
      <c r="AZ68" s="6">
        <f>[1]Emissions!AY824</f>
        <v>128.33254980000001</v>
      </c>
      <c r="BA68" s="6">
        <f>[1]Emissions!AZ824</f>
        <v>128.5329131</v>
      </c>
      <c r="BB68" s="6">
        <f>[1]Emissions!BA824</f>
        <v>129.0574852</v>
      </c>
      <c r="BC68" s="6">
        <f>[1]Emissions!BB824</f>
        <v>129.4656449</v>
      </c>
      <c r="BD68" s="6">
        <f>[1]Emissions!BC824</f>
        <v>129.88106049999999</v>
      </c>
      <c r="BE68" s="6">
        <f>[1]Emissions!BD824</f>
        <v>130.30458100000001</v>
      </c>
      <c r="BF68" s="6">
        <f>[1]Emissions!BE824</f>
        <v>130.73693650000001</v>
      </c>
    </row>
    <row r="69" spans="1:58" x14ac:dyDescent="0.35">
      <c r="A69" s="11"/>
      <c r="B69" t="s">
        <v>26</v>
      </c>
      <c r="C69" s="6">
        <f>SUM(C70:C72)</f>
        <v>231.10094871929999</v>
      </c>
      <c r="D69" s="6">
        <f t="shared" ref="D69:AL69" si="44">SUM(D70:D72)</f>
        <v>233.68954652899998</v>
      </c>
      <c r="E69" s="6">
        <f t="shared" si="44"/>
        <v>236.43771130190001</v>
      </c>
      <c r="F69" s="6">
        <f t="shared" si="44"/>
        <v>239.4146885342</v>
      </c>
      <c r="G69" s="6">
        <f t="shared" si="44"/>
        <v>242.64759693319999</v>
      </c>
      <c r="H69" s="6">
        <f t="shared" si="44"/>
        <v>246.12661388240002</v>
      </c>
      <c r="I69" s="6">
        <f t="shared" si="44"/>
        <v>249.68261759519999</v>
      </c>
      <c r="J69" s="6">
        <f t="shared" si="44"/>
        <v>253.37034132990001</v>
      </c>
      <c r="K69" s="6">
        <f t="shared" si="44"/>
        <v>257.1843179631</v>
      </c>
      <c r="L69" s="6">
        <f t="shared" si="44"/>
        <v>261.10880509539999</v>
      </c>
      <c r="M69" s="6">
        <f t="shared" si="44"/>
        <v>265.3867548801</v>
      </c>
      <c r="N69" s="6">
        <f t="shared" si="44"/>
        <v>269.6020108765</v>
      </c>
      <c r="O69" s="6">
        <f t="shared" si="44"/>
        <v>273.84938410960001</v>
      </c>
      <c r="P69" s="6">
        <f t="shared" si="44"/>
        <v>278.14230254260002</v>
      </c>
      <c r="Q69" s="6">
        <f t="shared" si="44"/>
        <v>282.48021898179996</v>
      </c>
      <c r="R69" s="6">
        <f t="shared" si="44"/>
        <v>286.86146315389999</v>
      </c>
      <c r="S69" s="6">
        <f t="shared" si="44"/>
        <v>291.28549897120001</v>
      </c>
      <c r="T69" s="6">
        <f t="shared" si="44"/>
        <v>295.75306880990001</v>
      </c>
      <c r="U69" s="6">
        <f t="shared" si="44"/>
        <v>300.26593765249999</v>
      </c>
      <c r="V69" s="6">
        <f t="shared" si="44"/>
        <v>304.82659845640001</v>
      </c>
      <c r="W69" s="6">
        <f t="shared" si="44"/>
        <v>309.24537089290004</v>
      </c>
      <c r="X69" s="6">
        <f t="shared" si="44"/>
        <v>313.82568243860004</v>
      </c>
      <c r="Y69" s="6">
        <f t="shared" si="44"/>
        <v>318.49291335359999</v>
      </c>
      <c r="Z69" s="6">
        <f t="shared" si="44"/>
        <v>323.23483022670001</v>
      </c>
      <c r="AA69" s="6">
        <f t="shared" si="44"/>
        <v>328.05086907909998</v>
      </c>
      <c r="AB69" s="6">
        <f t="shared" si="44"/>
        <v>332.38524452089996</v>
      </c>
      <c r="AC69" s="6">
        <f t="shared" si="44"/>
        <v>336.84224842340001</v>
      </c>
      <c r="AD69" s="6">
        <f t="shared" si="44"/>
        <v>341.34186537080001</v>
      </c>
      <c r="AE69" s="6">
        <f t="shared" si="44"/>
        <v>345.87931851980005</v>
      </c>
      <c r="AF69" s="6">
        <f t="shared" si="44"/>
        <v>350.4627784836</v>
      </c>
      <c r="AG69" s="6">
        <f t="shared" si="44"/>
        <v>355.10122722360001</v>
      </c>
      <c r="AH69" s="6">
        <f t="shared" si="44"/>
        <v>359.80204675789997</v>
      </c>
      <c r="AI69" s="6">
        <f t="shared" si="44"/>
        <v>364.57068578799999</v>
      </c>
      <c r="AJ69" s="6">
        <f t="shared" si="44"/>
        <v>369.4108360139</v>
      </c>
      <c r="AK69" s="6">
        <f t="shared" si="44"/>
        <v>374.32474612200002</v>
      </c>
      <c r="AL69" s="6">
        <f t="shared" si="44"/>
        <v>379.31355795259998</v>
      </c>
      <c r="AM69" s="6">
        <f t="shared" ref="AM69:BC69" si="45">SUM(AM70:AM72)</f>
        <v>384.2426578088</v>
      </c>
      <c r="AN69" s="6">
        <f t="shared" si="45"/>
        <v>389.1854919379</v>
      </c>
      <c r="AO69" s="6">
        <f t="shared" si="45"/>
        <v>394.16155699589996</v>
      </c>
      <c r="AP69" s="6">
        <f t="shared" si="45"/>
        <v>399.17969860560004</v>
      </c>
      <c r="AQ69" s="6">
        <f t="shared" si="45"/>
        <v>404.24626060540004</v>
      </c>
      <c r="AR69" s="6">
        <f t="shared" si="45"/>
        <v>409.3665259352</v>
      </c>
      <c r="AS69" s="6">
        <f t="shared" si="45"/>
        <v>414.54492448759993</v>
      </c>
      <c r="AT69" s="6">
        <f t="shared" si="45"/>
        <v>419.78508842939999</v>
      </c>
      <c r="AU69" s="6">
        <f t="shared" si="45"/>
        <v>425.08993901420001</v>
      </c>
      <c r="AV69" s="6">
        <f t="shared" si="45"/>
        <v>430.46183544019999</v>
      </c>
      <c r="AW69" s="6">
        <f t="shared" si="45"/>
        <v>435.91502217729999</v>
      </c>
      <c r="AX69" s="6">
        <f t="shared" si="45"/>
        <v>441.44088247820002</v>
      </c>
      <c r="AY69" s="6">
        <f t="shared" si="45"/>
        <v>447.03772762109998</v>
      </c>
      <c r="AZ69" s="6">
        <f t="shared" si="45"/>
        <v>452.70668473200004</v>
      </c>
      <c r="BA69" s="6">
        <f t="shared" si="45"/>
        <v>458.44938307499996</v>
      </c>
      <c r="BB69" s="6">
        <f t="shared" si="45"/>
        <v>510.62067320610004</v>
      </c>
      <c r="BC69" s="6">
        <f t="shared" si="45"/>
        <v>518.9798256391</v>
      </c>
      <c r="BD69" s="6">
        <f t="shared" ref="BD69:BF69" si="46">SUM(BD70:BD72)</f>
        <v>527.45959178570001</v>
      </c>
      <c r="BE69" s="6">
        <f t="shared" si="46"/>
        <v>536.06279036800004</v>
      </c>
      <c r="BF69" s="6">
        <f t="shared" si="46"/>
        <v>544.79239261509997</v>
      </c>
    </row>
    <row r="70" spans="1:58" x14ac:dyDescent="0.35">
      <c r="A70" s="11"/>
      <c r="B70" t="s">
        <v>50</v>
      </c>
      <c r="C70" s="6">
        <f>[1]Emissions!B821</f>
        <v>215.8206874</v>
      </c>
      <c r="D70" s="6">
        <f>[1]Emissions!C821</f>
        <v>218.20709260000001</v>
      </c>
      <c r="E70" s="6">
        <f>[1]Emissions!D821</f>
        <v>220.73455340000001</v>
      </c>
      <c r="F70" s="6">
        <f>[1]Emissions!E821</f>
        <v>223.4761981</v>
      </c>
      <c r="G70" s="6">
        <f>[1]Emissions!F821</f>
        <v>226.4608604</v>
      </c>
      <c r="H70" s="6">
        <f>[1]Emissions!G821</f>
        <v>229.6802797</v>
      </c>
      <c r="I70" s="6">
        <f>[1]Emissions!H821</f>
        <v>232.97611319999999</v>
      </c>
      <c r="J70" s="6">
        <f>[1]Emissions!I821</f>
        <v>236.39875280000001</v>
      </c>
      <c r="K70" s="6">
        <f>[1]Emissions!J821</f>
        <v>239.942193</v>
      </c>
      <c r="L70" s="6">
        <f>[1]Emissions!K821</f>
        <v>243.5906975</v>
      </c>
      <c r="M70" s="6">
        <f>[1]Emissions!L821</f>
        <v>247.5708186</v>
      </c>
      <c r="N70" s="6">
        <f>[1]Emissions!M821</f>
        <v>251.49256990000001</v>
      </c>
      <c r="O70" s="6">
        <f>[1]Emissions!N821</f>
        <v>255.44357450000001</v>
      </c>
      <c r="P70" s="6">
        <f>[1]Emissions!O821</f>
        <v>259.43598730000002</v>
      </c>
      <c r="Q70" s="6">
        <f>[1]Emissions!P821</f>
        <v>263.46891749999998</v>
      </c>
      <c r="R70" s="6">
        <f>[1]Emissions!Q821</f>
        <v>267.54049420000001</v>
      </c>
      <c r="S70" s="6">
        <f>[1]Emissions!R821</f>
        <v>271.64998759999997</v>
      </c>
      <c r="T70" s="6">
        <f>[1]Emissions!S821</f>
        <v>275.79793460000002</v>
      </c>
      <c r="U70" s="6">
        <f>[1]Emissions!T821</f>
        <v>279.9858898</v>
      </c>
      <c r="V70" s="6">
        <f>[1]Emissions!U821</f>
        <v>284.2161423</v>
      </c>
      <c r="W70" s="6">
        <f>[1]Emissions!V821</f>
        <v>288.31110260000003</v>
      </c>
      <c r="X70" s="6">
        <f>[1]Emissions!W821</f>
        <v>292.55461960000002</v>
      </c>
      <c r="Y70" s="6">
        <f>[1]Emissions!X821</f>
        <v>296.87729619999999</v>
      </c>
      <c r="Z70" s="6">
        <f>[1]Emissions!Y821</f>
        <v>301.26773700000001</v>
      </c>
      <c r="AA70" s="6">
        <f>[1]Emissions!Z821</f>
        <v>305.72553929999998</v>
      </c>
      <c r="AB70" s="6">
        <f>[1]Emissions!AA821</f>
        <v>309.7305533</v>
      </c>
      <c r="AC70" s="6">
        <f>[1]Emissions!AB821</f>
        <v>313.84786550000001</v>
      </c>
      <c r="AD70" s="6">
        <f>[1]Emissions!AC821</f>
        <v>318.00346450000001</v>
      </c>
      <c r="AE70" s="6">
        <f>[1]Emissions!AD821</f>
        <v>322.19306010000003</v>
      </c>
      <c r="AF70" s="6">
        <f>[1]Emissions!AE821</f>
        <v>326.42455960000001</v>
      </c>
      <c r="AG70" s="6">
        <f>[1]Emissions!AF821</f>
        <v>330.7066562</v>
      </c>
      <c r="AH70" s="6">
        <f>[1]Emissions!AG821</f>
        <v>335.04653669999999</v>
      </c>
      <c r="AI70" s="6">
        <f>[1]Emissions!AH821</f>
        <v>339.44955950000002</v>
      </c>
      <c r="AJ70" s="6">
        <f>[1]Emissions!AI821</f>
        <v>343.91941559999998</v>
      </c>
      <c r="AK70" s="6">
        <f>[1]Emissions!AJ821</f>
        <v>348.45841899999999</v>
      </c>
      <c r="AL70" s="6">
        <f>[1]Emissions!AK821</f>
        <v>353.0678183</v>
      </c>
      <c r="AM70" s="6">
        <f>[1]Emissions!AL821</f>
        <v>357.62179889999999</v>
      </c>
      <c r="AN70" s="6">
        <f>[1]Emissions!AM821</f>
        <v>362.18903940000001</v>
      </c>
      <c r="AO70" s="6">
        <f>[1]Emissions!AN821</f>
        <v>366.78795509999998</v>
      </c>
      <c r="AP70" s="6">
        <f>[1]Emissions!AO821</f>
        <v>371.42693869999999</v>
      </c>
      <c r="AQ70" s="6">
        <f>[1]Emissions!AP821</f>
        <v>376.11202450000002</v>
      </c>
      <c r="AR70" s="6">
        <f>[1]Emissions!AQ821</f>
        <v>380.8482454</v>
      </c>
      <c r="AS70" s="6">
        <f>[1]Emissions!AR821</f>
        <v>385.63982549999997</v>
      </c>
      <c r="AT70" s="6">
        <f>[1]Emissions!AS821</f>
        <v>390.49023080000001</v>
      </c>
      <c r="AU70" s="6">
        <f>[1]Emissions!AT821</f>
        <v>395.40225040000001</v>
      </c>
      <c r="AV70" s="6">
        <f>[1]Emissions!AU821</f>
        <v>400.37813699999998</v>
      </c>
      <c r="AW70" s="6">
        <f>[1]Emissions!AV821</f>
        <v>405.43125309999999</v>
      </c>
      <c r="AX70" s="6">
        <f>[1]Emissions!AW821</f>
        <v>410.55334140000002</v>
      </c>
      <c r="AY70" s="6">
        <f>[1]Emissions!AX821</f>
        <v>415.74273479999999</v>
      </c>
      <c r="AZ70" s="6">
        <f>[1]Emissions!AY821</f>
        <v>421.0005271</v>
      </c>
      <c r="BA70" s="6">
        <f>[1]Emissions!AZ821</f>
        <v>426.32828919999997</v>
      </c>
      <c r="BB70" s="6">
        <f>[1]Emissions!BA821</f>
        <v>474.56909780000001</v>
      </c>
      <c r="BC70" s="6">
        <f>[1]Emissions!BB821</f>
        <v>482.29074939999998</v>
      </c>
      <c r="BD70" s="6">
        <f>[1]Emissions!BC821</f>
        <v>490.12448920000003</v>
      </c>
      <c r="BE70" s="6">
        <f>[1]Emissions!BD821</f>
        <v>498.07311490000001</v>
      </c>
      <c r="BF70" s="6">
        <f>[1]Emissions!BE821</f>
        <v>506.13955979999997</v>
      </c>
    </row>
    <row r="71" spans="1:58" x14ac:dyDescent="0.35">
      <c r="A71" s="11"/>
      <c r="B71" t="s">
        <v>51</v>
      </c>
      <c r="C71" s="6">
        <f>[1]Emissions!B822</f>
        <v>2.7572479300000001E-2</v>
      </c>
      <c r="D71" s="6">
        <f>[1]Emissions!C822</f>
        <v>2.7809588999999999E-2</v>
      </c>
      <c r="E71" s="6">
        <f>[1]Emissions!D822</f>
        <v>2.8093171900000002E-2</v>
      </c>
      <c r="F71" s="6">
        <f>[1]Emissions!E822</f>
        <v>2.84252342E-2</v>
      </c>
      <c r="G71" s="6">
        <f>[1]Emissions!F822</f>
        <v>2.8802333199999999E-2</v>
      </c>
      <c r="H71" s="6">
        <f>[1]Emissions!G822</f>
        <v>2.92177624E-2</v>
      </c>
      <c r="I71" s="6">
        <f>[1]Emissions!H822</f>
        <v>2.9647495199999999E-2</v>
      </c>
      <c r="J71" s="6">
        <f>[1]Emissions!I822</f>
        <v>3.0095369899999998E-2</v>
      </c>
      <c r="K71" s="6">
        <f>[1]Emissions!J822</f>
        <v>3.05588431E-2</v>
      </c>
      <c r="L71" s="6">
        <f>[1]Emissions!K822</f>
        <v>3.1035655400000001E-2</v>
      </c>
      <c r="M71" s="6">
        <f>[1]Emissions!L822</f>
        <v>3.1554350100000003E-2</v>
      </c>
      <c r="N71" s="6">
        <f>[1]Emissions!M822</f>
        <v>3.2066256500000001E-2</v>
      </c>
      <c r="O71" s="6">
        <f>[1]Emissions!N822</f>
        <v>3.2583339599999997E-2</v>
      </c>
      <c r="P71" s="6">
        <f>[1]Emissions!O822</f>
        <v>3.3105612600000001E-2</v>
      </c>
      <c r="Q71" s="6">
        <f>[1]Emissions!P822</f>
        <v>3.3632771800000003E-2</v>
      </c>
      <c r="R71" s="6">
        <f>[1]Emissions!Q822</f>
        <v>3.4164703900000003E-2</v>
      </c>
      <c r="S71" s="6">
        <f>[1]Emissions!R822</f>
        <v>3.4701521200000002E-2</v>
      </c>
      <c r="T71" s="6">
        <f>[1]Emissions!S822</f>
        <v>3.5243499900000003E-2</v>
      </c>
      <c r="U71" s="6">
        <f>[1]Emissions!T822</f>
        <v>3.5791012499999997E-2</v>
      </c>
      <c r="V71" s="6">
        <f>[1]Emissions!U822</f>
        <v>3.6344476399999999E-2</v>
      </c>
      <c r="W71" s="6">
        <f>[1]Emissions!V822</f>
        <v>3.6881732899999999E-2</v>
      </c>
      <c r="X71" s="6">
        <f>[1]Emissions!W822</f>
        <v>3.7438228599999998E-2</v>
      </c>
      <c r="Y71" s="6">
        <f>[1]Emissions!X822</f>
        <v>3.8004683599999999E-2</v>
      </c>
      <c r="Z71" s="6">
        <f>[1]Emissions!Y822</f>
        <v>3.8580796700000003E-2</v>
      </c>
      <c r="AA71" s="6">
        <f>[1]Emissions!Z822</f>
        <v>3.9166629100000003E-2</v>
      </c>
      <c r="AB71" s="6">
        <f>[1]Emissions!AA822</f>
        <v>3.9696930900000003E-2</v>
      </c>
      <c r="AC71" s="6">
        <f>[1]Emissions!AB822</f>
        <v>4.0241883399999998E-2</v>
      </c>
      <c r="AD71" s="6">
        <f>[1]Emissions!AC822</f>
        <v>4.0790200800000002E-2</v>
      </c>
      <c r="AE71" s="6">
        <f>[1]Emissions!AD822</f>
        <v>4.1343509799999997E-2</v>
      </c>
      <c r="AF71" s="6">
        <f>[1]Emissions!AE822</f>
        <v>4.1903663600000002E-2</v>
      </c>
      <c r="AG71" s="6">
        <f>[1]Emissions!AF822</f>
        <v>4.2472173600000003E-2</v>
      </c>
      <c r="AH71" s="6">
        <f>[1]Emissions!AG822</f>
        <v>4.3050117899999997E-2</v>
      </c>
      <c r="AI71" s="6">
        <f>[1]Emissions!AH822</f>
        <v>4.3638188000000001E-2</v>
      </c>
      <c r="AJ71" s="6">
        <f>[1]Emissions!AI822</f>
        <v>4.4236773899999998E-2</v>
      </c>
      <c r="AK71" s="6">
        <f>[1]Emissions!AJ822</f>
        <v>4.4846051999999997E-2</v>
      </c>
      <c r="AL71" s="6">
        <f>[1]Emissions!AK822</f>
        <v>4.5466062600000003E-2</v>
      </c>
      <c r="AM71" s="6">
        <f>[1]Emissions!AL822</f>
        <v>4.6080918800000002E-2</v>
      </c>
      <c r="AN71" s="6">
        <f>[1]Emissions!AM822</f>
        <v>4.66990979E-2</v>
      </c>
      <c r="AO71" s="6">
        <f>[1]Emissions!AN822</f>
        <v>4.73223859E-2</v>
      </c>
      <c r="AP71" s="6">
        <f>[1]Emissions!AO822</f>
        <v>4.7952115599999998E-2</v>
      </c>
      <c r="AQ71" s="6">
        <f>[1]Emissions!AP822</f>
        <v>4.8589435399999999E-2</v>
      </c>
      <c r="AR71" s="6">
        <f>[1]Emissions!AQ822</f>
        <v>4.9235315199999997E-2</v>
      </c>
      <c r="AS71" s="6">
        <f>[1]Emissions!AR822</f>
        <v>4.9890527599999998E-2</v>
      </c>
      <c r="AT71" s="6">
        <f>[1]Emissions!AS822</f>
        <v>5.05556494E-2</v>
      </c>
      <c r="AU71" s="6">
        <f>[1]Emissions!AT822</f>
        <v>5.1231084199999999E-2</v>
      </c>
      <c r="AV71" s="6">
        <f>[1]Emissions!AU822</f>
        <v>5.1917100200000003E-2</v>
      </c>
      <c r="AW71" s="6">
        <f>[1]Emissions!AV822</f>
        <v>5.26153273E-2</v>
      </c>
      <c r="AX71" s="6">
        <f>[1]Emissions!AW822</f>
        <v>5.3325138199999997E-2</v>
      </c>
      <c r="AY71" s="6">
        <f>[1]Emissions!AX822</f>
        <v>5.4046461099999998E-2</v>
      </c>
      <c r="AZ71" s="6">
        <f>[1]Emissions!AY822</f>
        <v>5.4779132000000001E-2</v>
      </c>
      <c r="BA71" s="6">
        <f>[1]Emissions!AZ822</f>
        <v>5.5522994999999999E-2</v>
      </c>
      <c r="BB71" s="6">
        <f>[1]Emissions!BA822</f>
        <v>6.0566186100000002E-2</v>
      </c>
      <c r="BC71" s="6">
        <f>[1]Emissions!BB822</f>
        <v>6.1565169099999997E-2</v>
      </c>
      <c r="BD71" s="6">
        <f>[1]Emissions!BC822</f>
        <v>6.25808957E-2</v>
      </c>
      <c r="BE71" s="6">
        <f>[1]Emissions!BD822</f>
        <v>6.3613768000000001E-2</v>
      </c>
      <c r="BF71" s="6">
        <f>[1]Emissions!BE822</f>
        <v>6.4664205099999997E-2</v>
      </c>
    </row>
    <row r="72" spans="1:58" x14ac:dyDescent="0.35">
      <c r="A72" s="11"/>
      <c r="B72" t="s">
        <v>52</v>
      </c>
      <c r="C72" s="6">
        <f>[1]Emissions!B823</f>
        <v>15.252688839999999</v>
      </c>
      <c r="D72" s="6">
        <f>[1]Emissions!C823</f>
        <v>15.45464434</v>
      </c>
      <c r="E72" s="6">
        <f>[1]Emissions!D823</f>
        <v>15.675064730000001</v>
      </c>
      <c r="F72" s="6">
        <f>[1]Emissions!E823</f>
        <v>15.9100652</v>
      </c>
      <c r="G72" s="6">
        <f>[1]Emissions!F823</f>
        <v>16.1579342</v>
      </c>
      <c r="H72" s="6">
        <f>[1]Emissions!G823</f>
        <v>16.417116419999999</v>
      </c>
      <c r="I72" s="6">
        <f>[1]Emissions!H823</f>
        <v>16.676856900000001</v>
      </c>
      <c r="J72" s="6">
        <f>[1]Emissions!I823</f>
        <v>16.94149316</v>
      </c>
      <c r="K72" s="6">
        <f>[1]Emissions!J823</f>
        <v>17.211566120000001</v>
      </c>
      <c r="L72" s="6">
        <f>[1]Emissions!K823</f>
        <v>17.48707194</v>
      </c>
      <c r="M72" s="6">
        <f>[1]Emissions!L823</f>
        <v>17.784381929999999</v>
      </c>
      <c r="N72" s="6">
        <f>[1]Emissions!M823</f>
        <v>18.077374720000002</v>
      </c>
      <c r="O72" s="6">
        <f>[1]Emissions!N823</f>
        <v>18.37322627</v>
      </c>
      <c r="P72" s="6">
        <f>[1]Emissions!O823</f>
        <v>18.673209629999999</v>
      </c>
      <c r="Q72" s="6">
        <f>[1]Emissions!P823</f>
        <v>18.97766871</v>
      </c>
      <c r="R72" s="6">
        <f>[1]Emissions!Q823</f>
        <v>19.286804249999999</v>
      </c>
      <c r="S72" s="6">
        <f>[1]Emissions!R823</f>
        <v>19.600809850000001</v>
      </c>
      <c r="T72" s="6">
        <f>[1]Emissions!S823</f>
        <v>19.919890710000001</v>
      </c>
      <c r="U72" s="6">
        <f>[1]Emissions!T823</f>
        <v>20.244256839999998</v>
      </c>
      <c r="V72" s="6">
        <f>[1]Emissions!U823</f>
        <v>20.574111680000001</v>
      </c>
      <c r="W72" s="6">
        <f>[1]Emissions!V823</f>
        <v>20.897386560000001</v>
      </c>
      <c r="X72" s="6">
        <f>[1]Emissions!W823</f>
        <v>21.23362461</v>
      </c>
      <c r="Y72" s="6">
        <f>[1]Emissions!X823</f>
        <v>21.577612469999998</v>
      </c>
      <c r="Z72" s="6">
        <f>[1]Emissions!Y823</f>
        <v>21.928512430000001</v>
      </c>
      <c r="AA72" s="6">
        <f>[1]Emissions!Z823</f>
        <v>22.28616315</v>
      </c>
      <c r="AB72" s="6">
        <f>[1]Emissions!AA823</f>
        <v>22.614994289999999</v>
      </c>
      <c r="AC72" s="6">
        <f>[1]Emissions!AB823</f>
        <v>22.95414104</v>
      </c>
      <c r="AD72" s="6">
        <f>[1]Emissions!AC823</f>
        <v>23.297610670000001</v>
      </c>
      <c r="AE72" s="6">
        <f>[1]Emissions!AD823</f>
        <v>23.644914910000001</v>
      </c>
      <c r="AF72" s="6">
        <f>[1]Emissions!AE823</f>
        <v>23.99631522</v>
      </c>
      <c r="AG72" s="6">
        <f>[1]Emissions!AF823</f>
        <v>24.352098850000001</v>
      </c>
      <c r="AH72" s="6">
        <f>[1]Emissions!AG823</f>
        <v>24.712459939999999</v>
      </c>
      <c r="AI72" s="6">
        <f>[1]Emissions!AH823</f>
        <v>25.0774881</v>
      </c>
      <c r="AJ72" s="6">
        <f>[1]Emissions!AI823</f>
        <v>25.447183639999999</v>
      </c>
      <c r="AK72" s="6">
        <f>[1]Emissions!AJ823</f>
        <v>25.821481070000001</v>
      </c>
      <c r="AL72" s="6">
        <f>[1]Emissions!AK823</f>
        <v>26.200273589999998</v>
      </c>
      <c r="AM72" s="6">
        <f>[1]Emissions!AL823</f>
        <v>26.574777990000001</v>
      </c>
      <c r="AN72" s="6">
        <f>[1]Emissions!AM823</f>
        <v>26.949753439999999</v>
      </c>
      <c r="AO72" s="6">
        <f>[1]Emissions!AN823</f>
        <v>27.326279509999999</v>
      </c>
      <c r="AP72" s="6">
        <f>[1]Emissions!AO823</f>
        <v>27.70480779</v>
      </c>
      <c r="AQ72" s="6">
        <f>[1]Emissions!AP823</f>
        <v>28.085646669999999</v>
      </c>
      <c r="AR72" s="6">
        <f>[1]Emissions!AQ823</f>
        <v>28.469045220000002</v>
      </c>
      <c r="AS72" s="6">
        <f>[1]Emissions!AR823</f>
        <v>28.85520846</v>
      </c>
      <c r="AT72" s="6">
        <f>[1]Emissions!AS823</f>
        <v>29.244301979999999</v>
      </c>
      <c r="AU72" s="6">
        <f>[1]Emissions!AT823</f>
        <v>29.636457530000001</v>
      </c>
      <c r="AV72" s="6">
        <f>[1]Emissions!AU823</f>
        <v>30.031781339999998</v>
      </c>
      <c r="AW72" s="6">
        <f>[1]Emissions!AV823</f>
        <v>30.43115375</v>
      </c>
      <c r="AX72" s="6">
        <f>[1]Emissions!AW823</f>
        <v>30.83421594</v>
      </c>
      <c r="AY72" s="6">
        <f>[1]Emissions!AX823</f>
        <v>31.240946359999999</v>
      </c>
      <c r="AZ72" s="6">
        <f>[1]Emissions!AY823</f>
        <v>31.6513785</v>
      </c>
      <c r="BA72" s="6">
        <f>[1]Emissions!AZ823</f>
        <v>32.065570880000003</v>
      </c>
      <c r="BB72" s="6">
        <f>[1]Emissions!BA823</f>
        <v>35.991009220000002</v>
      </c>
      <c r="BC72" s="6">
        <f>[1]Emissions!BB823</f>
        <v>36.627511069999997</v>
      </c>
      <c r="BD72" s="6">
        <f>[1]Emissions!BC823</f>
        <v>37.272521689999998</v>
      </c>
      <c r="BE72" s="6">
        <f>[1]Emissions!BD823</f>
        <v>37.926061699999998</v>
      </c>
      <c r="BF72" s="6">
        <f>[1]Emissions!BE823</f>
        <v>38.588168609999997</v>
      </c>
    </row>
    <row r="73" spans="1:58" x14ac:dyDescent="0.35">
      <c r="A73" s="11"/>
      <c r="B73" t="str">
        <f>B65</f>
        <v>NZ50</v>
      </c>
      <c r="C73" s="6">
        <f>[1]Emissions!B825</f>
        <v>345.52982759999998</v>
      </c>
      <c r="D73" s="6">
        <f>[1]Emissions!C825</f>
        <v>345.8305464</v>
      </c>
      <c r="E73" s="6">
        <f>[1]Emissions!D825</f>
        <v>346.47707459999998</v>
      </c>
      <c r="F73" s="6">
        <f>[1]Emissions!E825</f>
        <v>347.59656699999999</v>
      </c>
      <c r="G73" s="6">
        <f>[1]Emissions!F825</f>
        <v>349.2829069</v>
      </c>
      <c r="H73" s="6">
        <f>[1]Emissions!G825</f>
        <v>351.50925119999999</v>
      </c>
      <c r="I73" s="6">
        <f>[1]Emissions!H825</f>
        <v>354.08935300000002</v>
      </c>
      <c r="J73" s="6">
        <f>[1]Emissions!I825</f>
        <v>357.04095610000002</v>
      </c>
      <c r="K73" s="6">
        <f>[1]Emissions!J825</f>
        <v>360.30461450000001</v>
      </c>
      <c r="L73" s="6">
        <f>[1]Emissions!K825</f>
        <v>363.81429259999999</v>
      </c>
      <c r="M73" s="6">
        <f>[1]Emissions!L825</f>
        <v>367.803247</v>
      </c>
      <c r="N73" s="6">
        <f>[1]Emissions!M825</f>
        <v>371.76052370000002</v>
      </c>
      <c r="O73" s="6">
        <f>[1]Emissions!N825</f>
        <v>375.77659560000001</v>
      </c>
      <c r="P73" s="6">
        <f>[1]Emissions!O825</f>
        <v>379.85479880000003</v>
      </c>
      <c r="Q73" s="6">
        <f>[1]Emissions!P825</f>
        <v>383.98466780000001</v>
      </c>
      <c r="R73" s="6">
        <f>[1]Emissions!Q825</f>
        <v>388.15602489999998</v>
      </c>
      <c r="S73" s="6">
        <f>[1]Emissions!R825</f>
        <v>392.3402279</v>
      </c>
      <c r="T73" s="6">
        <f>[1]Emissions!S825</f>
        <v>396.54829580000001</v>
      </c>
      <c r="U73" s="6">
        <f>[1]Emissions!T825</f>
        <v>400.78149359999998</v>
      </c>
      <c r="V73" s="6">
        <f>[1]Emissions!U825</f>
        <v>405.04091670000003</v>
      </c>
      <c r="W73" s="6">
        <f>[1]Emissions!V825</f>
        <v>409.11881460000001</v>
      </c>
      <c r="X73" s="6">
        <f>[1]Emissions!W825</f>
        <v>413.34148679999998</v>
      </c>
      <c r="Y73" s="6">
        <f>[1]Emissions!X825</f>
        <v>417.6332883</v>
      </c>
      <c r="Z73" s="6">
        <f>[1]Emissions!Y825</f>
        <v>421.97999549999997</v>
      </c>
      <c r="AA73" s="6">
        <f>[1]Emissions!Z825</f>
        <v>426.3801914</v>
      </c>
      <c r="AB73" s="6">
        <f>[1]Emissions!AA825</f>
        <v>430.23757499999999</v>
      </c>
      <c r="AC73" s="6">
        <f>[1]Emissions!AB825</f>
        <v>434.20042219999999</v>
      </c>
      <c r="AD73" s="6">
        <f>[1]Emissions!AC825</f>
        <v>438.19010329999998</v>
      </c>
      <c r="AE73" s="6">
        <f>[1]Emissions!AD825</f>
        <v>442.20230900000001</v>
      </c>
      <c r="AF73" s="6">
        <f>[1]Emissions!AE825</f>
        <v>446.2457412</v>
      </c>
      <c r="AG73" s="6">
        <f>[1]Emissions!AF825</f>
        <v>450.33039209999998</v>
      </c>
      <c r="AH73" s="6">
        <f>[1]Emissions!AG825</f>
        <v>454.4697645</v>
      </c>
      <c r="AI73" s="6">
        <f>[1]Emissions!AH825</f>
        <v>458.66727459999998</v>
      </c>
      <c r="AJ73" s="6">
        <f>[1]Emissions!AI825</f>
        <v>462.92711650000001</v>
      </c>
      <c r="AK73" s="6">
        <f>[1]Emissions!AJ825</f>
        <v>467.25234849999998</v>
      </c>
      <c r="AL73" s="6">
        <f>[1]Emissions!AK825</f>
        <v>471.64485430000002</v>
      </c>
      <c r="AM73" s="6">
        <f>[1]Emissions!AL825</f>
        <v>476.00816459999999</v>
      </c>
      <c r="AN73" s="6">
        <f>[1]Emissions!AM825</f>
        <v>480.3878656</v>
      </c>
      <c r="AO73" s="6">
        <f>[1]Emissions!AN825</f>
        <v>484.80026229999999</v>
      </c>
      <c r="AP73" s="6">
        <f>[1]Emissions!AO825</f>
        <v>489.2536139</v>
      </c>
      <c r="AQ73" s="6">
        <f>[1]Emissions!AP825</f>
        <v>493.75333899999998</v>
      </c>
      <c r="AR73" s="6">
        <f>[1]Emissions!AQ825</f>
        <v>498.31032390000001</v>
      </c>
      <c r="AS73" s="6">
        <f>[1]Emissions!AR825</f>
        <v>502.92295560000002</v>
      </c>
      <c r="AT73" s="6">
        <f>[1]Emissions!AS825</f>
        <v>507.59240510000001</v>
      </c>
      <c r="AU73" s="6">
        <f>[1]Emissions!AT825</f>
        <v>512.31958789999999</v>
      </c>
      <c r="AV73" s="6">
        <f>[1]Emissions!AU825</f>
        <v>517.10496820000003</v>
      </c>
      <c r="AW73" s="6">
        <f>[1]Emissions!AV825</f>
        <v>521.98450869999999</v>
      </c>
      <c r="AX73" s="6">
        <f>[1]Emissions!AW825</f>
        <v>526.93605000000002</v>
      </c>
      <c r="AY73" s="6">
        <f>[1]Emissions!AX825</f>
        <v>531.95409010000003</v>
      </c>
      <c r="AZ73" s="6">
        <f>[1]Emissions!AY825</f>
        <v>537.03604529999996</v>
      </c>
      <c r="BA73" s="6">
        <f>[1]Emissions!AZ825</f>
        <v>542.17997839999998</v>
      </c>
      <c r="BB73" s="6">
        <f>[1]Emissions!BA825</f>
        <v>638.12864630000001</v>
      </c>
      <c r="BC73" s="6">
        <f>[1]Emissions!BB825</f>
        <v>646.94552759999999</v>
      </c>
      <c r="BD73" s="6">
        <f>[1]Emissions!BC825</f>
        <v>655.8961663</v>
      </c>
      <c r="BE73" s="6">
        <f>[1]Emissions!BD825</f>
        <v>664.98381870000003</v>
      </c>
      <c r="BF73" s="6">
        <f>[1]Emissions!BE825</f>
        <v>674.21214689999999</v>
      </c>
    </row>
    <row r="74" spans="1:58" x14ac:dyDescent="0.35">
      <c r="A74" s="8"/>
      <c r="B74" t="s">
        <v>25</v>
      </c>
      <c r="C74" s="6">
        <f>[1]Emissions!B829</f>
        <v>119.490486</v>
      </c>
      <c r="D74" s="6">
        <f>[1]Emissions!C829</f>
        <v>119.2067955</v>
      </c>
      <c r="E74" s="6">
        <f>[1]Emissions!D829</f>
        <v>118.5130805</v>
      </c>
      <c r="F74" s="6">
        <f>[1]Emissions!E829</f>
        <v>117.8449249</v>
      </c>
      <c r="G74" s="6">
        <f>[1]Emissions!F829</f>
        <v>117.3294118</v>
      </c>
      <c r="H74" s="6">
        <f>[1]Emissions!G829</f>
        <v>116.9702231</v>
      </c>
      <c r="I74" s="6">
        <f>[1]Emissions!H829</f>
        <v>116.77240860000001</v>
      </c>
      <c r="J74" s="6">
        <f>[1]Emissions!I829</f>
        <v>116.72736380000001</v>
      </c>
      <c r="K74" s="6">
        <f>[1]Emissions!J829</f>
        <v>116.80377439999999</v>
      </c>
      <c r="L74" s="6">
        <f>[1]Emissions!K829</f>
        <v>116.96981479999999</v>
      </c>
      <c r="M74" s="6">
        <f>[1]Emissions!L829</f>
        <v>117.2457113</v>
      </c>
      <c r="N74" s="6">
        <f>[1]Emissions!M829</f>
        <v>117.54843889999999</v>
      </c>
      <c r="O74" s="6">
        <f>[1]Emissions!N829</f>
        <v>117.8756702</v>
      </c>
      <c r="P74" s="6">
        <f>[1]Emissions!O829</f>
        <v>118.2233909</v>
      </c>
      <c r="Q74" s="6">
        <f>[1]Emissions!P829</f>
        <v>118.5870141</v>
      </c>
      <c r="R74" s="6">
        <f>[1]Emissions!Q829</f>
        <v>118.96213520000001</v>
      </c>
      <c r="S74" s="6">
        <f>[1]Emissions!R829</f>
        <v>119.34538809999999</v>
      </c>
      <c r="T74" s="6">
        <f>[1]Emissions!S829</f>
        <v>119.7341996</v>
      </c>
      <c r="U74" s="6">
        <f>[1]Emissions!T829</f>
        <v>120.1264151</v>
      </c>
      <c r="V74" s="6">
        <f>[1]Emissions!U829</f>
        <v>120.5203987</v>
      </c>
      <c r="W74" s="6">
        <f>[1]Emissions!V829</f>
        <v>120.88457440000001</v>
      </c>
      <c r="X74" s="6">
        <f>[1]Emissions!W829</f>
        <v>121.2612027</v>
      </c>
      <c r="Y74" s="6">
        <f>[1]Emissions!X829</f>
        <v>121.6427927</v>
      </c>
      <c r="Z74" s="6">
        <f>[1]Emissions!Y829</f>
        <v>122.0256266</v>
      </c>
      <c r="AA74" s="6">
        <f>[1]Emissions!Z829</f>
        <v>122.40780359999999</v>
      </c>
      <c r="AB74" s="6">
        <f>[1]Emissions!AA829</f>
        <v>122.7052577</v>
      </c>
      <c r="AC74" s="6">
        <f>[1]Emissions!AB829</f>
        <v>122.997061</v>
      </c>
      <c r="AD74" s="6">
        <f>[1]Emissions!AC829</f>
        <v>123.28153570000001</v>
      </c>
      <c r="AE74" s="6">
        <f>[1]Emissions!AD829</f>
        <v>123.55817690000001</v>
      </c>
      <c r="AF74" s="6">
        <f>[1]Emissions!AE829</f>
        <v>123.82711449999999</v>
      </c>
      <c r="AG74" s="6">
        <f>[1]Emissions!AF829</f>
        <v>124.08912650000001</v>
      </c>
      <c r="AH74" s="6">
        <f>[1]Emissions!AG829</f>
        <v>124.3452435</v>
      </c>
      <c r="AI74" s="6">
        <f>[1]Emissions!AH829</f>
        <v>124.59646549999999</v>
      </c>
      <c r="AJ74" s="6">
        <f>[1]Emissions!AI829</f>
        <v>124.8436631</v>
      </c>
      <c r="AK74" s="6">
        <f>[1]Emissions!AJ829</f>
        <v>125.0875578</v>
      </c>
      <c r="AL74" s="6">
        <f>[1]Emissions!AK829</f>
        <v>125.3287347</v>
      </c>
      <c r="AM74" s="6">
        <f>[1]Emissions!AL829</f>
        <v>125.5501879</v>
      </c>
      <c r="AN74" s="6">
        <f>[1]Emissions!AM829</f>
        <v>125.7600826</v>
      </c>
      <c r="AO74" s="6">
        <f>[1]Emissions!AN829</f>
        <v>125.9625774</v>
      </c>
      <c r="AP74" s="6">
        <f>[1]Emissions!AO829</f>
        <v>126.15992780000001</v>
      </c>
      <c r="AQ74" s="6">
        <f>[1]Emissions!AP829</f>
        <v>126.35347590000001</v>
      </c>
      <c r="AR74" s="6">
        <f>[1]Emissions!AQ829</f>
        <v>126.5441586</v>
      </c>
      <c r="AS74" s="6">
        <f>[1]Emissions!AR829</f>
        <v>126.73261359999999</v>
      </c>
      <c r="AT74" s="6">
        <f>[1]Emissions!AS829</f>
        <v>126.9192723</v>
      </c>
      <c r="AU74" s="6">
        <f>[1]Emissions!AT829</f>
        <v>127.10430220000001</v>
      </c>
      <c r="AV74" s="6">
        <f>[1]Emissions!AU829</f>
        <v>127.28774919999999</v>
      </c>
      <c r="AW74" s="6">
        <f>[1]Emissions!AV829</f>
        <v>127.471198</v>
      </c>
      <c r="AX74" s="6">
        <f>[1]Emissions!AW829</f>
        <v>127.65401610000001</v>
      </c>
      <c r="AY74" s="6">
        <f>[1]Emissions!AX829</f>
        <v>127.83568959999999</v>
      </c>
      <c r="AZ74" s="6">
        <f>[1]Emissions!AY829</f>
        <v>128.01569599999999</v>
      </c>
      <c r="BA74" s="6">
        <f>[1]Emissions!AZ829</f>
        <v>128.19346419999999</v>
      </c>
      <c r="BB74" s="6">
        <f>[1]Emissions!BA829</f>
        <v>126.47587660000001</v>
      </c>
      <c r="BC74" s="6">
        <f>[1]Emissions!BB829</f>
        <v>126.845287</v>
      </c>
      <c r="BD74" s="6">
        <f>[1]Emissions!BC829</f>
        <v>127.2240729</v>
      </c>
      <c r="BE74" s="6">
        <f>[1]Emissions!BD829</f>
        <v>127.6125328</v>
      </c>
      <c r="BF74" s="6">
        <f>[1]Emissions!BE829</f>
        <v>128.01129209999999</v>
      </c>
    </row>
    <row r="75" spans="1:58" x14ac:dyDescent="0.35">
      <c r="A75" s="8"/>
      <c r="B75" t="s">
        <v>26</v>
      </c>
      <c r="C75" s="6">
        <f>SUM(C76:C78)</f>
        <v>226.03934165210001</v>
      </c>
      <c r="D75" s="6">
        <f t="shared" ref="D75:AL75" si="47">SUM(D76:D78)</f>
        <v>226.62375083770002</v>
      </c>
      <c r="E75" s="6">
        <f t="shared" si="47"/>
        <v>227.96399411359999</v>
      </c>
      <c r="F75" s="6">
        <f t="shared" si="47"/>
        <v>229.75164214270001</v>
      </c>
      <c r="G75" s="6">
        <f t="shared" si="47"/>
        <v>231.95349507399999</v>
      </c>
      <c r="H75" s="6">
        <f t="shared" si="47"/>
        <v>234.53902820889999</v>
      </c>
      <c r="I75" s="6">
        <f t="shared" si="47"/>
        <v>237.31694451449999</v>
      </c>
      <c r="J75" s="6">
        <f t="shared" si="47"/>
        <v>240.3135922779</v>
      </c>
      <c r="K75" s="6">
        <f t="shared" si="47"/>
        <v>243.50084012210002</v>
      </c>
      <c r="L75" s="6">
        <f t="shared" si="47"/>
        <v>246.84447773330001</v>
      </c>
      <c r="M75" s="6">
        <f t="shared" si="47"/>
        <v>250.55753562249998</v>
      </c>
      <c r="N75" s="6">
        <f t="shared" si="47"/>
        <v>254.2120847123</v>
      </c>
      <c r="O75" s="6">
        <f t="shared" si="47"/>
        <v>257.90092536740002</v>
      </c>
      <c r="P75" s="6">
        <f t="shared" si="47"/>
        <v>261.63140793010001</v>
      </c>
      <c r="Q75" s="6">
        <f t="shared" si="47"/>
        <v>265.3976536623</v>
      </c>
      <c r="R75" s="6">
        <f t="shared" si="47"/>
        <v>269.19388966900004</v>
      </c>
      <c r="S75" s="6">
        <f t="shared" si="47"/>
        <v>272.9948397046</v>
      </c>
      <c r="T75" s="6">
        <f t="shared" si="47"/>
        <v>276.81409616580004</v>
      </c>
      <c r="U75" s="6">
        <f t="shared" si="47"/>
        <v>280.65507856089999</v>
      </c>
      <c r="V75" s="6">
        <f t="shared" si="47"/>
        <v>284.52051798480005</v>
      </c>
      <c r="W75" s="6">
        <f t="shared" si="47"/>
        <v>288.23424017849999</v>
      </c>
      <c r="X75" s="6">
        <f t="shared" si="47"/>
        <v>292.08028404139998</v>
      </c>
      <c r="Y75" s="6">
        <f t="shared" si="47"/>
        <v>295.99049559970001</v>
      </c>
      <c r="Z75" s="6">
        <f t="shared" si="47"/>
        <v>299.95436890320002</v>
      </c>
      <c r="AA75" s="6">
        <f t="shared" si="47"/>
        <v>303.97238779600002</v>
      </c>
      <c r="AB75" s="6">
        <f t="shared" si="47"/>
        <v>307.53231733910002</v>
      </c>
      <c r="AC75" s="6">
        <f t="shared" si="47"/>
        <v>311.20336125869994</v>
      </c>
      <c r="AD75" s="6">
        <f t="shared" si="47"/>
        <v>314.90856757619997</v>
      </c>
      <c r="AE75" s="6">
        <f t="shared" si="47"/>
        <v>318.64413207510006</v>
      </c>
      <c r="AF75" s="6">
        <f t="shared" si="47"/>
        <v>322.41862666910004</v>
      </c>
      <c r="AG75" s="6">
        <f t="shared" si="47"/>
        <v>326.24126559020004</v>
      </c>
      <c r="AH75" s="6">
        <f t="shared" si="47"/>
        <v>330.1245209809</v>
      </c>
      <c r="AI75" s="6">
        <f t="shared" si="47"/>
        <v>334.07080906829998</v>
      </c>
      <c r="AJ75" s="6">
        <f t="shared" si="47"/>
        <v>338.08345338509997</v>
      </c>
      <c r="AK75" s="6">
        <f t="shared" si="47"/>
        <v>342.16479079890001</v>
      </c>
      <c r="AL75" s="6">
        <f t="shared" si="47"/>
        <v>346.31611956859996</v>
      </c>
      <c r="AM75" s="6">
        <f t="shared" ref="AM75:BC75" si="48">SUM(AM76:AM78)</f>
        <v>350.45797676080002</v>
      </c>
      <c r="AN75" s="6">
        <f t="shared" si="48"/>
        <v>354.62778296179999</v>
      </c>
      <c r="AO75" s="6">
        <f t="shared" si="48"/>
        <v>358.83768488859999</v>
      </c>
      <c r="AP75" s="6">
        <f t="shared" si="48"/>
        <v>363.0936860818</v>
      </c>
      <c r="AQ75" s="6">
        <f t="shared" si="48"/>
        <v>367.39986309720001</v>
      </c>
      <c r="AR75" s="6">
        <f t="shared" si="48"/>
        <v>371.766165328</v>
      </c>
      <c r="AS75" s="6">
        <f t="shared" si="48"/>
        <v>376.19034200980002</v>
      </c>
      <c r="AT75" s="6">
        <f t="shared" si="48"/>
        <v>380.67313270740004</v>
      </c>
      <c r="AU75" s="6">
        <f t="shared" si="48"/>
        <v>385.21528567690001</v>
      </c>
      <c r="AV75" s="6">
        <f t="shared" si="48"/>
        <v>389.8172190043</v>
      </c>
      <c r="AW75" s="6">
        <f t="shared" si="48"/>
        <v>394.51331068809998</v>
      </c>
      <c r="AX75" s="6">
        <f t="shared" si="48"/>
        <v>399.28203400090001</v>
      </c>
      <c r="AY75" s="6">
        <f t="shared" si="48"/>
        <v>404.11840039139997</v>
      </c>
      <c r="AZ75" s="6">
        <f t="shared" si="48"/>
        <v>409.02034923389999</v>
      </c>
      <c r="BA75" s="6">
        <f t="shared" si="48"/>
        <v>413.98651423019999</v>
      </c>
      <c r="BB75" s="6">
        <f t="shared" si="48"/>
        <v>511.65276973030001</v>
      </c>
      <c r="BC75" s="6">
        <f t="shared" si="48"/>
        <v>520.10024065540006</v>
      </c>
      <c r="BD75" s="6">
        <f t="shared" ref="BD75:BF75" si="49">SUM(BD76:BD78)</f>
        <v>528.67209333389997</v>
      </c>
      <c r="BE75" s="6">
        <f t="shared" si="49"/>
        <v>537.37128591229998</v>
      </c>
      <c r="BF75" s="6">
        <f t="shared" si="49"/>
        <v>546.20085474270002</v>
      </c>
    </row>
    <row r="76" spans="1:58" x14ac:dyDescent="0.35">
      <c r="A76" s="8"/>
      <c r="B76" t="s">
        <v>50</v>
      </c>
      <c r="C76" s="5">
        <f>[1]Emissions!B826</f>
        <v>210.97900970000001</v>
      </c>
      <c r="D76" s="5">
        <f>[1]Emissions!C826</f>
        <v>211.45168870000001</v>
      </c>
      <c r="E76" s="5">
        <f>[1]Emissions!D826</f>
        <v>212.62902209999999</v>
      </c>
      <c r="F76" s="5">
        <f>[1]Emissions!E826</f>
        <v>214.22681349999999</v>
      </c>
      <c r="G76" s="5">
        <f>[1]Emissions!F826</f>
        <v>216.21966040000001</v>
      </c>
      <c r="H76" s="5">
        <f>[1]Emissions!G826</f>
        <v>218.5811908</v>
      </c>
      <c r="I76" s="5">
        <f>[1]Emissions!H826</f>
        <v>221.13228580000001</v>
      </c>
      <c r="J76" s="5">
        <f>[1]Emissions!I826</f>
        <v>223.89580960000001</v>
      </c>
      <c r="K76" s="5">
        <f>[1]Emissions!J826</f>
        <v>226.8437303</v>
      </c>
      <c r="L76" s="5">
        <f>[1]Emissions!K826</f>
        <v>229.9423859</v>
      </c>
      <c r="M76" s="5">
        <f>[1]Emissions!L826</f>
        <v>233.3893976</v>
      </c>
      <c r="N76" s="5">
        <f>[1]Emissions!M826</f>
        <v>236.7835728</v>
      </c>
      <c r="O76" s="5">
        <f>[1]Emissions!N826</f>
        <v>240.2103687</v>
      </c>
      <c r="P76" s="5">
        <f>[1]Emissions!O826</f>
        <v>243.67590799999999</v>
      </c>
      <c r="Q76" s="5">
        <f>[1]Emissions!P826</f>
        <v>247.1740035</v>
      </c>
      <c r="R76" s="5">
        <f>[1]Emissions!Q826</f>
        <v>250.69867640000001</v>
      </c>
      <c r="S76" s="5">
        <f>[1]Emissions!R826</f>
        <v>254.22535479999999</v>
      </c>
      <c r="T76" s="5">
        <f>[1]Emissions!S826</f>
        <v>257.76671800000003</v>
      </c>
      <c r="U76" s="5">
        <f>[1]Emissions!T826</f>
        <v>261.32572959999999</v>
      </c>
      <c r="V76" s="5">
        <f>[1]Emissions!U826</f>
        <v>264.9047673</v>
      </c>
      <c r="W76" s="5">
        <f>[1]Emissions!V826</f>
        <v>268.33912579999998</v>
      </c>
      <c r="X76" s="5">
        <f>[1]Emissions!W826</f>
        <v>271.89384480000001</v>
      </c>
      <c r="Y76" s="5">
        <f>[1]Emissions!X826</f>
        <v>275.5057352</v>
      </c>
      <c r="Z76" s="5">
        <f>[1]Emissions!Y826</f>
        <v>279.16501570000003</v>
      </c>
      <c r="AA76" s="5">
        <f>[1]Emissions!Z826</f>
        <v>282.87223890000001</v>
      </c>
      <c r="AB76" s="5">
        <f>[1]Emissions!AA826</f>
        <v>286.14906660000003</v>
      </c>
      <c r="AC76" s="5">
        <f>[1]Emissions!AB826</f>
        <v>289.52655659999999</v>
      </c>
      <c r="AD76" s="5">
        <f>[1]Emissions!AC826</f>
        <v>292.93372449999998</v>
      </c>
      <c r="AE76" s="5">
        <f>[1]Emissions!AD826</f>
        <v>296.36723510000002</v>
      </c>
      <c r="AF76" s="5">
        <f>[1]Emissions!AE826</f>
        <v>299.83537610000002</v>
      </c>
      <c r="AG76" s="5">
        <f>[1]Emissions!AF826</f>
        <v>303.34704420000003</v>
      </c>
      <c r="AH76" s="5">
        <f>[1]Emissions!AG826</f>
        <v>306.91427010000001</v>
      </c>
      <c r="AI76" s="5">
        <f>[1]Emissions!AH826</f>
        <v>310.53947920000002</v>
      </c>
      <c r="AJ76" s="5">
        <f>[1]Emissions!AI826</f>
        <v>314.22598729999999</v>
      </c>
      <c r="AK76" s="5">
        <f>[1]Emissions!AJ826</f>
        <v>317.9761681</v>
      </c>
      <c r="AL76" s="5">
        <f>[1]Emissions!AK826</f>
        <v>321.79139529999998</v>
      </c>
      <c r="AM76" s="5">
        <f>[1]Emissions!AL826</f>
        <v>325.5986398</v>
      </c>
      <c r="AN76" s="5">
        <f>[1]Emissions!AM826</f>
        <v>329.43199069999997</v>
      </c>
      <c r="AO76" s="5">
        <f>[1]Emissions!AN826</f>
        <v>333.30286519999999</v>
      </c>
      <c r="AP76" s="5">
        <f>[1]Emissions!AO826</f>
        <v>337.21695549999998</v>
      </c>
      <c r="AQ76" s="5">
        <f>[1]Emissions!AP826</f>
        <v>341.17812270000002</v>
      </c>
      <c r="AR76" s="5">
        <f>[1]Emissions!AQ826</f>
        <v>345.19584900000001</v>
      </c>
      <c r="AS76" s="5">
        <f>[1]Emissions!AR826</f>
        <v>349.26794749999999</v>
      </c>
      <c r="AT76" s="5">
        <f>[1]Emissions!AS826</f>
        <v>353.39511090000002</v>
      </c>
      <c r="AU76" s="5">
        <f>[1]Emissions!AT826</f>
        <v>357.57803910000001</v>
      </c>
      <c r="AV76" s="5">
        <f>[1]Emissions!AU826</f>
        <v>361.81711539999998</v>
      </c>
      <c r="AW76" s="5">
        <f>[1]Emissions!AV826</f>
        <v>366.14494359999998</v>
      </c>
      <c r="AX76" s="5">
        <f>[1]Emissions!AW826</f>
        <v>370.54106350000001</v>
      </c>
      <c r="AY76" s="5">
        <f>[1]Emissions!AX826</f>
        <v>375.00073909999998</v>
      </c>
      <c r="AZ76" s="5">
        <f>[1]Emissions!AY826</f>
        <v>379.52199209999998</v>
      </c>
      <c r="BA76" s="5">
        <f>[1]Emissions!AZ826</f>
        <v>384.10348160000001</v>
      </c>
      <c r="BB76" s="5">
        <f>[1]Emissions!BA826</f>
        <v>475.66387520000001</v>
      </c>
      <c r="BC76" s="5">
        <f>[1]Emissions!BB826</f>
        <v>483.47314180000001</v>
      </c>
      <c r="BD76" s="5">
        <f>[1]Emissions!BC826</f>
        <v>491.39786800000002</v>
      </c>
      <c r="BE76" s="5">
        <f>[1]Emissions!BD826</f>
        <v>499.44100100000003</v>
      </c>
      <c r="BF76" s="5">
        <f>[1]Emissions!BE826</f>
        <v>507.60555479999999</v>
      </c>
    </row>
    <row r="77" spans="1:58" x14ac:dyDescent="0.35">
      <c r="A77" s="8"/>
      <c r="B77" t="s">
        <v>51</v>
      </c>
      <c r="C77" s="5">
        <f>[1]Emissions!B827</f>
        <v>2.6941842099999998E-2</v>
      </c>
      <c r="D77" s="5">
        <f>[1]Emissions!C827</f>
        <v>2.6988167699999999E-2</v>
      </c>
      <c r="E77" s="5">
        <f>[1]Emissions!D827</f>
        <v>2.7123363599999999E-2</v>
      </c>
      <c r="F77" s="5">
        <f>[1]Emissions!E827</f>
        <v>2.7330642700000001E-2</v>
      </c>
      <c r="G77" s="5">
        <f>[1]Emissions!F827</f>
        <v>2.7601364E-2</v>
      </c>
      <c r="H77" s="5">
        <f>[1]Emissions!G827</f>
        <v>2.7926168899999999E-2</v>
      </c>
      <c r="I77" s="5">
        <f>[1]Emissions!H827</f>
        <v>2.82782845E-2</v>
      </c>
      <c r="J77" s="5">
        <f>[1]Emissions!I827</f>
        <v>2.86590179E-2</v>
      </c>
      <c r="K77" s="5">
        <f>[1]Emissions!J827</f>
        <v>2.9063332099999999E-2</v>
      </c>
      <c r="L77" s="5">
        <f>[1]Emissions!K827</f>
        <v>2.94866433E-2</v>
      </c>
      <c r="M77" s="5">
        <f>[1]Emissions!L827</f>
        <v>2.9953922500000001E-2</v>
      </c>
      <c r="N77" s="5">
        <f>[1]Emissions!M827</f>
        <v>3.0414722299999999E-2</v>
      </c>
      <c r="O77" s="5">
        <f>[1]Emissions!N827</f>
        <v>3.0880997399999999E-2</v>
      </c>
      <c r="P77" s="5">
        <f>[1]Emissions!O827</f>
        <v>3.1352050100000001E-2</v>
      </c>
      <c r="Q77" s="5">
        <f>[1]Emissions!P827</f>
        <v>3.1827052299999999E-2</v>
      </c>
      <c r="R77" s="5">
        <f>[1]Emissions!Q827</f>
        <v>3.2305528999999999E-2</v>
      </c>
      <c r="S77" s="5">
        <f>[1]Emissions!R827</f>
        <v>3.2784694599999997E-2</v>
      </c>
      <c r="T77" s="5">
        <f>[1]Emissions!S827</f>
        <v>3.3266745799999997E-2</v>
      </c>
      <c r="U77" s="5">
        <f>[1]Emissions!T827</f>
        <v>3.37521109E-2</v>
      </c>
      <c r="V77" s="5">
        <f>[1]Emissions!U827</f>
        <v>3.4241204800000001E-2</v>
      </c>
      <c r="W77" s="5">
        <f>[1]Emissions!V827</f>
        <v>3.4713268499999998E-2</v>
      </c>
      <c r="X77" s="5">
        <f>[1]Emissions!W827</f>
        <v>3.5201521399999998E-2</v>
      </c>
      <c r="Y77" s="5">
        <f>[1]Emissions!X827</f>
        <v>3.5697449700000002E-2</v>
      </c>
      <c r="Z77" s="5">
        <f>[1]Emissions!Y827</f>
        <v>3.62007632E-2</v>
      </c>
      <c r="AA77" s="5">
        <f>[1]Emissions!Z827</f>
        <v>3.6711536000000003E-2</v>
      </c>
      <c r="AB77" s="5">
        <f>[1]Emissions!AA827</f>
        <v>3.7169089099999997E-2</v>
      </c>
      <c r="AC77" s="5">
        <f>[1]Emissions!AB827</f>
        <v>3.7639538700000003E-2</v>
      </c>
      <c r="AD77" s="5">
        <f>[1]Emissions!AC827</f>
        <v>3.8112036199999998E-2</v>
      </c>
      <c r="AE77" s="5">
        <f>[1]Emissions!AD827</f>
        <v>3.8588115100000001E-2</v>
      </c>
      <c r="AF77" s="5">
        <f>[1]Emissions!AE827</f>
        <v>3.9069539100000002E-2</v>
      </c>
      <c r="AG77" s="5">
        <f>[1]Emissions!AF827</f>
        <v>3.95577602E-2</v>
      </c>
      <c r="AH77" s="5">
        <f>[1]Emissions!AG827</f>
        <v>4.0054420899999998E-2</v>
      </c>
      <c r="AI77" s="5">
        <f>[1]Emissions!AH827</f>
        <v>4.0559748299999997E-2</v>
      </c>
      <c r="AJ77" s="5">
        <f>[1]Emissions!AI827</f>
        <v>4.1074105100000001E-2</v>
      </c>
      <c r="AK77" s="5">
        <f>[1]Emissions!AJ827</f>
        <v>4.1597668900000002E-2</v>
      </c>
      <c r="AL77" s="5">
        <f>[1]Emissions!AK827</f>
        <v>4.2130488600000002E-2</v>
      </c>
      <c r="AM77" s="5">
        <f>[1]Emissions!AL827</f>
        <v>4.2663220799999999E-2</v>
      </c>
      <c r="AN77" s="5">
        <f>[1]Emissions!AM827</f>
        <v>4.3199401800000002E-2</v>
      </c>
      <c r="AO77" s="5">
        <f>[1]Emissions!AN827</f>
        <v>4.3740368600000003E-2</v>
      </c>
      <c r="AP77" s="5">
        <f>[1]Emissions!AO827</f>
        <v>4.4287161800000002E-2</v>
      </c>
      <c r="AQ77" s="5">
        <f>[1]Emissions!AP827</f>
        <v>4.4840657200000002E-2</v>
      </c>
      <c r="AR77" s="5">
        <f>[1]Emissions!AQ827</f>
        <v>4.5402407999999998E-2</v>
      </c>
      <c r="AS77" s="5">
        <f>[1]Emissions!AR827</f>
        <v>4.5972319800000001E-2</v>
      </c>
      <c r="AT77" s="5">
        <f>[1]Emissions!AS827</f>
        <v>4.6550727399999998E-2</v>
      </c>
      <c r="AU77" s="5">
        <f>[1]Emissions!AT827</f>
        <v>4.7137856899999997E-2</v>
      </c>
      <c r="AV77" s="5">
        <f>[1]Emissions!AU827</f>
        <v>4.77338343E-2</v>
      </c>
      <c r="AW77" s="5">
        <f>[1]Emissions!AV827</f>
        <v>4.8342858099999997E-2</v>
      </c>
      <c r="AX77" s="5">
        <f>[1]Emissions!AW827</f>
        <v>4.89620609E-2</v>
      </c>
      <c r="AY77" s="5">
        <f>[1]Emissions!AX827</f>
        <v>4.9591071399999999E-2</v>
      </c>
      <c r="AZ77" s="5">
        <f>[1]Emissions!AY827</f>
        <v>5.0229643900000003E-2</v>
      </c>
      <c r="BA77" s="5">
        <f>[1]Emissions!AZ827</f>
        <v>5.0877580200000001E-2</v>
      </c>
      <c r="BB77" s="5">
        <f>[1]Emissions!BA827</f>
        <v>6.0330790299999999E-2</v>
      </c>
      <c r="BC77" s="5">
        <f>[1]Emissions!BB827</f>
        <v>6.1318025399999997E-2</v>
      </c>
      <c r="BD77" s="5">
        <f>[1]Emissions!BC827</f>
        <v>6.2321753899999999E-2</v>
      </c>
      <c r="BE77" s="5">
        <f>[1]Emissions!BD827</f>
        <v>6.3342322300000004E-2</v>
      </c>
      <c r="BF77" s="5">
        <f>[1]Emissions!BE827</f>
        <v>6.4380092700000002E-2</v>
      </c>
    </row>
    <row r="78" spans="1:58" x14ac:dyDescent="0.35">
      <c r="B78" t="s">
        <v>52</v>
      </c>
      <c r="C78" s="5">
        <f>[1]Emissions!B828</f>
        <v>15.033390109999999</v>
      </c>
      <c r="D78" s="5">
        <f>[1]Emissions!C828</f>
        <v>15.14507397</v>
      </c>
      <c r="E78" s="5">
        <f>[1]Emissions!D828</f>
        <v>15.30784865</v>
      </c>
      <c r="F78" s="5">
        <f>[1]Emissions!E828</f>
        <v>15.497498</v>
      </c>
      <c r="G78" s="5">
        <f>[1]Emissions!F828</f>
        <v>15.70623331</v>
      </c>
      <c r="H78" s="5">
        <f>[1]Emissions!G828</f>
        <v>15.929911239999999</v>
      </c>
      <c r="I78" s="5">
        <f>[1]Emissions!H828</f>
        <v>16.156380429999999</v>
      </c>
      <c r="J78" s="5">
        <f>[1]Emissions!I828</f>
        <v>16.389123659999999</v>
      </c>
      <c r="K78" s="5">
        <f>[1]Emissions!J828</f>
        <v>16.628046489999999</v>
      </c>
      <c r="L78" s="5">
        <f>[1]Emissions!K828</f>
        <v>16.872605190000002</v>
      </c>
      <c r="M78" s="5">
        <f>[1]Emissions!L828</f>
        <v>17.1381841</v>
      </c>
      <c r="N78" s="5">
        <f>[1]Emissions!M828</f>
        <v>17.398097190000001</v>
      </c>
      <c r="O78" s="5">
        <f>[1]Emissions!N828</f>
        <v>17.659675669999999</v>
      </c>
      <c r="P78" s="5">
        <f>[1]Emissions!O828</f>
        <v>17.92414788</v>
      </c>
      <c r="Q78" s="5">
        <f>[1]Emissions!P828</f>
        <v>18.191823110000001</v>
      </c>
      <c r="R78" s="5">
        <f>[1]Emissions!Q828</f>
        <v>18.462907739999999</v>
      </c>
      <c r="S78" s="5">
        <f>[1]Emissions!R828</f>
        <v>18.736700209999999</v>
      </c>
      <c r="T78" s="5">
        <f>[1]Emissions!S828</f>
        <v>19.014111419999999</v>
      </c>
      <c r="U78" s="5">
        <f>[1]Emissions!T828</f>
        <v>19.295596849999999</v>
      </c>
      <c r="V78" s="5">
        <f>[1]Emissions!U828</f>
        <v>19.581509480000001</v>
      </c>
      <c r="W78" s="5">
        <f>[1]Emissions!V828</f>
        <v>19.860401110000002</v>
      </c>
      <c r="X78" s="5">
        <f>[1]Emissions!W828</f>
        <v>20.151237720000001</v>
      </c>
      <c r="Y78" s="5">
        <f>[1]Emissions!X828</f>
        <v>20.449062949999998</v>
      </c>
      <c r="Z78" s="5">
        <f>[1]Emissions!Y828</f>
        <v>20.753152440000001</v>
      </c>
      <c r="AA78" s="5">
        <f>[1]Emissions!Z828</f>
        <v>21.063437360000002</v>
      </c>
      <c r="AB78" s="5">
        <f>[1]Emissions!AA828</f>
        <v>21.346081649999999</v>
      </c>
      <c r="AC78" s="5">
        <f>[1]Emissions!AB828</f>
        <v>21.639165120000001</v>
      </c>
      <c r="AD78" s="5">
        <f>[1]Emissions!AC828</f>
        <v>21.936731040000002</v>
      </c>
      <c r="AE78" s="5">
        <f>[1]Emissions!AD828</f>
        <v>22.23830886</v>
      </c>
      <c r="AF78" s="5">
        <f>[1]Emissions!AE828</f>
        <v>22.544181030000001</v>
      </c>
      <c r="AG78" s="5">
        <f>[1]Emissions!AF828</f>
        <v>22.854663630000001</v>
      </c>
      <c r="AH78" s="5">
        <f>[1]Emissions!AG828</f>
        <v>23.17019646</v>
      </c>
      <c r="AI78" s="5">
        <f>[1]Emissions!AH828</f>
        <v>23.490770120000001</v>
      </c>
      <c r="AJ78" s="5">
        <f>[1]Emissions!AI828</f>
        <v>23.816391979999999</v>
      </c>
      <c r="AK78" s="5">
        <f>[1]Emissions!AJ828</f>
        <v>24.147025029999998</v>
      </c>
      <c r="AL78" s="5">
        <f>[1]Emissions!AK828</f>
        <v>24.482593779999998</v>
      </c>
      <c r="AM78" s="5">
        <f>[1]Emissions!AL828</f>
        <v>24.816673739999999</v>
      </c>
      <c r="AN78" s="5">
        <f>[1]Emissions!AM828</f>
        <v>25.152592859999999</v>
      </c>
      <c r="AO78" s="5">
        <f>[1]Emissions!AN828</f>
        <v>25.491079320000001</v>
      </c>
      <c r="AP78" s="5">
        <f>[1]Emissions!AO828</f>
        <v>25.832443420000001</v>
      </c>
      <c r="AQ78" s="5">
        <f>[1]Emissions!AP828</f>
        <v>26.17689974</v>
      </c>
      <c r="AR78" s="5">
        <f>[1]Emissions!AQ828</f>
        <v>26.524913919999999</v>
      </c>
      <c r="AS78" s="5">
        <f>[1]Emissions!AR828</f>
        <v>26.87642219</v>
      </c>
      <c r="AT78" s="5">
        <f>[1]Emissions!AS828</f>
        <v>27.231471079999999</v>
      </c>
      <c r="AU78" s="5">
        <f>[1]Emissions!AT828</f>
        <v>27.59010872</v>
      </c>
      <c r="AV78" s="5">
        <f>[1]Emissions!AU828</f>
        <v>27.952369770000001</v>
      </c>
      <c r="AW78" s="5">
        <f>[1]Emissions!AV828</f>
        <v>28.320024230000001</v>
      </c>
      <c r="AX78" s="5">
        <f>[1]Emissions!AW828</f>
        <v>28.692008439999999</v>
      </c>
      <c r="AY78" s="5">
        <f>[1]Emissions!AX828</f>
        <v>29.068070219999999</v>
      </c>
      <c r="AZ78" s="5">
        <f>[1]Emissions!AY828</f>
        <v>29.448127490000001</v>
      </c>
      <c r="BA78" s="5">
        <f>[1]Emissions!AZ828</f>
        <v>29.832155050000001</v>
      </c>
      <c r="BB78" s="5">
        <f>[1]Emissions!BA828</f>
        <v>35.928563740000001</v>
      </c>
      <c r="BC78" s="5">
        <f>[1]Emissions!BB828</f>
        <v>36.565780830000001</v>
      </c>
      <c r="BD78" s="5">
        <f>[1]Emissions!BC828</f>
        <v>37.211903579999998</v>
      </c>
      <c r="BE78" s="5">
        <f>[1]Emissions!BD828</f>
        <v>37.866942590000001</v>
      </c>
      <c r="BF78" s="5">
        <f>[1]Emissions!BE828</f>
        <v>38.530919849999997</v>
      </c>
    </row>
    <row r="79" spans="1:58" x14ac:dyDescent="0.35">
      <c r="B79" t="s">
        <v>13</v>
      </c>
      <c r="C79" s="6">
        <f>[1]Results!F1551</f>
        <v>1969443.8559999999</v>
      </c>
      <c r="D79" s="6">
        <f>[1]Results!G1551</f>
        <v>1994425.953</v>
      </c>
      <c r="E79" s="6">
        <f>[1]Results!H1551</f>
        <v>2022137.4</v>
      </c>
      <c r="F79" s="6">
        <f>[1]Results!I1551</f>
        <v>2051600.6240000001</v>
      </c>
      <c r="G79" s="6">
        <f>[1]Results!J1551</f>
        <v>2082683.2790000001</v>
      </c>
      <c r="H79" s="6">
        <f>[1]Results!K1551</f>
        <v>2115213.7659999998</v>
      </c>
      <c r="I79" s="6">
        <f>[1]Results!L1551</f>
        <v>2147570.3930000002</v>
      </c>
      <c r="J79" s="6">
        <f>[1]Results!M1551</f>
        <v>2180707.344</v>
      </c>
      <c r="K79" s="6">
        <f>[1]Results!N1551</f>
        <v>2214571.2039999999</v>
      </c>
      <c r="L79" s="6">
        <f>[1]Results!O1551</f>
        <v>2249123.054</v>
      </c>
      <c r="M79" s="6">
        <f>[1]Results!P1551</f>
        <v>2286889.034</v>
      </c>
      <c r="N79" s="6">
        <f>[1]Results!Q1551</f>
        <v>2323348.554</v>
      </c>
      <c r="O79" s="6">
        <f>[1]Results!R1551</f>
        <v>2360285.31</v>
      </c>
      <c r="P79" s="6">
        <f>[1]Results!S1551</f>
        <v>2397668.4309999999</v>
      </c>
      <c r="Q79" s="6">
        <f>[1]Results!T1551</f>
        <v>2435493.202</v>
      </c>
      <c r="R79" s="6">
        <f>[1]Results!U1551</f>
        <v>2473767.162</v>
      </c>
      <c r="S79" s="6">
        <f>[1]Results!V1551</f>
        <v>2512506.375</v>
      </c>
      <c r="T79" s="6">
        <f>[1]Results!W1551</f>
        <v>2551732.33</v>
      </c>
      <c r="U79" s="6">
        <f>[1]Results!X1551</f>
        <v>2591469.1290000002</v>
      </c>
      <c r="V79" s="6">
        <f>[1]Results!Y1551</f>
        <v>2631741.3620000002</v>
      </c>
      <c r="W79" s="6">
        <f>[1]Results!Z1551</f>
        <v>2670666.4240000001</v>
      </c>
      <c r="X79" s="6">
        <f>[1]Results!AA1551</f>
        <v>2711601.949</v>
      </c>
      <c r="Y79" s="6">
        <f>[1]Results!AB1551</f>
        <v>2753225.2340000002</v>
      </c>
      <c r="Z79" s="6">
        <f>[1]Results!AC1551</f>
        <v>2795561.6460000002</v>
      </c>
      <c r="AA79" s="6">
        <f>[1]Results!AD1551</f>
        <v>2838619.165</v>
      </c>
      <c r="AB79" s="6">
        <f>[1]Results!AE1551</f>
        <v>2876883.2220000001</v>
      </c>
      <c r="AC79" s="6">
        <f>[1]Results!AF1551</f>
        <v>2917378.7560000001</v>
      </c>
      <c r="AD79" s="6">
        <f>[1]Results!AG1551</f>
        <v>2958149.449</v>
      </c>
      <c r="AE79" s="6">
        <f>[1]Results!AH1551</f>
        <v>2999322.642</v>
      </c>
      <c r="AF79" s="6">
        <f>[1]Results!AI1551</f>
        <v>3040991.0210000002</v>
      </c>
      <c r="AG79" s="6">
        <f>[1]Results!AJ1551</f>
        <v>3083223.8769999999</v>
      </c>
      <c r="AH79" s="6">
        <f>[1]Results!AK1551</f>
        <v>3126069.2740000002</v>
      </c>
      <c r="AI79" s="6">
        <f>[1]Results!AL1551</f>
        <v>3169557.128</v>
      </c>
      <c r="AJ79" s="6">
        <f>[1]Results!AM1551</f>
        <v>3213703.3280000002</v>
      </c>
      <c r="AK79" s="6">
        <f>[1]Results!AN1551</f>
        <v>3258513.9890000001</v>
      </c>
      <c r="AL79" s="6">
        <f>[1]Results!AO1551</f>
        <v>3303989.219</v>
      </c>
      <c r="AM79" s="6">
        <f>[1]Results!AP1551</f>
        <v>3348785.355</v>
      </c>
      <c r="AN79" s="6">
        <f>[1]Results!AQ1551</f>
        <v>3393886.6170000001</v>
      </c>
      <c r="AO79" s="6">
        <f>[1]Results!AR1551</f>
        <v>3439346.0929999999</v>
      </c>
      <c r="AP79" s="6">
        <f>[1]Results!AS1551</f>
        <v>3485223.463</v>
      </c>
      <c r="AQ79" s="6">
        <f>[1]Results!AT1551</f>
        <v>3531574.017</v>
      </c>
      <c r="AR79" s="6">
        <f>[1]Results!AU1551</f>
        <v>3578445.4419999998</v>
      </c>
      <c r="AS79" s="6">
        <f>[1]Results!AV1551</f>
        <v>3625876.5789999999</v>
      </c>
      <c r="AT79" s="6">
        <f>[1]Results!AW1551</f>
        <v>3673897.4980000001</v>
      </c>
      <c r="AU79" s="6">
        <f>[1]Results!AX1551</f>
        <v>3722530.5559999999</v>
      </c>
      <c r="AV79" s="6">
        <f>[1]Results!AY1551</f>
        <v>3771792.0430000001</v>
      </c>
      <c r="AW79" s="6">
        <f>[1]Results!AZ1551</f>
        <v>3821815.98</v>
      </c>
      <c r="AX79" s="6">
        <f>[1]Results!BA1551</f>
        <v>3872521.5959999999</v>
      </c>
      <c r="AY79" s="6">
        <f>[1]Results!BB1551</f>
        <v>3923912.3969999999</v>
      </c>
      <c r="AZ79" s="6">
        <f>[1]Results!BC1551</f>
        <v>3975989.0070000002</v>
      </c>
      <c r="BA79" s="6">
        <f>[1]Results!BD1551</f>
        <v>4028752.8330000001</v>
      </c>
      <c r="BB79" s="6">
        <f>[1]Results!BE1551</f>
        <v>4443934.8679999998</v>
      </c>
      <c r="BC79" s="6">
        <f>[1]Results!BF1551</f>
        <v>4518812.6409999998</v>
      </c>
      <c r="BD79" s="6">
        <f>[1]Results!BG1551</f>
        <v>4594869.43</v>
      </c>
      <c r="BE79" s="6">
        <f>[1]Results!BH1551</f>
        <v>4672125.4069999997</v>
      </c>
      <c r="BF79" s="6">
        <f>[1]Results!BI1551</f>
        <v>4750601.8959999997</v>
      </c>
    </row>
    <row r="80" spans="1:58" x14ac:dyDescent="0.35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</row>
    <row r="81" spans="1:58" x14ac:dyDescent="0.35">
      <c r="A81" s="12" t="s">
        <v>78</v>
      </c>
      <c r="B81" t="s">
        <v>13</v>
      </c>
      <c r="C81" s="6">
        <f>[1]Results!F1551</f>
        <v>1969443.8559999999</v>
      </c>
      <c r="D81" s="6">
        <f>[1]Results!G1551</f>
        <v>1994425.953</v>
      </c>
      <c r="E81" s="6">
        <f>[1]Results!H1551</f>
        <v>2022137.4</v>
      </c>
      <c r="F81" s="6">
        <f>[1]Results!I1551</f>
        <v>2051600.6240000001</v>
      </c>
      <c r="G81" s="6">
        <f>[1]Results!J1551</f>
        <v>2082683.2790000001</v>
      </c>
      <c r="H81" s="6">
        <f>[1]Results!K1551</f>
        <v>2115213.7659999998</v>
      </c>
      <c r="I81" s="6">
        <f>[1]Results!L1551</f>
        <v>2147570.3930000002</v>
      </c>
      <c r="J81" s="6">
        <f>[1]Results!M1551</f>
        <v>2180707.344</v>
      </c>
      <c r="K81" s="6">
        <f>[1]Results!N1551</f>
        <v>2214571.2039999999</v>
      </c>
      <c r="L81" s="6">
        <f>[1]Results!O1551</f>
        <v>2249123.054</v>
      </c>
      <c r="M81" s="6">
        <f>[1]Results!P1551</f>
        <v>2286889.034</v>
      </c>
      <c r="N81" s="6">
        <f>[1]Results!Q1551</f>
        <v>2323348.554</v>
      </c>
      <c r="O81" s="6">
        <f>[1]Results!R1551</f>
        <v>2360285.31</v>
      </c>
      <c r="P81" s="6">
        <f>[1]Results!S1551</f>
        <v>2397668.4309999999</v>
      </c>
      <c r="Q81" s="6">
        <f>[1]Results!T1551</f>
        <v>2435493.202</v>
      </c>
      <c r="R81" s="6">
        <f>[1]Results!U1551</f>
        <v>2473767.162</v>
      </c>
      <c r="S81" s="6">
        <f>[1]Results!V1551</f>
        <v>2512506.375</v>
      </c>
      <c r="T81" s="6">
        <f>[1]Results!W1551</f>
        <v>2551732.33</v>
      </c>
      <c r="U81" s="6">
        <f>[1]Results!X1551</f>
        <v>2591469.1290000002</v>
      </c>
      <c r="V81" s="6">
        <f>[1]Results!Y1551</f>
        <v>2631741.3620000002</v>
      </c>
      <c r="W81" s="6">
        <f>[1]Results!Z1551</f>
        <v>2670666.4240000001</v>
      </c>
      <c r="X81" s="6">
        <f>[1]Results!AA1551</f>
        <v>2711601.949</v>
      </c>
      <c r="Y81" s="6">
        <f>[1]Results!AB1551</f>
        <v>2753225.2340000002</v>
      </c>
      <c r="Z81" s="6">
        <f>[1]Results!AC1551</f>
        <v>2795561.6460000002</v>
      </c>
      <c r="AA81" s="6">
        <f>[1]Results!AD1551</f>
        <v>2838619.165</v>
      </c>
      <c r="AB81" s="6">
        <f>[1]Results!AE1551</f>
        <v>2876883.2220000001</v>
      </c>
      <c r="AC81" s="6">
        <f>[1]Results!AF1551</f>
        <v>2917378.7560000001</v>
      </c>
      <c r="AD81" s="6">
        <f>[1]Results!AG1551</f>
        <v>2958149.449</v>
      </c>
      <c r="AE81" s="6">
        <f>[1]Results!AH1551</f>
        <v>2999322.642</v>
      </c>
      <c r="AF81" s="6">
        <f>[1]Results!AI1551</f>
        <v>3040991.0210000002</v>
      </c>
      <c r="AG81" s="6">
        <f>[1]Results!AJ1551</f>
        <v>3083223.8769999999</v>
      </c>
      <c r="AH81" s="6">
        <f>[1]Results!AK1551</f>
        <v>3126069.2740000002</v>
      </c>
      <c r="AI81" s="6">
        <f>[1]Results!AL1551</f>
        <v>3169557.128</v>
      </c>
      <c r="AJ81" s="6">
        <f>[1]Results!AM1551</f>
        <v>3213703.3280000002</v>
      </c>
      <c r="AK81" s="6">
        <f>[1]Results!AN1551</f>
        <v>3258513.9890000001</v>
      </c>
      <c r="AL81" s="6">
        <f>[1]Results!AO1551</f>
        <v>3303989.219</v>
      </c>
      <c r="AM81" s="6">
        <f>[1]Results!AP1551</f>
        <v>3348785.355</v>
      </c>
      <c r="AN81" s="6">
        <f>[1]Results!AQ1551</f>
        <v>3393886.6170000001</v>
      </c>
      <c r="AO81" s="6">
        <f>[1]Results!AR1551</f>
        <v>3439346.0929999999</v>
      </c>
      <c r="AP81" s="6">
        <f>[1]Results!AS1551</f>
        <v>3485223.463</v>
      </c>
      <c r="AQ81" s="6">
        <f>[1]Results!AT1551</f>
        <v>3531574.017</v>
      </c>
      <c r="AR81" s="6">
        <f>[1]Results!AU1551</f>
        <v>3578445.4419999998</v>
      </c>
      <c r="AS81" s="6">
        <f>[1]Results!AV1551</f>
        <v>3625876.5789999999</v>
      </c>
      <c r="AT81" s="6">
        <f>[1]Results!AW1551</f>
        <v>3673897.4980000001</v>
      </c>
      <c r="AU81" s="6">
        <f>[1]Results!AX1551</f>
        <v>3722530.5559999999</v>
      </c>
      <c r="AV81" s="6">
        <f>[1]Results!AY1551</f>
        <v>3771792.0430000001</v>
      </c>
      <c r="AW81" s="6">
        <f>[1]Results!AZ1551</f>
        <v>3821815.98</v>
      </c>
      <c r="AX81" s="6">
        <f>[1]Results!BA1551</f>
        <v>3872521.5959999999</v>
      </c>
      <c r="AY81" s="6">
        <f>[1]Results!BB1551</f>
        <v>3923912.3969999999</v>
      </c>
      <c r="AZ81" s="6">
        <f>[1]Results!BC1551</f>
        <v>3975989.0070000002</v>
      </c>
      <c r="BA81" s="6">
        <f>[1]Results!BD1551</f>
        <v>4028752.8330000001</v>
      </c>
      <c r="BB81" s="6">
        <f>[1]Results!BE1551</f>
        <v>4443934.8679999998</v>
      </c>
      <c r="BC81" s="6">
        <f>[1]Results!BF1551</f>
        <v>4518812.6409999998</v>
      </c>
      <c r="BD81" s="6">
        <f>[1]Results!BG1551</f>
        <v>4594869.43</v>
      </c>
      <c r="BE81" s="6">
        <f>[1]Results!BH1551</f>
        <v>4672125.4069999997</v>
      </c>
      <c r="BF81" s="6">
        <f>[1]Results!BI1551</f>
        <v>4750601.8959999997</v>
      </c>
    </row>
    <row r="82" spans="1:58" x14ac:dyDescent="0.35">
      <c r="A82" t="s">
        <v>38</v>
      </c>
      <c r="B82" t="s">
        <v>7</v>
      </c>
      <c r="C82" s="6">
        <f>[1]Results!F1552</f>
        <v>36136.78933</v>
      </c>
      <c r="D82" s="6">
        <f>[1]Results!G1552</f>
        <v>36370.171040000001</v>
      </c>
      <c r="E82" s="6">
        <f>[1]Results!H1552</f>
        <v>36676.619830000003</v>
      </c>
      <c r="F82" s="6">
        <f>[1]Results!I1552</f>
        <v>37037.658799999997</v>
      </c>
      <c r="G82" s="6">
        <f>[1]Results!J1552</f>
        <v>37448.082130000003</v>
      </c>
      <c r="H82" s="6">
        <f>[1]Results!K1552</f>
        <v>37903.642740000003</v>
      </c>
      <c r="I82" s="6">
        <f>[1]Results!L1552</f>
        <v>38374.085830000004</v>
      </c>
      <c r="J82" s="6">
        <f>[1]Results!M1552</f>
        <v>38869.833809999996</v>
      </c>
      <c r="K82" s="6">
        <f>[1]Results!N1552</f>
        <v>39386.631560000002</v>
      </c>
      <c r="L82" s="6">
        <f>[1]Results!O1552</f>
        <v>39921.072690000001</v>
      </c>
      <c r="M82" s="6">
        <f>[1]Results!P1552</f>
        <v>40512.812429999998</v>
      </c>
      <c r="N82" s="6">
        <f>[1]Results!Q1552</f>
        <v>41088.01425</v>
      </c>
      <c r="O82" s="6">
        <f>[1]Results!R1552</f>
        <v>41671.93677</v>
      </c>
      <c r="P82" s="6">
        <f>[1]Results!S1552</f>
        <v>42263.200149999997</v>
      </c>
      <c r="Q82" s="6">
        <f>[1]Results!T1552</f>
        <v>42861.130940000003</v>
      </c>
      <c r="R82" s="6">
        <f>[1]Results!U1552</f>
        <v>43465.496209999998</v>
      </c>
      <c r="S82" s="6">
        <f>[1]Results!V1552</f>
        <v>44076.359799999998</v>
      </c>
      <c r="T82" s="6">
        <f>[1]Results!W1552</f>
        <v>44693.977830000003</v>
      </c>
      <c r="U82" s="6">
        <f>[1]Results!X1552</f>
        <v>45318.718719999997</v>
      </c>
      <c r="V82" s="6">
        <f>[1]Results!Y1552</f>
        <v>45951.005830000002</v>
      </c>
      <c r="W82" s="6">
        <f>[1]Results!Z1552</f>
        <v>46560.019549999997</v>
      </c>
      <c r="X82" s="6">
        <f>[1]Results!AA1552</f>
        <v>47199.14662</v>
      </c>
      <c r="Y82" s="6">
        <f>[1]Results!AB1552</f>
        <v>47849.032939999997</v>
      </c>
      <c r="Z82" s="6">
        <f>[1]Results!AC1552</f>
        <v>48510.222659999999</v>
      </c>
      <c r="AA82" s="6">
        <f>[1]Results!AD1552</f>
        <v>49182.92067</v>
      </c>
      <c r="AB82" s="6">
        <f>[1]Results!AE1552</f>
        <v>49777.050490000001</v>
      </c>
      <c r="AC82" s="6">
        <f>[1]Results!AF1552</f>
        <v>50402.413529999998</v>
      </c>
      <c r="AD82" s="6">
        <f>[1]Results!AG1552</f>
        <v>51031.13955</v>
      </c>
      <c r="AE82" s="6">
        <f>[1]Results!AH1552</f>
        <v>51666.100789999997</v>
      </c>
      <c r="AF82" s="6">
        <f>[1]Results!AI1552</f>
        <v>52309.482779999998</v>
      </c>
      <c r="AG82" s="6">
        <f>[1]Results!AJ1552</f>
        <v>52962.897839999998</v>
      </c>
      <c r="AH82" s="6">
        <f>[1]Results!AK1552</f>
        <v>53627.4594</v>
      </c>
      <c r="AI82" s="6">
        <f>[1]Results!AL1552</f>
        <v>54303.870340000001</v>
      </c>
      <c r="AJ82" s="6">
        <f>[1]Results!AM1552</f>
        <v>54992.521309999996</v>
      </c>
      <c r="AK82" s="6">
        <f>[1]Results!AN1552</f>
        <v>55693.585370000001</v>
      </c>
      <c r="AL82" s="6">
        <f>[1]Results!AO1552</f>
        <v>56407.099040000001</v>
      </c>
      <c r="AM82" s="6">
        <f>[1]Results!AP1552</f>
        <v>57111.258719999998</v>
      </c>
      <c r="AN82" s="6">
        <f>[1]Results!AQ1552</f>
        <v>57820.87068</v>
      </c>
      <c r="AO82" s="6">
        <f>[1]Results!AR1552</f>
        <v>58537.104270000003</v>
      </c>
      <c r="AP82" s="6">
        <f>[1]Results!AS1552</f>
        <v>59261.27233</v>
      </c>
      <c r="AQ82" s="6">
        <f>[1]Results!AT1552</f>
        <v>59994.60209</v>
      </c>
      <c r="AR82" s="6">
        <f>[1]Results!AU1552</f>
        <v>60738.139280000003</v>
      </c>
      <c r="AS82" s="6">
        <f>[1]Results!AV1552</f>
        <v>61492.713830000001</v>
      </c>
      <c r="AT82" s="6">
        <f>[1]Results!AW1552</f>
        <v>62258.939010000002</v>
      </c>
      <c r="AU82" s="6">
        <f>[1]Results!AX1552</f>
        <v>63037.228609999998</v>
      </c>
      <c r="AV82" s="6">
        <f>[1]Results!AY1552</f>
        <v>63827.80444</v>
      </c>
      <c r="AW82" s="6">
        <f>[1]Results!AZ1552</f>
        <v>64632.532120000003</v>
      </c>
      <c r="AX82" s="6">
        <f>[1]Results!BA1552</f>
        <v>65450.165829999998</v>
      </c>
      <c r="AY82" s="6">
        <f>[1]Results!BB1552</f>
        <v>66280.791230000003</v>
      </c>
      <c r="AZ82" s="6">
        <f>[1]Results!BC1552</f>
        <v>67124.418390000006</v>
      </c>
      <c r="BA82" s="6">
        <f>[1]Results!BD1552</f>
        <v>67981.054619999995</v>
      </c>
      <c r="BB82" s="6">
        <f>[1]Results!BE1552</f>
        <v>73673.009269999995</v>
      </c>
      <c r="BC82" s="6">
        <f>[1]Results!BF1552</f>
        <v>74830.096340000004</v>
      </c>
      <c r="BD82" s="6">
        <f>[1]Results!BG1552</f>
        <v>76006.871119999996</v>
      </c>
      <c r="BE82" s="6">
        <f>[1]Results!BH1552</f>
        <v>77203.811189999993</v>
      </c>
      <c r="BF82" s="6">
        <f>[1]Results!BI1552</f>
        <v>78421.397010000001</v>
      </c>
    </row>
    <row r="83" spans="1:58" x14ac:dyDescent="0.35">
      <c r="B83" t="s">
        <v>30</v>
      </c>
      <c r="C83" s="6">
        <f>[1]Results!F1555</f>
        <v>332226.51299999998</v>
      </c>
      <c r="D83" s="6">
        <f>[1]Results!G1555</f>
        <v>336606.995</v>
      </c>
      <c r="E83" s="6">
        <f>[1]Results!H1555</f>
        <v>341544.85859999998</v>
      </c>
      <c r="F83" s="6">
        <f>[1]Results!I1555</f>
        <v>346740.18349999998</v>
      </c>
      <c r="G83" s="6">
        <f>[1]Results!J1555</f>
        <v>352165.58</v>
      </c>
      <c r="H83" s="6">
        <f>[1]Results!K1555</f>
        <v>357796.63429999998</v>
      </c>
      <c r="I83" s="6">
        <f>[1]Results!L1555</f>
        <v>363368.59950000001</v>
      </c>
      <c r="J83" s="6">
        <f>[1]Results!M1555</f>
        <v>369072.96120000002</v>
      </c>
      <c r="K83" s="6">
        <f>[1]Results!N1555</f>
        <v>374895.6557</v>
      </c>
      <c r="L83" s="6">
        <f>[1]Results!O1555</f>
        <v>380835.71769999998</v>
      </c>
      <c r="M83" s="6">
        <f>[1]Results!P1555</f>
        <v>387326.41119999997</v>
      </c>
      <c r="N83" s="6">
        <f>[1]Results!Q1555</f>
        <v>393574.64669999998</v>
      </c>
      <c r="O83" s="6">
        <f>[1]Results!R1555</f>
        <v>399948.45549999998</v>
      </c>
      <c r="P83" s="6">
        <f>[1]Results!S1555</f>
        <v>406425.71789999999</v>
      </c>
      <c r="Q83" s="6">
        <f>[1]Results!T1555</f>
        <v>413005.64539999998</v>
      </c>
      <c r="R83" s="6">
        <f>[1]Results!U1555</f>
        <v>419691.25290000002</v>
      </c>
      <c r="S83" s="6">
        <f>[1]Results!V1555</f>
        <v>426486.68239999999</v>
      </c>
      <c r="T83" s="6">
        <f>[1]Results!W1555</f>
        <v>433396.538</v>
      </c>
      <c r="U83" s="6">
        <f>[1]Results!X1555</f>
        <v>440425.4804</v>
      </c>
      <c r="V83" s="6">
        <f>[1]Results!Y1555</f>
        <v>447577.91080000001</v>
      </c>
      <c r="W83" s="6">
        <f>[1]Results!Z1555</f>
        <v>454535.58980000002</v>
      </c>
      <c r="X83" s="6">
        <f>[1]Results!AA1555</f>
        <v>461889.86109999998</v>
      </c>
      <c r="Y83" s="6">
        <f>[1]Results!AB1555</f>
        <v>469371.17389999999</v>
      </c>
      <c r="Z83" s="6">
        <f>[1]Results!AC1555</f>
        <v>476998.03169999999</v>
      </c>
      <c r="AA83" s="6">
        <f>[1]Results!AD1555</f>
        <v>484772.78639999998</v>
      </c>
      <c r="AB83" s="6">
        <f>[1]Results!AE1555</f>
        <v>491762.09639999998</v>
      </c>
      <c r="AC83" s="6">
        <f>[1]Results!AF1555</f>
        <v>499220.90980000002</v>
      </c>
      <c r="AD83" s="6">
        <f>[1]Results!AG1555</f>
        <v>506720.10580000002</v>
      </c>
      <c r="AE83" s="6">
        <f>[1]Results!AH1555</f>
        <v>514295.065</v>
      </c>
      <c r="AF83" s="6">
        <f>[1]Results!AI1555</f>
        <v>521958.47850000003</v>
      </c>
      <c r="AG83" s="6">
        <f>[1]Results!AJ1555</f>
        <v>529717.30240000004</v>
      </c>
      <c r="AH83" s="6">
        <f>[1]Results!AK1555</f>
        <v>537575.30599999998</v>
      </c>
      <c r="AI83" s="6">
        <f>[1]Results!AL1555</f>
        <v>545533.76100000006</v>
      </c>
      <c r="AJ83" s="6">
        <f>[1]Results!AM1555</f>
        <v>553592.01520000002</v>
      </c>
      <c r="AK83" s="6">
        <f>[1]Results!AN1555</f>
        <v>561748.09369999997</v>
      </c>
      <c r="AL83" s="6">
        <f>[1]Results!AO1555</f>
        <v>569999.26399999997</v>
      </c>
      <c r="AM83" s="6">
        <f>[1]Results!AP1555</f>
        <v>578115.05299999996</v>
      </c>
      <c r="AN83" s="6">
        <f>[1]Results!AQ1555</f>
        <v>586276.22790000006</v>
      </c>
      <c r="AO83" s="6">
        <f>[1]Results!AR1555</f>
        <v>594475.22309999994</v>
      </c>
      <c r="AP83" s="6">
        <f>[1]Results!AS1555</f>
        <v>602716.46869999997</v>
      </c>
      <c r="AQ83" s="6">
        <f>[1]Results!AT1555</f>
        <v>611005.60120000003</v>
      </c>
      <c r="AR83" s="6">
        <f>[1]Results!AU1555</f>
        <v>619347.76560000004</v>
      </c>
      <c r="AS83" s="6">
        <f>[1]Results!AV1555</f>
        <v>627747.29579999996</v>
      </c>
      <c r="AT83" s="6">
        <f>[1]Results!AW1555</f>
        <v>636207.6875</v>
      </c>
      <c r="AU83" s="6">
        <f>[1]Results!AX1555</f>
        <v>644731.71019999997</v>
      </c>
      <c r="AV83" s="6">
        <f>[1]Results!AY1555</f>
        <v>653321.61120000004</v>
      </c>
      <c r="AW83" s="6">
        <f>[1]Results!AZ1555</f>
        <v>662000.13589999999</v>
      </c>
      <c r="AX83" s="6">
        <f>[1]Results!BA1555</f>
        <v>670752.51549999998</v>
      </c>
      <c r="AY83" s="6">
        <f>[1]Results!BB1555</f>
        <v>679581.17960000003</v>
      </c>
      <c r="AZ83" s="6">
        <f>[1]Results!BC1555</f>
        <v>688487.19259999995</v>
      </c>
      <c r="BA83" s="6">
        <f>[1]Results!BD1555</f>
        <v>697471.93530000001</v>
      </c>
      <c r="BB83" s="6">
        <f>[1]Results!BE1555</f>
        <v>781663.80500000005</v>
      </c>
      <c r="BC83" s="6">
        <f>[1]Results!BF1555</f>
        <v>795467.88820000004</v>
      </c>
      <c r="BD83" s="6">
        <f>[1]Results!BG1555</f>
        <v>809456.06830000004</v>
      </c>
      <c r="BE83" s="6">
        <f>[1]Results!BH1555</f>
        <v>823628.62589999998</v>
      </c>
      <c r="BF83" s="6">
        <f>[1]Results!BI1555</f>
        <v>837986.17110000004</v>
      </c>
    </row>
    <row r="84" spans="1:58" x14ac:dyDescent="0.35">
      <c r="B84" t="s">
        <v>9</v>
      </c>
      <c r="C84" s="6">
        <f>[1]Results!F1567</f>
        <v>48571.106160000003</v>
      </c>
      <c r="D84" s="6">
        <f>[1]Results!G1567</f>
        <v>49156.962379999997</v>
      </c>
      <c r="E84" s="6">
        <f>[1]Results!H1567</f>
        <v>49805.651899999997</v>
      </c>
      <c r="F84" s="6">
        <f>[1]Results!I1567</f>
        <v>50492.574130000001</v>
      </c>
      <c r="G84" s="6">
        <f>[1]Results!J1567</f>
        <v>51216.412400000001</v>
      </c>
      <c r="H84" s="6">
        <f>[1]Results!K1567</f>
        <v>51973.058440000001</v>
      </c>
      <c r="I84" s="6">
        <f>[1]Results!L1567</f>
        <v>52721.454619999997</v>
      </c>
      <c r="J84" s="6">
        <f>[1]Results!M1567</f>
        <v>53488.57417</v>
      </c>
      <c r="K84" s="6">
        <f>[1]Results!N1567</f>
        <v>54271.017500000002</v>
      </c>
      <c r="L84" s="6">
        <f>[1]Results!O1567</f>
        <v>55067.195809999997</v>
      </c>
      <c r="M84" s="6">
        <f>[1]Results!P1567</f>
        <v>55940.548569999999</v>
      </c>
      <c r="N84" s="6">
        <f>[1]Results!Q1567</f>
        <v>56771.173439999999</v>
      </c>
      <c r="O84" s="6">
        <f>[1]Results!R1567</f>
        <v>57612.814100000003</v>
      </c>
      <c r="P84" s="6">
        <f>[1]Results!S1567</f>
        <v>58462.266759999999</v>
      </c>
      <c r="Q84" s="6">
        <f>[1]Results!T1567</f>
        <v>59319.136700000003</v>
      </c>
      <c r="R84" s="6">
        <f>[1]Results!U1567</f>
        <v>60183.712780000002</v>
      </c>
      <c r="S84" s="6">
        <f>[1]Results!V1567</f>
        <v>61056.593860000001</v>
      </c>
      <c r="T84" s="6">
        <f>[1]Results!W1567</f>
        <v>61938.551480000002</v>
      </c>
      <c r="U84" s="6">
        <f>[1]Results!X1567</f>
        <v>62830.439590000002</v>
      </c>
      <c r="V84" s="6">
        <f>[1]Results!Y1567</f>
        <v>63733.13132</v>
      </c>
      <c r="W84" s="6">
        <f>[1]Results!Z1567</f>
        <v>64599.400450000001</v>
      </c>
      <c r="X84" s="6">
        <f>[1]Results!AA1567</f>
        <v>65518.390359999998</v>
      </c>
      <c r="Y84" s="6">
        <f>[1]Results!AB1567</f>
        <v>66450.514509999994</v>
      </c>
      <c r="Z84" s="6">
        <f>[1]Results!AC1567</f>
        <v>67398.457550000006</v>
      </c>
      <c r="AA84" s="6">
        <f>[1]Results!AD1567</f>
        <v>68362.920549999995</v>
      </c>
      <c r="AB84" s="6">
        <f>[1]Results!AE1567</f>
        <v>69205.133950000003</v>
      </c>
      <c r="AC84" s="6">
        <f>[1]Results!AF1567</f>
        <v>70114.507689999999</v>
      </c>
      <c r="AD84" s="6">
        <f>[1]Results!AG1567</f>
        <v>71029.039050000007</v>
      </c>
      <c r="AE84" s="6">
        <f>[1]Results!AH1567</f>
        <v>71954.308069999999</v>
      </c>
      <c r="AF84" s="6">
        <f>[1]Results!AI1567</f>
        <v>72893.040219999995</v>
      </c>
      <c r="AG84" s="6">
        <f>[1]Results!AJ1567</f>
        <v>73847.064809999996</v>
      </c>
      <c r="AH84" s="6">
        <f>[1]Results!AK1567</f>
        <v>74817.613769999996</v>
      </c>
      <c r="AI84" s="6">
        <f>[1]Results!AL1567</f>
        <v>75805.441319999998</v>
      </c>
      <c r="AJ84" s="6">
        <f>[1]Results!AM1567</f>
        <v>76810.936879999994</v>
      </c>
      <c r="AK84" s="6">
        <f>[1]Results!AN1567</f>
        <v>77834.234450000004</v>
      </c>
      <c r="AL84" s="6">
        <f>[1]Results!AO1567</f>
        <v>78875.307509999999</v>
      </c>
      <c r="AM84" s="6">
        <f>[1]Results!AP1567</f>
        <v>79900.19111</v>
      </c>
      <c r="AN84" s="6">
        <f>[1]Results!AQ1567</f>
        <v>80936.603130000003</v>
      </c>
      <c r="AO84" s="6">
        <f>[1]Results!AR1567</f>
        <v>81984.286779999995</v>
      </c>
      <c r="AP84" s="6">
        <f>[1]Results!AS1567</f>
        <v>83044.396869999997</v>
      </c>
      <c r="AQ84" s="6">
        <f>[1]Results!AT1567</f>
        <v>84118.169529999999</v>
      </c>
      <c r="AR84" s="6">
        <f>[1]Results!AU1567</f>
        <v>85206.681549999994</v>
      </c>
      <c r="AS84" s="6">
        <f>[1]Results!AV1567</f>
        <v>86310.792820000002</v>
      </c>
      <c r="AT84" s="6">
        <f>[1]Results!AW1567</f>
        <v>87431.144020000007</v>
      </c>
      <c r="AU84" s="6">
        <f>[1]Results!AX1567</f>
        <v>88568.183189999996</v>
      </c>
      <c r="AV84" s="6">
        <f>[1]Results!AY1567</f>
        <v>89722.207670000003</v>
      </c>
      <c r="AW84" s="6">
        <f>[1]Results!AZ1567</f>
        <v>90896.503970000005</v>
      </c>
      <c r="AX84" s="6">
        <f>[1]Results!BA1567</f>
        <v>92088.679350000006</v>
      </c>
      <c r="AY84" s="6">
        <f>[1]Results!BB1567</f>
        <v>93298.853440000006</v>
      </c>
      <c r="AZ84" s="6">
        <f>[1]Results!BC1567</f>
        <v>94526.951889999997</v>
      </c>
      <c r="BA84" s="6">
        <f>[1]Results!BD1567</f>
        <v>95772.900760000004</v>
      </c>
      <c r="BB84" s="6">
        <f>[1]Results!BE1567</f>
        <v>104551.2357</v>
      </c>
      <c r="BC84" s="6">
        <f>[1]Results!BF1567</f>
        <v>106267.7761</v>
      </c>
      <c r="BD84" s="6">
        <f>[1]Results!BG1567</f>
        <v>108015.0258</v>
      </c>
      <c r="BE84" s="6">
        <f>[1]Results!BH1567</f>
        <v>109793.6344</v>
      </c>
      <c r="BF84" s="6">
        <f>[1]Results!BI1567</f>
        <v>111604.26330000001</v>
      </c>
    </row>
    <row r="85" spans="1:58" x14ac:dyDescent="0.35">
      <c r="B85" t="s">
        <v>10</v>
      </c>
      <c r="C85" s="6">
        <f>[1]Results!F1572</f>
        <v>1513908.5689999999</v>
      </c>
      <c r="D85" s="6">
        <f>[1]Results!G1572</f>
        <v>1533424.8459999999</v>
      </c>
      <c r="E85" s="6">
        <f>[1]Results!H1572</f>
        <v>1554985.311</v>
      </c>
      <c r="F85" s="6">
        <f>[1]Results!I1572</f>
        <v>1577934.7080000001</v>
      </c>
      <c r="G85" s="6">
        <f>[1]Results!J1572</f>
        <v>1602168.7050000001</v>
      </c>
      <c r="H85" s="6">
        <f>[1]Results!K1572</f>
        <v>1627543.084</v>
      </c>
      <c r="I85" s="6">
        <f>[1]Results!L1572</f>
        <v>1652794.8019999999</v>
      </c>
      <c r="J85" s="6">
        <f>[1]Results!M1572</f>
        <v>1678634.3419999999</v>
      </c>
      <c r="K85" s="6">
        <f>[1]Results!N1572</f>
        <v>1705033.0249999999</v>
      </c>
      <c r="L85" s="6">
        <f>[1]Results!O1572</f>
        <v>1731961.3259999999</v>
      </c>
      <c r="M85" s="6">
        <f>[1]Results!P1572</f>
        <v>1761370.497</v>
      </c>
      <c r="N85" s="6">
        <f>[1]Results!Q1572</f>
        <v>1789801.183</v>
      </c>
      <c r="O85" s="6">
        <f>[1]Results!R1572</f>
        <v>1818562.7949999999</v>
      </c>
      <c r="P85" s="6">
        <f>[1]Results!S1572</f>
        <v>1847650.8489999999</v>
      </c>
      <c r="Q85" s="6">
        <f>[1]Results!T1572</f>
        <v>1877062.3430000001</v>
      </c>
      <c r="R85" s="6">
        <f>[1]Results!U1572</f>
        <v>1906801.443</v>
      </c>
      <c r="S85" s="6">
        <f>[1]Results!V1572</f>
        <v>1936878.977</v>
      </c>
      <c r="T85" s="6">
        <f>[1]Results!W1572</f>
        <v>1967310.2450000001</v>
      </c>
      <c r="U85" s="6">
        <f>[1]Results!X1572</f>
        <v>1998112.82</v>
      </c>
      <c r="V85" s="6">
        <f>[1]Results!Y1572</f>
        <v>2029304.8870000001</v>
      </c>
      <c r="W85" s="6">
        <f>[1]Results!Z1572</f>
        <v>2059429.1640000001</v>
      </c>
      <c r="X85" s="6">
        <f>[1]Results!AA1572</f>
        <v>2091056.0009999999</v>
      </c>
      <c r="Y85" s="6">
        <f>[1]Results!AB1572</f>
        <v>2123211.2420000001</v>
      </c>
      <c r="Z85" s="6">
        <f>[1]Results!AC1572</f>
        <v>2155898.4589999998</v>
      </c>
      <c r="AA85" s="6">
        <f>[1]Results!AD1572</f>
        <v>2189122.0630000001</v>
      </c>
      <c r="AB85" s="6">
        <f>[1]Results!AE1572</f>
        <v>2218614.2740000002</v>
      </c>
      <c r="AC85" s="6">
        <f>[1]Results!AF1572</f>
        <v>2249735.5290000001</v>
      </c>
      <c r="AD85" s="6">
        <f>[1]Results!AG1572</f>
        <v>2281077.2149999999</v>
      </c>
      <c r="AE85" s="6">
        <f>[1]Results!AH1572</f>
        <v>2312721.548</v>
      </c>
      <c r="AF85" s="6">
        <f>[1]Results!AI1572</f>
        <v>2344742.344</v>
      </c>
      <c r="AG85" s="6">
        <f>[1]Results!AJ1572</f>
        <v>2377197.523</v>
      </c>
      <c r="AH85" s="6">
        <f>[1]Results!AK1572</f>
        <v>2410128.335</v>
      </c>
      <c r="AI85" s="6">
        <f>[1]Results!AL1572</f>
        <v>2443561.5129999998</v>
      </c>
      <c r="AJ85" s="6">
        <f>[1]Results!AM1572</f>
        <v>2477512.5759999999</v>
      </c>
      <c r="AK85" s="6">
        <f>[1]Results!AN1572</f>
        <v>2511989.2379999999</v>
      </c>
      <c r="AL85" s="6">
        <f>[1]Results!AO1572</f>
        <v>2546994.3829999999</v>
      </c>
      <c r="AM85" s="6">
        <f>[1]Results!AP1572</f>
        <v>2581490.7850000001</v>
      </c>
      <c r="AN85" s="6">
        <f>[1]Results!AQ1572</f>
        <v>2616224.2459999998</v>
      </c>
      <c r="AO85" s="6">
        <f>[1]Results!AR1572</f>
        <v>2651253.4500000002</v>
      </c>
      <c r="AP85" s="6">
        <f>[1]Results!AS1572</f>
        <v>2686630.4210000001</v>
      </c>
      <c r="AQ85" s="6">
        <f>[1]Results!AT1572</f>
        <v>2722401.736</v>
      </c>
      <c r="AR85" s="6">
        <f>[1]Results!AU1572</f>
        <v>2758607.3319999999</v>
      </c>
      <c r="AS85" s="6">
        <f>[1]Results!AV1572</f>
        <v>2795279.6609999998</v>
      </c>
      <c r="AT85" s="6">
        <f>[1]Results!AW1572</f>
        <v>2832443.77</v>
      </c>
      <c r="AU85" s="6">
        <f>[1]Results!AX1572</f>
        <v>2870118.1979999999</v>
      </c>
      <c r="AV85" s="6">
        <f>[1]Results!AY1572</f>
        <v>2908316.4279999998</v>
      </c>
      <c r="AW85" s="6">
        <f>[1]Results!AZ1572</f>
        <v>2947143.1970000002</v>
      </c>
      <c r="AX85" s="6">
        <f>[1]Results!BA1572</f>
        <v>2986539.7450000001</v>
      </c>
      <c r="AY85" s="6">
        <f>[1]Results!BB1572</f>
        <v>3026507.8509999998</v>
      </c>
      <c r="AZ85" s="6">
        <f>[1]Results!BC1572</f>
        <v>3067045.4610000001</v>
      </c>
      <c r="BA85" s="6">
        <f>[1]Results!BD1572</f>
        <v>3108151.25</v>
      </c>
      <c r="BB85" s="6">
        <f>[1]Results!BE1572</f>
        <v>3421146.1329999999</v>
      </c>
      <c r="BC85" s="6">
        <f>[1]Results!BF1572</f>
        <v>3478549.7910000002</v>
      </c>
      <c r="BD85" s="6">
        <f>[1]Results!BG1572</f>
        <v>3536883.7719999999</v>
      </c>
      <c r="BE85" s="6">
        <f>[1]Results!BH1572</f>
        <v>3596166.577</v>
      </c>
      <c r="BF85" s="6">
        <f>[1]Results!BI1572</f>
        <v>3656417.5589999999</v>
      </c>
    </row>
    <row r="86" spans="1:58" x14ac:dyDescent="0.35">
      <c r="B86" t="s">
        <v>29</v>
      </c>
      <c r="C86" s="6">
        <f>C91-C87</f>
        <v>-1911.7610970999999</v>
      </c>
      <c r="D86" s="6">
        <f t="shared" ref="D86:AL86" si="50">D91-D87</f>
        <v>-1937.8083163000001</v>
      </c>
      <c r="E86" s="6">
        <f t="shared" si="50"/>
        <v>-1945.1410853000002</v>
      </c>
      <c r="F86" s="6">
        <f t="shared" si="50"/>
        <v>-1949.3072806</v>
      </c>
      <c r="G86" s="6">
        <f t="shared" si="50"/>
        <v>-1956.0428779000001</v>
      </c>
      <c r="H86" s="6">
        <f t="shared" si="50"/>
        <v>-1966.5749432</v>
      </c>
      <c r="I86" s="6">
        <f t="shared" si="50"/>
        <v>-1981.7048745000002</v>
      </c>
      <c r="J86" s="6">
        <f t="shared" si="50"/>
        <v>-1997.8767930999998</v>
      </c>
      <c r="K86" s="6">
        <f t="shared" si="50"/>
        <v>-2015.5925576</v>
      </c>
      <c r="L86" s="6">
        <f t="shared" si="50"/>
        <v>-2034.5046969</v>
      </c>
      <c r="M86" s="6">
        <f t="shared" si="50"/>
        <v>-2052.4776640999999</v>
      </c>
      <c r="N86" s="6">
        <f t="shared" si="50"/>
        <v>-2075.8932887000001</v>
      </c>
      <c r="O86" s="6">
        <f t="shared" si="50"/>
        <v>-2097.3377086</v>
      </c>
      <c r="P86" s="6">
        <f t="shared" si="50"/>
        <v>-2118.4962145</v>
      </c>
      <c r="Q86" s="6">
        <f t="shared" si="50"/>
        <v>-2139.7212141</v>
      </c>
      <c r="R86" s="6">
        <f t="shared" si="50"/>
        <v>-2161.0689785</v>
      </c>
      <c r="S86" s="6">
        <f t="shared" si="50"/>
        <v>-2182.5472903999998</v>
      </c>
      <c r="T86" s="6">
        <f t="shared" si="50"/>
        <v>-2204.1634061</v>
      </c>
      <c r="U86" s="6">
        <f t="shared" si="50"/>
        <v>-2225.9298868000001</v>
      </c>
      <c r="V86" s="6">
        <f t="shared" si="50"/>
        <v>-2247.8629573999997</v>
      </c>
      <c r="W86" s="6">
        <f t="shared" si="50"/>
        <v>-2271.2612901000002</v>
      </c>
      <c r="X86" s="6">
        <f t="shared" si="50"/>
        <v>-2291.2304721</v>
      </c>
      <c r="Y86" s="6">
        <f t="shared" si="50"/>
        <v>-2313.151124</v>
      </c>
      <c r="Z86" s="6">
        <f t="shared" si="50"/>
        <v>-2335.7112825999998</v>
      </c>
      <c r="AA86" s="6">
        <f t="shared" si="50"/>
        <v>-2358.6263283999997</v>
      </c>
      <c r="AB86" s="6">
        <f t="shared" si="50"/>
        <v>-2385.5330601000001</v>
      </c>
      <c r="AC86" s="6">
        <f t="shared" si="50"/>
        <v>-2404.0295368000002</v>
      </c>
      <c r="AD86" s="6">
        <f t="shared" si="50"/>
        <v>-2424.6471042000003</v>
      </c>
      <c r="AE86" s="6">
        <f t="shared" si="50"/>
        <v>-2445.883018</v>
      </c>
      <c r="AF86" s="6">
        <f t="shared" si="50"/>
        <v>-2467.4228922000002</v>
      </c>
      <c r="AG86" s="6">
        <f t="shared" si="50"/>
        <v>-2489.2351663999998</v>
      </c>
      <c r="AH86" s="6">
        <f t="shared" si="50"/>
        <v>-2511.3415495999998</v>
      </c>
      <c r="AI86" s="6">
        <f t="shared" si="50"/>
        <v>-2533.7667702999997</v>
      </c>
      <c r="AJ86" s="6">
        <f t="shared" si="50"/>
        <v>-2556.5280905999998</v>
      </c>
      <c r="AK86" s="6">
        <f t="shared" si="50"/>
        <v>-2579.6345793999999</v>
      </c>
      <c r="AL86" s="6">
        <f t="shared" si="50"/>
        <v>-2603.0888316</v>
      </c>
      <c r="AM86" s="6">
        <f t="shared" ref="AM86:BC86" si="51">AM91-AM87</f>
        <v>-2627.7749484000001</v>
      </c>
      <c r="AN86" s="6">
        <f t="shared" si="51"/>
        <v>-2651.1726826999998</v>
      </c>
      <c r="AO86" s="6">
        <f t="shared" si="51"/>
        <v>-2674.4750719999997</v>
      </c>
      <c r="AP86" s="6">
        <f t="shared" si="51"/>
        <v>-2697.9539137000002</v>
      </c>
      <c r="AQ86" s="6">
        <f t="shared" si="51"/>
        <v>-2721.6758455999998</v>
      </c>
      <c r="AR86" s="6">
        <f t="shared" si="51"/>
        <v>-2745.6675065999998</v>
      </c>
      <c r="AS86" s="6">
        <f t="shared" si="51"/>
        <v>-2769.9475315999998</v>
      </c>
      <c r="AT86" s="6">
        <f t="shared" si="51"/>
        <v>-2794.5311234000001</v>
      </c>
      <c r="AU86" s="6">
        <f t="shared" si="51"/>
        <v>-2819.4301748999997</v>
      </c>
      <c r="AV86" s="6">
        <f t="shared" si="51"/>
        <v>-2844.6536339999998</v>
      </c>
      <c r="AW86" s="6">
        <f t="shared" si="51"/>
        <v>-2870.1309883999998</v>
      </c>
      <c r="AX86" s="6">
        <f t="shared" si="51"/>
        <v>-2896.0948604</v>
      </c>
      <c r="AY86" s="6">
        <f t="shared" si="51"/>
        <v>-2922.4614984</v>
      </c>
      <c r="AZ86" s="6">
        <f t="shared" si="51"/>
        <v>-2949.1352914000004</v>
      </c>
      <c r="BA86" s="6">
        <f t="shared" si="51"/>
        <v>-2976.1138394</v>
      </c>
      <c r="BB86" s="6">
        <f t="shared" si="51"/>
        <v>-3212.6162503999999</v>
      </c>
      <c r="BC86" s="6">
        <f t="shared" si="51"/>
        <v>-3251.7048113999999</v>
      </c>
      <c r="BD86" s="6">
        <f t="shared" ref="BD86:BF86" si="52">BD91-BD87</f>
        <v>-3291.4015064</v>
      </c>
      <c r="BE86" s="6">
        <f t="shared" si="52"/>
        <v>-3331.7245893999998</v>
      </c>
      <c r="BF86" s="6">
        <f t="shared" si="52"/>
        <v>-3372.6920703999999</v>
      </c>
    </row>
    <row r="87" spans="1:58" x14ac:dyDescent="0.35">
      <c r="B87" t="s">
        <v>36</v>
      </c>
      <c r="C87" s="6">
        <f>C89+C90</f>
        <v>-117.46611589999998</v>
      </c>
      <c r="D87" s="6">
        <f t="shared" ref="D87:AL87" si="53">D89+D90</f>
        <v>-123.54243069999995</v>
      </c>
      <c r="E87" s="6">
        <f t="shared" si="53"/>
        <v>-126.42182070000001</v>
      </c>
      <c r="F87" s="6">
        <f t="shared" si="53"/>
        <v>-129.25291140000002</v>
      </c>
      <c r="G87" s="6">
        <f t="shared" si="53"/>
        <v>-133.22138010000003</v>
      </c>
      <c r="H87" s="6">
        <f t="shared" si="53"/>
        <v>-138.51487380000003</v>
      </c>
      <c r="I87" s="6">
        <f t="shared" si="53"/>
        <v>-144.81515249999995</v>
      </c>
      <c r="J87" s="6">
        <f t="shared" si="53"/>
        <v>-151.72354789999997</v>
      </c>
      <c r="K87" s="6">
        <f t="shared" si="53"/>
        <v>-159.16200839999999</v>
      </c>
      <c r="L87" s="6">
        <f t="shared" si="53"/>
        <v>-166.9915651</v>
      </c>
      <c r="M87" s="6">
        <f t="shared" si="53"/>
        <v>-175.32329389999995</v>
      </c>
      <c r="N87" s="6">
        <f t="shared" si="53"/>
        <v>-184.09289530000001</v>
      </c>
      <c r="O87" s="6">
        <f t="shared" si="53"/>
        <v>-192.74878139999998</v>
      </c>
      <c r="P87" s="6">
        <f t="shared" si="53"/>
        <v>-201.47301549999997</v>
      </c>
      <c r="Q87" s="6">
        <f t="shared" si="53"/>
        <v>-210.28292290000002</v>
      </c>
      <c r="R87" s="6">
        <f t="shared" si="53"/>
        <v>-219.17169049999995</v>
      </c>
      <c r="S87" s="6">
        <f t="shared" si="53"/>
        <v>-228.13292860000001</v>
      </c>
      <c r="T87" s="6">
        <f t="shared" si="53"/>
        <v>-237.16366389999996</v>
      </c>
      <c r="U87" s="6">
        <f t="shared" si="53"/>
        <v>-246.26372119999996</v>
      </c>
      <c r="V87" s="6">
        <f t="shared" si="53"/>
        <v>-255.43479960000002</v>
      </c>
      <c r="W87" s="6">
        <f t="shared" si="53"/>
        <v>-264.51644490000001</v>
      </c>
      <c r="X87" s="6">
        <f t="shared" si="53"/>
        <v>-273.50760590000004</v>
      </c>
      <c r="Y87" s="6">
        <f t="shared" si="53"/>
        <v>-282.787059</v>
      </c>
      <c r="Z87" s="6">
        <f t="shared" si="53"/>
        <v>-292.20031440000002</v>
      </c>
      <c r="AA87" s="6">
        <f t="shared" si="53"/>
        <v>-301.72368359999996</v>
      </c>
      <c r="AB87" s="6">
        <f t="shared" si="53"/>
        <v>-310.88442689999999</v>
      </c>
      <c r="AC87" s="6">
        <f t="shared" si="53"/>
        <v>-319.44954319999999</v>
      </c>
      <c r="AD87" s="6">
        <f t="shared" si="53"/>
        <v>-328.27120879999995</v>
      </c>
      <c r="AE87" s="6">
        <f t="shared" si="53"/>
        <v>-337.17015000000004</v>
      </c>
      <c r="AF87" s="6">
        <f t="shared" si="53"/>
        <v>-346.13092380000001</v>
      </c>
      <c r="AG87" s="6">
        <f t="shared" si="53"/>
        <v>-355.16673660000004</v>
      </c>
      <c r="AH87" s="6">
        <f t="shared" si="53"/>
        <v>-364.29295539999998</v>
      </c>
      <c r="AI87" s="6">
        <f t="shared" si="53"/>
        <v>-373.52209870000002</v>
      </c>
      <c r="AJ87" s="6">
        <f t="shared" si="53"/>
        <v>-382.86329839999996</v>
      </c>
      <c r="AK87" s="6">
        <f t="shared" si="53"/>
        <v>-392.3227766</v>
      </c>
      <c r="AL87" s="6">
        <f t="shared" si="53"/>
        <v>-401.9045314</v>
      </c>
      <c r="AM87" s="6">
        <f t="shared" ref="AM87:BC87" si="54">AM89+AM90</f>
        <v>-411.49695759999997</v>
      </c>
      <c r="AN87" s="6">
        <f t="shared" si="54"/>
        <v>-420.98402229999999</v>
      </c>
      <c r="AO87" s="6">
        <f t="shared" si="54"/>
        <v>-430.50996199999997</v>
      </c>
      <c r="AP87" s="6">
        <f t="shared" si="54"/>
        <v>-440.10821129999999</v>
      </c>
      <c r="AQ87" s="6">
        <f t="shared" si="54"/>
        <v>-449.79252640000004</v>
      </c>
      <c r="AR87" s="6">
        <f t="shared" si="54"/>
        <v>-459.57308239999998</v>
      </c>
      <c r="AS87" s="6">
        <f t="shared" si="54"/>
        <v>-469.45869040000002</v>
      </c>
      <c r="AT87" s="6">
        <f t="shared" si="54"/>
        <v>-479.45678359999999</v>
      </c>
      <c r="AU87" s="6">
        <f t="shared" si="54"/>
        <v>-489.57329010000001</v>
      </c>
      <c r="AV87" s="6">
        <f t="shared" si="54"/>
        <v>-499.81268</v>
      </c>
      <c r="AW87" s="6">
        <f t="shared" si="54"/>
        <v>-510.18842359999996</v>
      </c>
      <c r="AX87" s="6">
        <f t="shared" si="54"/>
        <v>-520.71324159999995</v>
      </c>
      <c r="AY87" s="6">
        <f t="shared" si="54"/>
        <v>-531.37564060000011</v>
      </c>
      <c r="AZ87" s="6">
        <f t="shared" si="54"/>
        <v>-542.17390859999989</v>
      </c>
      <c r="BA87" s="6">
        <f t="shared" si="54"/>
        <v>-553.10809660000007</v>
      </c>
      <c r="BB87" s="6">
        <f t="shared" si="54"/>
        <v>-648.62563160000002</v>
      </c>
      <c r="BC87" s="6">
        <f t="shared" si="54"/>
        <v>-664.39585460000001</v>
      </c>
      <c r="BD87" s="6">
        <f t="shared" ref="BD87:BF87" si="55">BD89+BD90</f>
        <v>-680.40729359999989</v>
      </c>
      <c r="BE87" s="6">
        <f t="shared" si="55"/>
        <v>-696.66694360000008</v>
      </c>
      <c r="BF87" s="6">
        <f t="shared" si="55"/>
        <v>-713.18230660000006</v>
      </c>
    </row>
    <row r="88" spans="1:58" x14ac:dyDescent="0.35">
      <c r="B88" t="s">
        <v>33</v>
      </c>
      <c r="C88" s="6">
        <f>[1]Results!F1580</f>
        <v>40630.106370000001</v>
      </c>
      <c r="D88" s="6">
        <f>[1]Results!G1580</f>
        <v>40928.329380000003</v>
      </c>
      <c r="E88" s="6">
        <f>[1]Results!H1580</f>
        <v>41196.52175</v>
      </c>
      <c r="F88" s="6">
        <f>[1]Results!I1580</f>
        <v>41474.059390000002</v>
      </c>
      <c r="G88" s="6">
        <f>[1]Results!J1580</f>
        <v>41773.763550000003</v>
      </c>
      <c r="H88" s="6">
        <f>[1]Results!K1580</f>
        <v>42102.436000000002</v>
      </c>
      <c r="I88" s="6">
        <f>[1]Results!L1580</f>
        <v>42437.970869999997</v>
      </c>
      <c r="J88" s="6">
        <f>[1]Results!M1580</f>
        <v>42791.233289999996</v>
      </c>
      <c r="K88" s="6">
        <f>[1]Results!N1580</f>
        <v>43159.629379999998</v>
      </c>
      <c r="L88" s="6">
        <f>[1]Results!O1580</f>
        <v>43539.238230000003</v>
      </c>
      <c r="M88" s="6">
        <f>[1]Results!P1580</f>
        <v>43966.56523</v>
      </c>
      <c r="N88" s="6">
        <f>[1]Results!Q1580</f>
        <v>44373.523289999997</v>
      </c>
      <c r="O88" s="6">
        <f>[1]Results!R1580</f>
        <v>44779.395530000002</v>
      </c>
      <c r="P88" s="6">
        <f>[1]Results!S1580</f>
        <v>45186.365689999999</v>
      </c>
      <c r="Q88" s="6">
        <f>[1]Results!T1580</f>
        <v>45594.950859999997</v>
      </c>
      <c r="R88" s="6">
        <f>[1]Results!U1580</f>
        <v>46005.497600000002</v>
      </c>
      <c r="S88" s="6">
        <f>[1]Results!V1580</f>
        <v>46418.44253</v>
      </c>
      <c r="T88" s="6">
        <f>[1]Results!W1580</f>
        <v>46834.344590000001</v>
      </c>
      <c r="U88" s="6">
        <f>[1]Results!X1580</f>
        <v>47253.863709999998</v>
      </c>
      <c r="V88" s="6">
        <f>[1]Results!Y1580</f>
        <v>47677.725700000003</v>
      </c>
      <c r="W88" s="6">
        <f>[1]Results!Z1580</f>
        <v>48078.028100000003</v>
      </c>
      <c r="X88" s="6">
        <f>[1]Results!AA1580</f>
        <v>48503.288339999999</v>
      </c>
      <c r="Y88" s="6">
        <f>[1]Results!AB1580</f>
        <v>48939.209390000004</v>
      </c>
      <c r="Z88" s="6">
        <f>[1]Results!AC1580</f>
        <v>49384.387260000003</v>
      </c>
      <c r="AA88" s="6">
        <f>[1]Results!AD1580</f>
        <v>49838.824289999997</v>
      </c>
      <c r="AB88" s="6">
        <f>[1]Results!AE1580</f>
        <v>50221.085140000003</v>
      </c>
      <c r="AC88" s="6">
        <f>[1]Results!AF1580</f>
        <v>50628.874709999996</v>
      </c>
      <c r="AD88" s="6">
        <f>[1]Results!AG1580</f>
        <v>51044.868340000001</v>
      </c>
      <c r="AE88" s="6">
        <f>[1]Results!AH1580</f>
        <v>51468.673320000002</v>
      </c>
      <c r="AF88" s="6">
        <f>[1]Results!AI1580</f>
        <v>51901.229220000001</v>
      </c>
      <c r="AG88" s="6">
        <f>[1]Results!AJ1580</f>
        <v>52343.490539999999</v>
      </c>
      <c r="AH88" s="6">
        <f>[1]Results!AK1580</f>
        <v>52796.194530000001</v>
      </c>
      <c r="AI88" s="6">
        <f>[1]Results!AL1580</f>
        <v>53259.831859999998</v>
      </c>
      <c r="AJ88" s="6">
        <f>[1]Results!AM1580</f>
        <v>53734.670030000001</v>
      </c>
      <c r="AK88" s="6">
        <f>[1]Results!AN1580</f>
        <v>54220.795149999998</v>
      </c>
      <c r="AL88" s="6">
        <f>[1]Results!AO1580</f>
        <v>54718.158810000001</v>
      </c>
      <c r="AM88" s="6">
        <f>[1]Results!AP1580</f>
        <v>55207.33885</v>
      </c>
      <c r="AN88" s="6">
        <f>[1]Results!AQ1580</f>
        <v>55700.825949999999</v>
      </c>
      <c r="AO88" s="6">
        <f>[1]Results!AR1580</f>
        <v>56201.013989999999</v>
      </c>
      <c r="AP88" s="6">
        <f>[1]Results!AS1580</f>
        <v>56708.966269999997</v>
      </c>
      <c r="AQ88" s="6">
        <f>[1]Results!AT1580</f>
        <v>57225.376839999997</v>
      </c>
      <c r="AR88" s="6">
        <f>[1]Results!AU1580</f>
        <v>57750.76382</v>
      </c>
      <c r="AS88" s="6">
        <f>[1]Results!AV1580</f>
        <v>58285.52089</v>
      </c>
      <c r="AT88" s="6">
        <f>[1]Results!AW1580</f>
        <v>58829.946100000001</v>
      </c>
      <c r="AU88" s="6">
        <f>[1]Results!AX1580</f>
        <v>59384.239509999999</v>
      </c>
      <c r="AV88" s="6">
        <f>[1]Results!AY1580</f>
        <v>59948.458299999998</v>
      </c>
      <c r="AW88" s="6">
        <f>[1]Results!AZ1580</f>
        <v>60523.929810000001</v>
      </c>
      <c r="AX88" s="6">
        <f>[1]Results!BA1580</f>
        <v>61107.298649999997</v>
      </c>
      <c r="AY88" s="6">
        <f>[1]Results!BB1580</f>
        <v>61697.559439999997</v>
      </c>
      <c r="AZ88" s="6">
        <f>[1]Results!BC1580</f>
        <v>62296.292500000003</v>
      </c>
      <c r="BA88" s="6">
        <f>[1]Results!BD1580</f>
        <v>62904.914720000001</v>
      </c>
      <c r="BB88" s="6">
        <f>[1]Results!BE1580</f>
        <v>66761.92697</v>
      </c>
      <c r="BC88" s="6">
        <f>[1]Results!BF1580</f>
        <v>67613.189150000006</v>
      </c>
      <c r="BD88" s="6">
        <f>[1]Results!BG1580</f>
        <v>68479.501260000005</v>
      </c>
      <c r="BE88" s="6">
        <f>[1]Results!BH1580</f>
        <v>69361.150169999994</v>
      </c>
      <c r="BF88" s="6">
        <f>[1]Results!BI1580</f>
        <v>70258.379430000001</v>
      </c>
    </row>
    <row r="89" spans="1:58" x14ac:dyDescent="0.35">
      <c r="B89" t="s">
        <v>35</v>
      </c>
      <c r="C89" s="6">
        <f>[1]Results!F1577</f>
        <v>-613.16616929999998</v>
      </c>
      <c r="D89" s="6">
        <f>[1]Results!G1577</f>
        <v>-619.24248409999996</v>
      </c>
      <c r="E89" s="6">
        <f>[1]Results!H1577</f>
        <v>-622.12187410000001</v>
      </c>
      <c r="F89" s="6">
        <f>[1]Results!I1577</f>
        <v>-624.95296480000002</v>
      </c>
      <c r="G89" s="6">
        <f>[1]Results!J1577</f>
        <v>-628.92143350000003</v>
      </c>
      <c r="H89" s="6">
        <f>[1]Results!K1577</f>
        <v>-634.21492720000003</v>
      </c>
      <c r="I89" s="6">
        <f>[1]Results!L1577</f>
        <v>-640.51520589999996</v>
      </c>
      <c r="J89" s="6">
        <f>[1]Results!M1577</f>
        <v>-647.42360129999997</v>
      </c>
      <c r="K89" s="6">
        <f>[1]Results!N1577</f>
        <v>-654.86206179999999</v>
      </c>
      <c r="L89" s="6">
        <f>[1]Results!O1577</f>
        <v>-662.6916185</v>
      </c>
      <c r="M89" s="6">
        <f>[1]Results!P1577</f>
        <v>-671.02334729999995</v>
      </c>
      <c r="N89" s="6">
        <f>[1]Results!Q1577</f>
        <v>-679.79294870000001</v>
      </c>
      <c r="O89" s="6">
        <f>[1]Results!R1577</f>
        <v>-688.44883479999999</v>
      </c>
      <c r="P89" s="6">
        <f>[1]Results!S1577</f>
        <v>-697.17306889999998</v>
      </c>
      <c r="Q89" s="6">
        <f>[1]Results!T1577</f>
        <v>-705.98297630000002</v>
      </c>
      <c r="R89" s="6">
        <f>[1]Results!U1577</f>
        <v>-714.87174389999996</v>
      </c>
      <c r="S89" s="6">
        <f>[1]Results!V1577</f>
        <v>-723.83298200000002</v>
      </c>
      <c r="T89" s="6">
        <f>[1]Results!W1577</f>
        <v>-732.86371729999996</v>
      </c>
      <c r="U89" s="6">
        <f>[1]Results!X1577</f>
        <v>-741.96377459999997</v>
      </c>
      <c r="V89" s="6">
        <f>[1]Results!Y1577</f>
        <v>-751.13485300000002</v>
      </c>
      <c r="W89" s="6">
        <f>[1]Results!Z1577</f>
        <v>-760.21649830000001</v>
      </c>
      <c r="X89" s="6">
        <f>[1]Results!AA1577</f>
        <v>-769.20765930000005</v>
      </c>
      <c r="Y89" s="6">
        <f>[1]Results!AB1577</f>
        <v>-778.4871124</v>
      </c>
      <c r="Z89" s="6">
        <f>[1]Results!AC1577</f>
        <v>-787.90036780000003</v>
      </c>
      <c r="AA89" s="6">
        <f>[1]Results!AD1577</f>
        <v>-797.42373699999996</v>
      </c>
      <c r="AB89" s="6">
        <f>[1]Results!AE1577</f>
        <v>-806.5844803</v>
      </c>
      <c r="AC89" s="6">
        <f>[1]Results!AF1577</f>
        <v>-815.1495966</v>
      </c>
      <c r="AD89" s="6">
        <f>[1]Results!AG1577</f>
        <v>-823.97126219999996</v>
      </c>
      <c r="AE89" s="6">
        <f>[1]Results!AH1577</f>
        <v>-832.87020340000004</v>
      </c>
      <c r="AF89" s="6">
        <f>[1]Results!AI1577</f>
        <v>-841.83097720000001</v>
      </c>
      <c r="AG89" s="6">
        <f>[1]Results!AJ1577</f>
        <v>-850.86679000000004</v>
      </c>
      <c r="AH89" s="6">
        <f>[1]Results!AK1577</f>
        <v>-859.99300879999998</v>
      </c>
      <c r="AI89" s="6">
        <f>[1]Results!AL1577</f>
        <v>-869.22215210000002</v>
      </c>
      <c r="AJ89" s="6">
        <f>[1]Results!AM1577</f>
        <v>-878.56335179999996</v>
      </c>
      <c r="AK89" s="6">
        <f>[1]Results!AN1577</f>
        <v>-888.02283</v>
      </c>
      <c r="AL89" s="6">
        <f>[1]Results!AO1577</f>
        <v>-897.6045848</v>
      </c>
      <c r="AM89" s="6">
        <f>[1]Results!AP1577</f>
        <v>-907.19701099999997</v>
      </c>
      <c r="AN89" s="6">
        <f>[1]Results!AQ1577</f>
        <v>-916.68407569999999</v>
      </c>
      <c r="AO89" s="6">
        <f>[1]Results!AR1577</f>
        <v>-926.21001539999997</v>
      </c>
      <c r="AP89" s="6">
        <f>[1]Results!AS1577</f>
        <v>-935.8082647</v>
      </c>
      <c r="AQ89" s="6">
        <f>[1]Results!AT1577</f>
        <v>-945.49257980000004</v>
      </c>
      <c r="AR89" s="6">
        <f>[1]Results!AU1577</f>
        <v>-955.27313579999998</v>
      </c>
      <c r="AS89" s="6">
        <f>[1]Results!AV1577</f>
        <v>-965.15874380000002</v>
      </c>
      <c r="AT89" s="6">
        <f>[1]Results!AW1577</f>
        <v>-975.156837</v>
      </c>
      <c r="AU89" s="6">
        <f>[1]Results!AX1577</f>
        <v>-985.27334350000001</v>
      </c>
      <c r="AV89" s="6">
        <f>[1]Results!AY1577</f>
        <v>-995.5127334</v>
      </c>
      <c r="AW89" s="6">
        <f>[1]Results!AZ1577</f>
        <v>-1005.888477</v>
      </c>
      <c r="AX89" s="6">
        <f>[1]Results!BA1577</f>
        <v>-1016.4132949999999</v>
      </c>
      <c r="AY89" s="6">
        <f>[1]Results!BB1577</f>
        <v>-1027.0756940000001</v>
      </c>
      <c r="AZ89" s="6">
        <f>[1]Results!BC1577</f>
        <v>-1037.8739619999999</v>
      </c>
      <c r="BA89" s="6">
        <f>[1]Results!BD1577</f>
        <v>-1048.8081500000001</v>
      </c>
      <c r="BB89" s="6">
        <f>[1]Results!BE1577</f>
        <v>-1144.325685</v>
      </c>
      <c r="BC89" s="6">
        <f>[1]Results!BF1577</f>
        <v>-1160.095908</v>
      </c>
      <c r="BD89" s="6">
        <f>[1]Results!BG1577</f>
        <v>-1176.1073469999999</v>
      </c>
      <c r="BE89" s="6">
        <f>[1]Results!BH1577</f>
        <v>-1192.3669970000001</v>
      </c>
      <c r="BF89" s="6">
        <f>[1]Results!BI1577</f>
        <v>-1208.8823600000001</v>
      </c>
    </row>
    <row r="90" spans="1:58" x14ac:dyDescent="0.35">
      <c r="B90" t="s">
        <v>34</v>
      </c>
      <c r="C90" s="6">
        <f>[1]Results!$F1579</f>
        <v>495.7000534</v>
      </c>
      <c r="D90" s="6">
        <f>[1]Results!$F1579</f>
        <v>495.7000534</v>
      </c>
      <c r="E90" s="6">
        <f>[1]Results!$F1579</f>
        <v>495.7000534</v>
      </c>
      <c r="F90" s="6">
        <f>[1]Results!$F1579</f>
        <v>495.7000534</v>
      </c>
      <c r="G90" s="6">
        <f>[1]Results!$F1579</f>
        <v>495.7000534</v>
      </c>
      <c r="H90" s="6">
        <f>[1]Results!$F1579</f>
        <v>495.7000534</v>
      </c>
      <c r="I90" s="6">
        <f>[1]Results!$F1579</f>
        <v>495.7000534</v>
      </c>
      <c r="J90" s="6">
        <f>[1]Results!$F1579</f>
        <v>495.7000534</v>
      </c>
      <c r="K90" s="6">
        <f>[1]Results!$F1579</f>
        <v>495.7000534</v>
      </c>
      <c r="L90" s="6">
        <f>[1]Results!$F1579</f>
        <v>495.7000534</v>
      </c>
      <c r="M90" s="6">
        <f>[1]Results!$F1579</f>
        <v>495.7000534</v>
      </c>
      <c r="N90" s="6">
        <f>[1]Results!$F1579</f>
        <v>495.7000534</v>
      </c>
      <c r="O90" s="6">
        <f>[1]Results!$F1579</f>
        <v>495.7000534</v>
      </c>
      <c r="P90" s="6">
        <f>[1]Results!$F1579</f>
        <v>495.7000534</v>
      </c>
      <c r="Q90" s="6">
        <f>[1]Results!$F1579</f>
        <v>495.7000534</v>
      </c>
      <c r="R90" s="6">
        <f>[1]Results!$F1579</f>
        <v>495.7000534</v>
      </c>
      <c r="S90" s="6">
        <f>[1]Results!$F1579</f>
        <v>495.7000534</v>
      </c>
      <c r="T90" s="6">
        <f>[1]Results!$F1579</f>
        <v>495.7000534</v>
      </c>
      <c r="U90" s="6">
        <f>[1]Results!$F1579</f>
        <v>495.7000534</v>
      </c>
      <c r="V90" s="6">
        <f>[1]Results!$F1579</f>
        <v>495.7000534</v>
      </c>
      <c r="W90" s="6">
        <f>[1]Results!$F1579</f>
        <v>495.7000534</v>
      </c>
      <c r="X90" s="6">
        <f>[1]Results!$F1579</f>
        <v>495.7000534</v>
      </c>
      <c r="Y90" s="6">
        <f>[1]Results!$F1579</f>
        <v>495.7000534</v>
      </c>
      <c r="Z90" s="6">
        <f>[1]Results!$F1579</f>
        <v>495.7000534</v>
      </c>
      <c r="AA90" s="6">
        <f>[1]Results!$F1579</f>
        <v>495.7000534</v>
      </c>
      <c r="AB90" s="6">
        <f>[1]Results!$F1579</f>
        <v>495.7000534</v>
      </c>
      <c r="AC90" s="6">
        <f>[1]Results!$F1579</f>
        <v>495.7000534</v>
      </c>
      <c r="AD90" s="6">
        <f>[1]Results!$F1579</f>
        <v>495.7000534</v>
      </c>
      <c r="AE90" s="6">
        <f>[1]Results!$F1579</f>
        <v>495.7000534</v>
      </c>
      <c r="AF90" s="6">
        <f>[1]Results!$F1579</f>
        <v>495.7000534</v>
      </c>
      <c r="AG90" s="6">
        <f>[1]Results!$F1579</f>
        <v>495.7000534</v>
      </c>
      <c r="AH90" s="6">
        <f>[1]Results!$F1579</f>
        <v>495.7000534</v>
      </c>
      <c r="AI90" s="6">
        <f>[1]Results!$F1579</f>
        <v>495.7000534</v>
      </c>
      <c r="AJ90" s="6">
        <f>[1]Results!$F1579</f>
        <v>495.7000534</v>
      </c>
      <c r="AK90" s="6">
        <f>[1]Results!$F1579</f>
        <v>495.7000534</v>
      </c>
      <c r="AL90" s="6">
        <f>[1]Results!$F1579</f>
        <v>495.7000534</v>
      </c>
      <c r="AM90" s="6">
        <f>[1]Results!$F1579</f>
        <v>495.7000534</v>
      </c>
      <c r="AN90" s="6">
        <f>[1]Results!$F1579</f>
        <v>495.7000534</v>
      </c>
      <c r="AO90" s="6">
        <f>[1]Results!$F1579</f>
        <v>495.7000534</v>
      </c>
      <c r="AP90" s="6">
        <f>[1]Results!$F1579</f>
        <v>495.7000534</v>
      </c>
      <c r="AQ90" s="6">
        <f>[1]Results!$F1579</f>
        <v>495.7000534</v>
      </c>
      <c r="AR90" s="6">
        <f>[1]Results!$F1579</f>
        <v>495.7000534</v>
      </c>
      <c r="AS90" s="6">
        <f>[1]Results!$F1579</f>
        <v>495.7000534</v>
      </c>
      <c r="AT90" s="6">
        <f>[1]Results!$F1579</f>
        <v>495.7000534</v>
      </c>
      <c r="AU90" s="6">
        <f>[1]Results!$F1579</f>
        <v>495.7000534</v>
      </c>
      <c r="AV90" s="6">
        <f>[1]Results!$F1579</f>
        <v>495.7000534</v>
      </c>
      <c r="AW90" s="6">
        <f>[1]Results!$F1579</f>
        <v>495.7000534</v>
      </c>
      <c r="AX90" s="6">
        <f>[1]Results!$F1579</f>
        <v>495.7000534</v>
      </c>
      <c r="AY90" s="6">
        <f>[1]Results!$F1579</f>
        <v>495.7000534</v>
      </c>
      <c r="AZ90" s="6">
        <f>[1]Results!$F1579</f>
        <v>495.7000534</v>
      </c>
      <c r="BA90" s="6">
        <f>[1]Results!$F1579</f>
        <v>495.7000534</v>
      </c>
      <c r="BB90" s="6">
        <f>[1]Results!$F1579</f>
        <v>495.7000534</v>
      </c>
      <c r="BC90" s="6">
        <f>[1]Results!$F1579</f>
        <v>495.7000534</v>
      </c>
      <c r="BD90" s="6">
        <f>[1]Results!$F1579</f>
        <v>495.7000534</v>
      </c>
      <c r="BE90" s="6">
        <f>[1]Results!$F1579</f>
        <v>495.7000534</v>
      </c>
      <c r="BF90" s="6">
        <f>[1]Results!$F1579</f>
        <v>495.7000534</v>
      </c>
    </row>
    <row r="91" spans="1:58" x14ac:dyDescent="0.35">
      <c r="B91" t="s">
        <v>37</v>
      </c>
      <c r="C91" s="6">
        <f>[1]Results!F1575</f>
        <v>-2029.2272129999999</v>
      </c>
      <c r="D91" s="6">
        <f>[1]Results!G1575</f>
        <v>-2061.350747</v>
      </c>
      <c r="E91" s="6">
        <f>[1]Results!H1575</f>
        <v>-2071.5629060000001</v>
      </c>
      <c r="F91" s="6">
        <f>[1]Results!I1575</f>
        <v>-2078.5601919999999</v>
      </c>
      <c r="G91" s="6">
        <f>[1]Results!J1575</f>
        <v>-2089.2642580000002</v>
      </c>
      <c r="H91" s="6">
        <f>[1]Results!K1575</f>
        <v>-2105.089817</v>
      </c>
      <c r="I91" s="6">
        <f>[1]Results!L1575</f>
        <v>-2126.520027</v>
      </c>
      <c r="J91" s="6">
        <f>[1]Results!M1575</f>
        <v>-2149.6003409999998</v>
      </c>
      <c r="K91" s="6">
        <f>[1]Results!N1575</f>
        <v>-2174.7545660000001</v>
      </c>
      <c r="L91" s="6">
        <f>[1]Results!O1575</f>
        <v>-2201.4962620000001</v>
      </c>
      <c r="M91" s="6">
        <f>[1]Results!P1575</f>
        <v>-2227.8009579999998</v>
      </c>
      <c r="N91" s="6">
        <f>[1]Results!Q1575</f>
        <v>-2259.9861839999999</v>
      </c>
      <c r="O91" s="6">
        <f>[1]Results!R1575</f>
        <v>-2290.0864900000001</v>
      </c>
      <c r="P91" s="6">
        <f>[1]Results!S1575</f>
        <v>-2319.9692300000002</v>
      </c>
      <c r="Q91" s="6">
        <f>[1]Results!T1575</f>
        <v>-2350.0041369999999</v>
      </c>
      <c r="R91" s="6">
        <f>[1]Results!U1575</f>
        <v>-2380.2406689999998</v>
      </c>
      <c r="S91" s="6">
        <f>[1]Results!V1575</f>
        <v>-2410.6802189999999</v>
      </c>
      <c r="T91" s="6">
        <f>[1]Results!W1575</f>
        <v>-2441.3270699999998</v>
      </c>
      <c r="U91" s="6">
        <f>[1]Results!X1575</f>
        <v>-2472.193608</v>
      </c>
      <c r="V91" s="6">
        <f>[1]Results!Y1575</f>
        <v>-2503.2977569999998</v>
      </c>
      <c r="W91" s="6">
        <f>[1]Results!Z1575</f>
        <v>-2535.7777350000001</v>
      </c>
      <c r="X91" s="6">
        <f>[1]Results!AA1575</f>
        <v>-2564.7380779999999</v>
      </c>
      <c r="Y91" s="6">
        <f>[1]Results!AB1575</f>
        <v>-2595.9381830000002</v>
      </c>
      <c r="Z91" s="6">
        <f>[1]Results!AC1575</f>
        <v>-2627.9115969999998</v>
      </c>
      <c r="AA91" s="6">
        <f>[1]Results!AD1575</f>
        <v>-2660.3500119999999</v>
      </c>
      <c r="AB91" s="6">
        <f>[1]Results!AE1575</f>
        <v>-2696.4174870000002</v>
      </c>
      <c r="AC91" s="6">
        <f>[1]Results!AF1575</f>
        <v>-2723.4790800000001</v>
      </c>
      <c r="AD91" s="6">
        <f>[1]Results!AG1575</f>
        <v>-2752.9183130000001</v>
      </c>
      <c r="AE91" s="6">
        <f>[1]Results!AH1575</f>
        <v>-2783.0531679999999</v>
      </c>
      <c r="AF91" s="6">
        <f>[1]Results!AI1575</f>
        <v>-2813.5538160000001</v>
      </c>
      <c r="AG91" s="6">
        <f>[1]Results!AJ1575</f>
        <v>-2844.4019029999999</v>
      </c>
      <c r="AH91" s="6">
        <f>[1]Results!AK1575</f>
        <v>-2875.634505</v>
      </c>
      <c r="AI91" s="6">
        <f>[1]Results!AL1575</f>
        <v>-2907.288869</v>
      </c>
      <c r="AJ91" s="6">
        <f>[1]Results!AM1575</f>
        <v>-2939.3913889999999</v>
      </c>
      <c r="AK91" s="6">
        <f>[1]Results!AN1575</f>
        <v>-2971.9573559999999</v>
      </c>
      <c r="AL91" s="6">
        <f>[1]Results!AO1575</f>
        <v>-3004.993363</v>
      </c>
      <c r="AM91" s="6">
        <f>[1]Results!AP1575</f>
        <v>-3039.2719059999999</v>
      </c>
      <c r="AN91" s="6">
        <f>[1]Results!AQ1575</f>
        <v>-3072.1567049999999</v>
      </c>
      <c r="AO91" s="6">
        <f>[1]Results!AR1575</f>
        <v>-3104.9850339999998</v>
      </c>
      <c r="AP91" s="6">
        <f>[1]Results!AS1575</f>
        <v>-3138.0621249999999</v>
      </c>
      <c r="AQ91" s="6">
        <f>[1]Results!AT1575</f>
        <v>-3171.4683719999998</v>
      </c>
      <c r="AR91" s="6">
        <f>[1]Results!AU1575</f>
        <v>-3205.240589</v>
      </c>
      <c r="AS91" s="6">
        <f>[1]Results!AV1575</f>
        <v>-3239.4062220000001</v>
      </c>
      <c r="AT91" s="6">
        <f>[1]Results!AW1575</f>
        <v>-3273.9879070000002</v>
      </c>
      <c r="AU91" s="6">
        <f>[1]Results!AX1575</f>
        <v>-3309.0034649999998</v>
      </c>
      <c r="AV91" s="6">
        <f>[1]Results!AY1575</f>
        <v>-3344.4663139999998</v>
      </c>
      <c r="AW91" s="6">
        <f>[1]Results!AZ1575</f>
        <v>-3380.3194119999998</v>
      </c>
      <c r="AX91" s="6">
        <f>[1]Results!BA1575</f>
        <v>-3416.808102</v>
      </c>
      <c r="AY91" s="6">
        <f>[1]Results!BB1575</f>
        <v>-3453.8371390000002</v>
      </c>
      <c r="AZ91" s="6">
        <f>[1]Results!BC1575</f>
        <v>-3491.3092000000001</v>
      </c>
      <c r="BA91" s="6">
        <f>[1]Results!BD1575</f>
        <v>-3529.2219359999999</v>
      </c>
      <c r="BB91" s="6">
        <f>[1]Results!BE1575</f>
        <v>-3861.2418819999998</v>
      </c>
      <c r="BC91" s="6">
        <f>[1]Results!BF1575</f>
        <v>-3916.1006659999998</v>
      </c>
      <c r="BD91" s="6">
        <f>[1]Results!BG1575</f>
        <v>-3971.8087999999998</v>
      </c>
      <c r="BE91" s="6">
        <f>[1]Results!BH1575</f>
        <v>-4028.391533</v>
      </c>
      <c r="BF91" s="6">
        <f>[1]Results!BI1575</f>
        <v>-4085.8743770000001</v>
      </c>
    </row>
    <row r="93" spans="1:58" x14ac:dyDescent="0.35">
      <c r="A93" t="s">
        <v>39</v>
      </c>
      <c r="B93" t="s">
        <v>13</v>
      </c>
      <c r="C93" s="6">
        <f>[1]Results!F1512</f>
        <v>1934361.32</v>
      </c>
      <c r="D93" s="6">
        <f>[1]Results!G1512</f>
        <v>1951796.9620000001</v>
      </c>
      <c r="E93" s="6">
        <f>[1]Results!H1512</f>
        <v>1972259.291</v>
      </c>
      <c r="F93" s="6">
        <f>[1]Results!I1512</f>
        <v>1995340.3419999999</v>
      </c>
      <c r="G93" s="6">
        <f>[1]Results!J1512</f>
        <v>2020822.622</v>
      </c>
      <c r="H93" s="6">
        <f>[1]Results!K1512</f>
        <v>2048404.2420000001</v>
      </c>
      <c r="I93" s="6">
        <f>[1]Results!L1512</f>
        <v>2076344.723</v>
      </c>
      <c r="J93" s="6">
        <f>[1]Results!M1512</f>
        <v>2105487.2760000001</v>
      </c>
      <c r="K93" s="6">
        <f>[1]Results!N1512</f>
        <v>2135671.361</v>
      </c>
      <c r="L93" s="6">
        <f>[1]Results!O1512</f>
        <v>2166756.9939999999</v>
      </c>
      <c r="M93" s="6">
        <f>[1]Results!P1512</f>
        <v>2201095.446</v>
      </c>
      <c r="N93" s="6">
        <f>[1]Results!Q1512</f>
        <v>2234090.46</v>
      </c>
      <c r="O93" s="6">
        <f>[1]Results!R1512</f>
        <v>2267545.4640000002</v>
      </c>
      <c r="P93" s="6">
        <f>[1]Results!S1512</f>
        <v>2301398.3119999999</v>
      </c>
      <c r="Q93" s="6">
        <f>[1]Results!T1512</f>
        <v>2335624.9419999998</v>
      </c>
      <c r="R93" s="6">
        <f>[1]Results!U1512</f>
        <v>2370221.0049999999</v>
      </c>
      <c r="S93" s="6">
        <f>[1]Results!V1512</f>
        <v>2405046.4610000001</v>
      </c>
      <c r="T93" s="6">
        <f>[1]Results!W1512</f>
        <v>2440249.9040000001</v>
      </c>
      <c r="U93" s="6">
        <f>[1]Results!X1512</f>
        <v>2475854.1940000001</v>
      </c>
      <c r="V93" s="6">
        <f>[1]Results!Y1512</f>
        <v>2511886.2379999999</v>
      </c>
      <c r="W93" s="6">
        <f>[1]Results!Z1512</f>
        <v>2546546.4649999999</v>
      </c>
      <c r="X93" s="6">
        <f>[1]Results!AA1512</f>
        <v>2583062.6609999998</v>
      </c>
      <c r="Y93" s="6">
        <f>[1]Results!AB1512</f>
        <v>2620166.7620000001</v>
      </c>
      <c r="Z93" s="6">
        <f>[1]Results!AC1512</f>
        <v>2657883.165</v>
      </c>
      <c r="AA93" s="6">
        <f>[1]Results!AD1512</f>
        <v>2696221.9550000001</v>
      </c>
      <c r="AB93" s="6">
        <f>[1]Results!AE1512</f>
        <v>2729934.0129999998</v>
      </c>
      <c r="AC93" s="6">
        <f>[1]Results!AF1512</f>
        <v>2765795.6009999998</v>
      </c>
      <c r="AD93" s="6">
        <f>[1]Results!AG1512</f>
        <v>2801893.841</v>
      </c>
      <c r="AE93" s="6">
        <f>[1]Results!AH1512</f>
        <v>2838350.4109999998</v>
      </c>
      <c r="AF93" s="6">
        <f>[1]Results!AI1512</f>
        <v>2875254.307</v>
      </c>
      <c r="AG93" s="6">
        <f>[1]Results!AJ1512</f>
        <v>2912673.1129999999</v>
      </c>
      <c r="AH93" s="6">
        <f>[1]Results!AK1512</f>
        <v>2950688.179</v>
      </c>
      <c r="AI93" s="6">
        <f>[1]Results!AL1512</f>
        <v>2989301.57</v>
      </c>
      <c r="AJ93" s="6">
        <f>[1]Results!AM1512</f>
        <v>3028530.6749999998</v>
      </c>
      <c r="AK93" s="6">
        <f>[1]Results!AN1512</f>
        <v>3068382.8089999999</v>
      </c>
      <c r="AL93" s="6">
        <f>[1]Results!AO1512</f>
        <v>3108859.3130000001</v>
      </c>
      <c r="AM93" s="6">
        <f>[1]Results!AP1512</f>
        <v>3148987.8130000001</v>
      </c>
      <c r="AN93" s="6">
        <f>[1]Results!AQ1512</f>
        <v>3189443.31</v>
      </c>
      <c r="AO93" s="6">
        <f>[1]Results!AR1512</f>
        <v>3230276.13</v>
      </c>
      <c r="AP93" s="6">
        <f>[1]Results!AS1512</f>
        <v>3271533.8679999998</v>
      </c>
      <c r="AQ93" s="6">
        <f>[1]Results!AT1512</f>
        <v>3313258.8679999998</v>
      </c>
      <c r="AR93" s="6">
        <f>[1]Results!AU1512</f>
        <v>3355533.7459999998</v>
      </c>
      <c r="AS93" s="6">
        <f>[1]Results!AV1512</f>
        <v>3398345.949</v>
      </c>
      <c r="AT93" s="6">
        <f>[1]Results!AW1512</f>
        <v>3441715.7910000002</v>
      </c>
      <c r="AU93" s="6">
        <f>[1]Results!AX1512</f>
        <v>3485656.5589999999</v>
      </c>
      <c r="AV93" s="6">
        <f>[1]Results!AY1512</f>
        <v>3530176.9</v>
      </c>
      <c r="AW93" s="6">
        <f>[1]Results!AZ1512</f>
        <v>3575556.267</v>
      </c>
      <c r="AX93" s="6">
        <f>[1]Results!BA1512</f>
        <v>3621576.8769999999</v>
      </c>
      <c r="AY93" s="6">
        <f>[1]Results!BB1512</f>
        <v>3668235.2239999999</v>
      </c>
      <c r="AZ93" s="6">
        <f>[1]Results!BC1512</f>
        <v>3715524.9249999998</v>
      </c>
      <c r="BA93" s="6">
        <f>[1]Results!BD1512</f>
        <v>3763441.2230000002</v>
      </c>
      <c r="BB93" s="6">
        <f>[1]Results!BE1512</f>
        <v>4435341.7680000002</v>
      </c>
      <c r="BC93" s="6">
        <f>[1]Results!BF1512</f>
        <v>4509946.5190000003</v>
      </c>
      <c r="BD93" s="6">
        <f>[1]Results!BG1512</f>
        <v>4585737.1710000001</v>
      </c>
      <c r="BE93" s="6">
        <f>[1]Results!BH1512</f>
        <v>4662731.2929999996</v>
      </c>
      <c r="BF93" s="6">
        <f>[1]Results!BI1512</f>
        <v>4740947.9249999998</v>
      </c>
    </row>
    <row r="94" spans="1:58" x14ac:dyDescent="0.35">
      <c r="B94" t="s">
        <v>7</v>
      </c>
      <c r="C94" s="6">
        <f>[1]Results!F1513</f>
        <v>35296.550920000001</v>
      </c>
      <c r="D94" s="6">
        <f>[1]Results!G1513</f>
        <v>35398.034699999997</v>
      </c>
      <c r="E94" s="6">
        <f>[1]Results!H1513</f>
        <v>35556.157370000001</v>
      </c>
      <c r="F94" s="6">
        <f>[1]Results!I1513</f>
        <v>35784.385869999998</v>
      </c>
      <c r="G94" s="6">
        <f>[1]Results!J1513</f>
        <v>36081.08726</v>
      </c>
      <c r="H94" s="6">
        <f>[1]Results!K1513</f>
        <v>36437.113799999999</v>
      </c>
      <c r="I94" s="6">
        <f>[1]Results!L1513</f>
        <v>36821.444519999997</v>
      </c>
      <c r="J94" s="6">
        <f>[1]Results!M1513</f>
        <v>37241.926160000003</v>
      </c>
      <c r="K94" s="6">
        <f>[1]Results!N1513</f>
        <v>37691.964209999998</v>
      </c>
      <c r="L94" s="6">
        <f>[1]Results!O1513</f>
        <v>38165.777800000003</v>
      </c>
      <c r="M94" s="6">
        <f>[1]Results!P1513</f>
        <v>38698.75346</v>
      </c>
      <c r="N94" s="6">
        <f>[1]Results!Q1513</f>
        <v>39215.33268</v>
      </c>
      <c r="O94" s="6">
        <f>[1]Results!R1513</f>
        <v>39741.099479999997</v>
      </c>
      <c r="P94" s="6">
        <f>[1]Results!S1513</f>
        <v>40273.714079999998</v>
      </c>
      <c r="Q94" s="6">
        <f>[1]Results!T1513</f>
        <v>40811.9041</v>
      </c>
      <c r="R94" s="6">
        <f>[1]Results!U1513</f>
        <v>41355.04077</v>
      </c>
      <c r="S94" s="6">
        <f>[1]Results!V1513</f>
        <v>41899.379130000001</v>
      </c>
      <c r="T94" s="6">
        <f>[1]Results!W1513</f>
        <v>42448.294809999999</v>
      </c>
      <c r="U94" s="6">
        <f>[1]Results!X1513</f>
        <v>43001.871720000003</v>
      </c>
      <c r="V94" s="6">
        <f>[1]Results!Y1513</f>
        <v>43560.464390000001</v>
      </c>
      <c r="W94" s="6">
        <f>[1]Results!Z1513</f>
        <v>44095.102800000001</v>
      </c>
      <c r="X94" s="6">
        <f>[1]Results!AA1513</f>
        <v>44655.916819999999</v>
      </c>
      <c r="Y94" s="6">
        <f>[1]Results!AB1513</f>
        <v>45224.995510000001</v>
      </c>
      <c r="Z94" s="6">
        <f>[1]Results!AC1513</f>
        <v>45802.785989999997</v>
      </c>
      <c r="AA94" s="6">
        <f>[1]Results!AD1513</f>
        <v>46389.493199999997</v>
      </c>
      <c r="AB94" s="6">
        <f>[1]Results!AE1513</f>
        <v>46901.12586</v>
      </c>
      <c r="AC94" s="6">
        <f>[1]Results!AF1513</f>
        <v>47441.134129999999</v>
      </c>
      <c r="AD94" s="6">
        <f>[1]Results!AG1513</f>
        <v>47982.962039999999</v>
      </c>
      <c r="AE94" s="6">
        <f>[1]Results!AH1513</f>
        <v>48529.338750000003</v>
      </c>
      <c r="AF94" s="6">
        <f>[1]Results!AI1513</f>
        <v>49082.340940000002</v>
      </c>
      <c r="AG94" s="6">
        <f>[1]Results!AJ1513</f>
        <v>49643.516660000001</v>
      </c>
      <c r="AH94" s="6">
        <f>[1]Results!AK1513</f>
        <v>50214.742980000003</v>
      </c>
      <c r="AI94" s="6">
        <f>[1]Results!AL1513</f>
        <v>50795.990680000003</v>
      </c>
      <c r="AJ94" s="6">
        <f>[1]Results!AM1513</f>
        <v>51387.690730000002</v>
      </c>
      <c r="AK94" s="6">
        <f>[1]Results!AN1513</f>
        <v>51990.028429999998</v>
      </c>
      <c r="AL94" s="6">
        <f>[1]Results!AO1513</f>
        <v>52603.049830000004</v>
      </c>
      <c r="AM94" s="6">
        <f>[1]Results!AP1513</f>
        <v>53213.679689999997</v>
      </c>
      <c r="AN94" s="6">
        <f>[1]Results!AQ1513</f>
        <v>53828.832300000002</v>
      </c>
      <c r="AO94" s="6">
        <f>[1]Results!AR1513</f>
        <v>54449.912539999998</v>
      </c>
      <c r="AP94" s="6">
        <f>[1]Results!AS1513</f>
        <v>55078.023609999997</v>
      </c>
      <c r="AQ94" s="6">
        <f>[1]Results!AT1513</f>
        <v>55714.103889999999</v>
      </c>
      <c r="AR94" s="6">
        <f>[1]Results!AU1513</f>
        <v>56360.035640000002</v>
      </c>
      <c r="AS94" s="6">
        <f>[1]Results!AV1513</f>
        <v>57015.379659999999</v>
      </c>
      <c r="AT94" s="6">
        <f>[1]Results!AW1513</f>
        <v>57680.588170000003</v>
      </c>
      <c r="AU94" s="6">
        <f>[1]Results!AX1513</f>
        <v>58355.9133</v>
      </c>
      <c r="AV94" s="6">
        <f>[1]Results!AY1513</f>
        <v>59041.494579999999</v>
      </c>
      <c r="AW94" s="6">
        <f>[1]Results!AZ1513</f>
        <v>59742.976629999997</v>
      </c>
      <c r="AX94" s="6">
        <f>[1]Results!BA1513</f>
        <v>60455.70089</v>
      </c>
      <c r="AY94" s="6">
        <f>[1]Results!BB1513</f>
        <v>61179.659509999998</v>
      </c>
      <c r="AZ94" s="6">
        <f>[1]Results!BC1513</f>
        <v>61914.667049999996</v>
      </c>
      <c r="BA94" s="6">
        <f>[1]Results!BD1513</f>
        <v>62660.537060000002</v>
      </c>
      <c r="BB94" s="6">
        <f>[1]Results!BE1513</f>
        <v>73046.369460000002</v>
      </c>
      <c r="BC94" s="6">
        <f>[1]Results!BF1513</f>
        <v>74178.173190000001</v>
      </c>
      <c r="BD94" s="6">
        <f>[1]Results!BG1513</f>
        <v>75329.311960000006</v>
      </c>
      <c r="BE94" s="6">
        <f>[1]Results!BH1513</f>
        <v>76500.127600000007</v>
      </c>
      <c r="BF94" s="6">
        <f>[1]Results!BI1513</f>
        <v>77691.000880000007</v>
      </c>
    </row>
    <row r="95" spans="1:58" x14ac:dyDescent="0.35">
      <c r="B95" t="s">
        <v>30</v>
      </c>
      <c r="C95" s="6">
        <f>[1]Results!F1516</f>
        <v>322331.76880000002</v>
      </c>
      <c r="D95" s="6">
        <f>[1]Results!G1516</f>
        <v>326284.23149999999</v>
      </c>
      <c r="E95" s="6">
        <f>[1]Results!H1516</f>
        <v>330025.11249999999</v>
      </c>
      <c r="F95" s="6">
        <f>[1]Results!I1516</f>
        <v>334042.61060000001</v>
      </c>
      <c r="G95" s="6">
        <f>[1]Results!J1516</f>
        <v>338366.00559999997</v>
      </c>
      <c r="H95" s="6">
        <f>[1]Results!K1516</f>
        <v>342952.40269999998</v>
      </c>
      <c r="I95" s="6">
        <f>[1]Results!L1516</f>
        <v>347516.98910000001</v>
      </c>
      <c r="J95" s="6">
        <f>[1]Results!M1516</f>
        <v>352237.30420000001</v>
      </c>
      <c r="K95" s="6">
        <f>[1]Results!N1516</f>
        <v>357086.46730000002</v>
      </c>
      <c r="L95" s="6">
        <f>[1]Results!O1516</f>
        <v>362051.38660000003</v>
      </c>
      <c r="M95" s="6">
        <f>[1]Results!P1516</f>
        <v>367531.30609999999</v>
      </c>
      <c r="N95" s="6">
        <f>[1]Results!Q1516</f>
        <v>372725.44020000001</v>
      </c>
      <c r="O95" s="6">
        <f>[1]Results!R1516</f>
        <v>378018.07020000002</v>
      </c>
      <c r="P95" s="6">
        <f>[1]Results!S1516</f>
        <v>383382.23820000002</v>
      </c>
      <c r="Q95" s="6">
        <f>[1]Results!T1516</f>
        <v>388816.09370000003</v>
      </c>
      <c r="R95" s="6">
        <f>[1]Results!U1516</f>
        <v>394323.04090000002</v>
      </c>
      <c r="S95" s="6">
        <f>[1]Results!V1516</f>
        <v>399865.89870000002</v>
      </c>
      <c r="T95" s="6">
        <f>[1]Results!W1516</f>
        <v>405495.93920000002</v>
      </c>
      <c r="U95" s="6">
        <f>[1]Results!X1516</f>
        <v>411216.09940000001</v>
      </c>
      <c r="V95" s="6">
        <f>[1]Results!Y1516</f>
        <v>417032.91389999999</v>
      </c>
      <c r="W95" s="6">
        <f>[1]Results!Z1516</f>
        <v>422653.54180000001</v>
      </c>
      <c r="X95" s="6">
        <f>[1]Results!AA1516</f>
        <v>428630.23849999998</v>
      </c>
      <c r="Y95" s="6">
        <f>[1]Results!AB1516</f>
        <v>434715.9755</v>
      </c>
      <c r="Z95" s="6">
        <f>[1]Results!AC1516</f>
        <v>440929.12079999998</v>
      </c>
      <c r="AA95" s="6">
        <f>[1]Results!AD1516</f>
        <v>447273.62280000001</v>
      </c>
      <c r="AB95" s="6">
        <f>[1]Results!AE1516</f>
        <v>452893.59279999998</v>
      </c>
      <c r="AC95" s="6">
        <f>[1]Results!AF1516</f>
        <v>458961.0785</v>
      </c>
      <c r="AD95" s="6">
        <f>[1]Results!AG1516</f>
        <v>465069.15429999999</v>
      </c>
      <c r="AE95" s="6">
        <f>[1]Results!AH1516</f>
        <v>471252.54969999997</v>
      </c>
      <c r="AF95" s="6">
        <f>[1]Results!AI1516</f>
        <v>477524.13819999999</v>
      </c>
      <c r="AG95" s="6">
        <f>[1]Results!AJ1516</f>
        <v>483891.38860000001</v>
      </c>
      <c r="AH95" s="6">
        <f>[1]Results!AK1516</f>
        <v>490368.29519999999</v>
      </c>
      <c r="AI95" s="6">
        <f>[1]Results!AL1516</f>
        <v>496947.02899999998</v>
      </c>
      <c r="AJ95" s="6">
        <f>[1]Results!AM1516</f>
        <v>503628.61070000002</v>
      </c>
      <c r="AK95" s="6">
        <f>[1]Results!AN1516</f>
        <v>510411.86910000001</v>
      </c>
      <c r="AL95" s="6">
        <f>[1]Results!AO1516</f>
        <v>517294.71600000001</v>
      </c>
      <c r="AM95" s="6">
        <f>[1]Results!AP1516</f>
        <v>524153.25180000003</v>
      </c>
      <c r="AN95" s="6">
        <f>[1]Results!AQ1516</f>
        <v>531061.9987</v>
      </c>
      <c r="AO95" s="6">
        <f>[1]Results!AR1516</f>
        <v>538022.60450000002</v>
      </c>
      <c r="AP95" s="6">
        <f>[1]Results!AS1516</f>
        <v>545038.98479999998</v>
      </c>
      <c r="AQ95" s="6">
        <f>[1]Results!AT1516</f>
        <v>552115.10309999995</v>
      </c>
      <c r="AR95" s="6">
        <f>[1]Results!AU1516</f>
        <v>559267.81189999997</v>
      </c>
      <c r="AS95" s="6">
        <f>[1]Results!AV1516</f>
        <v>566485.87060000002</v>
      </c>
      <c r="AT95" s="6">
        <f>[1]Results!AW1516</f>
        <v>573772.33239999996</v>
      </c>
      <c r="AU95" s="6">
        <f>[1]Results!AX1516</f>
        <v>581128.4547</v>
      </c>
      <c r="AV95" s="6">
        <f>[1]Results!AY1516</f>
        <v>588554.93709999998</v>
      </c>
      <c r="AW95" s="6">
        <f>[1]Results!AZ1516</f>
        <v>596116.34380000003</v>
      </c>
      <c r="AX95" s="6">
        <f>[1]Results!BA1516</f>
        <v>603751.20220000006</v>
      </c>
      <c r="AY95" s="6">
        <f>[1]Results!BB1516</f>
        <v>611464.06629999995</v>
      </c>
      <c r="AZ95" s="6">
        <f>[1]Results!BC1516</f>
        <v>619254.88970000006</v>
      </c>
      <c r="BA95" s="6">
        <f>[1]Results!BD1516</f>
        <v>627123.52480000001</v>
      </c>
      <c r="BB95" s="6">
        <f>[1]Results!BE1516</f>
        <v>779782.38390000002</v>
      </c>
      <c r="BC95" s="6">
        <f>[1]Results!BF1516</f>
        <v>793578.7855</v>
      </c>
      <c r="BD95" s="6">
        <f>[1]Results!BG1516</f>
        <v>807567.57739999995</v>
      </c>
      <c r="BE95" s="6">
        <f>[1]Results!BH1516</f>
        <v>821748.6128</v>
      </c>
      <c r="BF95" s="6">
        <f>[1]Results!BI1516</f>
        <v>836122.06779999996</v>
      </c>
    </row>
    <row r="96" spans="1:58" x14ac:dyDescent="0.35">
      <c r="B96" t="s">
        <v>9</v>
      </c>
      <c r="C96" s="6">
        <f>[1]Results!F1528</f>
        <v>47287.195879999999</v>
      </c>
      <c r="D96" s="6">
        <f>[1]Results!G1528</f>
        <v>47805.171399999999</v>
      </c>
      <c r="E96" s="6">
        <f>[1]Results!H1528</f>
        <v>48287.338629999998</v>
      </c>
      <c r="F96" s="6">
        <f>[1]Results!I1528</f>
        <v>48814.971369999999</v>
      </c>
      <c r="G96" s="6">
        <f>[1]Results!J1528</f>
        <v>49398.579960000003</v>
      </c>
      <c r="H96" s="6">
        <f>[1]Results!K1528</f>
        <v>50033.303330000002</v>
      </c>
      <c r="I96" s="6">
        <f>[1]Results!L1528</f>
        <v>50675.148970000002</v>
      </c>
      <c r="J96" s="6">
        <f>[1]Results!M1528</f>
        <v>51347.765950000001</v>
      </c>
      <c r="K96" s="6">
        <f>[1]Results!N1528</f>
        <v>52044.340250000001</v>
      </c>
      <c r="L96" s="6">
        <f>[1]Results!O1528</f>
        <v>52760.078439999997</v>
      </c>
      <c r="M96" s="6">
        <f>[1]Results!P1528</f>
        <v>53552.58728</v>
      </c>
      <c r="N96" s="6">
        <f>[1]Results!Q1528</f>
        <v>54299.844449999997</v>
      </c>
      <c r="O96" s="6">
        <f>[1]Results!R1528</f>
        <v>55056.899219999999</v>
      </c>
      <c r="P96" s="6">
        <f>[1]Results!S1528</f>
        <v>55819.26571</v>
      </c>
      <c r="Q96" s="6">
        <f>[1]Results!T1528</f>
        <v>56585.863830000002</v>
      </c>
      <c r="R96" s="6">
        <f>[1]Results!U1528</f>
        <v>57356.569309999999</v>
      </c>
      <c r="S96" s="6">
        <f>[1]Results!V1528</f>
        <v>58126.001550000001</v>
      </c>
      <c r="T96" s="6">
        <f>[1]Results!W1528</f>
        <v>58900.725939999997</v>
      </c>
      <c r="U96" s="6">
        <f>[1]Results!X1528</f>
        <v>59681.102180000002</v>
      </c>
      <c r="V96" s="6">
        <f>[1]Results!Y1528</f>
        <v>60468.031009999999</v>
      </c>
      <c r="W96" s="6">
        <f>[1]Results!Z1528</f>
        <v>61217.251600000003</v>
      </c>
      <c r="X96" s="6">
        <f>[1]Results!AA1528</f>
        <v>62012.75561</v>
      </c>
      <c r="Y96" s="6">
        <f>[1]Results!AB1528</f>
        <v>62817.711089999997</v>
      </c>
      <c r="Z96" s="6">
        <f>[1]Results!AC1528</f>
        <v>63634.669289999998</v>
      </c>
      <c r="AA96" s="6">
        <f>[1]Results!AD1528</f>
        <v>64464.426919999998</v>
      </c>
      <c r="AB96" s="6">
        <f>[1]Results!AE1528</f>
        <v>65177.711710000003</v>
      </c>
      <c r="AC96" s="6">
        <f>[1]Results!AF1528</f>
        <v>65953.35931</v>
      </c>
      <c r="AD96" s="6">
        <f>[1]Results!AG1528</f>
        <v>66732.035829999993</v>
      </c>
      <c r="AE96" s="6">
        <f>[1]Results!AH1528</f>
        <v>67519.141010000007</v>
      </c>
      <c r="AF96" s="6">
        <f>[1]Results!AI1528</f>
        <v>68317.324009999997</v>
      </c>
      <c r="AG96" s="6">
        <f>[1]Results!AJ1528</f>
        <v>69128.386780000001</v>
      </c>
      <c r="AH96" s="6">
        <f>[1]Results!AK1528</f>
        <v>69954.850160000002</v>
      </c>
      <c r="AI96" s="6">
        <f>[1]Results!AL1528</f>
        <v>70796.189429999999</v>
      </c>
      <c r="AJ96" s="6">
        <f>[1]Results!AM1528</f>
        <v>71652.931649999999</v>
      </c>
      <c r="AK96" s="6">
        <f>[1]Results!AN1528</f>
        <v>72525.247570000007</v>
      </c>
      <c r="AL96" s="6">
        <f>[1]Results!AO1528</f>
        <v>73413.134690000006</v>
      </c>
      <c r="AM96" s="6">
        <f>[1]Results!AP1528</f>
        <v>74296.705669999996</v>
      </c>
      <c r="AN96" s="6">
        <f>[1]Results!AQ1528</f>
        <v>75189.653390000007</v>
      </c>
      <c r="AO96" s="6">
        <f>[1]Results!AR1528</f>
        <v>76092.757840000006</v>
      </c>
      <c r="AP96" s="6">
        <f>[1]Results!AS1528</f>
        <v>77007.000629999995</v>
      </c>
      <c r="AQ96" s="6">
        <f>[1]Results!AT1528</f>
        <v>77933.296830000007</v>
      </c>
      <c r="AR96" s="6">
        <f>[1]Results!AU1528</f>
        <v>78874.221099999995</v>
      </c>
      <c r="AS96" s="6">
        <f>[1]Results!AV1528</f>
        <v>79828.524850000002</v>
      </c>
      <c r="AT96" s="6">
        <f>[1]Results!AW1528</f>
        <v>80796.753339999996</v>
      </c>
      <c r="AU96" s="6">
        <f>[1]Results!AX1528</f>
        <v>81779.160359999994</v>
      </c>
      <c r="AV96" s="6">
        <f>[1]Results!AY1528</f>
        <v>82775.876149999996</v>
      </c>
      <c r="AW96" s="6">
        <f>[1]Results!AZ1528</f>
        <v>83795.9185</v>
      </c>
      <c r="AX96" s="6">
        <f>[1]Results!BA1528</f>
        <v>84830.818369999994</v>
      </c>
      <c r="AY96" s="6">
        <f>[1]Results!BB1528</f>
        <v>85881.023749999993</v>
      </c>
      <c r="AZ96" s="6">
        <f>[1]Results!BC1528</f>
        <v>86946.393290000007</v>
      </c>
      <c r="BA96" s="6">
        <f>[1]Results!BD1528</f>
        <v>88026.758270000006</v>
      </c>
      <c r="BB96" s="6">
        <f>[1]Results!BE1528</f>
        <v>104246.85159999999</v>
      </c>
      <c r="BC96" s="6">
        <f>[1]Results!BF1528</f>
        <v>105947.7721</v>
      </c>
      <c r="BD96" s="6">
        <f>[1]Results!BG1528</f>
        <v>107679.07919999999</v>
      </c>
      <c r="BE96" s="6">
        <f>[1]Results!BH1528</f>
        <v>109441.3615</v>
      </c>
      <c r="BF96" s="6">
        <f>[1]Results!BI1528</f>
        <v>111235.22809999999</v>
      </c>
    </row>
    <row r="97" spans="1:58" x14ac:dyDescent="0.35">
      <c r="B97" t="s">
        <v>10</v>
      </c>
      <c r="C97" s="6">
        <f>[1]Results!F1533</f>
        <v>1491519.551</v>
      </c>
      <c r="D97" s="6">
        <f>[1]Results!G1533</f>
        <v>1504199.1710000001</v>
      </c>
      <c r="E97" s="6">
        <f>[1]Results!H1533</f>
        <v>1520125.1140000001</v>
      </c>
      <c r="F97" s="6">
        <f>[1]Results!I1533</f>
        <v>1538247.3970000001</v>
      </c>
      <c r="G97" s="6">
        <f>[1]Results!J1533</f>
        <v>1558295.726</v>
      </c>
      <c r="H97" s="6">
        <f>[1]Results!K1533</f>
        <v>1580028.78</v>
      </c>
      <c r="I97" s="6">
        <f>[1]Results!L1533</f>
        <v>1602087.504</v>
      </c>
      <c r="J97" s="6">
        <f>[1]Results!M1533</f>
        <v>1625098.6850000001</v>
      </c>
      <c r="K97" s="6">
        <f>[1]Results!N1533</f>
        <v>1648948.7930000001</v>
      </c>
      <c r="L97" s="6">
        <f>[1]Results!O1533</f>
        <v>1673527.7139999999</v>
      </c>
      <c r="M97" s="6">
        <f>[1]Results!P1533</f>
        <v>1700660.0589999999</v>
      </c>
      <c r="N97" s="6">
        <f>[1]Results!Q1533</f>
        <v>1726824.1329999999</v>
      </c>
      <c r="O97" s="6">
        <f>[1]Results!R1533</f>
        <v>1753331.3859999999</v>
      </c>
      <c r="P97" s="6">
        <f>[1]Results!S1533</f>
        <v>1780154.1850000001</v>
      </c>
      <c r="Q97" s="6">
        <f>[1]Results!T1533</f>
        <v>1807273.2220000001</v>
      </c>
      <c r="R97" s="6">
        <f>[1]Results!U1533</f>
        <v>1834681.659</v>
      </c>
      <c r="S97" s="6">
        <f>[1]Results!V1533</f>
        <v>1862288.527</v>
      </c>
      <c r="T97" s="6">
        <f>[1]Results!W1533</f>
        <v>1890177.9650000001</v>
      </c>
      <c r="U97" s="6">
        <f>[1]Results!X1533</f>
        <v>1918368.91</v>
      </c>
      <c r="V97" s="6">
        <f>[1]Results!Y1533</f>
        <v>1946879.63</v>
      </c>
      <c r="W97" s="6">
        <f>[1]Results!Z1533</f>
        <v>1974304.111</v>
      </c>
      <c r="X97" s="6">
        <f>[1]Results!AA1533</f>
        <v>2003132.5279999999</v>
      </c>
      <c r="Y97" s="6">
        <f>[1]Results!AB1533</f>
        <v>2032417.0319999999</v>
      </c>
      <c r="Z97" s="6">
        <f>[1]Results!AC1533</f>
        <v>2062160.4069999999</v>
      </c>
      <c r="AA97" s="6">
        <f>[1]Results!AD1533</f>
        <v>2092367.1939999999</v>
      </c>
      <c r="AB97" s="6">
        <f>[1]Results!AE1533</f>
        <v>2118937.4139999999</v>
      </c>
      <c r="AC97" s="6">
        <f>[1]Results!AF1533</f>
        <v>2147087.3020000001</v>
      </c>
      <c r="AD97" s="6">
        <f>[1]Results!AG1533</f>
        <v>2175423.8930000002</v>
      </c>
      <c r="AE97" s="6">
        <f>[1]Results!AH1533</f>
        <v>2204024.5970000001</v>
      </c>
      <c r="AF97" s="6">
        <f>[1]Results!AI1533</f>
        <v>2232959.4180000001</v>
      </c>
      <c r="AG97" s="6">
        <f>[1]Results!AJ1533</f>
        <v>2262284.051</v>
      </c>
      <c r="AH97" s="6">
        <f>[1]Results!AK1533</f>
        <v>2292059.9939999999</v>
      </c>
      <c r="AI97" s="6">
        <f>[1]Results!AL1533</f>
        <v>2322297.7429999998</v>
      </c>
      <c r="AJ97" s="6">
        <f>[1]Results!AM1533</f>
        <v>2353012.3280000002</v>
      </c>
      <c r="AK97" s="6">
        <f>[1]Results!AN1533</f>
        <v>2384211.7069999999</v>
      </c>
      <c r="AL97" s="6">
        <f>[1]Results!AO1533</f>
        <v>2415899.253</v>
      </c>
      <c r="AM97" s="6">
        <f>[1]Results!AP1533</f>
        <v>2447272.5970000001</v>
      </c>
      <c r="AN97" s="6">
        <f>[1]Results!AQ1533</f>
        <v>2478903.125</v>
      </c>
      <c r="AO97" s="6">
        <f>[1]Results!AR1533</f>
        <v>2510835.94</v>
      </c>
      <c r="AP97" s="6">
        <f>[1]Results!AS1533</f>
        <v>2543111.9870000002</v>
      </c>
      <c r="AQ97" s="6">
        <f>[1]Results!AT1533</f>
        <v>2575767.395</v>
      </c>
      <c r="AR97" s="6">
        <f>[1]Results!AU1533</f>
        <v>2608862.287</v>
      </c>
      <c r="AS97" s="6">
        <f>[1]Results!AV1533</f>
        <v>2642397.7230000002</v>
      </c>
      <c r="AT97" s="6">
        <f>[1]Results!AW1533</f>
        <v>2676389.8050000002</v>
      </c>
      <c r="AU97" s="6">
        <f>[1]Results!AX1533</f>
        <v>2710850.0219999999</v>
      </c>
      <c r="AV97" s="6">
        <f>[1]Results!AY1533</f>
        <v>2745786.037</v>
      </c>
      <c r="AW97" s="6">
        <f>[1]Results!AZ1533</f>
        <v>2781393.31</v>
      </c>
      <c r="AX97" s="6">
        <f>[1]Results!BA1533</f>
        <v>2817532.8420000002</v>
      </c>
      <c r="AY97" s="6">
        <f>[1]Results!BB1533</f>
        <v>2854196.1329999999</v>
      </c>
      <c r="AZ97" s="6">
        <f>[1]Results!BC1533</f>
        <v>2891377.2749999999</v>
      </c>
      <c r="BA97" s="6">
        <f>[1]Results!BD1533</f>
        <v>2929072.0959999999</v>
      </c>
      <c r="BB97" s="6">
        <f>[1]Results!BE1533</f>
        <v>3416677.1430000002</v>
      </c>
      <c r="BC97" s="6">
        <f>[1]Results!BF1533</f>
        <v>3473898.909</v>
      </c>
      <c r="BD97" s="6">
        <f>[1]Results!BG1533</f>
        <v>3532050.4369999999</v>
      </c>
      <c r="BE97" s="6">
        <f>[1]Results!BH1533</f>
        <v>3591148.4539999999</v>
      </c>
      <c r="BF97" s="6">
        <f>[1]Results!BI1533</f>
        <v>3651210.7570000002</v>
      </c>
    </row>
    <row r="98" spans="1:58" x14ac:dyDescent="0.35">
      <c r="B98" t="s">
        <v>29</v>
      </c>
      <c r="C98" s="6">
        <f>C103-C99</f>
        <v>-2020.0857576000003</v>
      </c>
      <c r="D98" s="6">
        <f t="shared" ref="D98:AL98" si="56">D103-D99</f>
        <v>-1970.7998628</v>
      </c>
      <c r="E98" s="6">
        <f t="shared" si="56"/>
        <v>-1968.3286319999997</v>
      </c>
      <c r="F98" s="6">
        <f t="shared" si="56"/>
        <v>-1974.9722655999999</v>
      </c>
      <c r="G98" s="6">
        <f t="shared" si="56"/>
        <v>-1985.6613447</v>
      </c>
      <c r="H98" s="6">
        <f t="shared" si="56"/>
        <v>-2000.1637056</v>
      </c>
      <c r="I98" s="6">
        <f t="shared" si="56"/>
        <v>-2018.3492198000001</v>
      </c>
      <c r="J98" s="6">
        <f t="shared" si="56"/>
        <v>-2037.7069388999998</v>
      </c>
      <c r="K98" s="6">
        <f t="shared" si="56"/>
        <v>-2058.8232803999999</v>
      </c>
      <c r="L98" s="6">
        <f t="shared" si="56"/>
        <v>-2081.3761015</v>
      </c>
      <c r="M98" s="6">
        <f t="shared" si="56"/>
        <v>-2104.4614830999999</v>
      </c>
      <c r="N98" s="6">
        <f t="shared" si="56"/>
        <v>-2131.7003442999999</v>
      </c>
      <c r="O98" s="6">
        <f t="shared" si="56"/>
        <v>-2156.9882342999999</v>
      </c>
      <c r="P98" s="6">
        <f t="shared" si="56"/>
        <v>-2182.0008731000003</v>
      </c>
      <c r="Q98" s="6">
        <f t="shared" si="56"/>
        <v>-2207.0697536999996</v>
      </c>
      <c r="R98" s="6">
        <f t="shared" si="56"/>
        <v>-2232.2326595</v>
      </c>
      <c r="S98" s="6">
        <f t="shared" si="56"/>
        <v>-2257.5531040000001</v>
      </c>
      <c r="T98" s="6">
        <f t="shared" si="56"/>
        <v>-2282.6106625000002</v>
      </c>
      <c r="U98" s="6">
        <f t="shared" si="56"/>
        <v>-2307.7187625000001</v>
      </c>
      <c r="V98" s="6">
        <f t="shared" si="56"/>
        <v>-2332.9574857999996</v>
      </c>
      <c r="W98" s="6">
        <f t="shared" si="56"/>
        <v>-2358.7105817000001</v>
      </c>
      <c r="X98" s="6">
        <f t="shared" si="56"/>
        <v>-2382.2038119999997</v>
      </c>
      <c r="Y98" s="6">
        <f t="shared" si="56"/>
        <v>-2407.4172345999996</v>
      </c>
      <c r="Z98" s="6">
        <f t="shared" si="56"/>
        <v>-2433.2669008000003</v>
      </c>
      <c r="AA98" s="6">
        <f t="shared" si="56"/>
        <v>-2459.5129908999997</v>
      </c>
      <c r="AB98" s="6">
        <f t="shared" si="56"/>
        <v>-2487.1131922</v>
      </c>
      <c r="AC98" s="6">
        <f t="shared" si="56"/>
        <v>-2508.5294734999998</v>
      </c>
      <c r="AD98" s="6">
        <f t="shared" si="56"/>
        <v>-2531.8772491</v>
      </c>
      <c r="AE98" s="6">
        <f t="shared" si="56"/>
        <v>-2555.8582708000004</v>
      </c>
      <c r="AF98" s="6">
        <f t="shared" si="56"/>
        <v>-2580.2083757</v>
      </c>
      <c r="AG98" s="6">
        <f t="shared" si="56"/>
        <v>-2604.9135748999997</v>
      </c>
      <c r="AH98" s="6">
        <f t="shared" si="56"/>
        <v>-2629.9901989999998</v>
      </c>
      <c r="AI98" s="6">
        <f t="shared" si="56"/>
        <v>-2655.5641382000003</v>
      </c>
      <c r="AJ98" s="6">
        <f t="shared" si="56"/>
        <v>-2681.5914124000001</v>
      </c>
      <c r="AK98" s="6">
        <f t="shared" si="56"/>
        <v>-2708.0715251000001</v>
      </c>
      <c r="AL98" s="6">
        <f t="shared" si="56"/>
        <v>-2735.0067645999998</v>
      </c>
      <c r="AM98" s="6">
        <f t="shared" ref="AM98:BC98" si="57">AM103-AM99</f>
        <v>-2762.4952309</v>
      </c>
      <c r="AN98" s="6">
        <f t="shared" si="57"/>
        <v>-2789.7129167000003</v>
      </c>
      <c r="AO98" s="6">
        <f t="shared" si="57"/>
        <v>-2817.0584116</v>
      </c>
      <c r="AP98" s="6">
        <f t="shared" si="57"/>
        <v>-2844.6667282999997</v>
      </c>
      <c r="AQ98" s="6">
        <f t="shared" si="57"/>
        <v>-2872.5911944999998</v>
      </c>
      <c r="AR98" s="6">
        <f t="shared" si="57"/>
        <v>-2900.8383668000001</v>
      </c>
      <c r="AS98" s="6">
        <f t="shared" si="57"/>
        <v>-2929.5597024000003</v>
      </c>
      <c r="AT98" s="6">
        <f t="shared" si="57"/>
        <v>-2958.6762982</v>
      </c>
      <c r="AU98" s="6">
        <f t="shared" si="57"/>
        <v>-2988.1785639</v>
      </c>
      <c r="AV98" s="6">
        <f t="shared" si="57"/>
        <v>-3018.0672506000001</v>
      </c>
      <c r="AW98" s="6">
        <f t="shared" si="57"/>
        <v>-3048.2467692</v>
      </c>
      <c r="AX98" s="6">
        <f t="shared" si="57"/>
        <v>-3079.3118427999998</v>
      </c>
      <c r="AY98" s="6">
        <f t="shared" si="57"/>
        <v>-3110.8632839000002</v>
      </c>
      <c r="AZ98" s="6">
        <f t="shared" si="57"/>
        <v>-3142.8165759999997</v>
      </c>
      <c r="BA98" s="6">
        <f t="shared" si="57"/>
        <v>-3175.1528280000002</v>
      </c>
      <c r="BB98" s="6">
        <f t="shared" si="57"/>
        <v>-3870.5352363000002</v>
      </c>
      <c r="BC98" s="6">
        <f t="shared" si="57"/>
        <v>-3927.7372703999999</v>
      </c>
      <c r="BD98" s="6">
        <f t="shared" ref="BD98:BF98" si="58">BD103-BD99</f>
        <v>-3985.8874222999993</v>
      </c>
      <c r="BE98" s="6">
        <f t="shared" si="58"/>
        <v>-4045.0042201999995</v>
      </c>
      <c r="BF98" s="6">
        <f t="shared" si="58"/>
        <v>-4105.1096029999999</v>
      </c>
    </row>
    <row r="99" spans="1:58" x14ac:dyDescent="0.35">
      <c r="B99" t="s">
        <v>36</v>
      </c>
      <c r="C99" s="6">
        <f>C101+C102</f>
        <v>-124.21263839999995</v>
      </c>
      <c r="D99" s="6">
        <f t="shared" ref="D99:AL99" si="59">D101+D102</f>
        <v>-117.29273219999993</v>
      </c>
      <c r="E99" s="6">
        <f t="shared" si="59"/>
        <v>-114.12949900000001</v>
      </c>
      <c r="F99" s="6">
        <f t="shared" si="59"/>
        <v>-111.50632739999998</v>
      </c>
      <c r="G99" s="6">
        <f t="shared" si="59"/>
        <v>-109.55967129999999</v>
      </c>
      <c r="H99" s="6">
        <f t="shared" si="59"/>
        <v>-108.42102539999996</v>
      </c>
      <c r="I99" s="6">
        <f t="shared" si="59"/>
        <v>-108.13818620000006</v>
      </c>
      <c r="J99" s="6">
        <f t="shared" si="59"/>
        <v>-108.17623309999993</v>
      </c>
      <c r="K99" s="6">
        <f t="shared" si="59"/>
        <v>-108.51252160000001</v>
      </c>
      <c r="L99" s="6">
        <f t="shared" si="59"/>
        <v>-109.06832050000003</v>
      </c>
      <c r="M99" s="6">
        <f t="shared" si="59"/>
        <v>-109.43139189999999</v>
      </c>
      <c r="N99" s="6">
        <f t="shared" si="59"/>
        <v>-110.52573670000004</v>
      </c>
      <c r="O99" s="6">
        <f t="shared" si="59"/>
        <v>-111.48613769999997</v>
      </c>
      <c r="P99" s="6">
        <f t="shared" si="59"/>
        <v>-112.47631190000004</v>
      </c>
      <c r="Q99" s="6">
        <f t="shared" si="59"/>
        <v>-113.51068529999998</v>
      </c>
      <c r="R99" s="6">
        <f t="shared" si="59"/>
        <v>-114.58152050000001</v>
      </c>
      <c r="S99" s="6">
        <f t="shared" si="59"/>
        <v>-115.70788800000003</v>
      </c>
      <c r="T99" s="6">
        <f t="shared" si="59"/>
        <v>-116.81463150000002</v>
      </c>
      <c r="U99" s="6">
        <f t="shared" si="59"/>
        <v>-117.92827550000004</v>
      </c>
      <c r="V99" s="6">
        <f t="shared" si="59"/>
        <v>-119.04758220000008</v>
      </c>
      <c r="W99" s="6">
        <f t="shared" si="59"/>
        <v>-120.41633130000002</v>
      </c>
      <c r="X99" s="6">
        <f t="shared" si="59"/>
        <v>-121.35296799999992</v>
      </c>
      <c r="Y99" s="6">
        <f t="shared" si="59"/>
        <v>-122.41113440000004</v>
      </c>
      <c r="Z99" s="6">
        <f t="shared" si="59"/>
        <v>-123.47609819999991</v>
      </c>
      <c r="AA99" s="6">
        <f t="shared" si="59"/>
        <v>-124.52726310000003</v>
      </c>
      <c r="AB99" s="6">
        <f t="shared" si="59"/>
        <v>-126.26623280000001</v>
      </c>
      <c r="AC99" s="6">
        <f t="shared" si="59"/>
        <v>-127.09452149999993</v>
      </c>
      <c r="AD99" s="6">
        <f t="shared" si="59"/>
        <v>-128.05595689999996</v>
      </c>
      <c r="AE99" s="6">
        <f t="shared" si="59"/>
        <v>-128.99551120000001</v>
      </c>
      <c r="AF99" s="6">
        <f t="shared" si="59"/>
        <v>-129.89119029999995</v>
      </c>
      <c r="AG99" s="6">
        <f t="shared" si="59"/>
        <v>-130.74499709999998</v>
      </c>
      <c r="AH99" s="6">
        <f t="shared" si="59"/>
        <v>-131.55562299999997</v>
      </c>
      <c r="AI99" s="6">
        <f t="shared" si="59"/>
        <v>-132.34232579999991</v>
      </c>
      <c r="AJ99" s="6">
        <f t="shared" si="59"/>
        <v>-133.10086860000001</v>
      </c>
      <c r="AK99" s="6">
        <f t="shared" si="59"/>
        <v>-133.83230990000004</v>
      </c>
      <c r="AL99" s="6">
        <f t="shared" si="59"/>
        <v>-134.5379934</v>
      </c>
      <c r="AM99" s="6">
        <f t="shared" ref="AM99:BC99" si="60">AM101+AM102</f>
        <v>-135.32742410000003</v>
      </c>
      <c r="AN99" s="6">
        <f t="shared" si="60"/>
        <v>-136.04930630000001</v>
      </c>
      <c r="AO99" s="6">
        <f t="shared" si="60"/>
        <v>-136.72763640000005</v>
      </c>
      <c r="AP99" s="6">
        <f t="shared" si="60"/>
        <v>-137.3681577000001</v>
      </c>
      <c r="AQ99" s="6">
        <f t="shared" si="60"/>
        <v>-137.97390849999999</v>
      </c>
      <c r="AR99" s="6">
        <f t="shared" si="60"/>
        <v>-138.53870619999998</v>
      </c>
      <c r="AS99" s="6">
        <f t="shared" si="60"/>
        <v>-139.08597659999998</v>
      </c>
      <c r="AT99" s="6">
        <f t="shared" si="60"/>
        <v>-139.60739579999995</v>
      </c>
      <c r="AU99" s="6">
        <f t="shared" si="60"/>
        <v>-140.10278510000001</v>
      </c>
      <c r="AV99" s="6">
        <f t="shared" si="60"/>
        <v>-140.57257240000001</v>
      </c>
      <c r="AW99" s="6">
        <f t="shared" si="60"/>
        <v>-140.97149479999996</v>
      </c>
      <c r="AX99" s="6">
        <f t="shared" si="60"/>
        <v>-141.39431420000005</v>
      </c>
      <c r="AY99" s="6">
        <f t="shared" si="60"/>
        <v>-141.79698009999993</v>
      </c>
      <c r="AZ99" s="6">
        <f t="shared" si="60"/>
        <v>-142.17130600000007</v>
      </c>
      <c r="BA99" s="6">
        <f t="shared" si="60"/>
        <v>-142.51464899999996</v>
      </c>
      <c r="BB99" s="6">
        <f t="shared" si="60"/>
        <v>-199.6492727000001</v>
      </c>
      <c r="BC99" s="6">
        <f t="shared" si="60"/>
        <v>-201.67183060000002</v>
      </c>
      <c r="BD99" s="6">
        <f t="shared" ref="BD99:BF99" si="61">BD101+BD102</f>
        <v>-203.70929770000009</v>
      </c>
      <c r="BE99" s="6">
        <f t="shared" si="61"/>
        <v>-205.76491780000015</v>
      </c>
      <c r="BF99" s="6">
        <f t="shared" si="61"/>
        <v>-207.84193600000003</v>
      </c>
    </row>
    <row r="100" spans="1:58" x14ac:dyDescent="0.35">
      <c r="B100" t="s">
        <v>33</v>
      </c>
      <c r="C100" s="6">
        <f>[1]Results!F1541</f>
        <v>39990.264060000001</v>
      </c>
      <c r="D100" s="6">
        <f>[1]Results!G1541</f>
        <v>40110.294130000002</v>
      </c>
      <c r="E100" s="6">
        <f>[1]Results!H1541</f>
        <v>40255.527370000003</v>
      </c>
      <c r="F100" s="6">
        <f>[1]Results!I1541</f>
        <v>40440.946940000002</v>
      </c>
      <c r="G100" s="6">
        <f>[1]Results!J1541</f>
        <v>40676.361709999997</v>
      </c>
      <c r="H100" s="6">
        <f>[1]Results!K1541</f>
        <v>40958.150750000001</v>
      </c>
      <c r="I100" s="6">
        <f>[1]Results!L1541</f>
        <v>41264.82619</v>
      </c>
      <c r="J100" s="6">
        <f>[1]Results!M1541</f>
        <v>41600.117339999997</v>
      </c>
      <c r="K100" s="6">
        <f>[1]Results!N1541</f>
        <v>41957.866390000003</v>
      </c>
      <c r="L100" s="6">
        <f>[1]Results!O1541</f>
        <v>42331.423210000001</v>
      </c>
      <c r="M100" s="6">
        <f>[1]Results!P1541</f>
        <v>42753.257680000002</v>
      </c>
      <c r="N100" s="6">
        <f>[1]Results!Q1541</f>
        <v>43153.121590000002</v>
      </c>
      <c r="O100" s="6">
        <f>[1]Results!R1541</f>
        <v>43550.071040000003</v>
      </c>
      <c r="P100" s="6">
        <f>[1]Results!S1541</f>
        <v>43945.37687</v>
      </c>
      <c r="Q100" s="6">
        <f>[1]Results!T1541</f>
        <v>44338.853869999999</v>
      </c>
      <c r="R100" s="6">
        <f>[1]Results!U1541</f>
        <v>44730.36591</v>
      </c>
      <c r="S100" s="6">
        <f>[1]Results!V1541</f>
        <v>45117.276059999997</v>
      </c>
      <c r="T100" s="6">
        <f>[1]Results!W1541</f>
        <v>45502.235439999997</v>
      </c>
      <c r="U100" s="6">
        <f>[1]Results!X1541</f>
        <v>45886.149019999997</v>
      </c>
      <c r="V100" s="6">
        <f>[1]Results!Y1541</f>
        <v>46269.943520000001</v>
      </c>
      <c r="W100" s="6">
        <f>[1]Results!Z1541</f>
        <v>46627.181420000001</v>
      </c>
      <c r="X100" s="6">
        <f>[1]Results!AA1541</f>
        <v>47004.641459999999</v>
      </c>
      <c r="Y100" s="6">
        <f>[1]Results!AB1541</f>
        <v>47389.084369999997</v>
      </c>
      <c r="Z100" s="6">
        <f>[1]Results!AC1541</f>
        <v>47779.450169999996</v>
      </c>
      <c r="AA100" s="6">
        <f>[1]Results!AD1541</f>
        <v>48176.049749999998</v>
      </c>
      <c r="AB100" s="6">
        <f>[1]Results!AE1541</f>
        <v>48501.76094</v>
      </c>
      <c r="AC100" s="6">
        <f>[1]Results!AF1541</f>
        <v>48850.880279999998</v>
      </c>
      <c r="AD100" s="6">
        <f>[1]Results!AG1541</f>
        <v>49206.679929999998</v>
      </c>
      <c r="AE100" s="6">
        <f>[1]Results!AH1541</f>
        <v>49568.962670000001</v>
      </c>
      <c r="AF100" s="6">
        <f>[1]Results!AI1541</f>
        <v>49938.808299999997</v>
      </c>
      <c r="AG100" s="6">
        <f>[1]Results!AJ1541</f>
        <v>50317.270450000004</v>
      </c>
      <c r="AH100" s="6">
        <f>[1]Results!AK1541</f>
        <v>50705.816149999999</v>
      </c>
      <c r="AI100" s="6">
        <f>[1]Results!AL1541</f>
        <v>51104.561379999999</v>
      </c>
      <c r="AJ100" s="6">
        <f>[1]Results!AM1541</f>
        <v>51513.83309</v>
      </c>
      <c r="AK100" s="6">
        <f>[1]Results!AN1541</f>
        <v>51933.801200000002</v>
      </c>
      <c r="AL100" s="6">
        <f>[1]Results!AO1541</f>
        <v>52364.485460000004</v>
      </c>
      <c r="AM100" s="6">
        <f>[1]Results!AP1541</f>
        <v>52793.128810000002</v>
      </c>
      <c r="AN100" s="6">
        <f>[1]Results!AQ1541</f>
        <v>53227.044379999999</v>
      </c>
      <c r="AO100" s="6">
        <f>[1]Results!AR1541</f>
        <v>53668.061090000003</v>
      </c>
      <c r="AP100" s="6">
        <f>[1]Results!AS1541</f>
        <v>54116.97105</v>
      </c>
      <c r="AQ100" s="6">
        <f>[1]Results!AT1541</f>
        <v>54574.22911</v>
      </c>
      <c r="AR100" s="6">
        <f>[1]Results!AU1541</f>
        <v>55041.003900000003</v>
      </c>
      <c r="AS100" s="6">
        <f>[1]Results!AV1541</f>
        <v>55516.813130000002</v>
      </c>
      <c r="AT100" s="6">
        <f>[1]Results!AW1541</f>
        <v>56001.723489999997</v>
      </c>
      <c r="AU100" s="6">
        <f>[1]Results!AX1541</f>
        <v>56495.758889999997</v>
      </c>
      <c r="AV100" s="6">
        <f>[1]Results!AY1541</f>
        <v>56998.933799999999</v>
      </c>
      <c r="AW100" s="6">
        <f>[1]Results!AZ1541</f>
        <v>57515.794580000002</v>
      </c>
      <c r="AX100" s="6">
        <f>[1]Results!BA1541</f>
        <v>58042.970020000001</v>
      </c>
      <c r="AY100" s="6">
        <f>[1]Results!BB1541</f>
        <v>58579.976049999997</v>
      </c>
      <c r="AZ100" s="6">
        <f>[1]Results!BC1541</f>
        <v>59126.610330000003</v>
      </c>
      <c r="BA100" s="6">
        <f>[1]Results!BD1541</f>
        <v>59682.767079999998</v>
      </c>
      <c r="BB100" s="6">
        <f>[1]Results!BE1541</f>
        <v>65457.206310000001</v>
      </c>
      <c r="BC100" s="6">
        <f>[1]Results!BF1541</f>
        <v>66266.410640000002</v>
      </c>
      <c r="BD100" s="6">
        <f>[1]Results!BG1541</f>
        <v>67090.519190000006</v>
      </c>
      <c r="BE100" s="6">
        <f>[1]Results!BH1541</f>
        <v>67929.616699999999</v>
      </c>
      <c r="BF100" s="6">
        <f>[1]Results!BI1541</f>
        <v>68783.803939999998</v>
      </c>
    </row>
    <row r="101" spans="1:58" x14ac:dyDescent="0.35">
      <c r="B101" t="s">
        <v>35</v>
      </c>
      <c r="C101" s="6">
        <f>[1]Results!F1538</f>
        <v>-607.19222649999995</v>
      </c>
      <c r="D101" s="6">
        <f>[1]Results!G1538</f>
        <v>-601.88575319999995</v>
      </c>
      <c r="E101" s="6">
        <f>[1]Results!H1538</f>
        <v>-601.36764340000002</v>
      </c>
      <c r="F101" s="6">
        <f>[1]Results!I1538</f>
        <v>-601.97419379999997</v>
      </c>
      <c r="G101" s="6">
        <f>[1]Results!J1538</f>
        <v>-603.84528369999998</v>
      </c>
      <c r="H101" s="6">
        <f>[1]Results!K1538</f>
        <v>-607.07496839999999</v>
      </c>
      <c r="I101" s="6">
        <f>[1]Results!L1538</f>
        <v>-611.37574370000004</v>
      </c>
      <c r="J101" s="6">
        <f>[1]Results!M1538</f>
        <v>-616.37569499999995</v>
      </c>
      <c r="K101" s="6">
        <f>[1]Results!N1538</f>
        <v>-622.00048549999997</v>
      </c>
      <c r="L101" s="6">
        <f>[1]Results!O1538</f>
        <v>-628.10321510000006</v>
      </c>
      <c r="M101" s="6">
        <f>[1]Results!P1538</f>
        <v>-634.76342020000004</v>
      </c>
      <c r="N101" s="6">
        <f>[1]Results!Q1538</f>
        <v>-641.8752637</v>
      </c>
      <c r="O101" s="6">
        <f>[1]Results!R1538</f>
        <v>-648.88871870000003</v>
      </c>
      <c r="P101" s="6">
        <f>[1]Results!S1538</f>
        <v>-655.98978650000004</v>
      </c>
      <c r="Q101" s="6">
        <f>[1]Results!T1538</f>
        <v>-663.18682349999995</v>
      </c>
      <c r="R101" s="6">
        <f>[1]Results!U1538</f>
        <v>-670.46391649999998</v>
      </c>
      <c r="S101" s="6">
        <f>[1]Results!V1538</f>
        <v>-677.78198950000001</v>
      </c>
      <c r="T101" s="6">
        <f>[1]Results!W1538</f>
        <v>-685.10996990000001</v>
      </c>
      <c r="U101" s="6">
        <f>[1]Results!X1538</f>
        <v>-692.48081560000003</v>
      </c>
      <c r="V101" s="6">
        <f>[1]Results!Y1538</f>
        <v>-699.89815850000002</v>
      </c>
      <c r="W101" s="6">
        <f>[1]Results!Z1538</f>
        <v>-707.21508679999999</v>
      </c>
      <c r="X101" s="6">
        <f>[1]Results!AA1538</f>
        <v>-714.42798849999997</v>
      </c>
      <c r="Y101" s="6">
        <f>[1]Results!AB1538</f>
        <v>-721.87573640000005</v>
      </c>
      <c r="Z101" s="6">
        <f>[1]Results!AC1538</f>
        <v>-729.41983819999996</v>
      </c>
      <c r="AA101" s="6">
        <f>[1]Results!AD1538</f>
        <v>-737.03771840000002</v>
      </c>
      <c r="AB101" s="6">
        <f>[1]Results!AE1538</f>
        <v>-744.30760710000004</v>
      </c>
      <c r="AC101" s="6">
        <f>[1]Results!AF1538</f>
        <v>-751.02990769999997</v>
      </c>
      <c r="AD101" s="6">
        <f>[1]Results!AG1538</f>
        <v>-757.96784449999996</v>
      </c>
      <c r="AE101" s="6">
        <f>[1]Results!AH1538</f>
        <v>-764.95162949999997</v>
      </c>
      <c r="AF101" s="6">
        <f>[1]Results!AI1538</f>
        <v>-771.96704639999996</v>
      </c>
      <c r="AG101" s="6">
        <f>[1]Results!AJ1538</f>
        <v>-779.02687479999997</v>
      </c>
      <c r="AH101" s="6">
        <f>[1]Results!AK1538</f>
        <v>-786.15137709999999</v>
      </c>
      <c r="AI101" s="6">
        <f>[1]Results!AL1538</f>
        <v>-793.35729289999995</v>
      </c>
      <c r="AJ101" s="6">
        <f>[1]Results!AM1538</f>
        <v>-800.64468550000004</v>
      </c>
      <c r="AK101" s="6">
        <f>[1]Results!AN1538</f>
        <v>-808.01786709999999</v>
      </c>
      <c r="AL101" s="6">
        <f>[1]Results!AO1538</f>
        <v>-815.48010910000005</v>
      </c>
      <c r="AM101" s="6">
        <f>[1]Results!AP1538</f>
        <v>-822.98350310000001</v>
      </c>
      <c r="AN101" s="6">
        <f>[1]Results!AQ1538</f>
        <v>-830.46888739999997</v>
      </c>
      <c r="AO101" s="6">
        <f>[1]Results!AR1538</f>
        <v>-837.98470150000003</v>
      </c>
      <c r="AP101" s="6">
        <f>[1]Results!AS1538</f>
        <v>-845.54792080000004</v>
      </c>
      <c r="AQ101" s="6">
        <f>[1]Results!AT1538</f>
        <v>-853.1682611</v>
      </c>
      <c r="AR101" s="6">
        <f>[1]Results!AU1538</f>
        <v>-860.86101789999998</v>
      </c>
      <c r="AS101" s="6">
        <f>[1]Results!AV1538</f>
        <v>-868.63898410000002</v>
      </c>
      <c r="AT101" s="6">
        <f>[1]Results!AW1538</f>
        <v>-876.49464049999995</v>
      </c>
      <c r="AU101" s="6">
        <f>[1]Results!AX1538</f>
        <v>-884.42878459999997</v>
      </c>
      <c r="AV101" s="6">
        <f>[1]Results!AY1538</f>
        <v>-892.44243610000001</v>
      </c>
      <c r="AW101" s="6">
        <f>[1]Results!AZ1538</f>
        <v>-900.57123049999996</v>
      </c>
      <c r="AX101" s="6">
        <f>[1]Results!BA1538</f>
        <v>-908.84719340000004</v>
      </c>
      <c r="AY101" s="6">
        <f>[1]Results!BB1538</f>
        <v>-917.21816769999998</v>
      </c>
      <c r="AZ101" s="6">
        <f>[1]Results!BC1538</f>
        <v>-925.67310210000005</v>
      </c>
      <c r="BA101" s="6">
        <f>[1]Results!BD1538</f>
        <v>-934.20762539999998</v>
      </c>
      <c r="BB101" s="6">
        <f>[1]Results!BE1538</f>
        <v>-1146.8100690000001</v>
      </c>
      <c r="BC101" s="6">
        <f>[1]Results!BF1538</f>
        <v>-1162.752213</v>
      </c>
      <c r="BD101" s="6">
        <f>[1]Results!BG1538</f>
        <v>-1178.9435550000001</v>
      </c>
      <c r="BE101" s="6">
        <f>[1]Results!BH1538</f>
        <v>-1195.3919310000001</v>
      </c>
      <c r="BF101" s="6">
        <f>[1]Results!BI1538</f>
        <v>-1212.105595</v>
      </c>
    </row>
    <row r="102" spans="1:58" x14ac:dyDescent="0.35">
      <c r="B102" t="s">
        <v>34</v>
      </c>
      <c r="C102" s="6">
        <f>[1]Results!F1540</f>
        <v>482.9795881</v>
      </c>
      <c r="D102" s="6">
        <f>[1]Results!G1540</f>
        <v>484.59302100000002</v>
      </c>
      <c r="E102" s="6">
        <f>[1]Results!H1540</f>
        <v>487.23814440000001</v>
      </c>
      <c r="F102" s="6">
        <f>[1]Results!I1540</f>
        <v>490.46786639999999</v>
      </c>
      <c r="G102" s="6">
        <f>[1]Results!J1540</f>
        <v>494.28561239999999</v>
      </c>
      <c r="H102" s="6">
        <f>[1]Results!K1540</f>
        <v>498.65394300000003</v>
      </c>
      <c r="I102" s="6">
        <f>[1]Results!L1540</f>
        <v>503.23755749999998</v>
      </c>
      <c r="J102" s="6">
        <f>[1]Results!M1540</f>
        <v>508.19946190000002</v>
      </c>
      <c r="K102" s="6">
        <f>[1]Results!N1540</f>
        <v>513.48796389999995</v>
      </c>
      <c r="L102" s="6">
        <f>[1]Results!O1540</f>
        <v>519.03489460000003</v>
      </c>
      <c r="M102" s="6">
        <f>[1]Results!P1540</f>
        <v>525.33202830000005</v>
      </c>
      <c r="N102" s="6">
        <f>[1]Results!Q1540</f>
        <v>531.34952699999997</v>
      </c>
      <c r="O102" s="6">
        <f>[1]Results!R1540</f>
        <v>537.40258100000005</v>
      </c>
      <c r="P102" s="6">
        <f>[1]Results!S1540</f>
        <v>543.5134746</v>
      </c>
      <c r="Q102" s="6">
        <f>[1]Results!T1540</f>
        <v>549.67613819999997</v>
      </c>
      <c r="R102" s="6">
        <f>[1]Results!U1540</f>
        <v>555.88239599999997</v>
      </c>
      <c r="S102" s="6">
        <f>[1]Results!V1540</f>
        <v>562.07410149999998</v>
      </c>
      <c r="T102" s="6">
        <f>[1]Results!W1540</f>
        <v>568.29533839999999</v>
      </c>
      <c r="U102" s="6">
        <f>[1]Results!X1540</f>
        <v>574.55254009999999</v>
      </c>
      <c r="V102" s="6">
        <f>[1]Results!Y1540</f>
        <v>580.85057629999994</v>
      </c>
      <c r="W102" s="6">
        <f>[1]Results!Z1540</f>
        <v>586.79875549999997</v>
      </c>
      <c r="X102" s="6">
        <f>[1]Results!AA1540</f>
        <v>593.07502050000005</v>
      </c>
      <c r="Y102" s="6">
        <f>[1]Results!AB1540</f>
        <v>599.46460200000001</v>
      </c>
      <c r="Z102" s="6">
        <f>[1]Results!AC1540</f>
        <v>605.94374000000005</v>
      </c>
      <c r="AA102" s="6">
        <f>[1]Results!AD1540</f>
        <v>612.51045529999999</v>
      </c>
      <c r="AB102" s="6">
        <f>[1]Results!AE1540</f>
        <v>618.04137430000003</v>
      </c>
      <c r="AC102" s="6">
        <f>[1]Results!AF1540</f>
        <v>623.93538620000004</v>
      </c>
      <c r="AD102" s="6">
        <f>[1]Results!AG1540</f>
        <v>629.9118876</v>
      </c>
      <c r="AE102" s="6">
        <f>[1]Results!AH1540</f>
        <v>635.95611829999996</v>
      </c>
      <c r="AF102" s="6">
        <f>[1]Results!AI1540</f>
        <v>642.07585610000001</v>
      </c>
      <c r="AG102" s="6">
        <f>[1]Results!AJ1540</f>
        <v>648.2818777</v>
      </c>
      <c r="AH102" s="6">
        <f>[1]Results!AK1540</f>
        <v>654.59575410000002</v>
      </c>
      <c r="AI102" s="6">
        <f>[1]Results!AL1540</f>
        <v>661.01496710000004</v>
      </c>
      <c r="AJ102" s="6">
        <f>[1]Results!AM1540</f>
        <v>667.54381690000002</v>
      </c>
      <c r="AK102" s="6">
        <f>[1]Results!AN1540</f>
        <v>674.18555719999995</v>
      </c>
      <c r="AL102" s="6">
        <f>[1]Results!AO1540</f>
        <v>680.94211570000004</v>
      </c>
      <c r="AM102" s="6">
        <f>[1]Results!AP1540</f>
        <v>687.65607899999998</v>
      </c>
      <c r="AN102" s="6">
        <f>[1]Results!AQ1540</f>
        <v>694.41958109999996</v>
      </c>
      <c r="AO102" s="6">
        <f>[1]Results!AR1540</f>
        <v>701.25706509999998</v>
      </c>
      <c r="AP102" s="6">
        <f>[1]Results!AS1540</f>
        <v>708.17976309999995</v>
      </c>
      <c r="AQ102" s="6">
        <f>[1]Results!AT1540</f>
        <v>715.1943526</v>
      </c>
      <c r="AR102" s="6">
        <f>[1]Results!AU1540</f>
        <v>722.3223117</v>
      </c>
      <c r="AS102" s="6">
        <f>[1]Results!AV1540</f>
        <v>729.55300750000004</v>
      </c>
      <c r="AT102" s="6">
        <f>[1]Results!AW1540</f>
        <v>736.8872447</v>
      </c>
      <c r="AU102" s="6">
        <f>[1]Results!AX1540</f>
        <v>744.32599949999997</v>
      </c>
      <c r="AV102" s="6">
        <f>[1]Results!AY1540</f>
        <v>751.8698637</v>
      </c>
      <c r="AW102" s="6">
        <f>[1]Results!AZ1540</f>
        <v>759.5997357</v>
      </c>
      <c r="AX102" s="6">
        <f>[1]Results!BA1540</f>
        <v>767.45287919999998</v>
      </c>
      <c r="AY102" s="6">
        <f>[1]Results!BB1540</f>
        <v>775.42118760000005</v>
      </c>
      <c r="AZ102" s="6">
        <f>[1]Results!BC1540</f>
        <v>783.50179609999998</v>
      </c>
      <c r="BA102" s="6">
        <f>[1]Results!BD1540</f>
        <v>791.69297640000002</v>
      </c>
      <c r="BB102" s="6">
        <f>[1]Results!BE1540</f>
        <v>947.16079630000002</v>
      </c>
      <c r="BC102" s="6">
        <f>[1]Results!BF1540</f>
        <v>961.08038239999996</v>
      </c>
      <c r="BD102" s="6">
        <f>[1]Results!BG1540</f>
        <v>975.23425729999997</v>
      </c>
      <c r="BE102" s="6">
        <f>[1]Results!BH1540</f>
        <v>989.62701319999996</v>
      </c>
      <c r="BF102" s="6">
        <f>[1]Results!BI1540</f>
        <v>1004.263659</v>
      </c>
    </row>
    <row r="103" spans="1:58" x14ac:dyDescent="0.35">
      <c r="B103" t="s">
        <v>37</v>
      </c>
      <c r="C103" s="6">
        <f>[1]Results!F1537</f>
        <v>-2144.2983960000001</v>
      </c>
      <c r="D103" s="6">
        <f>[1]Results!G1537</f>
        <v>-2088.0925950000001</v>
      </c>
      <c r="E103" s="6">
        <f>[1]Results!H1537</f>
        <v>-2082.4581309999999</v>
      </c>
      <c r="F103" s="6">
        <f>[1]Results!I1537</f>
        <v>-2086.4785929999998</v>
      </c>
      <c r="G103" s="6">
        <f>[1]Results!J1537</f>
        <v>-2095.221016</v>
      </c>
      <c r="H103" s="6">
        <f>[1]Results!K1537</f>
        <v>-2108.5847309999999</v>
      </c>
      <c r="I103" s="6">
        <f>[1]Results!L1537</f>
        <v>-2126.4874060000002</v>
      </c>
      <c r="J103" s="6">
        <f>[1]Results!M1537</f>
        <v>-2145.8831719999998</v>
      </c>
      <c r="K103" s="6">
        <f>[1]Results!N1537</f>
        <v>-2167.3358020000001</v>
      </c>
      <c r="L103" s="6">
        <f>[1]Results!O1537</f>
        <v>-2190.444422</v>
      </c>
      <c r="M103" s="6">
        <f>[1]Results!P1537</f>
        <v>-2213.892875</v>
      </c>
      <c r="N103" s="6">
        <f>[1]Results!Q1537</f>
        <v>-2242.2260809999998</v>
      </c>
      <c r="O103" s="6">
        <f>[1]Results!R1537</f>
        <v>-2268.4743720000001</v>
      </c>
      <c r="P103" s="6">
        <f>[1]Results!S1537</f>
        <v>-2294.4771850000002</v>
      </c>
      <c r="Q103" s="6">
        <f>[1]Results!T1537</f>
        <v>-2320.5804389999998</v>
      </c>
      <c r="R103" s="6">
        <f>[1]Results!U1537</f>
        <v>-2346.8141799999999</v>
      </c>
      <c r="S103" s="6">
        <f>[1]Results!V1537</f>
        <v>-2373.260992</v>
      </c>
      <c r="T103" s="6">
        <f>[1]Results!W1537</f>
        <v>-2399.4252940000001</v>
      </c>
      <c r="U103" s="6">
        <f>[1]Results!X1537</f>
        <v>-2425.6470380000001</v>
      </c>
      <c r="V103" s="6">
        <f>[1]Results!Y1537</f>
        <v>-2452.0050679999999</v>
      </c>
      <c r="W103" s="6">
        <f>[1]Results!Z1537</f>
        <v>-2479.1269130000001</v>
      </c>
      <c r="X103" s="6">
        <f>[1]Results!AA1537</f>
        <v>-2503.5567799999999</v>
      </c>
      <c r="Y103" s="6">
        <f>[1]Results!AB1537</f>
        <v>-2529.8283689999998</v>
      </c>
      <c r="Z103" s="6">
        <f>[1]Results!AC1537</f>
        <v>-2556.7429990000001</v>
      </c>
      <c r="AA103" s="6">
        <f>[1]Results!AD1537</f>
        <v>-2584.040254</v>
      </c>
      <c r="AB103" s="6">
        <f>[1]Results!AE1537</f>
        <v>-2613.3794250000001</v>
      </c>
      <c r="AC103" s="6">
        <f>[1]Results!AF1537</f>
        <v>-2635.6239949999999</v>
      </c>
      <c r="AD103" s="6">
        <f>[1]Results!AG1537</f>
        <v>-2659.9332060000002</v>
      </c>
      <c r="AE103" s="6">
        <f>[1]Results!AH1537</f>
        <v>-2684.8537820000001</v>
      </c>
      <c r="AF103" s="6">
        <f>[1]Results!AI1537</f>
        <v>-2710.0995659999999</v>
      </c>
      <c r="AG103" s="6">
        <f>[1]Results!AJ1537</f>
        <v>-2735.6585719999998</v>
      </c>
      <c r="AH103" s="6">
        <f>[1]Results!AK1537</f>
        <v>-2761.545822</v>
      </c>
      <c r="AI103" s="6">
        <f>[1]Results!AL1537</f>
        <v>-2787.9064640000001</v>
      </c>
      <c r="AJ103" s="6">
        <f>[1]Results!AM1537</f>
        <v>-2814.6922810000001</v>
      </c>
      <c r="AK103" s="6">
        <f>[1]Results!AN1537</f>
        <v>-2841.9038350000001</v>
      </c>
      <c r="AL103" s="6">
        <f>[1]Results!AO1537</f>
        <v>-2869.544758</v>
      </c>
      <c r="AM103" s="6">
        <f>[1]Results!AP1537</f>
        <v>-2897.8226549999999</v>
      </c>
      <c r="AN103" s="6">
        <f>[1]Results!AQ1537</f>
        <v>-2925.7622230000002</v>
      </c>
      <c r="AO103" s="6">
        <f>[1]Results!AR1537</f>
        <v>-2953.7860479999999</v>
      </c>
      <c r="AP103" s="6">
        <f>[1]Results!AS1537</f>
        <v>-2982.0348859999999</v>
      </c>
      <c r="AQ103" s="6">
        <f>[1]Results!AT1537</f>
        <v>-3010.5651029999999</v>
      </c>
      <c r="AR103" s="6">
        <f>[1]Results!AU1537</f>
        <v>-3039.3770730000001</v>
      </c>
      <c r="AS103" s="6">
        <f>[1]Results!AV1537</f>
        <v>-3068.6456790000002</v>
      </c>
      <c r="AT103" s="6">
        <f>[1]Results!AW1537</f>
        <v>-3098.2836940000002</v>
      </c>
      <c r="AU103" s="6">
        <f>[1]Results!AX1537</f>
        <v>-3128.2813489999999</v>
      </c>
      <c r="AV103" s="6">
        <f>[1]Results!AY1537</f>
        <v>-3158.639823</v>
      </c>
      <c r="AW103" s="6">
        <f>[1]Results!AZ1537</f>
        <v>-3189.2182640000001</v>
      </c>
      <c r="AX103" s="6">
        <f>[1]Results!BA1537</f>
        <v>-3220.7061570000001</v>
      </c>
      <c r="AY103" s="6">
        <f>[1]Results!BB1537</f>
        <v>-3252.6602640000001</v>
      </c>
      <c r="AZ103" s="6">
        <f>[1]Results!BC1537</f>
        <v>-3284.9878819999999</v>
      </c>
      <c r="BA103" s="6">
        <f>[1]Results!BD1537</f>
        <v>-3317.667477</v>
      </c>
      <c r="BB103" s="6">
        <f>[1]Results!BE1537</f>
        <v>-4070.1845090000002</v>
      </c>
      <c r="BC103" s="6">
        <f>[1]Results!BF1537</f>
        <v>-4129.4091010000002</v>
      </c>
      <c r="BD103" s="6">
        <f>[1]Results!BG1537</f>
        <v>-4189.5967199999996</v>
      </c>
      <c r="BE103" s="6">
        <f>[1]Results!BH1537</f>
        <v>-4250.7691379999997</v>
      </c>
      <c r="BF103" s="6">
        <f>[1]Results!BI1537</f>
        <v>-4312.9515389999997</v>
      </c>
    </row>
    <row r="104" spans="1:58" x14ac:dyDescent="0.35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</row>
    <row r="106" spans="1:58" x14ac:dyDescent="0.35">
      <c r="A106" s="12" t="s">
        <v>79</v>
      </c>
      <c r="B106" t="s">
        <v>14</v>
      </c>
      <c r="C106" s="7" t="s">
        <v>15</v>
      </c>
      <c r="D106" s="7" t="s">
        <v>16</v>
      </c>
      <c r="E106" s="7" t="s">
        <v>17</v>
      </c>
    </row>
    <row r="107" spans="1:58" x14ac:dyDescent="0.35">
      <c r="A107" t="s">
        <v>80</v>
      </c>
      <c r="B107" t="s">
        <v>27</v>
      </c>
      <c r="C107" s="4">
        <f>(R93-R79)/R79</f>
        <v>-4.185768110701444E-2</v>
      </c>
      <c r="D107" s="10">
        <f>(AB93-AB79)/AB79</f>
        <v>-5.1079309676616502E-2</v>
      </c>
      <c r="E107" s="10">
        <f>(AL93-AL79)/AL79</f>
        <v>-5.9058880966645175E-2</v>
      </c>
    </row>
    <row r="108" spans="1:58" x14ac:dyDescent="0.35">
      <c r="B108" t="s">
        <v>7</v>
      </c>
      <c r="C108" s="4">
        <f t="shared" ref="C108:C114" si="62">(R94-R82)/R82</f>
        <v>-4.8554730165819453E-2</v>
      </c>
      <c r="D108" s="4">
        <f t="shared" ref="D108:D114" si="63">(AB94-AB82)/AB82</f>
        <v>-5.7776115733851337E-2</v>
      </c>
      <c r="E108" s="4">
        <f t="shared" ref="E108:E114" si="64">(AL94-AL82)/AL82</f>
        <v>-6.74391924906904E-2</v>
      </c>
      <c r="Q108" s="5"/>
      <c r="U108" s="5"/>
      <c r="V108" s="5"/>
      <c r="Y108" s="5"/>
      <c r="Z108" s="5"/>
      <c r="AA108" s="5"/>
    </row>
    <row r="109" spans="1:58" x14ac:dyDescent="0.35">
      <c r="B109" t="s">
        <v>30</v>
      </c>
      <c r="C109" s="4">
        <f t="shared" si="62"/>
        <v>-6.0444938570221984E-2</v>
      </c>
      <c r="D109" s="4">
        <f t="shared" si="63"/>
        <v>-7.9039242521010203E-2</v>
      </c>
      <c r="E109" s="4">
        <f t="shared" si="64"/>
        <v>-9.2464238690666015E-2</v>
      </c>
      <c r="Q109" s="5"/>
      <c r="U109" s="5"/>
      <c r="V109" s="5"/>
      <c r="Y109" s="5"/>
      <c r="Z109" s="5"/>
      <c r="AA109" s="5"/>
    </row>
    <row r="110" spans="1:58" x14ac:dyDescent="0.35">
      <c r="B110" t="s">
        <v>9</v>
      </c>
      <c r="C110" s="4">
        <f t="shared" si="62"/>
        <v>-4.6975225346009349E-2</v>
      </c>
      <c r="D110" s="4">
        <f t="shared" si="63"/>
        <v>-5.8195425832276708E-2</v>
      </c>
      <c r="E110" s="4">
        <f t="shared" si="64"/>
        <v>-6.9250732484402486E-2</v>
      </c>
      <c r="Q110" s="5"/>
      <c r="U110" s="5"/>
      <c r="V110" s="5"/>
      <c r="Y110" s="5"/>
      <c r="Z110" s="5"/>
      <c r="AA110" s="5"/>
    </row>
    <row r="111" spans="1:58" x14ac:dyDescent="0.35">
      <c r="B111" t="s">
        <v>10</v>
      </c>
      <c r="C111" s="4">
        <f t="shared" si="62"/>
        <v>-3.7822387991553449E-2</v>
      </c>
      <c r="D111" s="4">
        <f t="shared" si="63"/>
        <v>-4.4927530291369762E-2</v>
      </c>
      <c r="E111" s="4">
        <f t="shared" si="64"/>
        <v>-5.1470521833498636E-2</v>
      </c>
      <c r="Q111" s="5"/>
      <c r="U111" s="5"/>
      <c r="V111" s="5"/>
      <c r="Y111" s="5"/>
      <c r="Z111" s="5"/>
      <c r="AA111" s="5"/>
    </row>
    <row r="112" spans="1:58" x14ac:dyDescent="0.35">
      <c r="B112" t="s">
        <v>29</v>
      </c>
      <c r="C112" s="4">
        <f t="shared" si="62"/>
        <v>3.2929851711348324E-2</v>
      </c>
      <c r="D112" s="4">
        <f t="shared" si="63"/>
        <v>4.258173311408299E-2</v>
      </c>
      <c r="E112" s="4">
        <f t="shared" si="64"/>
        <v>5.067746109875005E-2</v>
      </c>
      <c r="Q112" s="5"/>
      <c r="U112" s="5"/>
      <c r="V112" s="5"/>
      <c r="Y112" s="5"/>
      <c r="Z112" s="5"/>
      <c r="AA112" s="5"/>
    </row>
    <row r="113" spans="1:58" x14ac:dyDescent="0.35">
      <c r="B113" t="s">
        <v>36</v>
      </c>
      <c r="C113" s="4">
        <f t="shared" si="62"/>
        <v>-0.47720656696764385</v>
      </c>
      <c r="D113" s="4">
        <f t="shared" si="63"/>
        <v>-0.59384831829927853</v>
      </c>
      <c r="E113" s="4">
        <f t="shared" si="64"/>
        <v>-0.66524887656442078</v>
      </c>
      <c r="Q113" s="5"/>
      <c r="U113" s="5"/>
      <c r="V113" s="5"/>
      <c r="Y113" s="5"/>
      <c r="Z113" s="5"/>
      <c r="AA113" s="5"/>
    </row>
    <row r="114" spans="1:58" x14ac:dyDescent="0.35">
      <c r="B114" t="s">
        <v>33</v>
      </c>
      <c r="C114" s="4">
        <f t="shared" si="62"/>
        <v>-2.771694159438897E-2</v>
      </c>
      <c r="D114" s="4">
        <f t="shared" si="63"/>
        <v>-3.4235106533582214E-2</v>
      </c>
      <c r="E114" s="4">
        <f t="shared" si="64"/>
        <v>-4.3014483695855872E-2</v>
      </c>
      <c r="Q114" s="5"/>
      <c r="U114" s="5"/>
      <c r="V114" s="5"/>
      <c r="Y114" s="5"/>
      <c r="Z114" s="5"/>
      <c r="AA114" s="5"/>
    </row>
    <row r="115" spans="1:58" x14ac:dyDescent="0.35"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</row>
    <row r="116" spans="1:58" x14ac:dyDescent="0.35">
      <c r="A116" s="12" t="s">
        <v>79</v>
      </c>
      <c r="B116" t="s">
        <v>14</v>
      </c>
      <c r="C116" s="7" t="s">
        <v>15</v>
      </c>
      <c r="D116" s="7" t="s">
        <v>16</v>
      </c>
      <c r="E116" s="7" t="s">
        <v>17</v>
      </c>
    </row>
    <row r="117" spans="1:58" x14ac:dyDescent="0.35">
      <c r="A117" t="s">
        <v>81</v>
      </c>
      <c r="B117" t="s">
        <v>7</v>
      </c>
      <c r="C117" s="4">
        <f>R94/R82-1</f>
        <v>-4.855473016581946E-2</v>
      </c>
      <c r="D117" s="4">
        <f>AB94/AB82-1</f>
        <v>-5.777611573385133E-2</v>
      </c>
      <c r="E117" s="4">
        <f>AL94/AL82-1</f>
        <v>-6.7439192490690414E-2</v>
      </c>
    </row>
    <row r="118" spans="1:58" x14ac:dyDescent="0.35">
      <c r="B118" t="s">
        <v>30</v>
      </c>
      <c r="C118" s="4">
        <f>R95/R83-1</f>
        <v>-6.0444938570221929E-2</v>
      </c>
      <c r="D118" s="4">
        <f>AB95/AB83-1</f>
        <v>-7.9039242521010245E-2</v>
      </c>
      <c r="E118" s="4">
        <f>AL95/AL83-1</f>
        <v>-9.2464238690666001E-2</v>
      </c>
    </row>
    <row r="119" spans="1:58" x14ac:dyDescent="0.35">
      <c r="B119" t="s">
        <v>9</v>
      </c>
      <c r="C119" s="4">
        <f>R96/R84-1</f>
        <v>-4.6975225346009397E-2</v>
      </c>
      <c r="D119" s="4">
        <f>AB96/AB84-1</f>
        <v>-5.8195425832276659E-2</v>
      </c>
      <c r="E119" s="4">
        <f>AL96/AL84-1</f>
        <v>-6.92507324844025E-2</v>
      </c>
    </row>
    <row r="120" spans="1:58" x14ac:dyDescent="0.35">
      <c r="B120" t="s">
        <v>10</v>
      </c>
      <c r="C120" s="4">
        <f>R97/R85-1</f>
        <v>-3.7822387991553463E-2</v>
      </c>
      <c r="D120" s="4">
        <f>AB97/AB85-1</f>
        <v>-4.4927530291369755E-2</v>
      </c>
      <c r="E120" s="4">
        <f>AL97/AL85-1</f>
        <v>-5.147052183349865E-2</v>
      </c>
    </row>
    <row r="121" spans="1:58" x14ac:dyDescent="0.35">
      <c r="B121" t="s">
        <v>29</v>
      </c>
      <c r="C121" s="4">
        <f>R98/R86-1</f>
        <v>3.2929851711348324E-2</v>
      </c>
      <c r="D121" s="4">
        <f>AB98/AB86-1</f>
        <v>4.2581733114082976E-2</v>
      </c>
      <c r="E121" s="4">
        <f>AL98/AL86-1</f>
        <v>5.0677461098750154E-2</v>
      </c>
    </row>
    <row r="122" spans="1:58" x14ac:dyDescent="0.35">
      <c r="B122" t="s">
        <v>33</v>
      </c>
      <c r="C122" s="4">
        <f>R100/R88-1</f>
        <v>-2.7716941594388977E-2</v>
      </c>
      <c r="D122" s="4">
        <f>AB100/AB88-1</f>
        <v>-3.4235106533582194E-2</v>
      </c>
      <c r="E122" s="4">
        <f>AL100/AL88-1</f>
        <v>-4.3014483695855921E-2</v>
      </c>
    </row>
    <row r="124" spans="1:58" x14ac:dyDescent="0.35">
      <c r="A124" s="12" t="s">
        <v>82</v>
      </c>
      <c r="C124" s="2">
        <v>42005</v>
      </c>
      <c r="D124" s="2">
        <v>42370</v>
      </c>
      <c r="E124" s="2">
        <v>42736</v>
      </c>
      <c r="F124" s="2">
        <v>43101</v>
      </c>
      <c r="G124" s="2">
        <v>43466</v>
      </c>
      <c r="H124" s="2">
        <v>43831</v>
      </c>
      <c r="I124" s="2">
        <v>44197</v>
      </c>
      <c r="J124" s="2">
        <v>44562</v>
      </c>
      <c r="K124" s="2">
        <v>44927</v>
      </c>
      <c r="L124" s="2">
        <v>45292</v>
      </c>
      <c r="M124" s="2">
        <v>45658</v>
      </c>
      <c r="N124" s="2">
        <v>46023</v>
      </c>
      <c r="O124" s="2">
        <v>46388</v>
      </c>
      <c r="P124" s="2">
        <v>46753</v>
      </c>
      <c r="Q124" s="2">
        <v>47119</v>
      </c>
      <c r="R124" s="2">
        <v>47484</v>
      </c>
      <c r="S124" s="2">
        <v>47849</v>
      </c>
      <c r="T124" s="2">
        <v>48214</v>
      </c>
      <c r="U124" s="2">
        <v>48580</v>
      </c>
      <c r="V124" s="2">
        <v>48945</v>
      </c>
      <c r="W124" s="2">
        <v>49310</v>
      </c>
      <c r="X124" s="2">
        <v>49675</v>
      </c>
      <c r="Y124" s="2">
        <v>50041</v>
      </c>
      <c r="Z124" s="2">
        <v>50406</v>
      </c>
      <c r="AA124" s="2">
        <v>50771</v>
      </c>
      <c r="AB124" s="2">
        <v>51136</v>
      </c>
      <c r="AC124" s="2">
        <v>51502</v>
      </c>
      <c r="AD124" s="2">
        <v>51867</v>
      </c>
      <c r="AE124" s="2">
        <v>52232</v>
      </c>
      <c r="AF124" s="2">
        <v>52597</v>
      </c>
      <c r="AG124" s="2">
        <v>52963</v>
      </c>
      <c r="AH124" s="2">
        <v>53328</v>
      </c>
      <c r="AI124" s="2">
        <v>53693</v>
      </c>
      <c r="AJ124" s="2">
        <v>54058</v>
      </c>
      <c r="AK124" s="2">
        <v>54424</v>
      </c>
      <c r="AL124" s="2">
        <v>54789</v>
      </c>
      <c r="AM124" s="2">
        <v>54790</v>
      </c>
      <c r="AN124" s="2">
        <v>54791</v>
      </c>
      <c r="AO124" s="2">
        <v>54792</v>
      </c>
      <c r="AP124" s="2">
        <v>54793</v>
      </c>
      <c r="AQ124" s="2">
        <v>54794</v>
      </c>
      <c r="AR124" s="2">
        <v>54795</v>
      </c>
      <c r="AS124" s="2">
        <v>54796</v>
      </c>
      <c r="AT124" s="2">
        <v>54797</v>
      </c>
      <c r="AU124" s="2">
        <v>54798</v>
      </c>
      <c r="AV124" s="2">
        <v>54799</v>
      </c>
      <c r="AW124" s="2">
        <v>54800</v>
      </c>
      <c r="AX124" s="2">
        <v>54801</v>
      </c>
      <c r="AY124" s="2">
        <v>54802</v>
      </c>
      <c r="AZ124" s="2">
        <v>54803</v>
      </c>
      <c r="BA124" s="2">
        <v>54804</v>
      </c>
      <c r="BB124" s="2">
        <v>54805</v>
      </c>
      <c r="BC124" s="2">
        <v>54806</v>
      </c>
      <c r="BD124" s="2">
        <v>54807</v>
      </c>
      <c r="BE124" s="2">
        <v>54808</v>
      </c>
      <c r="BF124" s="2">
        <v>54809</v>
      </c>
    </row>
    <row r="125" spans="1:58" x14ac:dyDescent="0.35">
      <c r="A125" t="s">
        <v>38</v>
      </c>
      <c r="B125" t="s">
        <v>27</v>
      </c>
      <c r="C125" s="6">
        <f>[1]Production!B3</f>
        <v>3859362.8829999999</v>
      </c>
      <c r="D125" s="6">
        <f>[1]Production!C3</f>
        <v>3908270.102</v>
      </c>
      <c r="E125" s="6">
        <f>[1]Production!D3</f>
        <v>3962069.2280000001</v>
      </c>
      <c r="F125" s="6">
        <f>[1]Production!E3</f>
        <v>4019511.3670000001</v>
      </c>
      <c r="G125" s="6">
        <f>[1]Production!F3</f>
        <v>4080255.4750000001</v>
      </c>
      <c r="H125" s="6">
        <f>[1]Production!G3</f>
        <v>4143927.4419999998</v>
      </c>
      <c r="I125" s="6">
        <f>[1]Production!H3</f>
        <v>4207559.4890000001</v>
      </c>
      <c r="J125" s="6">
        <f>[1]Production!I3</f>
        <v>4272581.2709999997</v>
      </c>
      <c r="K125" s="6">
        <f>[1]Production!J3</f>
        <v>4339001.517</v>
      </c>
      <c r="L125" s="6">
        <f>[1]Production!K3</f>
        <v>4406764.1679999996</v>
      </c>
      <c r="M125" s="6">
        <f>[1]Production!L3</f>
        <v>4480406.0329999998</v>
      </c>
      <c r="N125" s="6">
        <f>[1]Production!M3</f>
        <v>4552217.8289999999</v>
      </c>
      <c r="O125" s="6">
        <f>[1]Production!N3</f>
        <v>4624727.4239999996</v>
      </c>
      <c r="P125" s="6">
        <f>[1]Production!O3</f>
        <v>4698046.068</v>
      </c>
      <c r="Q125" s="6">
        <f>[1]Production!P3</f>
        <v>4772200.3480000002</v>
      </c>
      <c r="R125" s="6">
        <f>[1]Production!Q3</f>
        <v>4847214.2019999996</v>
      </c>
      <c r="S125" s="6">
        <f>[1]Production!R3</f>
        <v>4923123.2309999997</v>
      </c>
      <c r="T125" s="6">
        <f>[1]Production!S3</f>
        <v>4999973.1310000001</v>
      </c>
      <c r="U125" s="6">
        <f>[1]Production!T3</f>
        <v>5077814.9989999998</v>
      </c>
      <c r="V125" s="6">
        <f>[1]Production!U3</f>
        <v>5156701.102</v>
      </c>
      <c r="W125" s="6">
        <f>[1]Production!V3</f>
        <v>5233255.7680000002</v>
      </c>
      <c r="X125" s="6">
        <f>[1]Production!W3</f>
        <v>5313205.6320000002</v>
      </c>
      <c r="Y125" s="6">
        <f>[1]Production!X3</f>
        <v>5394678.6030000001</v>
      </c>
      <c r="Z125" s="6">
        <f>[1]Production!Y3</f>
        <v>5477598.7450000001</v>
      </c>
      <c r="AA125" s="6">
        <f>[1]Production!Z3</f>
        <v>5561956.7209999999</v>
      </c>
      <c r="AB125" s="6">
        <f>[1]Production!AA3</f>
        <v>5637837.6509999996</v>
      </c>
      <c r="AC125" s="6">
        <f>[1]Production!AB3</f>
        <v>5716951.4349999996</v>
      </c>
      <c r="AD125" s="6">
        <f>[1]Production!AC3</f>
        <v>5796788.8870000001</v>
      </c>
      <c r="AE125" s="6">
        <f>[1]Production!AD3</f>
        <v>5877455.5650000004</v>
      </c>
      <c r="AF125" s="6">
        <f>[1]Production!AE3</f>
        <v>5959108.4539999999</v>
      </c>
      <c r="AG125" s="6">
        <f>[1]Production!AF3</f>
        <v>6041880.5729999999</v>
      </c>
      <c r="AH125" s="6">
        <f>[1]Production!AG3</f>
        <v>6125866.5240000002</v>
      </c>
      <c r="AI125" s="6">
        <f>[1]Production!AH3</f>
        <v>6211124.6909999996</v>
      </c>
      <c r="AJ125" s="6">
        <f>[1]Production!AI3</f>
        <v>6297684.6050000004</v>
      </c>
      <c r="AK125" s="6">
        <f>[1]Production!AJ3</f>
        <v>6385555.3959999997</v>
      </c>
      <c r="AL125" s="6">
        <f>[1]Production!AK3</f>
        <v>6474733.5049999999</v>
      </c>
      <c r="AM125" s="6">
        <f>[1]Production!AL3</f>
        <v>6562799.7130000005</v>
      </c>
      <c r="AN125" s="6">
        <f>[1]Production!AM3</f>
        <v>6651295.6140000001</v>
      </c>
      <c r="AO125" s="6">
        <f>[1]Production!AN3</f>
        <v>6740437.574</v>
      </c>
      <c r="AP125" s="6">
        <f>[1]Production!AO3</f>
        <v>6830366.6540000001</v>
      </c>
      <c r="AQ125" s="6">
        <f>[1]Production!AP3</f>
        <v>6921197.2130000005</v>
      </c>
      <c r="AR125" s="6">
        <f>[1]Production!AQ3</f>
        <v>7013024.5619999999</v>
      </c>
      <c r="AS125" s="6">
        <f>[1]Production!AR3</f>
        <v>7105925.4680000003</v>
      </c>
      <c r="AT125" s="6">
        <f>[1]Production!AS3</f>
        <v>7199958.9230000004</v>
      </c>
      <c r="AU125" s="6">
        <f>[1]Production!AT3</f>
        <v>7295168.3439999996</v>
      </c>
      <c r="AV125" s="6">
        <f>[1]Production!AU3</f>
        <v>7391584.9139999999</v>
      </c>
      <c r="AW125" s="6">
        <f>[1]Production!AV3</f>
        <v>7489450.551</v>
      </c>
      <c r="AX125" s="6">
        <f>[1]Production!AW3</f>
        <v>7588641.1490000002</v>
      </c>
      <c r="AY125" s="6">
        <f>[1]Production!AX3</f>
        <v>7689151.8480000002</v>
      </c>
      <c r="AZ125" s="6">
        <f>[1]Production!AY3</f>
        <v>7790980.6100000003</v>
      </c>
      <c r="BA125" s="6">
        <f>[1]Production!AZ3</f>
        <v>7894128.3990000002</v>
      </c>
      <c r="BB125" s="6">
        <f>[1]Production!BA3</f>
        <v>8712181.8599999994</v>
      </c>
      <c r="BC125" s="6">
        <f>[1]Production!BB3</f>
        <v>8859098.2300000004</v>
      </c>
      <c r="BD125" s="6">
        <f>[1]Production!BC3</f>
        <v>9008308.0109999999</v>
      </c>
      <c r="BE125" s="6">
        <f>[1]Production!BD3</f>
        <v>9159849.0710000005</v>
      </c>
      <c r="BF125" s="6">
        <f>[1]Production!BE3</f>
        <v>9313761.7990000006</v>
      </c>
    </row>
    <row r="126" spans="1:58" x14ac:dyDescent="0.35">
      <c r="B126" t="s">
        <v>7</v>
      </c>
      <c r="C126" s="6">
        <f>[1]Production!B5+[1]Production!B7</f>
        <v>88399.361332</v>
      </c>
      <c r="D126" s="6">
        <f>[1]Production!C5+[1]Production!C7</f>
        <v>89086.882844000007</v>
      </c>
      <c r="E126" s="6">
        <f>[1]Production!D5+[1]Production!D7</f>
        <v>89901.650274</v>
      </c>
      <c r="F126" s="6">
        <f>[1]Production!E5+[1]Production!E7</f>
        <v>90860.683345999991</v>
      </c>
      <c r="G126" s="6">
        <f>[1]Production!F5+[1]Production!F7</f>
        <v>91956.934029999989</v>
      </c>
      <c r="H126" s="6">
        <f>[1]Production!G5+[1]Production!G7</f>
        <v>93174.719901999997</v>
      </c>
      <c r="I126" s="6">
        <f>[1]Production!H5+[1]Production!H7</f>
        <v>94440.778928</v>
      </c>
      <c r="J126" s="6">
        <f>[1]Production!I5+[1]Production!I7</f>
        <v>95767.212002</v>
      </c>
      <c r="K126" s="6">
        <f>[1]Production!J5+[1]Production!J7</f>
        <v>97145.316179000001</v>
      </c>
      <c r="L126" s="6">
        <f>[1]Production!K5+[1]Production!K7</f>
        <v>98567.024109999998</v>
      </c>
      <c r="M126" s="6">
        <f>[1]Production!L5+[1]Production!L7</f>
        <v>100120.72706600001</v>
      </c>
      <c r="N126" s="6">
        <f>[1]Production!M5+[1]Production!M7</f>
        <v>101653.342561</v>
      </c>
      <c r="O126" s="6">
        <f>[1]Production!N5+[1]Production!N7</f>
        <v>103202.05403</v>
      </c>
      <c r="P126" s="6">
        <f>[1]Production!O5+[1]Production!O7</f>
        <v>104767.05403100001</v>
      </c>
      <c r="Q126" s="6">
        <f>[1]Production!P5+[1]Production!P7</f>
        <v>106347.418596</v>
      </c>
      <c r="R126" s="6">
        <f>[1]Production!Q5+[1]Production!Q7</f>
        <v>107942.74715400001</v>
      </c>
      <c r="S126" s="6">
        <f>[1]Production!R5+[1]Production!R7</f>
        <v>109553.31297899999</v>
      </c>
      <c r="T126" s="6">
        <f>[1]Production!S5+[1]Production!S7</f>
        <v>111179.892506</v>
      </c>
      <c r="U126" s="6">
        <f>[1]Production!T5+[1]Production!T7</f>
        <v>112823.56651400001</v>
      </c>
      <c r="V126" s="6">
        <f>[1]Production!U5+[1]Production!U7</f>
        <v>114485.56413</v>
      </c>
      <c r="W126" s="6">
        <f>[1]Production!V5+[1]Production!V7</f>
        <v>116096.807428</v>
      </c>
      <c r="X126" s="6">
        <f>[1]Production!W5+[1]Production!W7</f>
        <v>117768.010458</v>
      </c>
      <c r="Y126" s="6">
        <f>[1]Production!X5+[1]Production!X7</f>
        <v>119470.072314</v>
      </c>
      <c r="Z126" s="6">
        <f>[1]Production!Y5+[1]Production!Y7</f>
        <v>121201.768222</v>
      </c>
      <c r="AA126" s="6">
        <f>[1]Production!Z5+[1]Production!Z7</f>
        <v>122963.14878999999</v>
      </c>
      <c r="AB126" s="6">
        <f>[1]Production!AA5+[1]Production!AA7</f>
        <v>124551.21462</v>
      </c>
      <c r="AC126" s="6">
        <f>[1]Production!AB5+[1]Production!AB7</f>
        <v>126185.314709</v>
      </c>
      <c r="AD126" s="6">
        <f>[1]Production!AC5+[1]Production!AC7</f>
        <v>127830.37260500001</v>
      </c>
      <c r="AE126" s="6">
        <f>[1]Production!AD5+[1]Production!AD7</f>
        <v>129491.06492500001</v>
      </c>
      <c r="AF126" s="6">
        <f>[1]Production!AE5+[1]Production!AE7</f>
        <v>131172.84813100001</v>
      </c>
      <c r="AG126" s="6">
        <f>[1]Production!AF5+[1]Production!AF7</f>
        <v>132880.201237</v>
      </c>
      <c r="AH126" s="6">
        <f>[1]Production!AG5+[1]Production!AG7</f>
        <v>134616.32687200001</v>
      </c>
      <c r="AI126" s="6">
        <f>[1]Production!AH5+[1]Production!AH7</f>
        <v>136383.27926499999</v>
      </c>
      <c r="AJ126" s="6">
        <f>[1]Production!AI5+[1]Production!AI7</f>
        <v>138182.213453</v>
      </c>
      <c r="AK126" s="6">
        <f>[1]Production!AJ5+[1]Production!AJ7</f>
        <v>140013.647176</v>
      </c>
      <c r="AL126" s="6">
        <f>[1]Production!AK5+[1]Production!AK7</f>
        <v>141877.69041800001</v>
      </c>
      <c r="AM126" s="6">
        <f>[1]Production!AL5+[1]Production!AL7</f>
        <v>143725.070014</v>
      </c>
      <c r="AN126" s="6">
        <f>[1]Production!AM5+[1]Production!AM7</f>
        <v>145582.33998600001</v>
      </c>
      <c r="AO126" s="6">
        <f>[1]Production!AN5+[1]Production!AN7</f>
        <v>147455.168397</v>
      </c>
      <c r="AP126" s="6">
        <f>[1]Production!AO5+[1]Production!AO7</f>
        <v>149347.67325400002</v>
      </c>
      <c r="AQ126" s="6">
        <f>[1]Production!AP5+[1]Production!AP7</f>
        <v>151263.342301</v>
      </c>
      <c r="AR126" s="6">
        <f>[1]Production!AQ5+[1]Production!AQ7</f>
        <v>153205.098348</v>
      </c>
      <c r="AS126" s="6">
        <f>[1]Production!AR5+[1]Production!AR7</f>
        <v>155175.26101799999</v>
      </c>
      <c r="AT126" s="6">
        <f>[1]Production!AS5+[1]Production!AS7</f>
        <v>157175.553468</v>
      </c>
      <c r="AU126" s="6">
        <f>[1]Production!AT5+[1]Production!AT7</f>
        <v>159207.16079300002</v>
      </c>
      <c r="AV126" s="6">
        <f>[1]Production!AU5+[1]Production!AU7</f>
        <v>161270.80078699999</v>
      </c>
      <c r="AW126" s="6">
        <f>[1]Production!AV5+[1]Production!AV7</f>
        <v>163371.10921300002</v>
      </c>
      <c r="AX126" s="6">
        <f>[1]Production!AW5+[1]Production!AW7</f>
        <v>165506.00823800001</v>
      </c>
      <c r="AY126" s="6">
        <f>[1]Production!AX5+[1]Production!AX7</f>
        <v>167675.35441900001</v>
      </c>
      <c r="AZ126" s="6">
        <f>[1]Production!AY5+[1]Production!AY7</f>
        <v>169878.87345000001</v>
      </c>
      <c r="BA126" s="6">
        <f>[1]Production!AZ5+[1]Production!AZ7</f>
        <v>172116.29798799998</v>
      </c>
      <c r="BB126" s="6">
        <f>[1]Production!BA5+[1]Production!BA7</f>
        <v>187349.718796</v>
      </c>
      <c r="BC126" s="6">
        <f>[1]Production!BB5+[1]Production!BB7</f>
        <v>190365.57513399998</v>
      </c>
      <c r="BD126" s="6">
        <f>[1]Production!BC5+[1]Production!BC7</f>
        <v>193432.17496200002</v>
      </c>
      <c r="BE126" s="6">
        <f>[1]Production!BD5+[1]Production!BD7</f>
        <v>196550.74918099999</v>
      </c>
      <c r="BF126" s="6">
        <f>[1]Production!BE5+[1]Production!BE7</f>
        <v>199722.56682400001</v>
      </c>
    </row>
    <row r="127" spans="1:58" x14ac:dyDescent="0.35">
      <c r="B127" t="s">
        <v>30</v>
      </c>
      <c r="C127" s="6">
        <f>[1]Production!B9+[1]Production!B11+[1]Production!B13+[1]Production!B15+[1]Production!B17+[1]Production!B19+[1]Production!B21+[1]Production!B23+[1]Production!B25+[1]Production!B27+[1]Production!B41</f>
        <v>980668.46111999988</v>
      </c>
      <c r="D127" s="6">
        <f>[1]Production!C9+[1]Production!C11+[1]Production!C13+[1]Production!C15+[1]Production!C17+[1]Production!C19+[1]Production!C21+[1]Production!C23+[1]Production!C25+[1]Production!C27+[1]Production!C41</f>
        <v>993738.33311600005</v>
      </c>
      <c r="E127" s="6">
        <f>[1]Production!D9+[1]Production!D11+[1]Production!D13+[1]Production!D15+[1]Production!D17+[1]Production!D19+[1]Production!D21+[1]Production!D23+[1]Production!D25+[1]Production!D27+[1]Production!D41</f>
        <v>1008305.6109740001</v>
      </c>
      <c r="F127" s="6">
        <f>[1]Production!E9+[1]Production!E11+[1]Production!E13+[1]Production!E15+[1]Production!E17+[1]Production!E19+[1]Production!E21+[1]Production!E23+[1]Production!E25+[1]Production!E27+[1]Production!E41</f>
        <v>1023739.502398</v>
      </c>
      <c r="G127" s="6">
        <f>[1]Production!F9+[1]Production!F11+[1]Production!F13+[1]Production!F15+[1]Production!F17+[1]Production!F19+[1]Production!F21+[1]Production!F23+[1]Production!F25+[1]Production!F27+[1]Production!F41</f>
        <v>1039865.8879719999</v>
      </c>
      <c r="H127" s="6">
        <f>[1]Production!G9+[1]Production!G11+[1]Production!G13+[1]Production!G15+[1]Production!G17+[1]Production!G19+[1]Production!G21+[1]Production!G23+[1]Production!G25+[1]Production!G27+[1]Production!G41</f>
        <v>1056587.3339199999</v>
      </c>
      <c r="I127" s="6">
        <f>[1]Production!H9+[1]Production!H11+[1]Production!H13+[1]Production!H15+[1]Production!H17+[1]Production!H19+[1]Production!H21+[1]Production!H23+[1]Production!H25+[1]Production!H27+[1]Production!H41</f>
        <v>1073194.7002179998</v>
      </c>
      <c r="J127" s="6">
        <f>[1]Production!I9+[1]Production!I11+[1]Production!I13+[1]Production!I15+[1]Production!I17+[1]Production!I19+[1]Production!I21+[1]Production!I23+[1]Production!I25+[1]Production!I27+[1]Production!I41</f>
        <v>1090088.1233369999</v>
      </c>
      <c r="K127" s="6">
        <f>[1]Production!J9+[1]Production!J11+[1]Production!J13+[1]Production!J15+[1]Production!J17+[1]Production!J19+[1]Production!J21+[1]Production!J23+[1]Production!J25+[1]Production!J27+[1]Production!J41</f>
        <v>1107297.1687169999</v>
      </c>
      <c r="L127" s="6">
        <f>[1]Production!K9+[1]Production!K11+[1]Production!K13+[1]Production!K15+[1]Production!K17+[1]Production!K19+[1]Production!K21+[1]Production!K23+[1]Production!K25+[1]Production!K27+[1]Production!K41</f>
        <v>1124832.024832</v>
      </c>
      <c r="M127" s="6">
        <f>[1]Production!L9+[1]Production!L11+[1]Production!L13+[1]Production!L15+[1]Production!L17+[1]Production!L19+[1]Production!L21+[1]Production!L23+[1]Production!L25+[1]Production!L27+[1]Production!L41</f>
        <v>1143837.2185220001</v>
      </c>
      <c r="N127" s="6">
        <f>[1]Production!M9+[1]Production!M11+[1]Production!M13+[1]Production!M15+[1]Production!M17+[1]Production!M19+[1]Production!M21+[1]Production!M23+[1]Production!M25+[1]Production!M27+[1]Production!M41</f>
        <v>1162394.5641419999</v>
      </c>
      <c r="O127" s="6">
        <f>[1]Production!N9+[1]Production!N11+[1]Production!N13+[1]Production!N15+[1]Production!N17+[1]Production!N19+[1]Production!N21+[1]Production!N23+[1]Production!N25+[1]Production!N27+[1]Production!N41</f>
        <v>1181172.4018240001</v>
      </c>
      <c r="P127" s="6">
        <f>[1]Production!O9+[1]Production!O11+[1]Production!O13+[1]Production!O15+[1]Production!O17+[1]Production!O19+[1]Production!O21+[1]Production!O23+[1]Production!O25+[1]Production!O27+[1]Production!O41</f>
        <v>1200204.990735</v>
      </c>
      <c r="Q127" s="6">
        <f>[1]Production!P9+[1]Production!P11+[1]Production!P13+[1]Production!P15+[1]Production!P17+[1]Production!P19+[1]Production!P21+[1]Production!P23+[1]Production!P25+[1]Production!P27+[1]Production!P41</f>
        <v>1219506.9153819999</v>
      </c>
      <c r="R127" s="6">
        <f>[1]Production!Q9+[1]Production!Q11+[1]Production!Q13+[1]Production!Q15+[1]Production!Q17+[1]Production!Q19+[1]Production!Q21+[1]Production!Q23+[1]Production!Q25+[1]Production!Q27+[1]Production!Q41</f>
        <v>1239090.2205000001</v>
      </c>
      <c r="S127" s="6">
        <f>[1]Production!R9+[1]Production!R11+[1]Production!R13+[1]Production!R15+[1]Production!R17+[1]Production!R19+[1]Production!R21+[1]Production!R23+[1]Production!R25+[1]Production!R27+[1]Production!R41</f>
        <v>1258968.076383</v>
      </c>
      <c r="T127" s="6">
        <f>[1]Production!S9+[1]Production!S11+[1]Production!S13+[1]Production!S15+[1]Production!S17+[1]Production!S19+[1]Production!S21+[1]Production!S23+[1]Production!S25+[1]Production!S27+[1]Production!S41</f>
        <v>1279154.9634469999</v>
      </c>
      <c r="U127" s="6">
        <f>[1]Production!T9+[1]Production!T11+[1]Production!T13+[1]Production!T15+[1]Production!T17+[1]Production!T19+[1]Production!T21+[1]Production!T23+[1]Production!T25+[1]Production!T27+[1]Production!T41</f>
        <v>1299665.8851269998</v>
      </c>
      <c r="V127" s="6">
        <f>[1]Production!U9+[1]Production!U11+[1]Production!U13+[1]Production!U15+[1]Production!U17+[1]Production!U19+[1]Production!U21+[1]Production!U23+[1]Production!U25+[1]Production!U27+[1]Production!U41</f>
        <v>1320515.45695</v>
      </c>
      <c r="W127" s="6">
        <f>[1]Production!V9+[1]Production!V11+[1]Production!V13+[1]Production!V15+[1]Production!V17+[1]Production!V19+[1]Production!V21+[1]Production!V23+[1]Production!V25+[1]Production!V27+[1]Production!V41</f>
        <v>1340867.5347030002</v>
      </c>
      <c r="X127" s="6">
        <f>[1]Production!W9+[1]Production!W11+[1]Production!W13+[1]Production!W15+[1]Production!W17+[1]Production!W19+[1]Production!W21+[1]Production!W23+[1]Production!W25+[1]Production!W27+[1]Production!W41</f>
        <v>1362155.262717</v>
      </c>
      <c r="Y127" s="6">
        <f>[1]Production!X9+[1]Production!X11+[1]Production!X13+[1]Production!X15+[1]Production!X17+[1]Production!X19+[1]Production!X21+[1]Production!X23+[1]Production!X25+[1]Production!X27+[1]Production!X41</f>
        <v>1383892.6899629999</v>
      </c>
      <c r="Z127" s="6">
        <f>[1]Production!Y9+[1]Production!Y11+[1]Production!Y13+[1]Production!Y15+[1]Production!Y17+[1]Production!Y19+[1]Production!Y21+[1]Production!Y23+[1]Production!Y25+[1]Production!Y27+[1]Production!Y41</f>
        <v>1406061.5950859999</v>
      </c>
      <c r="AA127" s="6">
        <f>[1]Production!Z9+[1]Production!Z11+[1]Production!Z13+[1]Production!Z15+[1]Production!Z17+[1]Production!Z19+[1]Production!Z21+[1]Production!Z23+[1]Production!Z25+[1]Production!Z27+[1]Production!Z41</f>
        <v>1428657.4594070001</v>
      </c>
      <c r="AB127" s="6">
        <f>[1]Production!AA9+[1]Production!AA11+[1]Production!AA13+[1]Production!AA15+[1]Production!AA17+[1]Production!AA19+[1]Production!AA21+[1]Production!AA23+[1]Production!AA25+[1]Production!AA27+[1]Production!AA41</f>
        <v>1449218.653043</v>
      </c>
      <c r="AC127" s="6">
        <f>[1]Production!AB9+[1]Production!AB11+[1]Production!AB13+[1]Production!AB15+[1]Production!AB17+[1]Production!AB19+[1]Production!AB21+[1]Production!AB23+[1]Production!AB25+[1]Production!AB27+[1]Production!AB41</f>
        <v>1470680.4744760001</v>
      </c>
      <c r="AD127" s="6">
        <f>[1]Production!AC9+[1]Production!AC11+[1]Production!AC13+[1]Production!AC15+[1]Production!AC17+[1]Production!AC19+[1]Production!AC21+[1]Production!AC23+[1]Production!AC25+[1]Production!AC27+[1]Production!AC41</f>
        <v>1492374.6372819997</v>
      </c>
      <c r="AE127" s="6">
        <f>[1]Production!AD9+[1]Production!AD11+[1]Production!AD13+[1]Production!AD15+[1]Production!AD17+[1]Production!AD19+[1]Production!AD21+[1]Production!AD23+[1]Production!AD25+[1]Production!AD27+[1]Production!AD41</f>
        <v>1514317.7262309999</v>
      </c>
      <c r="AF127" s="6">
        <f>[1]Production!AE9+[1]Production!AE11+[1]Production!AE13+[1]Production!AE15+[1]Production!AE17+[1]Production!AE19+[1]Production!AE21+[1]Production!AE23+[1]Production!AE25+[1]Production!AE27+[1]Production!AE41</f>
        <v>1536535.2946359999</v>
      </c>
      <c r="AG127" s="6">
        <f>[1]Production!AF9+[1]Production!AF11+[1]Production!AF13+[1]Production!AF15+[1]Production!AF17+[1]Production!AF19+[1]Production!AF21+[1]Production!AF23+[1]Production!AF25+[1]Production!AF27+[1]Production!AF41</f>
        <v>1559047.9153340003</v>
      </c>
      <c r="AH127" s="6">
        <f>[1]Production!AG9+[1]Production!AG11+[1]Production!AG13+[1]Production!AG15+[1]Production!AG17+[1]Production!AG19+[1]Production!AG21+[1]Production!AG23+[1]Production!AG25+[1]Production!AG27+[1]Production!AG41</f>
        <v>1581868.43621</v>
      </c>
      <c r="AI127" s="6">
        <f>[1]Production!AH9+[1]Production!AH11+[1]Production!AH13+[1]Production!AH15+[1]Production!AH17+[1]Production!AH19+[1]Production!AH21+[1]Production!AH23+[1]Production!AH25+[1]Production!AH27+[1]Production!AH41</f>
        <v>1605002.246642</v>
      </c>
      <c r="AJ127" s="6">
        <f>[1]Production!AI9+[1]Production!AI11+[1]Production!AI13+[1]Production!AI15+[1]Production!AI17+[1]Production!AI19+[1]Production!AI21+[1]Production!AI23+[1]Production!AI25+[1]Production!AI27+[1]Production!AI41</f>
        <v>1628448.653591</v>
      </c>
      <c r="AK127" s="6">
        <f>[1]Production!AJ9+[1]Production!AJ11+[1]Production!AJ13+[1]Production!AJ15+[1]Production!AJ17+[1]Production!AJ19+[1]Production!AJ21+[1]Production!AJ23+[1]Production!AJ25+[1]Production!AJ27+[1]Production!AJ41</f>
        <v>1652202.6362610001</v>
      </c>
      <c r="AL127" s="6">
        <f>[1]Production!AK9+[1]Production!AK11+[1]Production!AK13+[1]Production!AK15+[1]Production!AK17+[1]Production!AK19+[1]Production!AK21+[1]Production!AK23+[1]Production!AK25+[1]Production!AK27+[1]Production!AK41</f>
        <v>1676256.569777</v>
      </c>
      <c r="AM127" s="6">
        <f>[1]Production!AL9+[1]Production!AL11+[1]Production!AL13+[1]Production!AL15+[1]Production!AL17+[1]Production!AL19+[1]Production!AL21+[1]Production!AL23+[1]Production!AL25+[1]Production!AL27+[1]Production!AL41</f>
        <v>1700002.687831</v>
      </c>
      <c r="AN127" s="6">
        <f>[1]Production!AM9+[1]Production!AM11+[1]Production!AM13+[1]Production!AM15+[1]Production!AM17+[1]Production!AM19+[1]Production!AM21+[1]Production!AM23+[1]Production!AM25+[1]Production!AM27+[1]Production!AM41</f>
        <v>1723825.4478459998</v>
      </c>
      <c r="AO127" s="6">
        <f>[1]Production!AN9+[1]Production!AN11+[1]Production!AN13+[1]Production!AN15+[1]Production!AN17+[1]Production!AN19+[1]Production!AN21+[1]Production!AN23+[1]Production!AN25+[1]Production!AN27+[1]Production!AN41</f>
        <v>1747767.337087</v>
      </c>
      <c r="AP127" s="6">
        <f>[1]Production!AO9+[1]Production!AO11+[1]Production!AO13+[1]Production!AO15+[1]Production!AO17+[1]Production!AO19+[1]Production!AO21+[1]Production!AO23+[1]Production!AO25+[1]Production!AO27+[1]Production!AO41</f>
        <v>1771854.3317259999</v>
      </c>
      <c r="AQ127" s="6">
        <f>[1]Production!AP9+[1]Production!AP11+[1]Production!AP13+[1]Production!AP15+[1]Production!AP17+[1]Production!AP19+[1]Production!AP21+[1]Production!AP23+[1]Production!AP25+[1]Production!AP27+[1]Production!AP41</f>
        <v>1796106.5159479999</v>
      </c>
      <c r="AR127" s="6">
        <f>[1]Production!AQ9+[1]Production!AQ11+[1]Production!AQ13+[1]Production!AQ15+[1]Production!AQ17+[1]Production!AQ19+[1]Production!AQ21+[1]Production!AQ23+[1]Production!AQ25+[1]Production!AQ27+[1]Production!AQ41</f>
        <v>1820540.3411660001</v>
      </c>
      <c r="AS127" s="6">
        <f>[1]Production!AR9+[1]Production!AR11+[1]Production!AR13+[1]Production!AR15+[1]Production!AR17+[1]Production!AR19+[1]Production!AR21+[1]Production!AR23+[1]Production!AR25+[1]Production!AR27+[1]Production!AR41</f>
        <v>1845169.102836</v>
      </c>
      <c r="AT127" s="6">
        <f>[1]Production!AS9+[1]Production!AS11+[1]Production!AS13+[1]Production!AS15+[1]Production!AS17+[1]Production!AS19+[1]Production!AS21+[1]Production!AS23+[1]Production!AS25+[1]Production!AS27+[1]Production!AS41</f>
        <v>1870003.198385</v>
      </c>
      <c r="AU127" s="6">
        <f>[1]Production!AT9+[1]Production!AT11+[1]Production!AT13+[1]Production!AT15+[1]Production!AT17+[1]Production!AT19+[1]Production!AT21+[1]Production!AT23+[1]Production!AT25+[1]Production!AT27+[1]Production!AT41</f>
        <v>1895050.561274</v>
      </c>
      <c r="AV127" s="6">
        <f>[1]Production!AU9+[1]Production!AU11+[1]Production!AU13+[1]Production!AU15+[1]Production!AU17+[1]Production!AU19+[1]Production!AU21+[1]Production!AU23+[1]Production!AU25+[1]Production!AU27+[1]Production!AU41</f>
        <v>1920317.3147489999</v>
      </c>
      <c r="AW127" s="6">
        <f>[1]Production!AV9+[1]Production!AV11+[1]Production!AV13+[1]Production!AV15+[1]Production!AV17+[1]Production!AV19+[1]Production!AV21+[1]Production!AV23+[1]Production!AV25+[1]Production!AV27+[1]Production!AV41</f>
        <v>1945863.2483260001</v>
      </c>
      <c r="AX127" s="6">
        <f>[1]Production!AW9+[1]Production!AW11+[1]Production!AW13+[1]Production!AW15+[1]Production!AW17+[1]Production!AW19+[1]Production!AW21+[1]Production!AW23+[1]Production!AW25+[1]Production!AW27+[1]Production!AW41</f>
        <v>1971657.5063480004</v>
      </c>
      <c r="AY127" s="6">
        <f>[1]Production!AX9+[1]Production!AX11+[1]Production!AX13+[1]Production!AX15+[1]Production!AX17+[1]Production!AX19+[1]Production!AX21+[1]Production!AX23+[1]Production!AX25+[1]Production!AX27+[1]Production!AX41</f>
        <v>1997700.4352559999</v>
      </c>
      <c r="AZ127" s="6">
        <f>[1]Production!AY9+[1]Production!AY11+[1]Production!AY13+[1]Production!AY15+[1]Production!AY17+[1]Production!AY19+[1]Production!AY21+[1]Production!AY23+[1]Production!AY25+[1]Production!AY27+[1]Production!AY41</f>
        <v>2023993.0553300004</v>
      </c>
      <c r="BA127" s="6">
        <f>[1]Production!AZ9+[1]Production!AZ11+[1]Production!AZ13+[1]Production!AZ15+[1]Production!AZ17+[1]Production!AZ19+[1]Production!AZ21+[1]Production!AZ23+[1]Production!AZ25+[1]Production!AZ27+[1]Production!AZ41</f>
        <v>2050537.782415</v>
      </c>
      <c r="BB127" s="6">
        <f>[1]Production!BA9+[1]Production!BA11+[1]Production!BA13+[1]Production!BA15+[1]Production!BA17+[1]Production!BA19+[1]Production!BA21+[1]Production!BA23+[1]Production!BA25+[1]Production!BA27+[1]Production!BA41</f>
        <v>2290112.6670290004</v>
      </c>
      <c r="BC127" s="6">
        <f>[1]Production!BB9+[1]Production!BB11+[1]Production!BB13+[1]Production!BB15+[1]Production!BB17+[1]Production!BB19+[1]Production!BB21+[1]Production!BB23+[1]Production!BB25+[1]Production!BB27+[1]Production!BB41</f>
        <v>2330263.092402</v>
      </c>
      <c r="BD127" s="6">
        <f>[1]Production!BC9+[1]Production!BC11+[1]Production!BC13+[1]Production!BC15+[1]Production!BC17+[1]Production!BC19+[1]Production!BC21+[1]Production!BC23+[1]Production!BC25+[1]Production!BC27+[1]Production!BC41</f>
        <v>2370971.5196389998</v>
      </c>
      <c r="BE127" s="6">
        <f>[1]Production!BD9+[1]Production!BD11+[1]Production!BD13+[1]Production!BD15+[1]Production!BD17+[1]Production!BD19+[1]Production!BD21+[1]Production!BD23+[1]Production!BD25+[1]Production!BD27+[1]Production!BD41</f>
        <v>2412240.6733629997</v>
      </c>
      <c r="BF127" s="6">
        <f>[1]Production!BE9+[1]Production!BE11+[1]Production!BE13+[1]Production!BE15+[1]Production!BE17+[1]Production!BE19+[1]Production!BE21+[1]Production!BE23+[1]Production!BE25+[1]Production!BE27+[1]Production!BE41</f>
        <v>2454074.2157859998</v>
      </c>
    </row>
    <row r="128" spans="1:58" x14ac:dyDescent="0.35">
      <c r="B128" t="s">
        <v>9</v>
      </c>
      <c r="C128" s="6">
        <f>[1]Production!B29+[1]Production!B31+[1]Production!B33+[1]Production!B35</f>
        <v>121165.40543399999</v>
      </c>
      <c r="D128" s="6">
        <f>[1]Production!C29+[1]Production!C31+[1]Production!C33+[1]Production!C35</f>
        <v>122672.79041</v>
      </c>
      <c r="E128" s="6">
        <f>[1]Production!D29+[1]Production!D31+[1]Production!D33+[1]Production!D35</f>
        <v>124313.42342000001</v>
      </c>
      <c r="F128" s="6">
        <f>[1]Production!E29+[1]Production!E31+[1]Production!E33+[1]Production!E35</f>
        <v>126051.12416199999</v>
      </c>
      <c r="G128" s="6">
        <f>[1]Production!F29+[1]Production!F31+[1]Production!F33+[1]Production!F35</f>
        <v>127879.95871599999</v>
      </c>
      <c r="H128" s="6">
        <f>[1]Production!G29+[1]Production!G31+[1]Production!G33+[1]Production!G35</f>
        <v>129789.466946</v>
      </c>
      <c r="I128" s="6">
        <f>[1]Production!H29+[1]Production!H31+[1]Production!H33+[1]Production!H35</f>
        <v>131683.412251</v>
      </c>
      <c r="J128" s="6">
        <f>[1]Production!I29+[1]Production!I31+[1]Production!I33+[1]Production!I35</f>
        <v>133613.729926</v>
      </c>
      <c r="K128" s="6">
        <f>[1]Production!J29+[1]Production!J31+[1]Production!J33+[1]Production!J35</f>
        <v>135579.08555700001</v>
      </c>
      <c r="L128" s="6">
        <f>[1]Production!K29+[1]Production!K31+[1]Production!K33+[1]Production!K35</f>
        <v>137576.52680599998</v>
      </c>
      <c r="M128" s="6">
        <f>[1]Production!L29+[1]Production!L31+[1]Production!L33+[1]Production!L35</f>
        <v>139752.547953</v>
      </c>
      <c r="N128" s="6">
        <f>[1]Production!M29+[1]Production!M31+[1]Production!M33+[1]Production!M35</f>
        <v>141845.87867299997</v>
      </c>
      <c r="O128" s="6">
        <f>[1]Production!N29+[1]Production!N31+[1]Production!N33+[1]Production!N35</f>
        <v>143951.640185</v>
      </c>
      <c r="P128" s="6">
        <f>[1]Production!O29+[1]Production!O31+[1]Production!O33+[1]Production!O35</f>
        <v>146073.59424400001</v>
      </c>
      <c r="Q128" s="6">
        <f>[1]Production!P29+[1]Production!P31+[1]Production!P33+[1]Production!P35</f>
        <v>148212.90214300001</v>
      </c>
      <c r="R128" s="6">
        <f>[1]Production!Q29+[1]Production!Q31+[1]Production!Q33+[1]Production!Q35</f>
        <v>150370.80741199999</v>
      </c>
      <c r="S128" s="6">
        <f>[1]Production!R29+[1]Production!R31+[1]Production!R33+[1]Production!R35</f>
        <v>152549.030887</v>
      </c>
      <c r="T128" s="6">
        <f>[1]Production!S29+[1]Production!S31+[1]Production!S33+[1]Production!S35</f>
        <v>154749.67098</v>
      </c>
      <c r="U128" s="6">
        <f>[1]Production!T29+[1]Production!T31+[1]Production!T33+[1]Production!T35</f>
        <v>156975.02449800001</v>
      </c>
      <c r="V128" s="6">
        <f>[1]Production!U29+[1]Production!U31+[1]Production!U33+[1]Production!U35</f>
        <v>159227.43406599999</v>
      </c>
      <c r="W128" s="6">
        <f>[1]Production!V29+[1]Production!V31+[1]Production!V33+[1]Production!V35</f>
        <v>161398.19500799998</v>
      </c>
      <c r="X128" s="6">
        <f>[1]Production!W29+[1]Production!W31+[1]Production!W33+[1]Production!W35</f>
        <v>163681.78264399999</v>
      </c>
      <c r="Y128" s="6">
        <f>[1]Production!X29+[1]Production!X31+[1]Production!X33+[1]Production!X35</f>
        <v>166008.55481</v>
      </c>
      <c r="Z128" s="6">
        <f>[1]Production!Y29+[1]Production!Y31+[1]Production!Y33+[1]Production!Y35</f>
        <v>168376.80355499996</v>
      </c>
      <c r="AA128" s="6">
        <f>[1]Production!Z29+[1]Production!Z31+[1]Production!Z33+[1]Production!Z35</f>
        <v>170786.97238600001</v>
      </c>
      <c r="AB128" s="6">
        <f>[1]Production!AA29+[1]Production!AA31+[1]Production!AA33+[1]Production!AA35</f>
        <v>172918.72511199999</v>
      </c>
      <c r="AC128" s="6">
        <f>[1]Production!AB29+[1]Production!AB31+[1]Production!AB33+[1]Production!AB35</f>
        <v>175175.81784500001</v>
      </c>
      <c r="AD128" s="6">
        <f>[1]Production!AC29+[1]Production!AC31+[1]Production!AC33+[1]Production!AC35</f>
        <v>177461.264651</v>
      </c>
      <c r="AE128" s="6">
        <f>[1]Production!AD29+[1]Production!AD31+[1]Production!AD33+[1]Production!AD35</f>
        <v>179777.83140700002</v>
      </c>
      <c r="AF128" s="6">
        <f>[1]Production!AE29+[1]Production!AE31+[1]Production!AE33+[1]Production!AE35</f>
        <v>182130.20905499998</v>
      </c>
      <c r="AG128" s="6">
        <f>[1]Production!AF29+[1]Production!AF31+[1]Production!AF33+[1]Production!AF35</f>
        <v>184522.40425999998</v>
      </c>
      <c r="AH128" s="6">
        <f>[1]Production!AG29+[1]Production!AG31+[1]Production!AG33+[1]Production!AG35</f>
        <v>186957.25322000001</v>
      </c>
      <c r="AI128" s="6">
        <f>[1]Production!AH29+[1]Production!AH31+[1]Production!AH33+[1]Production!AH35</f>
        <v>189436.48547000001</v>
      </c>
      <c r="AJ128" s="6">
        <f>[1]Production!AI29+[1]Production!AI31+[1]Production!AI33+[1]Production!AI35</f>
        <v>191960.94680999999</v>
      </c>
      <c r="AK128" s="6">
        <f>[1]Production!AJ29+[1]Production!AJ31+[1]Production!AJ33+[1]Production!AJ35</f>
        <v>194530.85271000001</v>
      </c>
      <c r="AL128" s="6">
        <f>[1]Production!AK29+[1]Production!AK31+[1]Production!AK33+[1]Production!AK35</f>
        <v>197146.01934999999</v>
      </c>
      <c r="AM128" s="6">
        <f>[1]Production!AL29+[1]Production!AL31+[1]Production!AL33+[1]Production!AL35</f>
        <v>199727.94406000001</v>
      </c>
      <c r="AN128" s="6">
        <f>[1]Production!AM29+[1]Production!AM31+[1]Production!AM33+[1]Production!AM35</f>
        <v>202332.29776000002</v>
      </c>
      <c r="AO128" s="6">
        <f>[1]Production!AN29+[1]Production!AN31+[1]Production!AN33+[1]Production!AN35</f>
        <v>204965.16743999999</v>
      </c>
      <c r="AP128" s="6">
        <f>[1]Production!AO29+[1]Production!AO31+[1]Production!AO33+[1]Production!AO35</f>
        <v>207630.28398000001</v>
      </c>
      <c r="AQ128" s="6">
        <f>[1]Production!AP29+[1]Production!AP31+[1]Production!AP33+[1]Production!AP35</f>
        <v>210330.63014999998</v>
      </c>
      <c r="AR128" s="6">
        <f>[1]Production!AQ29+[1]Production!AQ31+[1]Production!AQ33+[1]Production!AQ35</f>
        <v>213068.66659000001</v>
      </c>
      <c r="AS128" s="6">
        <f>[1]Production!AR29+[1]Production!AR31+[1]Production!AR33+[1]Production!AR35</f>
        <v>215846.33150999999</v>
      </c>
      <c r="AT128" s="6">
        <f>[1]Production!AS29+[1]Production!AS31+[1]Production!AS33+[1]Production!AS35</f>
        <v>218665.05361999999</v>
      </c>
      <c r="AU128" s="6">
        <f>[1]Production!AT29+[1]Production!AT31+[1]Production!AT33+[1]Production!AT35</f>
        <v>221525.81305</v>
      </c>
      <c r="AV128" s="6">
        <f>[1]Production!AU29+[1]Production!AU31+[1]Production!AU33+[1]Production!AU35</f>
        <v>224429.23677999998</v>
      </c>
      <c r="AW128" s="6">
        <f>[1]Production!AV29+[1]Production!AV31+[1]Production!AV33+[1]Production!AV35</f>
        <v>227382.84237000003</v>
      </c>
      <c r="AX128" s="6">
        <f>[1]Production!AW29+[1]Production!AW31+[1]Production!AW33+[1]Production!AW35</f>
        <v>230381.78308000002</v>
      </c>
      <c r="AY128" s="6">
        <f>[1]Production!AX29+[1]Production!AX31+[1]Production!AX33+[1]Production!AX35</f>
        <v>233425.65454000002</v>
      </c>
      <c r="AZ128" s="6">
        <f>[1]Production!AY29+[1]Production!AY31+[1]Production!AY33+[1]Production!AY35</f>
        <v>236514.13614999998</v>
      </c>
      <c r="BA128" s="6">
        <f>[1]Production!AZ29+[1]Production!AZ31+[1]Production!AZ33+[1]Production!AZ35</f>
        <v>239646.98979000002</v>
      </c>
      <c r="BB128" s="6">
        <f>[1]Production!BA29+[1]Production!BA31+[1]Production!BA33+[1]Production!BA35</f>
        <v>261541.31211</v>
      </c>
      <c r="BC128" s="6">
        <f>[1]Production!BB29+[1]Production!BB31+[1]Production!BB33+[1]Production!BB35</f>
        <v>265856.45607999997</v>
      </c>
      <c r="BD128" s="6">
        <f>[1]Production!BC29+[1]Production!BC31+[1]Production!BC33+[1]Production!BC35</f>
        <v>270249.49372000003</v>
      </c>
      <c r="BE128" s="6">
        <f>[1]Production!BD29+[1]Production!BD31+[1]Production!BD33+[1]Production!BD35</f>
        <v>274722.02743999998</v>
      </c>
      <c r="BF128" s="6">
        <f>[1]Production!BE29+[1]Production!BE31+[1]Production!BE33+[1]Production!BE35</f>
        <v>279275.68514000002</v>
      </c>
    </row>
    <row r="129" spans="1:58" x14ac:dyDescent="0.35">
      <c r="B129" t="s">
        <v>10</v>
      </c>
      <c r="C129" s="6">
        <f>[1]Production!B37+[1]Production!B39</f>
        <v>2560883.1027000002</v>
      </c>
      <c r="D129" s="6">
        <f>[1]Production!C37+[1]Production!C39</f>
        <v>2593711.7557000001</v>
      </c>
      <c r="E129" s="6">
        <f>[1]Production!D37+[1]Production!D39</f>
        <v>2629752.3511999999</v>
      </c>
      <c r="F129" s="6">
        <f>[1]Production!E37+[1]Production!E39</f>
        <v>2668277.8596999999</v>
      </c>
      <c r="G129" s="6">
        <f>[1]Production!F37+[1]Production!F39</f>
        <v>2709094.5394000001</v>
      </c>
      <c r="H129" s="6">
        <f>[1]Production!G37+[1]Production!G39</f>
        <v>2751940.1954999999</v>
      </c>
      <c r="I129" s="6">
        <f>[1]Production!H37+[1]Production!H39</f>
        <v>2794790.8486000001</v>
      </c>
      <c r="J129" s="6">
        <f>[1]Production!I37+[1]Production!I39</f>
        <v>2838589.3820000002</v>
      </c>
      <c r="K129" s="6">
        <f>[1]Production!J37+[1]Production!J39</f>
        <v>2883334.1326000001</v>
      </c>
      <c r="L129" s="6">
        <f>[1]Production!K37+[1]Production!K39</f>
        <v>2928981.4973000004</v>
      </c>
      <c r="M129" s="6">
        <f>[1]Production!L37+[1]Production!L39</f>
        <v>2978594.9257</v>
      </c>
      <c r="N129" s="6">
        <f>[1]Production!M37+[1]Production!M39</f>
        <v>3026974.5385000003</v>
      </c>
      <c r="O129" s="6">
        <f>[1]Production!N37+[1]Production!N39</f>
        <v>3075799.7239999999</v>
      </c>
      <c r="P129" s="6">
        <f>[1]Production!O37+[1]Production!O39</f>
        <v>3125138.3232999998</v>
      </c>
      <c r="Q129" s="6">
        <f>[1]Production!P37+[1]Production!P39</f>
        <v>3175001.2837</v>
      </c>
      <c r="R129" s="6">
        <f>[1]Production!Q37+[1]Production!Q39</f>
        <v>3225399.3692999999</v>
      </c>
      <c r="S129" s="6">
        <f>[1]Production!R37+[1]Production!R39</f>
        <v>3276352.4712</v>
      </c>
      <c r="T129" s="6">
        <f>[1]Production!S37+[1]Production!S39</f>
        <v>3327888.0205000001</v>
      </c>
      <c r="U129" s="6">
        <f>[1]Production!T37+[1]Production!T39</f>
        <v>3380037.5271999999</v>
      </c>
      <c r="V129" s="6">
        <f>[1]Production!U37+[1]Production!U39</f>
        <v>3432833.6615999998</v>
      </c>
      <c r="W129" s="6">
        <f>[1]Production!V37+[1]Production!V39</f>
        <v>3483988.5131000001</v>
      </c>
      <c r="X129" s="6">
        <f>[1]Production!W37+[1]Production!W39</f>
        <v>3537364.2648</v>
      </c>
      <c r="Y129" s="6">
        <f>[1]Production!X37+[1]Production!X39</f>
        <v>3591710.3810999999</v>
      </c>
      <c r="Z129" s="6">
        <f>[1]Production!Y37+[1]Production!Y39</f>
        <v>3646976.2771000001</v>
      </c>
      <c r="AA129" s="6">
        <f>[1]Production!Z37+[1]Production!Z39</f>
        <v>3703156.9861000003</v>
      </c>
      <c r="AB129" s="6">
        <f>[1]Production!AA37+[1]Production!AA39</f>
        <v>3753537.9215000002</v>
      </c>
      <c r="AC129" s="6">
        <f>[1]Production!AB37+[1]Production!AB39</f>
        <v>3806015.4049</v>
      </c>
      <c r="AD129" s="6">
        <f>[1]Production!AC37+[1]Production!AC39</f>
        <v>3858924.7324999999</v>
      </c>
      <c r="AE129" s="6">
        <f>[1]Production!AD37+[1]Production!AD39</f>
        <v>3912348.9217000003</v>
      </c>
      <c r="AF129" s="6">
        <f>[1]Production!AE37+[1]Production!AE39</f>
        <v>3966407.1123000002</v>
      </c>
      <c r="AG129" s="6">
        <f>[1]Production!AF37+[1]Production!AF39</f>
        <v>4021200.7960999999</v>
      </c>
      <c r="AH129" s="6">
        <f>[1]Production!AG37+[1]Production!AG39</f>
        <v>4076803.6612999998</v>
      </c>
      <c r="AI129" s="6">
        <f>[1]Production!AH37+[1]Production!AH39</f>
        <v>4133263.4791000001</v>
      </c>
      <c r="AJ129" s="6">
        <f>[1]Production!AI37+[1]Production!AI39</f>
        <v>4190607.5795999998</v>
      </c>
      <c r="AK129" s="6">
        <f>[1]Production!AJ37+[1]Production!AJ39</f>
        <v>4248848.9426000006</v>
      </c>
      <c r="AL129" s="6">
        <f>[1]Production!AK37+[1]Production!AK39</f>
        <v>4307991.608</v>
      </c>
      <c r="AM129" s="6">
        <f>[1]Production!AL37+[1]Production!AL39</f>
        <v>4366403.4253000002</v>
      </c>
      <c r="AN129" s="6">
        <f>[1]Production!AM37+[1]Production!AM39</f>
        <v>4425126.3673999999</v>
      </c>
      <c r="AO129" s="6">
        <f>[1]Production!AN37+[1]Production!AN39</f>
        <v>4484315.8617000002</v>
      </c>
      <c r="AP129" s="6">
        <f>[1]Production!AO37+[1]Production!AO39</f>
        <v>4544076.1573000001</v>
      </c>
      <c r="AQ129" s="6">
        <f>[1]Production!AP37+[1]Production!AP39</f>
        <v>4604493.1325000003</v>
      </c>
      <c r="AR129" s="6">
        <f>[1]Production!AQ37+[1]Production!AQ39</f>
        <v>4665638.7955</v>
      </c>
      <c r="AS129" s="6">
        <f>[1]Production!AR37+[1]Production!AR39</f>
        <v>4727571.2069999995</v>
      </c>
      <c r="AT129" s="6">
        <f>[1]Production!AS37+[1]Production!AS39</f>
        <v>4790334.9110000003</v>
      </c>
      <c r="AU129" s="6">
        <f>[1]Production!AT37+[1]Production!AT39</f>
        <v>4853962.5959999999</v>
      </c>
      <c r="AV129" s="6">
        <f>[1]Production!AU37+[1]Production!AU39</f>
        <v>4918477.6889999993</v>
      </c>
      <c r="AW129" s="6">
        <f>[1]Production!AV37+[1]Production!AV39</f>
        <v>4984046.22</v>
      </c>
      <c r="AX129" s="6">
        <f>[1]Production!AW37+[1]Production!AW39</f>
        <v>5050588.4359999998</v>
      </c>
      <c r="AY129" s="6">
        <f>[1]Production!AX37+[1]Production!AX39</f>
        <v>5118101.9009999996</v>
      </c>
      <c r="AZ129" s="6">
        <f>[1]Production!AY37+[1]Production!AY39</f>
        <v>5186581.2769999998</v>
      </c>
      <c r="BA129" s="6">
        <f>[1]Production!AZ37+[1]Production!AZ39</f>
        <v>5256022.7929999996</v>
      </c>
      <c r="BB129" s="6">
        <f>[1]Production!BA37+[1]Production!BA39</f>
        <v>5784532.0769999996</v>
      </c>
      <c r="BC129" s="6">
        <f>[1]Production!BB37+[1]Production!BB39</f>
        <v>5881432.5949999997</v>
      </c>
      <c r="BD129" s="6">
        <f>[1]Production!BC37+[1]Production!BC39</f>
        <v>5979896.9780000001</v>
      </c>
      <c r="BE129" s="6">
        <f>[1]Production!BD37+[1]Production!BD39</f>
        <v>6079956.5920000002</v>
      </c>
      <c r="BF129" s="6">
        <f>[1]Production!BE37+[1]Production!BE39</f>
        <v>6181644.392</v>
      </c>
    </row>
    <row r="130" spans="1:58" x14ac:dyDescent="0.35">
      <c r="B130" t="s">
        <v>29</v>
      </c>
      <c r="C130" s="6">
        <f>[1]Production!B43+[1]Production!B47</f>
        <v>35878.822653199997</v>
      </c>
      <c r="D130" s="6">
        <f>[1]Production!C43+[1]Production!C47</f>
        <v>36148.615640000004</v>
      </c>
      <c r="E130" s="6">
        <f>[1]Production!D43+[1]Production!D47</f>
        <v>36409.355608500002</v>
      </c>
      <c r="F130" s="6">
        <f>[1]Production!E43+[1]Production!E47</f>
        <v>36704.928322699998</v>
      </c>
      <c r="G130" s="6">
        <f>[1]Production!F43+[1]Production!F47</f>
        <v>37046.735643</v>
      </c>
      <c r="H130" s="6">
        <f>[1]Production!G43+[1]Production!G47</f>
        <v>37434.3715343</v>
      </c>
      <c r="I130" s="6">
        <f>[1]Production!H43+[1]Production!H47</f>
        <v>37840.744416900001</v>
      </c>
      <c r="J130" s="6">
        <f>[1]Production!I43+[1]Production!I47</f>
        <v>38273.115954400004</v>
      </c>
      <c r="K130" s="6">
        <f>[1]Production!J43+[1]Production!J47</f>
        <v>38726.666367900005</v>
      </c>
      <c r="L130" s="6">
        <f>[1]Production!K43+[1]Production!K47</f>
        <v>39196.895103499999</v>
      </c>
      <c r="M130" s="6">
        <f>[1]Production!L43+[1]Production!L47</f>
        <v>39716.6690208</v>
      </c>
      <c r="N130" s="6">
        <f>[1]Production!M43+[1]Production!M47</f>
        <v>40221.081003699997</v>
      </c>
      <c r="O130" s="6">
        <f>[1]Production!N43+[1]Production!N47</f>
        <v>40731.304402099995</v>
      </c>
      <c r="P130" s="6">
        <f>[1]Production!O43+[1]Production!O47</f>
        <v>41248.0257576</v>
      </c>
      <c r="Q130" s="6">
        <f>[1]Production!P43+[1]Production!P47</f>
        <v>41770.844079099996</v>
      </c>
      <c r="R130" s="6">
        <f>[1]Production!Q43+[1]Production!Q47</f>
        <v>42299.388065400002</v>
      </c>
      <c r="S130" s="6">
        <f>[1]Production!R43+[1]Production!R47</f>
        <v>42833.469020099998</v>
      </c>
      <c r="T130" s="6">
        <f>[1]Production!S43+[1]Production!S47</f>
        <v>43373.061181700003</v>
      </c>
      <c r="U130" s="6">
        <f>[1]Production!T43+[1]Production!T47</f>
        <v>43918.258476399998</v>
      </c>
      <c r="V130" s="6">
        <f>[1]Production!U43+[1]Production!U47</f>
        <v>44469.2361733</v>
      </c>
      <c r="W130" s="6">
        <f>[1]Production!V43+[1]Production!V47</f>
        <v>44999.383813200002</v>
      </c>
      <c r="X130" s="6">
        <f>[1]Production!W43+[1]Production!W47</f>
        <v>45555.296942000001</v>
      </c>
      <c r="Y130" s="6">
        <f>[1]Production!X43+[1]Production!X47</f>
        <v>46120.271728899999</v>
      </c>
      <c r="Z130" s="6">
        <f>[1]Production!Y43+[1]Production!Y47</f>
        <v>46693.2378704</v>
      </c>
      <c r="AA130" s="6">
        <f>[1]Production!Z43+[1]Production!Z47</f>
        <v>47274.184258099995</v>
      </c>
      <c r="AB130" s="6">
        <f>[1]Production!AA43+[1]Production!AA47</f>
        <v>47785.8453286</v>
      </c>
      <c r="AC130" s="6">
        <f>[1]Production!AB43+[1]Production!AB47</f>
        <v>48325.372279199997</v>
      </c>
      <c r="AD130" s="6">
        <f>[1]Production!AC43+[1]Production!AC47</f>
        <v>48870.076903199995</v>
      </c>
      <c r="AE130" s="6">
        <f>[1]Production!AD43+[1]Production!AD47</f>
        <v>49419.507704000003</v>
      </c>
      <c r="AF130" s="6">
        <f>[1]Production!AE43+[1]Production!AE47</f>
        <v>49974.424163399999</v>
      </c>
      <c r="AG130" s="6">
        <f>[1]Production!AF43+[1]Production!AF47</f>
        <v>50535.677436500002</v>
      </c>
      <c r="AH130" s="6">
        <f>[1]Production!AG43+[1]Production!AG47</f>
        <v>51103.989802999997</v>
      </c>
      <c r="AI130" s="6">
        <f>[1]Production!AH43+[1]Production!AH47</f>
        <v>51679.913184600002</v>
      </c>
      <c r="AJ130" s="6">
        <f>[1]Production!AI43+[1]Production!AI47</f>
        <v>52263.841098800003</v>
      </c>
      <c r="AK130" s="6">
        <f>[1]Production!AJ43+[1]Production!AJ47</f>
        <v>52856.036678599994</v>
      </c>
      <c r="AL130" s="6">
        <f>[1]Production!AK43+[1]Production!AK47</f>
        <v>53456.664305400001</v>
      </c>
      <c r="AM130" s="6">
        <f>[1]Production!AL43+[1]Production!AL47</f>
        <v>54047.134359399999</v>
      </c>
      <c r="AN130" s="6">
        <f>[1]Production!AM43+[1]Production!AM47</f>
        <v>54640.948570499997</v>
      </c>
      <c r="AO130" s="6">
        <f>[1]Production!AN43+[1]Production!AN47</f>
        <v>55239.818246299998</v>
      </c>
      <c r="AP130" s="6">
        <f>[1]Production!AO43+[1]Production!AO47</f>
        <v>55844.524705799995</v>
      </c>
      <c r="AQ130" s="6">
        <f>[1]Production!AP43+[1]Production!AP47</f>
        <v>56455.652302200004</v>
      </c>
      <c r="AR130" s="6">
        <f>[1]Production!AQ43+[1]Production!AQ47</f>
        <v>57073.703298500004</v>
      </c>
      <c r="AS130" s="6">
        <f>[1]Production!AR43+[1]Production!AR47</f>
        <v>57699.1045963</v>
      </c>
      <c r="AT130" s="6">
        <f>[1]Production!AS43+[1]Production!AS47</f>
        <v>58332.201746400002</v>
      </c>
      <c r="AU130" s="6">
        <f>[1]Production!AT43+[1]Production!AT47</f>
        <v>58973.253549500005</v>
      </c>
      <c r="AV130" s="6">
        <f>[1]Production!AU43+[1]Production!AU47</f>
        <v>59622.413701800004</v>
      </c>
      <c r="AW130" s="6">
        <f>[1]Production!AV43+[1]Production!AV47</f>
        <v>60281.3052398</v>
      </c>
      <c r="AX130" s="6">
        <f>[1]Production!AW43+[1]Production!AW47</f>
        <v>60948.730663299997</v>
      </c>
      <c r="AY130" s="6">
        <f>[1]Production!AX43+[1]Production!AX47</f>
        <v>61624.418193899997</v>
      </c>
      <c r="AZ130" s="6">
        <f>[1]Production!AY43+[1]Production!AY47</f>
        <v>62308.839594500001</v>
      </c>
      <c r="BA130" s="6">
        <f>[1]Production!AZ43+[1]Production!AZ47</f>
        <v>63002.393705900002</v>
      </c>
      <c r="BB130" s="6">
        <f>[1]Production!BA43+[1]Production!BA47</f>
        <v>68714.504469699998</v>
      </c>
      <c r="BC130" s="6">
        <f>[1]Production!BB43+[1]Production!BB47</f>
        <v>69710.393611000007</v>
      </c>
      <c r="BD130" s="6">
        <f>[1]Production!BC43+[1]Production!BC47</f>
        <v>70722.25903239999</v>
      </c>
      <c r="BE130" s="6">
        <f>[1]Production!BD43+[1]Production!BD47</f>
        <v>71750.496934800001</v>
      </c>
      <c r="BF130" s="6">
        <f>[1]Production!BE43+[1]Production!BE47</f>
        <v>72795.515572999997</v>
      </c>
    </row>
    <row r="131" spans="1:58" x14ac:dyDescent="0.35">
      <c r="B131" t="s">
        <v>36</v>
      </c>
      <c r="C131" s="6">
        <f>[1]Production!B45+[1]Production!B49</f>
        <v>4493.4727549999998</v>
      </c>
      <c r="D131" s="6">
        <f>[1]Production!C45+[1]Production!C49</f>
        <v>4520.7024356000002</v>
      </c>
      <c r="E131" s="6">
        <f>[1]Production!D45+[1]Production!D49</f>
        <v>4545.8350085000002</v>
      </c>
      <c r="F131" s="6">
        <f>[1]Production!E45+[1]Production!E49</f>
        <v>4576.4446497999998</v>
      </c>
      <c r="G131" s="6">
        <f>[1]Production!F45+[1]Production!F49</f>
        <v>4614.3838684000002</v>
      </c>
      <c r="H131" s="6">
        <f>[1]Production!G45+[1]Production!G49</f>
        <v>4659.1592061000001</v>
      </c>
      <c r="I131" s="6">
        <f>[1]Production!H45+[1]Production!H49</f>
        <v>4707.2387954999995</v>
      </c>
      <c r="J131" s="6">
        <f>[1]Production!I45+[1]Production!I49</f>
        <v>4759.0850172</v>
      </c>
      <c r="K131" s="6">
        <f>[1]Production!J45+[1]Production!J49</f>
        <v>4813.8899543000007</v>
      </c>
      <c r="L131" s="6">
        <f>[1]Production!K45+[1]Production!K49</f>
        <v>4870.9893604999997</v>
      </c>
      <c r="M131" s="6">
        <f>[1]Production!L45+[1]Production!L49</f>
        <v>4934.0090589000001</v>
      </c>
      <c r="N131" s="6">
        <f>[1]Production!M45+[1]Production!M49</f>
        <v>4995.5617095000007</v>
      </c>
      <c r="O131" s="6">
        <f>[1]Production!N45+[1]Production!N49</f>
        <v>5058.0106901999998</v>
      </c>
      <c r="P131" s="6">
        <f>[1]Production!O45+[1]Production!O49</f>
        <v>5121.3287582000003</v>
      </c>
      <c r="Q131" s="6">
        <f>[1]Production!P45+[1]Production!P49</f>
        <v>5185.4146093999998</v>
      </c>
      <c r="R131" s="6">
        <f>[1]Production!Q45+[1]Production!Q49</f>
        <v>5250.1874925000002</v>
      </c>
      <c r="S131" s="6">
        <f>[1]Production!R45+[1]Production!R49</f>
        <v>5315.5964779999995</v>
      </c>
      <c r="T131" s="6">
        <f>[1]Production!S45+[1]Production!S49</f>
        <v>5381.6151901000003</v>
      </c>
      <c r="U131" s="6">
        <f>[1]Production!T45+[1]Production!T49</f>
        <v>5448.2353683000001</v>
      </c>
      <c r="V131" s="6">
        <f>[1]Production!U45+[1]Production!U49</f>
        <v>5515.4616215999995</v>
      </c>
      <c r="W131" s="6">
        <f>[1]Production!V45+[1]Production!V49</f>
        <v>5580.2585465000002</v>
      </c>
      <c r="X131" s="6">
        <f>[1]Production!W45+[1]Production!W49</f>
        <v>5647.8782823000001</v>
      </c>
      <c r="Y131" s="6">
        <f>[1]Production!X45+[1]Production!X49</f>
        <v>5716.4017728999997</v>
      </c>
      <c r="Z131" s="6">
        <f>[1]Production!Y45+[1]Production!Y49</f>
        <v>5785.7454189999999</v>
      </c>
      <c r="AA131" s="6">
        <f>[1]Production!Z45+[1]Production!Z49</f>
        <v>5855.9171076000002</v>
      </c>
      <c r="AB131" s="6">
        <f>[1]Production!AA45+[1]Production!AA49</f>
        <v>5918.1371556000004</v>
      </c>
      <c r="AC131" s="6">
        <f>[1]Production!AB45+[1]Production!AB49</f>
        <v>5983.3626433999998</v>
      </c>
      <c r="AD131" s="6">
        <f>[1]Production!AC45+[1]Production!AC49</f>
        <v>6048.9299735000004</v>
      </c>
      <c r="AE131" s="6">
        <f>[1]Production!AD45+[1]Production!AD49</f>
        <v>6114.8490136</v>
      </c>
      <c r="AF131" s="6">
        <f>[1]Production!AE45+[1]Production!AE49</f>
        <v>6181.2384768000002</v>
      </c>
      <c r="AG131" s="6">
        <f>[1]Production!AF45+[1]Production!AF49</f>
        <v>6248.2203133000003</v>
      </c>
      <c r="AH131" s="6">
        <f>[1]Production!AG45+[1]Production!AG49</f>
        <v>6315.8973056999994</v>
      </c>
      <c r="AI131" s="6">
        <f>[1]Production!AH45+[1]Production!AH49</f>
        <v>6384.3496349999996</v>
      </c>
      <c r="AJ131" s="6">
        <f>[1]Production!AI45+[1]Production!AI49</f>
        <v>6453.6368524000009</v>
      </c>
      <c r="AK131" s="6">
        <f>[1]Production!AJ45+[1]Production!AJ49</f>
        <v>6523.8015226000007</v>
      </c>
      <c r="AL131" s="6">
        <f>[1]Production!AK45+[1]Production!AK49</f>
        <v>6594.8731831000005</v>
      </c>
      <c r="AM131" s="6">
        <f>[1]Production!AL45+[1]Production!AL49</f>
        <v>6664.7484638000005</v>
      </c>
      <c r="AN131" s="6">
        <f>[1]Production!AM45+[1]Production!AM49</f>
        <v>6734.9530975999996</v>
      </c>
      <c r="AO131" s="6">
        <f>[1]Production!AN45+[1]Production!AN49</f>
        <v>6805.6580018000004</v>
      </c>
      <c r="AP131" s="6">
        <f>[1]Production!AO45+[1]Production!AO49</f>
        <v>6876.9555674000003</v>
      </c>
      <c r="AQ131" s="6">
        <f>[1]Production!AP45+[1]Production!AP49</f>
        <v>6948.9225468999994</v>
      </c>
      <c r="AR131" s="6">
        <f>[1]Production!AQ45+[1]Production!AQ49</f>
        <v>7021.6277951000002</v>
      </c>
      <c r="AS131" s="6">
        <f>[1]Production!AR45+[1]Production!AR49</f>
        <v>7095.1312056999996</v>
      </c>
      <c r="AT131" s="6">
        <f>[1]Production!AS45+[1]Production!AS49</f>
        <v>7169.4825097000003</v>
      </c>
      <c r="AU131" s="6">
        <f>[1]Production!AT45+[1]Production!AT49</f>
        <v>7244.7211086999996</v>
      </c>
      <c r="AV131" s="6">
        <f>[1]Production!AU45+[1]Production!AU49</f>
        <v>7320.8764817000001</v>
      </c>
      <c r="AW131" s="6">
        <f>[1]Production!AV45+[1]Production!AV49</f>
        <v>7398.1588860000002</v>
      </c>
      <c r="AX131" s="6">
        <f>[1]Production!AW45+[1]Production!AW49</f>
        <v>7476.4298878</v>
      </c>
      <c r="AY131" s="6">
        <f>[1]Production!AX45+[1]Production!AX49</f>
        <v>7555.6655924000006</v>
      </c>
      <c r="AZ131" s="6">
        <f>[1]Production!AY45+[1]Production!AY49</f>
        <v>7635.9017177999995</v>
      </c>
      <c r="BA131" s="6">
        <f>[1]Production!AZ45+[1]Production!AZ49</f>
        <v>7717.1690833000002</v>
      </c>
      <c r="BB131" s="6">
        <f>[1]Production!BA45+[1]Production!BA49</f>
        <v>8410.6024689999995</v>
      </c>
      <c r="BC131" s="6">
        <f>[1]Production!BB45+[1]Production!BB49</f>
        <v>8527.5116899999994</v>
      </c>
      <c r="BD131" s="6">
        <f>[1]Production!BC45+[1]Production!BC49</f>
        <v>8646.2339209999991</v>
      </c>
      <c r="BE131" s="6">
        <f>[1]Production!BD45+[1]Production!BD49</f>
        <v>8766.8204050000004</v>
      </c>
      <c r="BF131" s="6">
        <f>[1]Production!BE45+[1]Production!BE49</f>
        <v>8889.3251259999997</v>
      </c>
    </row>
    <row r="132" spans="1:58" x14ac:dyDescent="0.35">
      <c r="B132" t="s">
        <v>33</v>
      </c>
      <c r="C132" s="6">
        <f>[1]Production!B51+[1]Production!B53+[1]Production!B55+[1]Production!B57+[1]Production!B59+[1]Production!B61+[1]Production!B63+[1]Production!B65+[1]Production!B67</f>
        <v>67874.25715569999</v>
      </c>
      <c r="D132" s="6">
        <f>[1]Production!C51+[1]Production!C53+[1]Production!C55+[1]Production!C57+[1]Production!C59+[1]Production!C61+[1]Production!C63+[1]Production!C65+[1]Production!C67</f>
        <v>68391.022341400007</v>
      </c>
      <c r="E132" s="6">
        <f>[1]Production!D51+[1]Production!D53+[1]Production!D55+[1]Production!D57+[1]Production!D59+[1]Production!D61+[1]Production!D63+[1]Production!D65+[1]Production!D67</f>
        <v>68841.002057200007</v>
      </c>
      <c r="F132" s="6">
        <f>[1]Production!E51+[1]Production!E53+[1]Production!E55+[1]Production!E57+[1]Production!E59+[1]Production!E61+[1]Production!E63+[1]Production!E65+[1]Production!E67</f>
        <v>69300.824614599987</v>
      </c>
      <c r="G132" s="6">
        <f>[1]Production!F51+[1]Production!F53+[1]Production!F55+[1]Production!F57+[1]Production!F59+[1]Production!F61+[1]Production!F63+[1]Production!F65+[1]Production!F67</f>
        <v>69797.034812500002</v>
      </c>
      <c r="H132" s="6">
        <f>[1]Production!G51+[1]Production!G53+[1]Production!G55+[1]Production!G57+[1]Production!G59+[1]Production!G61+[1]Production!G63+[1]Production!G65+[1]Production!G67</f>
        <v>70342.195080699996</v>
      </c>
      <c r="I132" s="6">
        <f>[1]Production!H51+[1]Production!H53+[1]Production!H55+[1]Production!H57+[1]Production!H59+[1]Production!H61+[1]Production!H63+[1]Production!H65+[1]Production!H67</f>
        <v>70901.765744599994</v>
      </c>
      <c r="J132" s="6">
        <f>[1]Production!I51+[1]Production!I53+[1]Production!I55+[1]Production!I57+[1]Production!I59+[1]Production!I61+[1]Production!I63+[1]Production!I65+[1]Production!I67</f>
        <v>71490.623258700012</v>
      </c>
      <c r="K132" s="6">
        <f>[1]Production!J51+[1]Production!J53+[1]Production!J55+[1]Production!J57+[1]Production!J59+[1]Production!J61+[1]Production!J63+[1]Production!J65+[1]Production!J67</f>
        <v>72105.257139400012</v>
      </c>
      <c r="L132" s="6">
        <f>[1]Production!K51+[1]Production!K53+[1]Production!K55+[1]Production!K57+[1]Production!K59+[1]Production!K61+[1]Production!K63+[1]Production!K65+[1]Production!K67</f>
        <v>72739.211008800004</v>
      </c>
      <c r="M132" s="6">
        <f>[1]Production!L51+[1]Production!L53+[1]Production!L55+[1]Production!L57+[1]Production!L59+[1]Production!L61+[1]Production!L63+[1]Production!L65+[1]Production!L67</f>
        <v>73449.935848000008</v>
      </c>
      <c r="N132" s="6">
        <f>[1]Production!M51+[1]Production!M53+[1]Production!M55+[1]Production!M57+[1]Production!M59+[1]Production!M61+[1]Production!M63+[1]Production!M65+[1]Production!M67</f>
        <v>74132.862201399999</v>
      </c>
      <c r="O132" s="6">
        <f>[1]Production!N51+[1]Production!N53+[1]Production!N55+[1]Production!N57+[1]Production!N59+[1]Production!N61+[1]Production!N63+[1]Production!N65+[1]Production!N67</f>
        <v>74812.289212200005</v>
      </c>
      <c r="P132" s="6">
        <f>[1]Production!O51+[1]Production!O53+[1]Production!O55+[1]Production!O57+[1]Production!O59+[1]Production!O61+[1]Production!O63+[1]Production!O65+[1]Production!O67</f>
        <v>75492.7508562</v>
      </c>
      <c r="Q132" s="6">
        <f>[1]Production!P51+[1]Production!P53+[1]Production!P55+[1]Production!P57+[1]Production!P59+[1]Production!P61+[1]Production!P63+[1]Production!P65+[1]Production!P67</f>
        <v>76175.569659900008</v>
      </c>
      <c r="R132" s="6">
        <f>[1]Production!Q51+[1]Production!Q53+[1]Production!Q55+[1]Production!Q57+[1]Production!Q59+[1]Production!Q61+[1]Production!Q63+[1]Production!Q65+[1]Production!Q67</f>
        <v>76861.482208699992</v>
      </c>
      <c r="S132" s="6">
        <f>[1]Production!R51+[1]Production!R53+[1]Production!R55+[1]Production!R57+[1]Production!R59+[1]Production!R61+[1]Production!R63+[1]Production!R65+[1]Production!R67</f>
        <v>77551.274460799992</v>
      </c>
      <c r="T132" s="6">
        <f>[1]Production!S51+[1]Production!S53+[1]Production!S55+[1]Production!S57+[1]Production!S59+[1]Production!S61+[1]Production!S63+[1]Production!S65+[1]Production!S67</f>
        <v>78245.90719089999</v>
      </c>
      <c r="U132" s="6">
        <f>[1]Production!T51+[1]Production!T53+[1]Production!T55+[1]Production!T57+[1]Production!T59+[1]Production!T61+[1]Production!T63+[1]Production!T65+[1]Production!T67</f>
        <v>78946.501740700012</v>
      </c>
      <c r="V132" s="6">
        <f>[1]Production!U51+[1]Production!U53+[1]Production!U55+[1]Production!U57+[1]Production!U59+[1]Production!U61+[1]Production!U63+[1]Production!U65+[1]Production!U67</f>
        <v>79654.287514199998</v>
      </c>
      <c r="W132" s="6">
        <f>[1]Production!V51+[1]Production!V53+[1]Production!V55+[1]Production!V57+[1]Production!V59+[1]Production!V61+[1]Production!V63+[1]Production!V65+[1]Production!V67</f>
        <v>80325.075178300001</v>
      </c>
      <c r="X132" s="6">
        <f>[1]Production!W51+[1]Production!W53+[1]Production!W55+[1]Production!W57+[1]Production!W59+[1]Production!W61+[1]Production!W63+[1]Production!W65+[1]Production!W67</f>
        <v>81033.1359085</v>
      </c>
      <c r="Y132" s="6">
        <f>[1]Production!X51+[1]Production!X53+[1]Production!X55+[1]Production!X57+[1]Production!X59+[1]Production!X61+[1]Production!X63+[1]Production!X65+[1]Production!X67</f>
        <v>81760.231413200003</v>
      </c>
      <c r="Z132" s="6">
        <f>[1]Production!Y51+[1]Production!Y53+[1]Production!Y55+[1]Production!Y57+[1]Production!Y59+[1]Production!Y61+[1]Production!Y63+[1]Production!Y65+[1]Production!Y67</f>
        <v>82503.317564600002</v>
      </c>
      <c r="AA132" s="6">
        <f>[1]Production!Z51+[1]Production!Z53+[1]Production!Z55+[1]Production!Z57+[1]Production!Z59+[1]Production!Z61+[1]Production!Z63+[1]Production!Z65+[1]Production!Z67</f>
        <v>83262.053668000008</v>
      </c>
      <c r="AB132" s="6">
        <f>[1]Production!AA51+[1]Production!AA53+[1]Production!AA55+[1]Production!AA57+[1]Production!AA59+[1]Production!AA61+[1]Production!AA63+[1]Production!AA65+[1]Production!AA67</f>
        <v>83907.154316499989</v>
      </c>
      <c r="AC132" s="6">
        <f>[1]Production!AB51+[1]Production!AB53+[1]Production!AB55+[1]Production!AB57+[1]Production!AB59+[1]Production!AB61+[1]Production!AB63+[1]Production!AB65+[1]Production!AB67</f>
        <v>84585.688155800002</v>
      </c>
      <c r="AD132" s="6">
        <f>[1]Production!AC51+[1]Production!AC53+[1]Production!AC55+[1]Production!AC57+[1]Production!AC59+[1]Production!AC61+[1]Production!AC63+[1]Production!AC65+[1]Production!AC67</f>
        <v>85278.873218799985</v>
      </c>
      <c r="AE132" s="6">
        <f>[1]Production!AD51+[1]Production!AD53+[1]Production!AD55+[1]Production!AD57+[1]Production!AD59+[1]Production!AD61+[1]Production!AD63+[1]Production!AD65+[1]Production!AD67</f>
        <v>85985.66370439998</v>
      </c>
      <c r="AF132" s="6">
        <f>[1]Production!AE51+[1]Production!AE53+[1]Production!AE55+[1]Production!AE57+[1]Production!AE59+[1]Production!AE61+[1]Production!AE63+[1]Production!AE65+[1]Production!AE67</f>
        <v>86707.327530800001</v>
      </c>
      <c r="AG132" s="6">
        <f>[1]Production!AF51+[1]Production!AF53+[1]Production!AF55+[1]Production!AF57+[1]Production!AF59+[1]Production!AF61+[1]Production!AF63+[1]Production!AF65+[1]Production!AF67</f>
        <v>87445.358796800007</v>
      </c>
      <c r="AH132" s="6">
        <f>[1]Production!AG51+[1]Production!AG53+[1]Production!AG55+[1]Production!AG57+[1]Production!AG59+[1]Production!AG61+[1]Production!AG63+[1]Production!AG65+[1]Production!AG67</f>
        <v>88200.959539299991</v>
      </c>
      <c r="AI132" s="6">
        <f>[1]Production!AH51+[1]Production!AH53+[1]Production!AH55+[1]Production!AH57+[1]Production!AH59+[1]Production!AH61+[1]Production!AH63+[1]Production!AH65+[1]Production!AH67</f>
        <v>88974.938435900011</v>
      </c>
      <c r="AJ132" s="6">
        <f>[1]Production!AI51+[1]Production!AI53+[1]Production!AI55+[1]Production!AI57+[1]Production!AI59+[1]Production!AI61+[1]Production!AI63+[1]Production!AI65+[1]Production!AI67</f>
        <v>89767.733731400003</v>
      </c>
      <c r="AK132" s="6">
        <f>[1]Production!AJ51+[1]Production!AJ53+[1]Production!AJ55+[1]Production!AJ57+[1]Production!AJ59+[1]Production!AJ61+[1]Production!AJ63+[1]Production!AJ65+[1]Production!AJ67</f>
        <v>90579.478873</v>
      </c>
      <c r="AL132" s="6">
        <f>[1]Production!AK51+[1]Production!AK53+[1]Production!AK55+[1]Production!AK57+[1]Production!AK59+[1]Production!AK61+[1]Production!AK63+[1]Production!AK65+[1]Production!AK67</f>
        <v>91410.080200899974</v>
      </c>
      <c r="AM132" s="6">
        <f>[1]Production!AL51+[1]Production!AL53+[1]Production!AL55+[1]Production!AL57+[1]Production!AL59+[1]Production!AL61+[1]Production!AL63+[1]Production!AL65+[1]Production!AL67</f>
        <v>92228.703464099992</v>
      </c>
      <c r="AN132" s="6">
        <f>[1]Production!AM51+[1]Production!AM53+[1]Production!AM55+[1]Production!AM57+[1]Production!AM59+[1]Production!AM61+[1]Production!AM63+[1]Production!AM65+[1]Production!AM67</f>
        <v>93053.259121299998</v>
      </c>
      <c r="AO132" s="6">
        <f>[1]Production!AN51+[1]Production!AN53+[1]Production!AN55+[1]Production!AN57+[1]Production!AN59+[1]Production!AN61+[1]Production!AN63+[1]Production!AN65+[1]Production!AN67</f>
        <v>93888.563004199998</v>
      </c>
      <c r="AP132" s="6">
        <f>[1]Production!AO51+[1]Production!AO53+[1]Production!AO55+[1]Production!AO57+[1]Production!AO59+[1]Production!AO61+[1]Production!AO63+[1]Production!AO65+[1]Production!AO67</f>
        <v>94736.727523900001</v>
      </c>
      <c r="AQ132" s="6">
        <f>[1]Production!AP51+[1]Production!AP53+[1]Production!AP55+[1]Production!AP57+[1]Production!AP59+[1]Production!AP61+[1]Production!AP63+[1]Production!AP65+[1]Production!AP67</f>
        <v>95599.017202499992</v>
      </c>
      <c r="AR132" s="6">
        <f>[1]Production!AQ51+[1]Production!AQ53+[1]Production!AQ55+[1]Production!AQ57+[1]Production!AQ59+[1]Production!AQ61+[1]Production!AQ63+[1]Production!AQ65+[1]Production!AQ67</f>
        <v>96476.329205599992</v>
      </c>
      <c r="AS132" s="6">
        <f>[1]Production!AR51+[1]Production!AR53+[1]Production!AR55+[1]Production!AR57+[1]Production!AR59+[1]Production!AR61+[1]Production!AR63+[1]Production!AR65+[1]Production!AR67</f>
        <v>97369.330738100005</v>
      </c>
      <c r="AT132" s="6">
        <f>[1]Production!AS51+[1]Production!AS53+[1]Production!AS55+[1]Production!AS57+[1]Production!AS59+[1]Production!AS61+[1]Production!AS63+[1]Production!AS65+[1]Production!AS67</f>
        <v>98278.521838899993</v>
      </c>
      <c r="AU132" s="6">
        <f>[1]Production!AT51+[1]Production!AT53+[1]Production!AT55+[1]Production!AT57+[1]Production!AT59+[1]Production!AT61+[1]Production!AT63+[1]Production!AT65+[1]Production!AT67</f>
        <v>99204.238289100002</v>
      </c>
      <c r="AV132" s="6">
        <f>[1]Production!AU51+[1]Production!AU53+[1]Production!AU55+[1]Production!AU57+[1]Production!AU59+[1]Production!AU61+[1]Production!AU63+[1]Production!AU65+[1]Production!AU67</f>
        <v>100146.58283669999</v>
      </c>
      <c r="AW132" s="6">
        <f>[1]Production!AV51+[1]Production!AV53+[1]Production!AV55+[1]Production!AV57+[1]Production!AV59+[1]Production!AV61+[1]Production!AV63+[1]Production!AV65+[1]Production!AV67</f>
        <v>101107.66744550002</v>
      </c>
      <c r="AX132" s="6">
        <f>[1]Production!AW51+[1]Production!AW53+[1]Production!AW55+[1]Production!AW57+[1]Production!AW59+[1]Production!AW61+[1]Production!AW63+[1]Production!AW65+[1]Production!AW67</f>
        <v>102082.2548672</v>
      </c>
      <c r="AY132" s="6">
        <f>[1]Production!AX51+[1]Production!AX53+[1]Production!AX55+[1]Production!AX57+[1]Production!AX59+[1]Production!AX61+[1]Production!AX63+[1]Production!AX65+[1]Production!AX67</f>
        <v>103068.41990840001</v>
      </c>
      <c r="AZ132" s="6">
        <f>[1]Production!AY51+[1]Production!AY53+[1]Production!AY55+[1]Production!AY57+[1]Production!AY59+[1]Production!AY61+[1]Production!AY63+[1]Production!AY65+[1]Production!AY67</f>
        <v>104068.52698650002</v>
      </c>
      <c r="BA132" s="6">
        <f>[1]Production!AZ51+[1]Production!AZ53+[1]Production!AZ55+[1]Production!AZ57+[1]Production!AZ59+[1]Production!AZ61+[1]Production!AZ63+[1]Production!AZ65+[1]Production!AZ67</f>
        <v>105084.97346169998</v>
      </c>
      <c r="BB132" s="6">
        <f>[1]Production!BA51+[1]Production!BA53+[1]Production!BA55+[1]Production!BA57+[1]Production!BA59+[1]Production!BA61+[1]Production!BA63+[1]Production!BA65+[1]Production!BA67</f>
        <v>111520.97725159999</v>
      </c>
      <c r="BC132" s="6">
        <f>[1]Production!BB51+[1]Production!BB53+[1]Production!BB55+[1]Production!BB57+[1]Production!BB59+[1]Production!BB61+[1]Production!BB63+[1]Production!BB65+[1]Production!BB67</f>
        <v>112942.6055565</v>
      </c>
      <c r="BD132" s="6">
        <f>[1]Production!BC51+[1]Production!BC53+[1]Production!BC55+[1]Production!BC57+[1]Production!BC59+[1]Production!BC61+[1]Production!BC63+[1]Production!BC65+[1]Production!BC67</f>
        <v>114389.35199920001</v>
      </c>
      <c r="BE132" s="6">
        <f>[1]Production!BD51+[1]Production!BD53+[1]Production!BD55+[1]Production!BD57+[1]Production!BD59+[1]Production!BD61+[1]Production!BD63+[1]Production!BD65+[1]Production!BD67</f>
        <v>115861.71159410001</v>
      </c>
      <c r="BF132" s="6">
        <f>[1]Production!BE51+[1]Production!BE53+[1]Production!BE55+[1]Production!BE57+[1]Production!BE59+[1]Production!BE61+[1]Production!BE63+[1]Production!BE65+[1]Production!BE67</f>
        <v>117360.09855449999</v>
      </c>
    </row>
    <row r="133" spans="1:58" x14ac:dyDescent="0.35"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</row>
    <row r="134" spans="1:58" x14ac:dyDescent="0.35">
      <c r="C134" s="2"/>
    </row>
    <row r="135" spans="1:58" x14ac:dyDescent="0.35">
      <c r="A135" s="12" t="s">
        <v>82</v>
      </c>
      <c r="B135" t="s">
        <v>24</v>
      </c>
      <c r="C135" s="2">
        <v>42005</v>
      </c>
      <c r="D135" s="2">
        <v>42370</v>
      </c>
      <c r="E135" s="2">
        <v>42736</v>
      </c>
      <c r="F135" s="2">
        <v>43101</v>
      </c>
      <c r="G135" s="2">
        <v>43466</v>
      </c>
      <c r="H135" s="2">
        <v>43831</v>
      </c>
      <c r="I135" s="2">
        <v>44197</v>
      </c>
      <c r="J135" s="2">
        <v>44562</v>
      </c>
      <c r="K135" s="2">
        <v>44927</v>
      </c>
      <c r="L135" s="2">
        <v>45292</v>
      </c>
      <c r="M135" s="2">
        <v>45658</v>
      </c>
      <c r="N135" s="2">
        <v>46023</v>
      </c>
      <c r="O135" s="2">
        <v>46388</v>
      </c>
      <c r="P135" s="2">
        <v>46753</v>
      </c>
      <c r="Q135" s="2">
        <v>47119</v>
      </c>
      <c r="R135" s="2">
        <v>47484</v>
      </c>
      <c r="S135" s="2">
        <v>47849</v>
      </c>
      <c r="T135" s="2">
        <v>48214</v>
      </c>
      <c r="U135" s="2">
        <v>48580</v>
      </c>
      <c r="V135" s="2">
        <v>48945</v>
      </c>
      <c r="W135" s="2">
        <v>49310</v>
      </c>
      <c r="X135" s="2">
        <v>49675</v>
      </c>
      <c r="Y135" s="2">
        <v>50041</v>
      </c>
      <c r="Z135" s="2">
        <v>50406</v>
      </c>
      <c r="AA135" s="2">
        <v>50771</v>
      </c>
      <c r="AB135" s="2">
        <v>51136</v>
      </c>
      <c r="AC135" s="2">
        <v>51502</v>
      </c>
      <c r="AD135" s="2">
        <v>51867</v>
      </c>
      <c r="AE135" s="2">
        <v>52232</v>
      </c>
      <c r="AF135" s="2">
        <v>52597</v>
      </c>
      <c r="AG135" s="2">
        <v>52963</v>
      </c>
      <c r="AH135" s="2">
        <v>53328</v>
      </c>
      <c r="AI135" s="2">
        <v>53693</v>
      </c>
      <c r="AJ135" s="2">
        <v>54058</v>
      </c>
      <c r="AK135" s="2">
        <v>54424</v>
      </c>
      <c r="AL135" s="2">
        <v>54789</v>
      </c>
      <c r="AM135" s="2">
        <v>54790</v>
      </c>
      <c r="AN135" s="2">
        <v>54791</v>
      </c>
      <c r="AO135" s="2">
        <v>54792</v>
      </c>
      <c r="AP135" s="2">
        <v>54793</v>
      </c>
      <c r="AQ135" s="2">
        <v>54794</v>
      </c>
      <c r="AR135" s="2">
        <v>54795</v>
      </c>
      <c r="AS135" s="2">
        <v>54796</v>
      </c>
      <c r="AT135" s="2">
        <v>54797</v>
      </c>
      <c r="AU135" s="2">
        <v>54798</v>
      </c>
      <c r="AV135" s="2">
        <v>54799</v>
      </c>
      <c r="AW135" s="2">
        <v>54800</v>
      </c>
      <c r="AX135" s="2">
        <v>54801</v>
      </c>
      <c r="AY135" s="2">
        <v>54802</v>
      </c>
      <c r="AZ135" s="2">
        <v>54803</v>
      </c>
      <c r="BA135" s="2">
        <v>54804</v>
      </c>
      <c r="BB135" s="2">
        <v>54805</v>
      </c>
      <c r="BC135" s="2">
        <v>54806</v>
      </c>
      <c r="BD135" s="2">
        <v>54807</v>
      </c>
      <c r="BE135" s="2">
        <v>54808</v>
      </c>
      <c r="BF135" s="2">
        <v>54809</v>
      </c>
    </row>
    <row r="136" spans="1:58" x14ac:dyDescent="0.35">
      <c r="A136" t="s">
        <v>39</v>
      </c>
      <c r="B136" t="s">
        <v>27</v>
      </c>
      <c r="C136" s="6">
        <f>[1]Production!B2</f>
        <v>3787937.19</v>
      </c>
      <c r="D136" s="6">
        <f>[1]Production!C2</f>
        <v>3815407.1609999998</v>
      </c>
      <c r="E136" s="6">
        <f>[1]Production!D2</f>
        <v>3853111.4849999999</v>
      </c>
      <c r="F136" s="6">
        <f>[1]Production!E2</f>
        <v>3897115.716</v>
      </c>
      <c r="G136" s="6">
        <f>[1]Production!F2</f>
        <v>3946206.0350000001</v>
      </c>
      <c r="H136" s="6">
        <f>[1]Production!G2</f>
        <v>3999587.9789999998</v>
      </c>
      <c r="I136" s="6">
        <f>[1]Production!H2</f>
        <v>4054006.213</v>
      </c>
      <c r="J136" s="6">
        <f>[1]Production!I2</f>
        <v>4110648.5159999998</v>
      </c>
      <c r="K136" s="6">
        <f>[1]Production!J2</f>
        <v>4169299.446</v>
      </c>
      <c r="L136" s="6">
        <f>[1]Production!K2</f>
        <v>4229695.0369999995</v>
      </c>
      <c r="M136" s="6">
        <f>[1]Production!L2</f>
        <v>4296015.0820000004</v>
      </c>
      <c r="N136" s="6">
        <f>[1]Production!M2</f>
        <v>4360379.5439999998</v>
      </c>
      <c r="O136" s="6">
        <f>[1]Production!N2</f>
        <v>4425352.5779999997</v>
      </c>
      <c r="P136" s="6">
        <f>[1]Production!O2</f>
        <v>4490994.7949999999</v>
      </c>
      <c r="Q136" s="6">
        <f>[1]Production!P2</f>
        <v>4557295.9189999998</v>
      </c>
      <c r="R136" s="6">
        <f>[1]Production!Q2</f>
        <v>4624256.8930000002</v>
      </c>
      <c r="S136" s="6">
        <f>[1]Production!R2</f>
        <v>4691596.5640000002</v>
      </c>
      <c r="T136" s="6">
        <f>[1]Production!S2</f>
        <v>4759595.4309999999</v>
      </c>
      <c r="U136" s="6">
        <f>[1]Production!T2</f>
        <v>4828328.1789999995</v>
      </c>
      <c r="V136" s="6">
        <f>[1]Production!U2</f>
        <v>4897858.8430000003</v>
      </c>
      <c r="W136" s="6">
        <f>[1]Production!V2</f>
        <v>4964984.3650000002</v>
      </c>
      <c r="X136" s="6">
        <f>[1]Production!W2</f>
        <v>5035183.307</v>
      </c>
      <c r="Y136" s="6">
        <f>[1]Production!X2</f>
        <v>5106674.7280000001</v>
      </c>
      <c r="Z136" s="6">
        <f>[1]Production!Y2</f>
        <v>5179390.88</v>
      </c>
      <c r="AA136" s="6">
        <f>[1]Production!Z2</f>
        <v>5253330.0039999997</v>
      </c>
      <c r="AB136" s="6">
        <f>[1]Production!AA2</f>
        <v>5319120.3449999997</v>
      </c>
      <c r="AC136" s="6">
        <f>[1]Production!AB2</f>
        <v>5388011.0010000002</v>
      </c>
      <c r="AD136" s="6">
        <f>[1]Production!AC2</f>
        <v>5457539.0310000004</v>
      </c>
      <c r="AE136" s="6">
        <f>[1]Production!AD2</f>
        <v>5527801.7949999999</v>
      </c>
      <c r="AF136" s="6">
        <f>[1]Production!AE2</f>
        <v>5598950.1909999996</v>
      </c>
      <c r="AG136" s="6">
        <f>[1]Production!AF2</f>
        <v>5671114.6009999998</v>
      </c>
      <c r="AH136" s="6">
        <f>[1]Production!AG2</f>
        <v>5744458.1119999997</v>
      </c>
      <c r="AI136" s="6">
        <f>[1]Production!AH2</f>
        <v>5818988.7740000002</v>
      </c>
      <c r="AJ136" s="6">
        <f>[1]Production!AI2</f>
        <v>5894734.4979999997</v>
      </c>
      <c r="AK136" s="6">
        <f>[1]Production!AJ2</f>
        <v>5971706.3590000002</v>
      </c>
      <c r="AL136" s="6">
        <f>[1]Production!AK2</f>
        <v>6049903.5559999999</v>
      </c>
      <c r="AM136" s="6">
        <f>[1]Production!AL2</f>
        <v>6127664.0829999996</v>
      </c>
      <c r="AN136" s="6">
        <f>[1]Production!AM2</f>
        <v>6205964.3650000002</v>
      </c>
      <c r="AO136" s="6">
        <f>[1]Production!AN2</f>
        <v>6284959.9550000001</v>
      </c>
      <c r="AP136" s="6">
        <f>[1]Production!AO2</f>
        <v>6364757.6639999999</v>
      </c>
      <c r="AQ136" s="6">
        <f>[1]Production!AP2</f>
        <v>6445443.9220000003</v>
      </c>
      <c r="AR136" s="6">
        <f>[1]Production!AQ2</f>
        <v>6527185.051</v>
      </c>
      <c r="AS136" s="6">
        <f>[1]Production!AR2</f>
        <v>6609961.3600000003</v>
      </c>
      <c r="AT136" s="6">
        <f>[1]Production!AS2</f>
        <v>6693804.5559999999</v>
      </c>
      <c r="AU136" s="6">
        <f>[1]Production!AT2</f>
        <v>6778738.0080000004</v>
      </c>
      <c r="AV136" s="6">
        <f>[1]Production!AU2</f>
        <v>6864776.7560000001</v>
      </c>
      <c r="AW136" s="6">
        <f>[1]Production!AV2</f>
        <v>6952458.6550000003</v>
      </c>
      <c r="AX136" s="6">
        <f>[1]Production!AW2</f>
        <v>7041406.5029999996</v>
      </c>
      <c r="AY136" s="6">
        <f>[1]Production!AX2</f>
        <v>7131577.3439999996</v>
      </c>
      <c r="AZ136" s="6">
        <f>[1]Production!AY2</f>
        <v>7222949.7640000004</v>
      </c>
      <c r="BA136" s="6">
        <f>[1]Production!AZ2</f>
        <v>7315511.0650000004</v>
      </c>
      <c r="BB136" s="6">
        <f>[1]Production!BA2</f>
        <v>8694272.4759999998</v>
      </c>
      <c r="BC136" s="6">
        <f>[1]Production!BB2</f>
        <v>8840634.7420000006</v>
      </c>
      <c r="BD136" s="6">
        <f>[1]Production!BC2</f>
        <v>8989308.7599999998</v>
      </c>
      <c r="BE136" s="6">
        <f>[1]Production!BD2</f>
        <v>9140327.6300000008</v>
      </c>
      <c r="BF136" s="6">
        <f>[1]Production!BE2</f>
        <v>9293727.1170000006</v>
      </c>
    </row>
    <row r="137" spans="1:58" x14ac:dyDescent="0.35">
      <c r="B137" t="s">
        <v>7</v>
      </c>
      <c r="C137" s="6">
        <f>[1]Production!B4+[1]Production!B6</f>
        <v>86471.037748999996</v>
      </c>
      <c r="D137" s="6">
        <f>[1]Production!C4+[1]Production!C6</f>
        <v>86581.112183999998</v>
      </c>
      <c r="E137" s="6">
        <f>[1]Production!D4+[1]Production!D6</f>
        <v>86948.560081999996</v>
      </c>
      <c r="F137" s="6">
        <f>[1]Production!E4+[1]Production!E6</f>
        <v>87533.189332000009</v>
      </c>
      <c r="G137" s="6">
        <f>[1]Production!F4+[1]Production!F6</f>
        <v>88312.593422000005</v>
      </c>
      <c r="H137" s="6">
        <f>[1]Production!G4+[1]Production!G6</f>
        <v>89258.640371000001</v>
      </c>
      <c r="I137" s="6">
        <f>[1]Production!H4+[1]Production!H6</f>
        <v>90292.015055999989</v>
      </c>
      <c r="J137" s="6">
        <f>[1]Production!I4+[1]Production!I6</f>
        <v>91417.17233999999</v>
      </c>
      <c r="K137" s="6">
        <f>[1]Production!J4+[1]Production!J6</f>
        <v>92618.202950000006</v>
      </c>
      <c r="L137" s="6">
        <f>[1]Production!K4+[1]Production!K6</f>
        <v>93880.135347999996</v>
      </c>
      <c r="M137" s="6">
        <f>[1]Production!L4+[1]Production!L6</f>
        <v>95280.416968999998</v>
      </c>
      <c r="N137" s="6">
        <f>[1]Production!M4+[1]Production!M6</f>
        <v>96660.541404999996</v>
      </c>
      <c r="O137" s="6">
        <f>[1]Production!N4+[1]Production!N6</f>
        <v>98057.609899999996</v>
      </c>
      <c r="P137" s="6">
        <f>[1]Production!O4+[1]Production!O6</f>
        <v>99469.619484999988</v>
      </c>
      <c r="Q137" s="6">
        <f>[1]Production!P4+[1]Production!P6</f>
        <v>100894.037282</v>
      </c>
      <c r="R137" s="6">
        <f>[1]Production!Q4+[1]Production!Q6</f>
        <v>102329.35810700001</v>
      </c>
      <c r="S137" s="6">
        <f>[1]Production!R4+[1]Production!R6</f>
        <v>103766.996184</v>
      </c>
      <c r="T137" s="6">
        <f>[1]Production!S4+[1]Production!S6</f>
        <v>105213.624832</v>
      </c>
      <c r="U137" s="6">
        <f>[1]Production!T4+[1]Production!T6</f>
        <v>106670.468098</v>
      </c>
      <c r="V137" s="6">
        <f>[1]Production!U4+[1]Production!U6</f>
        <v>108138.744496</v>
      </c>
      <c r="W137" s="6">
        <f>[1]Production!V4+[1]Production!V6</f>
        <v>109553.676943</v>
      </c>
      <c r="X137" s="6">
        <f>[1]Production!W4+[1]Production!W6</f>
        <v>111019.131968</v>
      </c>
      <c r="Y137" s="6">
        <f>[1]Production!X4+[1]Production!X6</f>
        <v>112508.40199299999</v>
      </c>
      <c r="Z137" s="6">
        <f>[1]Production!Y4+[1]Production!Y6</f>
        <v>114020.31494899999</v>
      </c>
      <c r="AA137" s="6">
        <f>[1]Production!Z4+[1]Production!Z6</f>
        <v>115554.97605</v>
      </c>
      <c r="AB137" s="6">
        <f>[1]Production!AA4+[1]Production!AA6</f>
        <v>116923.42134700001</v>
      </c>
      <c r="AC137" s="6">
        <f>[1]Production!AB4+[1]Production!AB6</f>
        <v>118332.439593</v>
      </c>
      <c r="AD137" s="6">
        <f>[1]Production!AC4+[1]Production!AC6</f>
        <v>119748.34741300001</v>
      </c>
      <c r="AE137" s="6">
        <f>[1]Production!AD4+[1]Production!AD6</f>
        <v>121175.54917099999</v>
      </c>
      <c r="AF137" s="6">
        <f>[1]Production!AE4+[1]Production!AE6</f>
        <v>122619.238176</v>
      </c>
      <c r="AG137" s="6">
        <f>[1]Production!AF4+[1]Production!AF6</f>
        <v>124083.720092</v>
      </c>
      <c r="AH137" s="6">
        <f>[1]Production!AG4+[1]Production!AG6</f>
        <v>125573.92957399999</v>
      </c>
      <c r="AI137" s="6">
        <f>[1]Production!AH4+[1]Production!AH6</f>
        <v>127090.499717</v>
      </c>
      <c r="AJ137" s="6">
        <f>[1]Production!AI4+[1]Production!AI6</f>
        <v>128634.50438099999</v>
      </c>
      <c r="AK137" s="6">
        <f>[1]Production!AJ4+[1]Production!AJ6</f>
        <v>130206.46522300001</v>
      </c>
      <c r="AL137" s="6">
        <f>[1]Production!AK4+[1]Production!AK6</f>
        <v>131806.518622</v>
      </c>
      <c r="AM137" s="6">
        <f>[1]Production!AL4+[1]Production!AL6</f>
        <v>133405.41228600001</v>
      </c>
      <c r="AN137" s="6">
        <f>[1]Production!AM4+[1]Production!AM6</f>
        <v>135014.50425299999</v>
      </c>
      <c r="AO137" s="6">
        <f>[1]Production!AN4+[1]Production!AN6</f>
        <v>136638.08186500001</v>
      </c>
      <c r="AP137" s="6">
        <f>[1]Production!AO4+[1]Production!AO6</f>
        <v>138279.370704</v>
      </c>
      <c r="AQ137" s="6">
        <f>[1]Production!AP4+[1]Production!AP6</f>
        <v>139941.02714699999</v>
      </c>
      <c r="AR137" s="6">
        <f>[1]Production!AQ4+[1]Production!AQ6</f>
        <v>141627.758057</v>
      </c>
      <c r="AS137" s="6">
        <f>[1]Production!AR4+[1]Production!AR6</f>
        <v>143339.22598699998</v>
      </c>
      <c r="AT137" s="6">
        <f>[1]Production!AS4+[1]Production!AS6</f>
        <v>145076.42419199998</v>
      </c>
      <c r="AU137" s="6">
        <f>[1]Production!AT4+[1]Production!AT6</f>
        <v>146840.01427500002</v>
      </c>
      <c r="AV137" s="6">
        <f>[1]Production!AU4+[1]Production!AU6</f>
        <v>148630.36525600002</v>
      </c>
      <c r="AW137" s="6">
        <f>[1]Production!AV4+[1]Production!AV6</f>
        <v>150460.357009</v>
      </c>
      <c r="AX137" s="6">
        <f>[1]Production!AW4+[1]Production!AW6</f>
        <v>152321.14472899999</v>
      </c>
      <c r="AY137" s="6">
        <f>[1]Production!AX4+[1]Production!AX6</f>
        <v>154211.57662199999</v>
      </c>
      <c r="AZ137" s="6">
        <f>[1]Production!AY4+[1]Production!AY6</f>
        <v>156130.901319</v>
      </c>
      <c r="BA137" s="6">
        <f>[1]Production!AZ4+[1]Production!AZ6</f>
        <v>158078.52089700001</v>
      </c>
      <c r="BB137" s="6">
        <f>[1]Production!BA4+[1]Production!BA6</f>
        <v>186397.20084100001</v>
      </c>
      <c r="BC137" s="6">
        <f>[1]Production!BB4+[1]Production!BB6</f>
        <v>189372.32744200001</v>
      </c>
      <c r="BD137" s="6">
        <f>[1]Production!BC4+[1]Production!BC6</f>
        <v>192397.54094400001</v>
      </c>
      <c r="BE137" s="6">
        <f>[1]Production!BD4+[1]Production!BD6</f>
        <v>195473.85499699999</v>
      </c>
      <c r="BF137" s="6">
        <f>[1]Production!BE4+[1]Production!BE6</f>
        <v>198602.34797600002</v>
      </c>
    </row>
    <row r="138" spans="1:58" x14ac:dyDescent="0.35">
      <c r="B138" t="s">
        <v>30</v>
      </c>
      <c r="C138" s="6">
        <f>[1]Production!B8+[1]Production!B10+[1]Production!B12+[1]Production!B14+[1]Production!B16+[1]Production!B18+[1]Production!B20+[1]Production!B22+[1]Production!B24+[1]Production!B26+[1]Production!B40</f>
        <v>953960.74653900019</v>
      </c>
      <c r="D138" s="6">
        <f>[1]Production!C8+[1]Production!C10+[1]Production!C12+[1]Production!C14+[1]Production!C16+[1]Production!C18+[1]Production!C20+[1]Production!C22+[1]Production!C24+[1]Production!C26+[1]Production!C40</f>
        <v>961425.59831899987</v>
      </c>
      <c r="E138" s="6">
        <f>[1]Production!D8+[1]Production!D10+[1]Production!D12+[1]Production!D14+[1]Production!D16+[1]Production!D18+[1]Production!D20+[1]Production!D22+[1]Production!D24+[1]Production!D26+[1]Production!D40</f>
        <v>971747.29075399996</v>
      </c>
      <c r="F138" s="6">
        <f>[1]Production!E8+[1]Production!E10+[1]Production!E12+[1]Production!E14+[1]Production!E16+[1]Production!E18+[1]Production!E20+[1]Production!E22+[1]Production!E24+[1]Production!E26+[1]Production!E40</f>
        <v>983579.93339799996</v>
      </c>
      <c r="G138" s="6">
        <f>[1]Production!F8+[1]Production!F10+[1]Production!F12+[1]Production!F14+[1]Production!F16+[1]Production!F18+[1]Production!F20+[1]Production!F22+[1]Production!F24+[1]Production!F26+[1]Production!F40</f>
        <v>996469.35858299991</v>
      </c>
      <c r="H138" s="6">
        <f>[1]Production!G8+[1]Production!G10+[1]Production!G12+[1]Production!G14+[1]Production!G16+[1]Production!G18+[1]Production!G20+[1]Production!G22+[1]Production!G24+[1]Production!G26+[1]Production!G40</f>
        <v>1010179.3357320001</v>
      </c>
      <c r="I138" s="6">
        <f>[1]Production!H8+[1]Production!H10+[1]Production!H12+[1]Production!H14+[1]Production!H16+[1]Production!H18+[1]Production!H20+[1]Production!H22+[1]Production!H24+[1]Production!H26+[1]Production!H40</f>
        <v>1023916.0152779999</v>
      </c>
      <c r="J138" s="6">
        <f>[1]Production!I8+[1]Production!I10+[1]Production!I12+[1]Production!I14+[1]Production!I16+[1]Production!I18+[1]Production!I20+[1]Production!I22+[1]Production!I24+[1]Production!I26+[1]Production!I40</f>
        <v>1038024.363409</v>
      </c>
      <c r="K138" s="6">
        <f>[1]Production!J8+[1]Production!J10+[1]Production!J12+[1]Production!J14+[1]Production!J16+[1]Production!J18+[1]Production!J20+[1]Production!J22+[1]Production!J24+[1]Production!J26+[1]Production!J40</f>
        <v>1052488.787494</v>
      </c>
      <c r="L138" s="6">
        <f>[1]Production!K8+[1]Production!K10+[1]Production!K12+[1]Production!K14+[1]Production!K16+[1]Production!K18+[1]Production!K20+[1]Production!K22+[1]Production!K24+[1]Production!K26+[1]Production!K40</f>
        <v>1067279.420861</v>
      </c>
      <c r="M138" s="6">
        <f>[1]Production!L8+[1]Production!L10+[1]Production!L12+[1]Production!L14+[1]Production!L16+[1]Production!L18+[1]Production!L20+[1]Production!L22+[1]Production!L24+[1]Production!L26+[1]Production!L40</f>
        <v>1083443.086904</v>
      </c>
      <c r="N138" s="6">
        <f>[1]Production!M8+[1]Production!M10+[1]Production!M12+[1]Production!M14+[1]Production!M16+[1]Production!M18+[1]Production!M20+[1]Production!M22+[1]Production!M24+[1]Production!M26+[1]Production!M40</f>
        <v>1099026.20337</v>
      </c>
      <c r="O138" s="6">
        <f>[1]Production!N8+[1]Production!N10+[1]Production!N12+[1]Production!N14+[1]Production!N16+[1]Production!N18+[1]Production!N20+[1]Production!N22+[1]Production!N24+[1]Production!N26+[1]Production!N40</f>
        <v>1114735.1990969998</v>
      </c>
      <c r="P138" s="6">
        <f>[1]Production!O8+[1]Production!O10+[1]Production!O12+[1]Production!O14+[1]Production!O16+[1]Production!O18+[1]Production!O20+[1]Production!O22+[1]Production!O24+[1]Production!O26+[1]Production!O40</f>
        <v>1130598.4533289999</v>
      </c>
      <c r="Q138" s="6">
        <f>[1]Production!P8+[1]Production!P10+[1]Production!P12+[1]Production!P14+[1]Production!P16+[1]Production!P18+[1]Production!P20+[1]Production!P22+[1]Production!P24+[1]Production!P26+[1]Production!P40</f>
        <v>1146627.343257</v>
      </c>
      <c r="R138" s="6">
        <f>[1]Production!Q8+[1]Production!Q10+[1]Production!Q12+[1]Production!Q14+[1]Production!Q16+[1]Production!Q18+[1]Production!Q20+[1]Production!Q22+[1]Production!Q24+[1]Production!Q26+[1]Production!Q40</f>
        <v>1162833.9091380001</v>
      </c>
      <c r="S138" s="6">
        <f>[1]Production!R8+[1]Production!R10+[1]Production!R12+[1]Production!R14+[1]Production!R16+[1]Production!R18+[1]Production!R20+[1]Production!R22+[1]Production!R24+[1]Production!R26+[1]Production!R40</f>
        <v>1179119.0821760001</v>
      </c>
      <c r="T138" s="6">
        <f>[1]Production!S8+[1]Production!S10+[1]Production!S12+[1]Production!S14+[1]Production!S16+[1]Production!S18+[1]Production!S20+[1]Production!S22+[1]Production!S24+[1]Production!S26+[1]Production!S40</f>
        <v>1195603.180739</v>
      </c>
      <c r="U138" s="6">
        <f>[1]Production!T8+[1]Production!T10+[1]Production!T12+[1]Production!T14+[1]Production!T16+[1]Production!T18+[1]Production!T20+[1]Production!T22+[1]Production!T24+[1]Production!T26+[1]Production!T40</f>
        <v>1212313.417811</v>
      </c>
      <c r="V138" s="6">
        <f>[1]Production!U8+[1]Production!U10+[1]Production!U12+[1]Production!U14+[1]Production!U16+[1]Production!U18+[1]Production!U20+[1]Production!U22+[1]Production!U24+[1]Production!U26+[1]Production!U40</f>
        <v>1229273.1041829998</v>
      </c>
      <c r="W138" s="6">
        <f>[1]Production!V8+[1]Production!V10+[1]Production!V12+[1]Production!V14+[1]Production!V16+[1]Production!V18+[1]Production!V20+[1]Production!V22+[1]Production!V24+[1]Production!V26+[1]Production!V40</f>
        <v>1245714.9957890001</v>
      </c>
      <c r="X138" s="6">
        <f>[1]Production!W8+[1]Production!W10+[1]Production!W12+[1]Production!W14+[1]Production!W16+[1]Production!W18+[1]Production!W20+[1]Production!W22+[1]Production!W24+[1]Production!W26+[1]Production!W40</f>
        <v>1262978.01498</v>
      </c>
      <c r="Y138" s="6">
        <f>[1]Production!X8+[1]Production!X10+[1]Production!X12+[1]Production!X14+[1]Production!X16+[1]Production!X18+[1]Production!X20+[1]Production!X22+[1]Production!X24+[1]Production!X26+[1]Production!X40</f>
        <v>1280620.536564</v>
      </c>
      <c r="Z138" s="6">
        <f>[1]Production!Y8+[1]Production!Y10+[1]Production!Y12+[1]Production!Y14+[1]Production!Y16+[1]Production!Y18+[1]Production!Y20+[1]Production!Y22+[1]Production!Y24+[1]Production!Y26+[1]Production!Y40</f>
        <v>1298630.3421400001</v>
      </c>
      <c r="AA138" s="6">
        <f>[1]Production!Z8+[1]Production!Z10+[1]Production!Z12+[1]Production!Z14+[1]Production!Z16+[1]Production!Z18+[1]Production!Z20+[1]Production!Z22+[1]Production!Z24+[1]Production!Z26+[1]Production!Z40</f>
        <v>1317008.5601289999</v>
      </c>
      <c r="AB138" s="6">
        <f>[1]Production!AA8+[1]Production!AA10+[1]Production!AA12+[1]Production!AA14+[1]Production!AA16+[1]Production!AA18+[1]Production!AA20+[1]Production!AA22+[1]Production!AA24+[1]Production!AA26+[1]Production!AA40</f>
        <v>1333501.3944069999</v>
      </c>
      <c r="AC138" s="6">
        <f>[1]Production!AB8+[1]Production!AB10+[1]Production!AB12+[1]Production!AB14+[1]Production!AB16+[1]Production!AB18+[1]Production!AB20+[1]Production!AB22+[1]Production!AB24+[1]Production!AB26+[1]Production!AB40</f>
        <v>1350855.3862129999</v>
      </c>
      <c r="AD138" s="6">
        <f>[1]Production!AC8+[1]Production!AC10+[1]Production!AC12+[1]Production!AC14+[1]Production!AC16+[1]Production!AC18+[1]Production!AC20+[1]Production!AC22+[1]Production!AC24+[1]Production!AC26+[1]Production!AC40</f>
        <v>1368430.0072359999</v>
      </c>
      <c r="AE138" s="6">
        <f>[1]Production!AD8+[1]Production!AD10+[1]Production!AD12+[1]Production!AD14+[1]Production!AD16+[1]Production!AD18+[1]Production!AD20+[1]Production!AD22+[1]Production!AD24+[1]Production!AD26+[1]Production!AD40</f>
        <v>1386242.197678</v>
      </c>
      <c r="AF138" s="6">
        <f>[1]Production!AE8+[1]Production!AE10+[1]Production!AE12+[1]Production!AE14+[1]Production!AE16+[1]Production!AE18+[1]Production!AE20+[1]Production!AE22+[1]Production!AE24+[1]Production!AE26+[1]Production!AE40</f>
        <v>1404318.3494320002</v>
      </c>
      <c r="AG138" s="6">
        <f>[1]Production!AF8+[1]Production!AF10+[1]Production!AF12+[1]Production!AF14+[1]Production!AF16+[1]Production!AF18+[1]Production!AF20+[1]Production!AF22+[1]Production!AF24+[1]Production!AF26+[1]Production!AF40</f>
        <v>1422680.4986630001</v>
      </c>
      <c r="AH138" s="6">
        <f>[1]Production!AG8+[1]Production!AG10+[1]Production!AG12+[1]Production!AG14+[1]Production!AG16+[1]Production!AG18+[1]Production!AG20+[1]Production!AG22+[1]Production!AG24+[1]Production!AG26+[1]Production!AG40</f>
        <v>1441369.1182139998</v>
      </c>
      <c r="AI138" s="6">
        <f>[1]Production!AH8+[1]Production!AH10+[1]Production!AH12+[1]Production!AH14+[1]Production!AH16+[1]Production!AH18+[1]Production!AH20+[1]Production!AH22+[1]Production!AH24+[1]Production!AH26+[1]Production!AH40</f>
        <v>1460369.506608</v>
      </c>
      <c r="AJ138" s="6">
        <f>[1]Production!AI8+[1]Production!AI10+[1]Production!AI12+[1]Production!AI14+[1]Production!AI16+[1]Production!AI18+[1]Production!AI20+[1]Production!AI22+[1]Production!AI24+[1]Production!AI26+[1]Production!AI40</f>
        <v>1479681.853105</v>
      </c>
      <c r="AK138" s="6">
        <f>[1]Production!AJ8+[1]Production!AJ10+[1]Production!AJ12+[1]Production!AJ14+[1]Production!AJ16+[1]Production!AJ18+[1]Production!AJ20+[1]Production!AJ22+[1]Production!AJ24+[1]Production!AJ26+[1]Production!AJ40</f>
        <v>1499302.798838</v>
      </c>
      <c r="AL138" s="6">
        <f>[1]Production!AK8+[1]Production!AK10+[1]Production!AK12+[1]Production!AK14+[1]Production!AK16+[1]Production!AK18+[1]Production!AK20+[1]Production!AK22+[1]Production!AK24+[1]Production!AK26+[1]Production!AK40</f>
        <v>1519226.441815</v>
      </c>
      <c r="AM138" s="6">
        <f>[1]Production!AL8+[1]Production!AL10+[1]Production!AL12+[1]Production!AL14+[1]Production!AL16+[1]Production!AL18+[1]Production!AL20+[1]Production!AL22+[1]Production!AL24+[1]Production!AL26+[1]Production!AL40</f>
        <v>1539131.8242780003</v>
      </c>
      <c r="AN138" s="6">
        <f>[1]Production!AM8+[1]Production!AM10+[1]Production!AM12+[1]Production!AM14+[1]Production!AM16+[1]Production!AM18+[1]Production!AM20+[1]Production!AM22+[1]Production!AM24+[1]Production!AM26+[1]Production!AM40</f>
        <v>1559165.1365760001</v>
      </c>
      <c r="AO138" s="6">
        <f>[1]Production!AN8+[1]Production!AN10+[1]Production!AN12+[1]Production!AN14+[1]Production!AN16+[1]Production!AN18+[1]Production!AN20+[1]Production!AN22+[1]Production!AN24+[1]Production!AN26+[1]Production!AN40</f>
        <v>1579353.6202379998</v>
      </c>
      <c r="AP138" s="6">
        <f>[1]Production!AO8+[1]Production!AO10+[1]Production!AO12+[1]Production!AO14+[1]Production!AO16+[1]Production!AO18+[1]Production!AO20+[1]Production!AO22+[1]Production!AO24+[1]Production!AO26+[1]Production!AO40</f>
        <v>1599715.2421220001</v>
      </c>
      <c r="AQ138" s="6">
        <f>[1]Production!AP8+[1]Production!AP10+[1]Production!AP12+[1]Production!AP14+[1]Production!AP16+[1]Production!AP18+[1]Production!AP20+[1]Production!AP22+[1]Production!AP24+[1]Production!AP26+[1]Production!AP40</f>
        <v>1620264.0434039996</v>
      </c>
      <c r="AR138" s="6">
        <f>[1]Production!AQ8+[1]Production!AQ10+[1]Production!AQ12+[1]Production!AQ14+[1]Production!AQ16+[1]Production!AQ18+[1]Production!AQ20+[1]Production!AQ22+[1]Production!AQ24+[1]Production!AQ26+[1]Production!AQ40</f>
        <v>1641047.3605910002</v>
      </c>
      <c r="AS138" s="6">
        <f>[1]Production!AR8+[1]Production!AR10+[1]Production!AR12+[1]Production!AR14+[1]Production!AR16+[1]Production!AR18+[1]Production!AR20+[1]Production!AR22+[1]Production!AR24+[1]Production!AR26+[1]Production!AR40</f>
        <v>1662042.216634</v>
      </c>
      <c r="AT138" s="6">
        <f>[1]Production!AS8+[1]Production!AS10+[1]Production!AS12+[1]Production!AS14+[1]Production!AS16+[1]Production!AS18+[1]Production!AS20+[1]Production!AS22+[1]Production!AS24+[1]Production!AS26+[1]Production!AS40</f>
        <v>1683252.2337709998</v>
      </c>
      <c r="AU138" s="6">
        <f>[1]Production!AT8+[1]Production!AT10+[1]Production!AT12+[1]Production!AT14+[1]Production!AT16+[1]Production!AT18+[1]Production!AT20+[1]Production!AT22+[1]Production!AT24+[1]Production!AT26+[1]Production!AT40</f>
        <v>1704680.114023</v>
      </c>
      <c r="AV138" s="6">
        <f>[1]Production!AU8+[1]Production!AU10+[1]Production!AU12+[1]Production!AU14+[1]Production!AU16+[1]Production!AU18+[1]Production!AU20+[1]Production!AU22+[1]Production!AU24+[1]Production!AU26+[1]Production!AU40</f>
        <v>1726327.4252930002</v>
      </c>
      <c r="AW138" s="6">
        <f>[1]Production!AV8+[1]Production!AV10+[1]Production!AV12+[1]Production!AV14+[1]Production!AV16+[1]Production!AV18+[1]Production!AV20+[1]Production!AV22+[1]Production!AV24+[1]Production!AV26+[1]Production!AV40</f>
        <v>1748366.4524960001</v>
      </c>
      <c r="AX138" s="6">
        <f>[1]Production!AW8+[1]Production!AW10+[1]Production!AW12+[1]Production!AW14+[1]Production!AW16+[1]Production!AW18+[1]Production!AW20+[1]Production!AW22+[1]Production!AW24+[1]Production!AW26+[1]Production!AW40</f>
        <v>1770660.2139360001</v>
      </c>
      <c r="AY138" s="6">
        <f>[1]Production!AX8+[1]Production!AX10+[1]Production!AX12+[1]Production!AX14+[1]Production!AX16+[1]Production!AX18+[1]Production!AX20+[1]Production!AX22+[1]Production!AX24+[1]Production!AX26+[1]Production!AX40</f>
        <v>1793197.6903200001</v>
      </c>
      <c r="AZ138" s="6">
        <f>[1]Production!AY8+[1]Production!AY10+[1]Production!AY12+[1]Production!AY14+[1]Production!AY16+[1]Production!AY18+[1]Production!AY20+[1]Production!AY22+[1]Production!AY24+[1]Production!AY26+[1]Production!AY40</f>
        <v>1815974.0157300001</v>
      </c>
      <c r="BA138" s="6">
        <f>[1]Production!AZ8+[1]Production!AZ10+[1]Production!AZ12+[1]Production!AZ14+[1]Production!AZ16+[1]Production!AZ18+[1]Production!AZ20+[1]Production!AZ22+[1]Production!AZ24+[1]Production!AZ26+[1]Production!AZ40</f>
        <v>1838987.2000570002</v>
      </c>
      <c r="BB138" s="6">
        <f>[1]Production!BA8+[1]Production!BA10+[1]Production!BA12+[1]Production!BA14+[1]Production!BA16+[1]Production!BA18+[1]Production!BA20+[1]Production!BA22+[1]Production!BA24+[1]Production!BA26+[1]Production!BA40</f>
        <v>2284220.9772020001</v>
      </c>
      <c r="BC138" s="6">
        <f>[1]Production!BB8+[1]Production!BB10+[1]Production!BB12+[1]Production!BB14+[1]Production!BB16+[1]Production!BB18+[1]Production!BB20+[1]Production!BB22+[1]Production!BB24+[1]Production!BB26+[1]Production!BB40</f>
        <v>2324292.3855250003</v>
      </c>
      <c r="BD138" s="6">
        <f>[1]Production!BC8+[1]Production!BC10+[1]Production!BC12+[1]Production!BC14+[1]Production!BC16+[1]Production!BC18+[1]Production!BC20+[1]Production!BC22+[1]Production!BC24+[1]Production!BC26+[1]Production!BC40</f>
        <v>2364941.92075</v>
      </c>
      <c r="BE138" s="6">
        <f>[1]Production!BD8+[1]Production!BD10+[1]Production!BD12+[1]Production!BD14+[1]Production!BD16+[1]Production!BD18+[1]Production!BD20+[1]Production!BD22+[1]Production!BD24+[1]Production!BD26+[1]Production!BD40</f>
        <v>2406171.2773370002</v>
      </c>
      <c r="BF138" s="6">
        <f>[1]Production!BE8+[1]Production!BE10+[1]Production!BE12+[1]Production!BE14+[1]Production!BE16+[1]Production!BE18+[1]Production!BE20+[1]Production!BE22+[1]Production!BE24+[1]Production!BE26+[1]Production!BE40</f>
        <v>2447982.850503</v>
      </c>
    </row>
    <row r="139" spans="1:58" x14ac:dyDescent="0.35">
      <c r="B139" t="s">
        <v>9</v>
      </c>
      <c r="C139" s="6">
        <f>[1]Production!B28+[1]Production!B30+[1]Production!B32+[1]Production!B34</f>
        <v>117968.42212500001</v>
      </c>
      <c r="D139" s="6">
        <f>[1]Production!C28+[1]Production!C30+[1]Production!C32+[1]Production!C34</f>
        <v>118893.867723</v>
      </c>
      <c r="E139" s="6">
        <f>[1]Production!D28+[1]Production!D30+[1]Production!D32+[1]Production!D34</f>
        <v>120076.049102</v>
      </c>
      <c r="F139" s="6">
        <f>[1]Production!E28+[1]Production!E30+[1]Production!E32+[1]Production!E34</f>
        <v>121421.048668</v>
      </c>
      <c r="G139" s="6">
        <f>[1]Production!F28+[1]Production!F30+[1]Production!F32+[1]Production!F34</f>
        <v>122907.77320099999</v>
      </c>
      <c r="H139" s="6">
        <f>[1]Production!G28+[1]Production!G30+[1]Production!G32+[1]Production!G34</f>
        <v>124517.41479100002</v>
      </c>
      <c r="I139" s="6">
        <f>[1]Production!H28+[1]Production!H30+[1]Production!H32+[1]Production!H34</f>
        <v>126145.75516199999</v>
      </c>
      <c r="J139" s="6">
        <f>[1]Production!I28+[1]Production!I30+[1]Production!I32+[1]Production!I34</f>
        <v>127836.612788</v>
      </c>
      <c r="K139" s="6">
        <f>[1]Production!J28+[1]Production!J30+[1]Production!J32+[1]Production!J34</f>
        <v>129580.545394</v>
      </c>
      <c r="L139" s="6">
        <f>[1]Production!K28+[1]Production!K30+[1]Production!K32+[1]Production!K34</f>
        <v>131367.031762</v>
      </c>
      <c r="M139" s="6">
        <f>[1]Production!L28+[1]Production!L30+[1]Production!L32+[1]Production!L34</f>
        <v>133328.429125</v>
      </c>
      <c r="N139" s="6">
        <f>[1]Production!M28+[1]Production!M30+[1]Production!M32+[1]Production!M34</f>
        <v>135197.519528</v>
      </c>
      <c r="O139" s="6">
        <f>[1]Production!N28+[1]Production!N30+[1]Production!N32+[1]Production!N34</f>
        <v>137072.68281200001</v>
      </c>
      <c r="P139" s="6">
        <f>[1]Production!O28+[1]Production!O30+[1]Production!O32+[1]Production!O34</f>
        <v>138955.632904</v>
      </c>
      <c r="Q139" s="6">
        <f>[1]Production!P28+[1]Production!P30+[1]Production!P32+[1]Production!P34</f>
        <v>140846.062198</v>
      </c>
      <c r="R139" s="6">
        <f>[1]Production!Q28+[1]Production!Q30+[1]Production!Q32+[1]Production!Q34</f>
        <v>142744.29960100001</v>
      </c>
      <c r="S139" s="6">
        <f>[1]Production!R28+[1]Production!R30+[1]Production!R32+[1]Production!R34</f>
        <v>144637.41088799998</v>
      </c>
      <c r="T139" s="6">
        <f>[1]Production!S28+[1]Production!S30+[1]Production!S32+[1]Production!S34</f>
        <v>146540.07777600002</v>
      </c>
      <c r="U139" s="6">
        <f>[1]Production!T28+[1]Production!T30+[1]Production!T32+[1]Production!T34</f>
        <v>148455.298542</v>
      </c>
      <c r="V139" s="6">
        <f>[1]Production!U28+[1]Production!U30+[1]Production!U32+[1]Production!U34</f>
        <v>150385.84166000001</v>
      </c>
      <c r="W139" s="6">
        <f>[1]Production!V28+[1]Production!V30+[1]Production!V32+[1]Production!V34</f>
        <v>152230.500535</v>
      </c>
      <c r="X139" s="6">
        <f>[1]Production!W28+[1]Production!W30+[1]Production!W32+[1]Production!W34</f>
        <v>154171.93607699999</v>
      </c>
      <c r="Y139" s="6">
        <f>[1]Production!X28+[1]Production!X30+[1]Production!X32+[1]Production!X34</f>
        <v>156145.78904299997</v>
      </c>
      <c r="Z139" s="6">
        <f>[1]Production!Y28+[1]Production!Y30+[1]Production!Y32+[1]Production!Y34</f>
        <v>158150.77102000001</v>
      </c>
      <c r="AA139" s="6">
        <f>[1]Production!Z28+[1]Production!Z30+[1]Production!Z32+[1]Production!Z34</f>
        <v>160187.72117199999</v>
      </c>
      <c r="AB139" s="6">
        <f>[1]Production!AA28+[1]Production!AA30+[1]Production!AA32+[1]Production!AA34</f>
        <v>161959.98130399999</v>
      </c>
      <c r="AC139" s="6">
        <f>[1]Production!AB28+[1]Production!AB30+[1]Production!AB32+[1]Production!AB34</f>
        <v>163847.93819300001</v>
      </c>
      <c r="AD139" s="6">
        <f>[1]Production!AC28+[1]Production!AC30+[1]Production!AC32+[1]Production!AC34</f>
        <v>165757.962856</v>
      </c>
      <c r="AE139" s="6">
        <f>[1]Production!AD28+[1]Production!AD30+[1]Production!AD32+[1]Production!AD34</f>
        <v>167692.69633499999</v>
      </c>
      <c r="AF139" s="6">
        <f>[1]Production!AE28+[1]Production!AE30+[1]Production!AE32+[1]Production!AE34</f>
        <v>169656.73481999998</v>
      </c>
      <c r="AG139" s="6">
        <f>[1]Production!AF28+[1]Production!AF30+[1]Production!AF32+[1]Production!AF34</f>
        <v>171654.059373</v>
      </c>
      <c r="AH139" s="6">
        <f>[1]Production!AG28+[1]Production!AG30+[1]Production!AG32+[1]Production!AG34</f>
        <v>173690.70929199998</v>
      </c>
      <c r="AI139" s="6">
        <f>[1]Production!AH28+[1]Production!AH30+[1]Production!AH32+[1]Production!AH34</f>
        <v>175765.681859</v>
      </c>
      <c r="AJ139" s="6">
        <f>[1]Production!AI28+[1]Production!AI30+[1]Production!AI32+[1]Production!AI34</f>
        <v>177879.77806499999</v>
      </c>
      <c r="AK139" s="6">
        <f>[1]Production!AJ28+[1]Production!AJ30+[1]Production!AJ32+[1]Production!AJ34</f>
        <v>180033.261497</v>
      </c>
      <c r="AL139" s="6">
        <f>[1]Production!AK28+[1]Production!AK30+[1]Production!AK32+[1]Production!AK34</f>
        <v>182226.01097</v>
      </c>
      <c r="AM139" s="6">
        <f>[1]Production!AL28+[1]Production!AL30+[1]Production!AL32+[1]Production!AL34</f>
        <v>184414.29303000003</v>
      </c>
      <c r="AN139" s="6">
        <f>[1]Production!AM28+[1]Production!AM30+[1]Production!AM32+[1]Production!AM34</f>
        <v>186623.58707000001</v>
      </c>
      <c r="AO139" s="6">
        <f>[1]Production!AN28+[1]Production!AN30+[1]Production!AN32+[1]Production!AN34</f>
        <v>188858.27948999999</v>
      </c>
      <c r="AP139" s="6">
        <f>[1]Production!AO28+[1]Production!AO30+[1]Production!AO32+[1]Production!AO34</f>
        <v>191121.14748000001</v>
      </c>
      <c r="AQ139" s="6">
        <f>[1]Production!AP28+[1]Production!AP30+[1]Production!AP32+[1]Production!AP34</f>
        <v>193414.37985</v>
      </c>
      <c r="AR139" s="6">
        <f>[1]Production!AQ28+[1]Production!AQ30+[1]Production!AQ32+[1]Production!AQ34</f>
        <v>195744.19102</v>
      </c>
      <c r="AS139" s="6">
        <f>[1]Production!AR28+[1]Production!AR30+[1]Production!AR32+[1]Production!AR34</f>
        <v>198107.95209999999</v>
      </c>
      <c r="AT139" s="6">
        <f>[1]Production!AS28+[1]Production!AS30+[1]Production!AS32+[1]Production!AS34</f>
        <v>200506.35024999999</v>
      </c>
      <c r="AU139" s="6">
        <f>[1]Production!AT28+[1]Production!AT30+[1]Production!AT32+[1]Production!AT34</f>
        <v>202939.85235999999</v>
      </c>
      <c r="AV139" s="6">
        <f>[1]Production!AU28+[1]Production!AU30+[1]Production!AU32+[1]Production!AU34</f>
        <v>205408.70269000001</v>
      </c>
      <c r="AW139" s="6">
        <f>[1]Production!AV28+[1]Production!AV30+[1]Production!AV32+[1]Production!AV34</f>
        <v>207934.57751</v>
      </c>
      <c r="AX139" s="6">
        <f>[1]Production!AW28+[1]Production!AW30+[1]Production!AW32+[1]Production!AW34</f>
        <v>210499.55768999999</v>
      </c>
      <c r="AY139" s="6">
        <f>[1]Production!AX28+[1]Production!AX30+[1]Production!AX32+[1]Production!AX34</f>
        <v>213102.28872999997</v>
      </c>
      <c r="AZ139" s="6">
        <f>[1]Production!AY28+[1]Production!AY30+[1]Production!AY32+[1]Production!AY34</f>
        <v>215742.06193000003</v>
      </c>
      <c r="BA139" s="6">
        <f>[1]Production!AZ28+[1]Production!AZ30+[1]Production!AZ32+[1]Production!AZ34</f>
        <v>218418.41913000002</v>
      </c>
      <c r="BB139" s="6">
        <f>[1]Production!BA28+[1]Production!BA30+[1]Production!BA32+[1]Production!BA34</f>
        <v>260759.47897</v>
      </c>
      <c r="BC139" s="6">
        <f>[1]Production!BB28+[1]Production!BB30+[1]Production!BB32+[1]Production!BB34</f>
        <v>265033.33299999998</v>
      </c>
      <c r="BD139" s="6">
        <f>[1]Production!BC28+[1]Production!BC30+[1]Production!BC32+[1]Production!BC34</f>
        <v>269384.19571</v>
      </c>
      <c r="BE139" s="6">
        <f>[1]Production!BD28+[1]Production!BD30+[1]Production!BD32+[1]Production!BD34</f>
        <v>273813.54222999996</v>
      </c>
      <c r="BF139" s="6">
        <f>[1]Production!BE28+[1]Production!BE30+[1]Production!BE32+[1]Production!BE34</f>
        <v>278322.87751999998</v>
      </c>
    </row>
    <row r="140" spans="1:58" x14ac:dyDescent="0.35">
      <c r="B140" t="s">
        <v>10</v>
      </c>
      <c r="C140" s="6">
        <f>[1]Production!B36+[1]Production!B38</f>
        <v>2523353.8663999997</v>
      </c>
      <c r="D140" s="6">
        <f>[1]Production!C36+[1]Production!C38</f>
        <v>2542077.9161999999</v>
      </c>
      <c r="E140" s="6">
        <f>[1]Production!D36+[1]Production!D38</f>
        <v>2567559.4361999999</v>
      </c>
      <c r="F140" s="6">
        <f>[1]Production!E36+[1]Production!E38</f>
        <v>2597324.1135999998</v>
      </c>
      <c r="G140" s="6">
        <f>[1]Production!F36+[1]Production!F38</f>
        <v>2630632.8848999999</v>
      </c>
      <c r="H140" s="6">
        <f>[1]Production!G36+[1]Production!G38</f>
        <v>2666984.4287</v>
      </c>
      <c r="I140" s="6">
        <f>[1]Production!H36+[1]Production!H38</f>
        <v>2704165.0220999997</v>
      </c>
      <c r="J140" s="6">
        <f>[1]Production!I36+[1]Production!I38</f>
        <v>2742958.5545000001</v>
      </c>
      <c r="K140" s="6">
        <f>[1]Production!J36+[1]Production!J38</f>
        <v>2783207.0810000002</v>
      </c>
      <c r="L140" s="6">
        <f>[1]Production!K36+[1]Production!K38</f>
        <v>2824719.6595999999</v>
      </c>
      <c r="M140" s="6">
        <f>[1]Production!L36+[1]Production!L38</f>
        <v>2870336.4309</v>
      </c>
      <c r="N140" s="6">
        <f>[1]Production!M36+[1]Production!M38</f>
        <v>2914737.8313999996</v>
      </c>
      <c r="O140" s="6">
        <f>[1]Production!N36+[1]Production!N38</f>
        <v>2959598.1581000001</v>
      </c>
      <c r="P140" s="6">
        <f>[1]Production!O36+[1]Production!O38</f>
        <v>3004946.8622000003</v>
      </c>
      <c r="Q140" s="6">
        <f>[1]Production!P36+[1]Production!P38</f>
        <v>3050766.1091</v>
      </c>
      <c r="R140" s="6">
        <f>[1]Production!Q36+[1]Production!Q38</f>
        <v>3097047.0526000001</v>
      </c>
      <c r="S140" s="6">
        <f>[1]Production!R36+[1]Production!R38</f>
        <v>3143638.3493000004</v>
      </c>
      <c r="T140" s="6">
        <f>[1]Production!S36+[1]Production!S38</f>
        <v>3190671.2936999998</v>
      </c>
      <c r="U140" s="6">
        <f>[1]Production!T36+[1]Production!T38</f>
        <v>3238187.2634999999</v>
      </c>
      <c r="V140" s="6">
        <f>[1]Production!U36+[1]Production!U38</f>
        <v>3286221.2943000002</v>
      </c>
      <c r="W140" s="6">
        <f>[1]Production!V36+[1]Production!V38</f>
        <v>3332572.3402</v>
      </c>
      <c r="X140" s="6">
        <f>[1]Production!W36+[1]Production!W38</f>
        <v>3380974.9151999997</v>
      </c>
      <c r="Y140" s="6">
        <f>[1]Production!X36+[1]Production!X38</f>
        <v>3430214.1993</v>
      </c>
      <c r="Z140" s="6">
        <f>[1]Production!Y36+[1]Production!Y38</f>
        <v>3480240.6337000001</v>
      </c>
      <c r="AA140" s="6">
        <f>[1]Production!Z36+[1]Production!Z38</f>
        <v>3531050.2089999998</v>
      </c>
      <c r="AB140" s="6">
        <f>[1]Production!AA36+[1]Production!AA38</f>
        <v>3576210.1033999999</v>
      </c>
      <c r="AC140" s="6">
        <f>[1]Production!AB36+[1]Production!AB38</f>
        <v>3623395.2282000002</v>
      </c>
      <c r="AD140" s="6">
        <f>[1]Production!AC36+[1]Production!AC38</f>
        <v>3670952.4145</v>
      </c>
      <c r="AE140" s="6">
        <f>[1]Production!AD36+[1]Production!AD38</f>
        <v>3718956.21</v>
      </c>
      <c r="AF140" s="6">
        <f>[1]Production!AE36+[1]Production!AE38</f>
        <v>3767518.9797</v>
      </c>
      <c r="AG140" s="6">
        <f>[1]Production!AF36+[1]Production!AF38</f>
        <v>3816738.1826999998</v>
      </c>
      <c r="AH140" s="6">
        <f>[1]Production!AG36+[1]Production!AG38</f>
        <v>3866721.3036000002</v>
      </c>
      <c r="AI140" s="6">
        <f>[1]Production!AH36+[1]Production!AH38</f>
        <v>3917491.4367</v>
      </c>
      <c r="AJ140" s="6">
        <f>[1]Production!AI36+[1]Production!AI38</f>
        <v>3969073.5668000001</v>
      </c>
      <c r="AK140" s="6">
        <f>[1]Production!AJ36+[1]Production!AJ38</f>
        <v>4021480.8124000002</v>
      </c>
      <c r="AL140" s="6">
        <f>[1]Production!AK36+[1]Production!AK38</f>
        <v>4074718.0783000002</v>
      </c>
      <c r="AM140" s="6">
        <f>[1]Production!AL36+[1]Production!AL38</f>
        <v>4127546.9424000001</v>
      </c>
      <c r="AN140" s="6">
        <f>[1]Production!AM36+[1]Production!AM38</f>
        <v>4180745.068</v>
      </c>
      <c r="AO140" s="6">
        <f>[1]Production!AN36+[1]Production!AN38</f>
        <v>4234427.5177999996</v>
      </c>
      <c r="AP140" s="6">
        <f>[1]Production!AO36+[1]Production!AO38</f>
        <v>4288674.9816999994</v>
      </c>
      <c r="AQ140" s="6">
        <f>[1]Production!AP36+[1]Production!AP38</f>
        <v>4343553.7158000004</v>
      </c>
      <c r="AR140" s="6">
        <f>[1]Production!AQ36+[1]Production!AQ38</f>
        <v>4399168.1195</v>
      </c>
      <c r="AS140" s="6">
        <f>[1]Production!AR36+[1]Production!AR38</f>
        <v>4455526.0253999997</v>
      </c>
      <c r="AT140" s="6">
        <f>[1]Production!AS36+[1]Production!AS38</f>
        <v>4512653.6789999995</v>
      </c>
      <c r="AU140" s="6">
        <f>[1]Production!AT36+[1]Production!AT38</f>
        <v>4570570.4950000001</v>
      </c>
      <c r="AV140" s="6">
        <f>[1]Production!AU36+[1]Production!AU38</f>
        <v>4629289.2709999997</v>
      </c>
      <c r="AW140" s="6">
        <f>[1]Production!AV36+[1]Production!AV38</f>
        <v>4689127.4419999998</v>
      </c>
      <c r="AX140" s="6">
        <f>[1]Production!AW36+[1]Production!AW38</f>
        <v>4749881.693</v>
      </c>
      <c r="AY140" s="6">
        <f>[1]Production!AX36+[1]Production!AX38</f>
        <v>4811524.18</v>
      </c>
      <c r="AZ140" s="6">
        <f>[1]Production!AY36+[1]Production!AY38</f>
        <v>4874040.47</v>
      </c>
      <c r="BA140" s="6">
        <f>[1]Production!AZ36+[1]Production!AZ38</f>
        <v>4937421.2889999999</v>
      </c>
      <c r="BB140" s="6">
        <f>[1]Production!BA36+[1]Production!BA38</f>
        <v>5776445.5920000002</v>
      </c>
      <c r="BC140" s="6">
        <f>[1]Production!BB36+[1]Production!BB38</f>
        <v>5873018.5240000002</v>
      </c>
      <c r="BD140" s="6">
        <f>[1]Production!BC36+[1]Production!BC38</f>
        <v>5971154.8660000004</v>
      </c>
      <c r="BE140" s="6">
        <f>[1]Production!BD36+[1]Production!BD38</f>
        <v>6070882.9589999998</v>
      </c>
      <c r="BF140" s="6">
        <f>[1]Production!BE36+[1]Production!BE38</f>
        <v>6172232.9479999999</v>
      </c>
    </row>
    <row r="141" spans="1:58" x14ac:dyDescent="0.35">
      <c r="B141" t="s">
        <v>29</v>
      </c>
      <c r="C141" s="6">
        <f>[1]Production!B42+[1]Production!B46</f>
        <v>34936.403540699997</v>
      </c>
      <c r="D141" s="6">
        <f>[1]Production!C42+[1]Production!C46</f>
        <v>35004.256819399998</v>
      </c>
      <c r="E141" s="6">
        <f>[1]Production!D42+[1]Production!D46</f>
        <v>35116.580788199994</v>
      </c>
      <c r="F141" s="6">
        <f>[1]Production!E42+[1]Production!E46</f>
        <v>35277.254729499997</v>
      </c>
      <c r="G141" s="6">
        <f>[1]Production!F42+[1]Production!F46</f>
        <v>35493.390205199998</v>
      </c>
      <c r="H141" s="6">
        <f>[1]Production!G42+[1]Production!G46</f>
        <v>35761.098327200001</v>
      </c>
      <c r="I141" s="6">
        <f>[1]Production!H42+[1]Production!H46</f>
        <v>36054.513609000001</v>
      </c>
      <c r="J141" s="6">
        <f>[1]Production!I42+[1]Production!I46</f>
        <v>36380.492012200004</v>
      </c>
      <c r="K141" s="6">
        <f>[1]Production!J42+[1]Production!J46</f>
        <v>36733.2502399</v>
      </c>
      <c r="L141" s="6">
        <f>[1]Production!K42+[1]Production!K46</f>
        <v>37107.090504899999</v>
      </c>
      <c r="M141" s="6">
        <f>[1]Production!L42+[1]Production!L46</f>
        <v>37531.041084299999</v>
      </c>
      <c r="N141" s="6">
        <f>[1]Production!M42+[1]Production!M46</f>
        <v>37939.708192600003</v>
      </c>
      <c r="O141" s="6">
        <f>[1]Production!N42+[1]Production!N46</f>
        <v>38354.8659147</v>
      </c>
      <c r="P141" s="6">
        <f>[1]Production!O42+[1]Production!O46</f>
        <v>38776.584323800002</v>
      </c>
      <c r="Q141" s="6">
        <f>[1]Production!P42+[1]Production!P46</f>
        <v>39203.875257600004</v>
      </c>
      <c r="R141" s="6">
        <f>[1]Production!Q42+[1]Production!Q46</f>
        <v>39635.860090499998</v>
      </c>
      <c r="S141" s="6">
        <f>[1]Production!R42+[1]Production!R46</f>
        <v>40067.970929900002</v>
      </c>
      <c r="T141" s="6">
        <f>[1]Production!S42+[1]Production!S46</f>
        <v>40503.403699000002</v>
      </c>
      <c r="U141" s="6">
        <f>[1]Production!T42+[1]Production!T46</f>
        <v>40942.3328798</v>
      </c>
      <c r="V141" s="6">
        <f>[1]Production!U42+[1]Production!U46</f>
        <v>41384.854117700001</v>
      </c>
      <c r="W141" s="6">
        <f>[1]Production!V42+[1]Production!V46</f>
        <v>41806.772375</v>
      </c>
      <c r="X141" s="6">
        <f>[1]Production!W42+[1]Production!W46</f>
        <v>42250.282894099997</v>
      </c>
      <c r="Y141" s="6">
        <f>[1]Production!X42+[1]Production!X46</f>
        <v>42700.388786399999</v>
      </c>
      <c r="Z141" s="6">
        <f>[1]Production!Y42+[1]Production!Y46</f>
        <v>43156.082535900001</v>
      </c>
      <c r="AA141" s="6">
        <f>[1]Production!Z42+[1]Production!Z46</f>
        <v>43617.347987900001</v>
      </c>
      <c r="AB141" s="6">
        <f>[1]Production!AA42+[1]Production!AA46</f>
        <v>44014.947631100003</v>
      </c>
      <c r="AC141" s="6">
        <f>[1]Production!AB42+[1]Production!AB46</f>
        <v>44437.321219099998</v>
      </c>
      <c r="AD141" s="6">
        <f>[1]Production!AC42+[1]Production!AC46</f>
        <v>44863.160368700002</v>
      </c>
      <c r="AE141" s="6">
        <f>[1]Production!AD42+[1]Production!AD46</f>
        <v>45292.017957699994</v>
      </c>
      <c r="AF141" s="6">
        <f>[1]Production!AE42+[1]Production!AE46</f>
        <v>45724.623599400002</v>
      </c>
      <c r="AG141" s="6">
        <f>[1]Production!AF42+[1]Production!AF46</f>
        <v>46161.801497799999</v>
      </c>
      <c r="AH141" s="6">
        <f>[1]Production!AG42+[1]Production!AG46</f>
        <v>46605.143208100002</v>
      </c>
      <c r="AI141" s="6">
        <f>[1]Production!AH42+[1]Production!AH46</f>
        <v>47054.404172299997</v>
      </c>
      <c r="AJ141" s="6">
        <f>[1]Production!AI42+[1]Production!AI46</f>
        <v>47509.896221500007</v>
      </c>
      <c r="AK141" s="6">
        <f>[1]Production!AJ42+[1]Production!AJ46</f>
        <v>47971.849518100003</v>
      </c>
      <c r="AL141" s="6">
        <f>[1]Production!AK42+[1]Production!AK46</f>
        <v>48440.402728200002</v>
      </c>
      <c r="AM141" s="6">
        <f>[1]Production!AL42+[1]Production!AL46</f>
        <v>48907.127851599995</v>
      </c>
      <c r="AN141" s="6">
        <f>[1]Production!AM42+[1]Production!AM46</f>
        <v>49376.876141599998</v>
      </c>
      <c r="AO141" s="6">
        <f>[1]Production!AN42+[1]Production!AN46</f>
        <v>49850.637942099995</v>
      </c>
      <c r="AP141" s="6">
        <f>[1]Production!AO42+[1]Production!AO46</f>
        <v>50328.950317899995</v>
      </c>
      <c r="AQ141" s="6">
        <f>[1]Production!AP42+[1]Production!AP46</f>
        <v>50812.2076237</v>
      </c>
      <c r="AR141" s="6">
        <f>[1]Production!AQ42+[1]Production!AQ46</f>
        <v>51301.984374899999</v>
      </c>
      <c r="AS141" s="6">
        <f>[1]Production!AR42+[1]Production!AR46</f>
        <v>51797.444980599998</v>
      </c>
      <c r="AT141" s="6">
        <f>[1]Production!AS42+[1]Production!AS46</f>
        <v>52298.675101300003</v>
      </c>
      <c r="AU141" s="6">
        <f>[1]Production!AT42+[1]Production!AT46</f>
        <v>52805.757507399998</v>
      </c>
      <c r="AV141" s="6">
        <f>[1]Production!AU42+[1]Production!AU46</f>
        <v>53318.733659600002</v>
      </c>
      <c r="AW141" s="6">
        <f>[1]Production!AV42+[1]Production!AV46</f>
        <v>53843.332951799995</v>
      </c>
      <c r="AX141" s="6">
        <f>[1]Production!AW42+[1]Production!AW46</f>
        <v>54374.855665200004</v>
      </c>
      <c r="AY141" s="6">
        <f>[1]Production!AX42+[1]Production!AX46</f>
        <v>54912.818326199995</v>
      </c>
      <c r="AZ141" s="6">
        <f>[1]Production!AY42+[1]Production!AY46</f>
        <v>55457.017664999999</v>
      </c>
      <c r="BA141" s="6">
        <f>[1]Production!AZ42+[1]Production!AZ46</f>
        <v>56007.298458199999</v>
      </c>
      <c r="BB141" s="6">
        <f>[1]Production!BA42+[1]Production!BA46</f>
        <v>68692.123913799995</v>
      </c>
      <c r="BC141" s="6">
        <f>[1]Production!BB42+[1]Production!BB46</f>
        <v>69691.991126299996</v>
      </c>
      <c r="BD141" s="6">
        <f>[1]Production!BC42+[1]Production!BC46</f>
        <v>70708.185975899993</v>
      </c>
      <c r="BE141" s="6">
        <f>[1]Production!BD42+[1]Production!BD46</f>
        <v>71741.107410299999</v>
      </c>
      <c r="BF141" s="6">
        <f>[1]Production!BE42+[1]Production!BE46</f>
        <v>72791.177043200005</v>
      </c>
    </row>
    <row r="142" spans="1:58" x14ac:dyDescent="0.35">
      <c r="B142" t="s">
        <v>36</v>
      </c>
      <c r="C142" s="6">
        <f>+[1]Production!B44+[1]Production!B48</f>
        <v>4386.5848379999998</v>
      </c>
      <c r="D142" s="6">
        <f>+[1]Production!C44+[1]Production!C48</f>
        <v>4391.4793886999996</v>
      </c>
      <c r="E142" s="6">
        <f>+[1]Production!D44+[1]Production!D48</f>
        <v>4398.4918520000001</v>
      </c>
      <c r="F142" s="6">
        <f>+[1]Production!E44+[1]Production!E48</f>
        <v>4411.8904677</v>
      </c>
      <c r="G142" s="6">
        <f>+[1]Production!F44+[1]Production!F48</f>
        <v>4433.3731207000001</v>
      </c>
      <c r="H142" s="6">
        <f>+[1]Production!G44+[1]Production!G48</f>
        <v>4462.4796282999996</v>
      </c>
      <c r="I142" s="6">
        <f>+[1]Production!H44+[1]Production!H48</f>
        <v>4495.8030734000004</v>
      </c>
      <c r="J142" s="6">
        <f>+[1]Production!I44+[1]Production!I48</f>
        <v>4533.7692747000001</v>
      </c>
      <c r="K142" s="6">
        <f>+[1]Production!J44+[1]Production!J48</f>
        <v>4575.4674961000001</v>
      </c>
      <c r="L142" s="6">
        <f>+[1]Production!K44+[1]Production!K48</f>
        <v>4620.1032911000002</v>
      </c>
      <c r="M142" s="6">
        <f>+[1]Production!L44+[1]Production!L48</f>
        <v>4670.8609421000001</v>
      </c>
      <c r="N142" s="6">
        <f>+[1]Production!M44+[1]Production!M48</f>
        <v>4720.3115754999999</v>
      </c>
      <c r="O142" s="6">
        <f>+[1]Production!N44+[1]Production!N48</f>
        <v>4770.8713870000001</v>
      </c>
      <c r="P142" s="6">
        <f>+[1]Production!O44+[1]Production!O48</f>
        <v>4822.4306469999992</v>
      </c>
      <c r="Q142" s="6">
        <f>+[1]Production!P44+[1]Production!P48</f>
        <v>4874.8114436000005</v>
      </c>
      <c r="R142" s="6">
        <f>+[1]Production!Q44+[1]Production!Q48</f>
        <v>4927.8688842000001</v>
      </c>
      <c r="S142" s="6">
        <f>+[1]Production!R44+[1]Production!R48</f>
        <v>4981.0441518999996</v>
      </c>
      <c r="T142" s="6">
        <f>+[1]Production!S44+[1]Production!S48</f>
        <v>5034.6652871999995</v>
      </c>
      <c r="U142" s="6">
        <f>+[1]Production!T44+[1]Production!T48</f>
        <v>5088.7136246</v>
      </c>
      <c r="V142" s="6">
        <f>+[1]Production!U44+[1]Production!U48</f>
        <v>5143.1714232000004</v>
      </c>
      <c r="W142" s="6">
        <f>+[1]Production!V44+[1]Production!V48</f>
        <v>5195.2742966000005</v>
      </c>
      <c r="X142" s="6">
        <f>+[1]Production!W44+[1]Production!W48</f>
        <v>5249.7473851999994</v>
      </c>
      <c r="Y142" s="6">
        <f>+[1]Production!X44+[1]Production!X48</f>
        <v>5304.8676159000006</v>
      </c>
      <c r="Z142" s="6">
        <f>+[1]Production!Y44+[1]Production!Y48</f>
        <v>5360.5474060000006</v>
      </c>
      <c r="AA142" s="6">
        <f>+[1]Production!Z44+[1]Production!Z48</f>
        <v>5416.7855919000003</v>
      </c>
      <c r="AB142" s="6">
        <f>+[1]Production!AA44+[1]Production!AA48</f>
        <v>5465.7313586999999</v>
      </c>
      <c r="AC142" s="6">
        <f>+[1]Production!AB44+[1]Production!AB48</f>
        <v>5517.3077537999998</v>
      </c>
      <c r="AD142" s="6">
        <f>+[1]Production!AC44+[1]Production!AC48</f>
        <v>5569.0270866999999</v>
      </c>
      <c r="AE142" s="6">
        <f>+[1]Production!AD44+[1]Production!AD48</f>
        <v>5620.8965932000001</v>
      </c>
      <c r="AF142" s="6">
        <f>+[1]Production!AE44+[1]Production!AE48</f>
        <v>5673.0284045999997</v>
      </c>
      <c r="AG142" s="6">
        <f>+[1]Production!AF44+[1]Production!AF48</f>
        <v>5725.5373418999998</v>
      </c>
      <c r="AH142" s="6">
        <f>+[1]Production!AG44+[1]Production!AG48</f>
        <v>5778.6216821999997</v>
      </c>
      <c r="AI142" s="6">
        <f>+[1]Production!AH44+[1]Production!AH48</f>
        <v>5832.2681424000002</v>
      </c>
      <c r="AJ142" s="6">
        <f>+[1]Production!AI44+[1]Production!AI48</f>
        <v>5886.5261322000006</v>
      </c>
      <c r="AK142" s="6">
        <f>+[1]Production!AJ44+[1]Production!AJ48</f>
        <v>5941.4325398999999</v>
      </c>
      <c r="AL142" s="6">
        <f>+[1]Production!AK44+[1]Production!AK48</f>
        <v>5997.0119737000005</v>
      </c>
      <c r="AM142" s="6">
        <f>+[1]Production!AL44+[1]Production!AL48</f>
        <v>6052.3197117</v>
      </c>
      <c r="AN142" s="6">
        <f>+[1]Production!AM44+[1]Production!AM48</f>
        <v>6107.8888625</v>
      </c>
      <c r="AO142" s="6">
        <f>+[1]Production!AN44+[1]Production!AN48</f>
        <v>6163.8233342000003</v>
      </c>
      <c r="AP142" s="6">
        <f>+[1]Production!AO44+[1]Production!AO48</f>
        <v>6220.1883233999997</v>
      </c>
      <c r="AQ142" s="6">
        <f>+[1]Production!AP44+[1]Production!AP48</f>
        <v>6277.0362574000001</v>
      </c>
      <c r="AR142" s="6">
        <f>+[1]Production!AQ44+[1]Production!AQ48</f>
        <v>6334.5538693999997</v>
      </c>
      <c r="AS142" s="6">
        <f>+[1]Production!AR44+[1]Production!AR48</f>
        <v>6392.6528809000001</v>
      </c>
      <c r="AT142" s="6">
        <f>+[1]Production!AS44+[1]Production!AS48</f>
        <v>6451.3503398000003</v>
      </c>
      <c r="AU142" s="6">
        <f>+[1]Production!AT44+[1]Production!AT48</f>
        <v>6510.6595705999998</v>
      </c>
      <c r="AV142" s="6">
        <f>+[1]Production!AU44+[1]Production!AU48</f>
        <v>6570.5868800999997</v>
      </c>
      <c r="AW142" s="6">
        <f>+[1]Production!AV44+[1]Production!AV48</f>
        <v>6631.7818147999997</v>
      </c>
      <c r="AX142" s="6">
        <f>+[1]Production!AW44+[1]Production!AW48</f>
        <v>6693.7100353999995</v>
      </c>
      <c r="AY142" s="6">
        <f>+[1]Production!AX44+[1]Production!AX48</f>
        <v>6756.3233473999999</v>
      </c>
      <c r="AZ142" s="6">
        <f>+[1]Production!AY44+[1]Production!AY48</f>
        <v>6819.5957195999999</v>
      </c>
      <c r="BA142" s="6">
        <f>+[1]Production!AZ44+[1]Production!AZ48</f>
        <v>6883.5036429000002</v>
      </c>
      <c r="BB142" s="6">
        <f>+[1]Production!BA44+[1]Production!BA48</f>
        <v>8422.0498750000006</v>
      </c>
      <c r="BC142" s="6">
        <f>+[1]Production!BB44+[1]Production!BB48</f>
        <v>8540.0032289999999</v>
      </c>
      <c r="BD142" s="6">
        <f>+[1]Production!BC44+[1]Production!BC48</f>
        <v>8659.8261920000004</v>
      </c>
      <c r="BE142" s="6">
        <f>+[1]Production!BD44+[1]Production!BD48</f>
        <v>8781.5734149999989</v>
      </c>
      <c r="BF142" s="6">
        <f>+[1]Production!BE44+[1]Production!BE48</f>
        <v>8905.3025539999999</v>
      </c>
    </row>
    <row r="143" spans="1:58" x14ac:dyDescent="0.35">
      <c r="B143" t="s">
        <v>33</v>
      </c>
      <c r="C143" s="6">
        <f>[1]Production!B50+[1]Production!B52+[1]Production!B54+[1]Production!B56+[1]Production!B58+[1]Production!B60+[1]Production!B62+[1]Production!B64+[1]Production!B66</f>
        <v>66860.128480200001</v>
      </c>
      <c r="D143" s="6">
        <f>[1]Production!C50+[1]Production!C52+[1]Production!C54+[1]Production!C56+[1]Production!C58+[1]Production!C60+[1]Production!C62+[1]Production!C64+[1]Production!C66</f>
        <v>67032.930456700007</v>
      </c>
      <c r="E143" s="6">
        <f>[1]Production!D50+[1]Production!D52+[1]Production!D54+[1]Production!D56+[1]Production!D58+[1]Production!D60+[1]Production!D62+[1]Production!D64+[1]Production!D66</f>
        <v>67265.075848799999</v>
      </c>
      <c r="F143" s="6">
        <f>[1]Production!E50+[1]Production!E52+[1]Production!E54+[1]Production!E56+[1]Production!E58+[1]Production!E60+[1]Production!E62+[1]Production!E64+[1]Production!E66</f>
        <v>67568.285398700013</v>
      </c>
      <c r="G143" s="6">
        <f>[1]Production!F50+[1]Production!F52+[1]Production!F54+[1]Production!F56+[1]Production!F58+[1]Production!F60+[1]Production!F62+[1]Production!F64+[1]Production!F66</f>
        <v>67956.661862500012</v>
      </c>
      <c r="H143" s="6">
        <f>[1]Production!G50+[1]Production!G52+[1]Production!G54+[1]Production!G56+[1]Production!G58+[1]Production!G60+[1]Production!G62+[1]Production!G64+[1]Production!G66</f>
        <v>68424.581901900005</v>
      </c>
      <c r="I143" s="6">
        <f>[1]Production!H50+[1]Production!H52+[1]Production!H54+[1]Production!H56+[1]Production!H58+[1]Production!H60+[1]Production!H62+[1]Production!H64+[1]Production!H66</f>
        <v>68937.0882594</v>
      </c>
      <c r="J143" s="6">
        <f>[1]Production!I50+[1]Production!I52+[1]Production!I54+[1]Production!I56+[1]Production!I58+[1]Production!I60+[1]Production!I62+[1]Production!I64+[1]Production!I66</f>
        <v>69497.551446200014</v>
      </c>
      <c r="K143" s="6">
        <f>[1]Production!J50+[1]Production!J52+[1]Production!J54+[1]Production!J56+[1]Production!J58+[1]Production!J60+[1]Production!J62+[1]Production!J64+[1]Production!J66</f>
        <v>70096.11072869999</v>
      </c>
      <c r="L143" s="6">
        <f>[1]Production!K50+[1]Production!K52+[1]Production!K54+[1]Production!K56+[1]Production!K58+[1]Production!K60+[1]Production!K62+[1]Production!K64+[1]Production!K66</f>
        <v>70721.59520750001</v>
      </c>
      <c r="M143" s="6">
        <f>[1]Production!L50+[1]Production!L52+[1]Production!L54+[1]Production!L56+[1]Production!L58+[1]Production!L60+[1]Production!L62+[1]Production!L64+[1]Production!L66</f>
        <v>71424.815982500004</v>
      </c>
      <c r="N143" s="6">
        <f>[1]Production!M50+[1]Production!M52+[1]Production!M54+[1]Production!M56+[1]Production!M58+[1]Production!M60+[1]Production!M62+[1]Production!M64+[1]Production!M66</f>
        <v>72097.429202400017</v>
      </c>
      <c r="O143" s="6">
        <f>[1]Production!N50+[1]Production!N52+[1]Production!N54+[1]Production!N56+[1]Production!N58+[1]Production!N60+[1]Production!N62+[1]Production!N64+[1]Production!N66</f>
        <v>72763.189868500005</v>
      </c>
      <c r="P143" s="6">
        <f>[1]Production!O50+[1]Production!O52+[1]Production!O54+[1]Production!O56+[1]Production!O58+[1]Production!O60+[1]Production!O62+[1]Production!O64+[1]Production!O66</f>
        <v>73425.211764300009</v>
      </c>
      <c r="Q143" s="6">
        <f>[1]Production!P50+[1]Production!P52+[1]Production!P54+[1]Production!P56+[1]Production!P58+[1]Production!P60+[1]Production!P62+[1]Production!P64+[1]Production!P66</f>
        <v>74083.680617300008</v>
      </c>
      <c r="R143" s="6">
        <f>[1]Production!Q50+[1]Production!Q52+[1]Production!Q54+[1]Production!Q56+[1]Production!Q58+[1]Production!Q60+[1]Production!Q62+[1]Production!Q64+[1]Production!Q66</f>
        <v>74738.545017299984</v>
      </c>
      <c r="S143" s="6">
        <f>[1]Production!R50+[1]Production!R52+[1]Production!R54+[1]Production!R56+[1]Production!R58+[1]Production!R60+[1]Production!R62+[1]Production!R64+[1]Production!R66</f>
        <v>75385.710116400005</v>
      </c>
      <c r="T143" s="6">
        <f>[1]Production!S50+[1]Production!S52+[1]Production!S54+[1]Production!S56+[1]Production!S58+[1]Production!S60+[1]Production!S62+[1]Production!S64+[1]Production!S66</f>
        <v>76029.18580810001</v>
      </c>
      <c r="U143" s="6">
        <f>[1]Production!T50+[1]Production!T52+[1]Production!T54+[1]Production!T56+[1]Production!T58+[1]Production!T60+[1]Production!T62+[1]Production!T64+[1]Production!T66</f>
        <v>76670.684539900016</v>
      </c>
      <c r="V143" s="6">
        <f>[1]Production!U50+[1]Production!U52+[1]Production!U54+[1]Production!U56+[1]Production!U58+[1]Production!U60+[1]Production!U62+[1]Production!U64+[1]Production!U66</f>
        <v>77311.833112000008</v>
      </c>
      <c r="W143" s="6">
        <f>[1]Production!V50+[1]Production!V52+[1]Production!V54+[1]Production!V56+[1]Production!V58+[1]Production!V60+[1]Production!V62+[1]Production!V64+[1]Production!V66</f>
        <v>77910.804306700011</v>
      </c>
      <c r="X143" s="6">
        <f>[1]Production!W50+[1]Production!W52+[1]Production!W54+[1]Production!W56+[1]Production!W58+[1]Production!W60+[1]Production!W62+[1]Production!W64+[1]Production!W66</f>
        <v>78539.278750099998</v>
      </c>
      <c r="Y143" s="6">
        <f>[1]Production!X50+[1]Production!X52+[1]Production!X54+[1]Production!X56+[1]Production!X58+[1]Production!X60+[1]Production!X62+[1]Production!X64+[1]Production!X66</f>
        <v>79180.544775799994</v>
      </c>
      <c r="Z143" s="6">
        <f>[1]Production!Y50+[1]Production!Y52+[1]Production!Y54+[1]Production!Y56+[1]Production!Y58+[1]Production!Y60+[1]Production!Y62+[1]Production!Y64+[1]Production!Y66</f>
        <v>79832.187884599989</v>
      </c>
      <c r="AA143" s="6">
        <f>[1]Production!Z50+[1]Production!Z52+[1]Production!Z54+[1]Production!Z56+[1]Production!Z58+[1]Production!Z60+[1]Production!Z62+[1]Production!Z64+[1]Production!Z66</f>
        <v>80494.4040389</v>
      </c>
      <c r="AB143" s="6">
        <f>[1]Production!AA50+[1]Production!AA52+[1]Production!AA54+[1]Production!AA56+[1]Production!AA58+[1]Production!AA60+[1]Production!AA62+[1]Production!AA64+[1]Production!AA66</f>
        <v>81044.766110599987</v>
      </c>
      <c r="AC143" s="6">
        <f>[1]Production!AB50+[1]Production!AB52+[1]Production!AB54+[1]Production!AB56+[1]Production!AB58+[1]Production!AB60+[1]Production!AB62+[1]Production!AB64+[1]Production!AB66</f>
        <v>81625.379539000001</v>
      </c>
      <c r="AD143" s="6">
        <f>[1]Production!AC50+[1]Production!AC52+[1]Production!AC54+[1]Production!AC56+[1]Production!AC58+[1]Production!AC60+[1]Production!AC62+[1]Production!AC64+[1]Production!AC66</f>
        <v>82218.110825099997</v>
      </c>
      <c r="AE143" s="6">
        <f>[1]Production!AD50+[1]Production!AD52+[1]Production!AD54+[1]Production!AD56+[1]Production!AD58+[1]Production!AD60+[1]Production!AD62+[1]Production!AD64+[1]Production!AD66</f>
        <v>82822.227832199991</v>
      </c>
      <c r="AF143" s="6">
        <f>[1]Production!AE50+[1]Production!AE52+[1]Production!AE54+[1]Production!AE56+[1]Production!AE58+[1]Production!AE60+[1]Production!AE62+[1]Production!AE64+[1]Production!AE66</f>
        <v>83439.236701000002</v>
      </c>
      <c r="AG143" s="6">
        <f>[1]Production!AF50+[1]Production!AF52+[1]Production!AF54+[1]Production!AF56+[1]Production!AF58+[1]Production!AF60+[1]Production!AF62+[1]Production!AF64+[1]Production!AF66</f>
        <v>84070.800896999994</v>
      </c>
      <c r="AH143" s="6">
        <f>[1]Production!AG50+[1]Production!AG52+[1]Production!AG54+[1]Production!AG56+[1]Production!AG58+[1]Production!AG60+[1]Production!AG62+[1]Production!AG64+[1]Production!AG66</f>
        <v>84719.286718700008</v>
      </c>
      <c r="AI143" s="6">
        <f>[1]Production!AH50+[1]Production!AH52+[1]Production!AH54+[1]Production!AH56+[1]Production!AH58+[1]Production!AH60+[1]Production!AH62+[1]Production!AH64+[1]Production!AH66</f>
        <v>85384.97754230001</v>
      </c>
      <c r="AJ143" s="6">
        <f>[1]Production!AI50+[1]Production!AI52+[1]Production!AI54+[1]Production!AI56+[1]Production!AI58+[1]Production!AI60+[1]Production!AI62+[1]Production!AI64+[1]Production!AI66</f>
        <v>86068.373849700001</v>
      </c>
      <c r="AK143" s="6">
        <f>[1]Production!AJ50+[1]Production!AJ52+[1]Production!AJ54+[1]Production!AJ56+[1]Production!AJ58+[1]Production!AJ60+[1]Production!AJ62+[1]Production!AJ64+[1]Production!AJ66</f>
        <v>86769.738889100016</v>
      </c>
      <c r="AL143" s="6">
        <f>[1]Production!AK50+[1]Production!AK52+[1]Production!AK54+[1]Production!AK56+[1]Production!AK58+[1]Production!AK60+[1]Production!AK62+[1]Production!AK64+[1]Production!AK66</f>
        <v>87489.092307400002</v>
      </c>
      <c r="AM143" s="6">
        <f>[1]Production!AL50+[1]Production!AL52+[1]Production!AL54+[1]Production!AL56+[1]Production!AL58+[1]Production!AL60+[1]Production!AL62+[1]Production!AL64+[1]Production!AL66</f>
        <v>88206.163518899994</v>
      </c>
      <c r="AN143" s="6">
        <f>[1]Production!AM50+[1]Production!AM52+[1]Production!AM54+[1]Production!AM56+[1]Production!AM58+[1]Production!AM60+[1]Production!AM62+[1]Production!AM64+[1]Production!AM66</f>
        <v>88931.303912499992</v>
      </c>
      <c r="AO143" s="6">
        <f>[1]Production!AN50+[1]Production!AN52+[1]Production!AN54+[1]Production!AN56+[1]Production!AN58+[1]Production!AN60+[1]Production!AN62+[1]Production!AN64+[1]Production!AN66</f>
        <v>89667.994282999993</v>
      </c>
      <c r="AP143" s="6">
        <f>[1]Production!AO50+[1]Production!AO52+[1]Production!AO54+[1]Production!AO56+[1]Production!AO58+[1]Production!AO60+[1]Production!AO62+[1]Production!AO64+[1]Production!AO66</f>
        <v>90417.783530099987</v>
      </c>
      <c r="AQ143" s="6">
        <f>[1]Production!AP50+[1]Production!AP52+[1]Production!AP54+[1]Production!AP56+[1]Production!AP58+[1]Production!AP60+[1]Production!AP62+[1]Production!AP64+[1]Production!AP66</f>
        <v>91181.5124698</v>
      </c>
      <c r="AR143" s="6">
        <f>[1]Production!AQ50+[1]Production!AQ52+[1]Production!AQ54+[1]Production!AQ56+[1]Production!AQ58+[1]Production!AQ60+[1]Production!AQ62+[1]Production!AQ64+[1]Production!AQ66</f>
        <v>91961.083979900039</v>
      </c>
      <c r="AS143" s="6">
        <f>[1]Production!AR50+[1]Production!AR52+[1]Production!AR54+[1]Production!AR56+[1]Production!AR58+[1]Production!AR60+[1]Production!AR62+[1]Production!AR64+[1]Production!AR66</f>
        <v>92755.841427300009</v>
      </c>
      <c r="AT143" s="6">
        <f>[1]Production!AS50+[1]Production!AS52+[1]Production!AS54+[1]Production!AS56+[1]Production!AS58+[1]Production!AS60+[1]Production!AS62+[1]Production!AS64+[1]Production!AS66</f>
        <v>93565.843406100001</v>
      </c>
      <c r="AU143" s="6">
        <f>[1]Production!AT50+[1]Production!AT52+[1]Production!AT54+[1]Production!AT56+[1]Production!AT58+[1]Production!AT60+[1]Production!AT62+[1]Production!AT64+[1]Production!AT66</f>
        <v>94391.114930099997</v>
      </c>
      <c r="AV143" s="6">
        <f>[1]Production!AU50+[1]Production!AU52+[1]Production!AU54+[1]Production!AU56+[1]Production!AU58+[1]Production!AU60+[1]Production!AU62+[1]Production!AU64+[1]Production!AU66</f>
        <v>95231.670826499991</v>
      </c>
      <c r="AW143" s="6">
        <f>[1]Production!AV50+[1]Production!AV52+[1]Production!AV54+[1]Production!AV56+[1]Production!AV58+[1]Production!AV60+[1]Production!AV62+[1]Production!AV64+[1]Production!AV66</f>
        <v>96094.711827299994</v>
      </c>
      <c r="AX143" s="6">
        <f>[1]Production!AW50+[1]Production!AW52+[1]Production!AW54+[1]Production!AW56+[1]Production!AW58+[1]Production!AW60+[1]Production!AW62+[1]Production!AW64+[1]Production!AW66</f>
        <v>96975.328726200009</v>
      </c>
      <c r="AY143" s="6">
        <f>[1]Production!AX50+[1]Production!AX52+[1]Production!AX54+[1]Production!AX56+[1]Production!AX58+[1]Production!AX60+[1]Production!AX62+[1]Production!AX64+[1]Production!AX66</f>
        <v>97872.466187599988</v>
      </c>
      <c r="AZ143" s="6">
        <f>[1]Production!AY50+[1]Production!AY52+[1]Production!AY54+[1]Production!AY56+[1]Production!AY58+[1]Production!AY60+[1]Production!AY62+[1]Production!AY64+[1]Production!AY66</f>
        <v>98785.702068400002</v>
      </c>
      <c r="BA143" s="6">
        <f>[1]Production!AZ50+[1]Production!AZ52+[1]Production!AZ54+[1]Production!AZ56+[1]Production!AZ58+[1]Production!AZ60+[1]Production!AZ62+[1]Production!AZ64+[1]Production!AZ66</f>
        <v>99714.833752100007</v>
      </c>
      <c r="BB143" s="6">
        <f>[1]Production!BA50+[1]Production!BA52+[1]Production!BA54+[1]Production!BA56+[1]Production!BA58+[1]Production!BA60+[1]Production!BA62+[1]Production!BA64+[1]Production!BA66</f>
        <v>109335.0533368</v>
      </c>
      <c r="BC143" s="6">
        <f>[1]Production!BB50+[1]Production!BB52+[1]Production!BB54+[1]Production!BB56+[1]Production!BB58+[1]Production!BB60+[1]Production!BB62+[1]Production!BB64+[1]Production!BB66</f>
        <v>110686.17812879999</v>
      </c>
      <c r="BD143" s="6">
        <f>[1]Production!BC50+[1]Production!BC52+[1]Production!BC54+[1]Production!BC56+[1]Production!BC58+[1]Production!BC60+[1]Production!BC62+[1]Production!BC64+[1]Production!BC66</f>
        <v>112062.22437210001</v>
      </c>
      <c r="BE143" s="6">
        <f>[1]Production!BD50+[1]Production!BD52+[1]Production!BD54+[1]Production!BD56+[1]Production!BD58+[1]Production!BD60+[1]Production!BD62+[1]Production!BD64+[1]Production!BD66</f>
        <v>113463.31569790001</v>
      </c>
      <c r="BF143" s="6">
        <f>[1]Production!BE50+[1]Production!BE52+[1]Production!BE54+[1]Production!BE56+[1]Production!BE58+[1]Production!BE60+[1]Production!BE62+[1]Production!BE64+[1]Production!BE66</f>
        <v>114889.6136365</v>
      </c>
    </row>
    <row r="145" spans="1:5" x14ac:dyDescent="0.35">
      <c r="A145" s="12" t="s">
        <v>83</v>
      </c>
      <c r="B145" t="s">
        <v>14</v>
      </c>
      <c r="C145" s="7" t="s">
        <v>15</v>
      </c>
      <c r="D145" s="7" t="s">
        <v>16</v>
      </c>
      <c r="E145" s="7" t="s">
        <v>17</v>
      </c>
    </row>
    <row r="146" spans="1:5" x14ac:dyDescent="0.35">
      <c r="A146" t="s">
        <v>80</v>
      </c>
      <c r="B146" t="s">
        <v>40</v>
      </c>
      <c r="C146" s="4">
        <f t="shared" ref="C146:C153" si="65">(R136-R125)/R125</f>
        <v>-4.5996999453419132E-2</v>
      </c>
      <c r="D146" s="4">
        <f t="shared" ref="D146:D153" si="66">(S135-S124)/S124</f>
        <v>0</v>
      </c>
      <c r="E146" s="4">
        <f t="shared" ref="E146:E153" si="67">(AL136-AL125)/AL125</f>
        <v>-6.561350342403012E-2</v>
      </c>
    </row>
    <row r="147" spans="1:5" x14ac:dyDescent="0.35">
      <c r="B147" t="s">
        <v>7</v>
      </c>
      <c r="C147" s="4">
        <f t="shared" si="65"/>
        <v>-5.2003392492795106E-2</v>
      </c>
      <c r="D147" s="4">
        <f t="shared" si="66"/>
        <v>-4.7028411871171266E-2</v>
      </c>
      <c r="E147" s="4">
        <f t="shared" si="67"/>
        <v>-7.0984886815737738E-2</v>
      </c>
    </row>
    <row r="148" spans="1:5" x14ac:dyDescent="0.35">
      <c r="B148" t="s">
        <v>30</v>
      </c>
      <c r="C148" s="4">
        <f t="shared" si="65"/>
        <v>-6.154217836634112E-2</v>
      </c>
      <c r="D148" s="4">
        <f t="shared" si="66"/>
        <v>-5.2817360220855723E-2</v>
      </c>
      <c r="E148" s="4">
        <f t="shared" si="67"/>
        <v>-9.3679052952431022E-2</v>
      </c>
    </row>
    <row r="149" spans="1:5" x14ac:dyDescent="0.35">
      <c r="B149" t="s">
        <v>9</v>
      </c>
      <c r="C149" s="4">
        <f t="shared" si="65"/>
        <v>-5.0718007984782376E-2</v>
      </c>
      <c r="D149" s="4">
        <f t="shared" si="66"/>
        <v>-6.3424161187950912E-2</v>
      </c>
      <c r="E149" s="4">
        <f t="shared" si="67"/>
        <v>-7.5679988006818383E-2</v>
      </c>
    </row>
    <row r="150" spans="1:5" x14ac:dyDescent="0.35">
      <c r="B150" t="s">
        <v>10</v>
      </c>
      <c r="C150" s="4">
        <f t="shared" si="65"/>
        <v>-3.9794240031694378E-2</v>
      </c>
      <c r="D150" s="4">
        <f t="shared" si="66"/>
        <v>-5.1862800786066698E-2</v>
      </c>
      <c r="E150" s="4">
        <f t="shared" si="67"/>
        <v>-5.4149021383144681E-2</v>
      </c>
    </row>
    <row r="151" spans="1:5" x14ac:dyDescent="0.35">
      <c r="B151" t="s">
        <v>29</v>
      </c>
      <c r="C151" s="4">
        <f t="shared" si="65"/>
        <v>-6.296847535434473E-2</v>
      </c>
      <c r="D151" s="4">
        <f t="shared" si="66"/>
        <v>-4.0506668029948463E-2</v>
      </c>
      <c r="E151" s="4">
        <f t="shared" si="67"/>
        <v>-9.3837908563502978E-2</v>
      </c>
    </row>
    <row r="152" spans="1:5" x14ac:dyDescent="0.35">
      <c r="B152" t="s">
        <v>36</v>
      </c>
      <c r="C152" s="4">
        <f t="shared" si="65"/>
        <v>-6.1391828150982944E-2</v>
      </c>
      <c r="D152" s="4">
        <f t="shared" si="66"/>
        <v>-6.4563953223173681E-2</v>
      </c>
      <c r="E152" s="4">
        <f t="shared" si="67"/>
        <v>-9.0655452015677443E-2</v>
      </c>
    </row>
    <row r="153" spans="1:5" x14ac:dyDescent="0.35">
      <c r="B153" t="s">
        <v>33</v>
      </c>
      <c r="C153" s="4">
        <f t="shared" si="65"/>
        <v>-2.7620299926504815E-2</v>
      </c>
      <c r="D153" s="4">
        <f t="shared" si="66"/>
        <v>-6.2937871127846712E-2</v>
      </c>
      <c r="E153" s="4">
        <f t="shared" si="67"/>
        <v>-4.2894480399562854E-2</v>
      </c>
    </row>
    <row r="154" spans="1:5" x14ac:dyDescent="0.35">
      <c r="C154" s="5"/>
      <c r="D154" s="5"/>
      <c r="E154" s="5"/>
    </row>
    <row r="155" spans="1:5" x14ac:dyDescent="0.35">
      <c r="A155" s="12" t="s">
        <v>83</v>
      </c>
      <c r="B155" t="s">
        <v>14</v>
      </c>
      <c r="C155" s="7" t="s">
        <v>15</v>
      </c>
      <c r="D155" s="7" t="s">
        <v>16</v>
      </c>
      <c r="E155" s="7" t="s">
        <v>17</v>
      </c>
    </row>
    <row r="156" spans="1:5" x14ac:dyDescent="0.35">
      <c r="A156" t="s">
        <v>84</v>
      </c>
      <c r="B156" t="s">
        <v>7</v>
      </c>
      <c r="C156" s="4">
        <f>R137/R126-1</f>
        <v>-5.2003392492795064E-2</v>
      </c>
      <c r="D156" s="4">
        <f>AB137/AB126-1</f>
        <v>-6.1242223098923909E-2</v>
      </c>
      <c r="E156" s="4">
        <f>AL137/AL126-1</f>
        <v>-7.098488681573778E-2</v>
      </c>
    </row>
    <row r="157" spans="1:5" x14ac:dyDescent="0.35">
      <c r="B157" t="s">
        <v>8</v>
      </c>
      <c r="C157" s="4">
        <f>R138/R127-1</f>
        <v>-6.1542178366341127E-2</v>
      </c>
      <c r="D157" s="4">
        <f>AB138/AB127-1</f>
        <v>-7.9848032864483609E-2</v>
      </c>
      <c r="E157" s="4">
        <f>AL138/AL127-1</f>
        <v>-9.3679052952431063E-2</v>
      </c>
    </row>
    <row r="158" spans="1:5" x14ac:dyDescent="0.35">
      <c r="B158" t="s">
        <v>9</v>
      </c>
      <c r="C158" s="4">
        <f>R139/R128-1</f>
        <v>-5.0718007984782321E-2</v>
      </c>
      <c r="D158" s="4">
        <f>AB139/AB128-1</f>
        <v>-6.3375113371336611E-2</v>
      </c>
      <c r="E158" s="4">
        <f>AL139/AL128-1</f>
        <v>-7.5679988006818411E-2</v>
      </c>
    </row>
    <row r="159" spans="1:5" x14ac:dyDescent="0.35">
      <c r="B159" t="s">
        <v>10</v>
      </c>
      <c r="C159" s="4">
        <f>R140/R129-1</f>
        <v>-3.9794240031694406E-2</v>
      </c>
      <c r="D159" s="4">
        <f>AB140/AB129-1</f>
        <v>-4.7242847097475393E-2</v>
      </c>
      <c r="E159" s="4">
        <f>AL140/AL129-1</f>
        <v>-5.4149021383144702E-2</v>
      </c>
    </row>
    <row r="160" spans="1:5" x14ac:dyDescent="0.35">
      <c r="B160" t="s">
        <v>12</v>
      </c>
      <c r="C160" s="4">
        <f>R141/R130-1</f>
        <v>-6.2968475354344688E-2</v>
      </c>
      <c r="D160" s="4">
        <f>AB141/AB130-1</f>
        <v>-7.891244094499883E-2</v>
      </c>
      <c r="E160" s="4">
        <f>AL141/AL130-1</f>
        <v>-9.3837908563502936E-2</v>
      </c>
    </row>
    <row r="161" spans="1:58" x14ac:dyDescent="0.35">
      <c r="B161" t="s">
        <v>11</v>
      </c>
      <c r="C161" s="4">
        <f>R143/R132-1</f>
        <v>-2.7620299926504832E-2</v>
      </c>
      <c r="D161" s="4">
        <f>AB143/AB132-1</f>
        <v>-3.4113756201324619E-2</v>
      </c>
      <c r="E161" s="4">
        <f>AL143/AL132-1</f>
        <v>-4.2894480399562895E-2</v>
      </c>
    </row>
    <row r="162" spans="1:58" x14ac:dyDescent="0.35">
      <c r="C162" s="4"/>
      <c r="D162" s="4"/>
      <c r="E162" s="4"/>
    </row>
    <row r="163" spans="1:58" x14ac:dyDescent="0.35">
      <c r="A163" s="12" t="s">
        <v>41</v>
      </c>
      <c r="C163" s="4"/>
      <c r="D163" s="4"/>
      <c r="E163" s="4"/>
    </row>
    <row r="164" spans="1:58" x14ac:dyDescent="0.35">
      <c r="A164" t="s">
        <v>38</v>
      </c>
      <c r="B164" t="s">
        <v>40</v>
      </c>
      <c r="C164" s="6">
        <f>[1]Capital!B3</f>
        <v>5224351.5990000004</v>
      </c>
      <c r="D164" s="6">
        <f>[1]Capital!C3</f>
        <v>5285939.1900000004</v>
      </c>
      <c r="E164" s="6">
        <f>[1]Capital!D3</f>
        <v>5349468.2709999997</v>
      </c>
      <c r="F164" s="6">
        <f>[1]Capital!E3</f>
        <v>5415267.1310000001</v>
      </c>
      <c r="G164" s="6">
        <f>[1]Capital!F3</f>
        <v>5483570.4570000004</v>
      </c>
      <c r="H164" s="6">
        <f>[1]Capital!G3</f>
        <v>5554548.6679999996</v>
      </c>
      <c r="I164" s="6">
        <f>[1]Capital!H3</f>
        <v>5628132.9579999996</v>
      </c>
      <c r="J164" s="6">
        <f>[1]Capital!I3</f>
        <v>5704292.9780000001</v>
      </c>
      <c r="K164" s="6">
        <f>[1]Capital!J3</f>
        <v>5783028.0690000001</v>
      </c>
      <c r="L164" s="6">
        <f>[1]Capital!K3</f>
        <v>5864354.1339999996</v>
      </c>
      <c r="M164" s="6">
        <f>[1]Capital!L3</f>
        <v>5948646.04</v>
      </c>
      <c r="N164" s="6">
        <f>[1]Capital!M3</f>
        <v>6035819.6490000002</v>
      </c>
      <c r="O164" s="6">
        <f>[1]Capital!N3</f>
        <v>6125820.8250000002</v>
      </c>
      <c r="P164" s="6">
        <f>[1]Capital!O3</f>
        <v>6218620.2949999999</v>
      </c>
      <c r="Q164" s="6">
        <f>[1]Capital!P3</f>
        <v>6314200.1509999996</v>
      </c>
      <c r="R164" s="6">
        <f>[1]Capital!Q3</f>
        <v>6412547.8669999996</v>
      </c>
      <c r="S164" s="6">
        <f>[1]Capital!R3</f>
        <v>6513654.2609999999</v>
      </c>
      <c r="T164" s="6">
        <f>[1]Capital!S3</f>
        <v>6617512.8949999996</v>
      </c>
      <c r="U164" s="6">
        <f>[1]Capital!T3</f>
        <v>6724119.6919999998</v>
      </c>
      <c r="V164" s="6">
        <f>[1]Capital!U3</f>
        <v>6833472.3949999996</v>
      </c>
      <c r="W164" s="6">
        <f>[1]Capital!V3</f>
        <v>6945305.1560000004</v>
      </c>
      <c r="X164" s="6">
        <f>[1]Capital!W3</f>
        <v>7059698.8569999998</v>
      </c>
      <c r="Y164" s="6">
        <f>[1]Capital!X3</f>
        <v>7176711.4029999999</v>
      </c>
      <c r="Z164" s="6">
        <f>[1]Capital!Y3</f>
        <v>7296379.2070000004</v>
      </c>
      <c r="AA164" s="6">
        <f>[1]Capital!Z3</f>
        <v>7418725.773</v>
      </c>
      <c r="AB164" s="6">
        <f>[1]Capital!AA3</f>
        <v>7542993.5420000004</v>
      </c>
      <c r="AC164" s="6">
        <f>[1]Capital!AB3</f>
        <v>7669058.5219999999</v>
      </c>
      <c r="AD164" s="6">
        <f>[1]Capital!AC3</f>
        <v>7796832.5369999995</v>
      </c>
      <c r="AE164" s="6">
        <f>[1]Capital!AD3</f>
        <v>7926240.9440000001</v>
      </c>
      <c r="AF164" s="6">
        <f>[1]Capital!AE3</f>
        <v>8057223.2769999998</v>
      </c>
      <c r="AG164" s="6">
        <f>[1]Capital!AF3</f>
        <v>8189731.7740000002</v>
      </c>
      <c r="AH164" s="6">
        <f>[1]Capital!AG3</f>
        <v>8323728.102</v>
      </c>
      <c r="AI164" s="6">
        <f>[1]Capital!AH3</f>
        <v>8459179.6539999992</v>
      </c>
      <c r="AJ164" s="6">
        <f>[1]Capital!AI3</f>
        <v>8596056.3389999997</v>
      </c>
      <c r="AK164" s="6">
        <f>[1]Capital!AJ3</f>
        <v>8734328.2559999991</v>
      </c>
      <c r="AL164" s="6">
        <f>[1]Capital!AK3</f>
        <v>8873964.3579999991</v>
      </c>
      <c r="AM164" s="6">
        <f>[1]Capital!AL3</f>
        <v>9014742.1789999995</v>
      </c>
      <c r="AN164" s="6">
        <f>[1]Capital!AM3</f>
        <v>9156493.5219999999</v>
      </c>
      <c r="AO164" s="6">
        <f>[1]Capital!AN3</f>
        <v>9299090.307</v>
      </c>
      <c r="AP164" s="6">
        <f>[1]Capital!AO3</f>
        <v>9442431.8100000005</v>
      </c>
      <c r="AQ164" s="6">
        <f>[1]Capital!AP3</f>
        <v>9586438.2219999991</v>
      </c>
      <c r="AR164" s="6">
        <f>[1]Capital!AQ3</f>
        <v>9731047.0299999993</v>
      </c>
      <c r="AS164" s="6">
        <f>[1]Capital!AR3</f>
        <v>9876210.398</v>
      </c>
      <c r="AT164" s="6">
        <f>[1]Capital!AS3</f>
        <v>10021892.93</v>
      </c>
      <c r="AU164" s="6">
        <f>[1]Capital!AT3</f>
        <v>10168069.75</v>
      </c>
      <c r="AV164" s="6">
        <f>[1]Capital!AU3</f>
        <v>10314724.859999999</v>
      </c>
      <c r="AW164" s="6">
        <f>[1]Capital!AV3</f>
        <v>10461867.300000001</v>
      </c>
      <c r="AX164" s="6">
        <f>[1]Capital!AW3</f>
        <v>10609507.949999999</v>
      </c>
      <c r="AY164" s="6">
        <f>[1]Capital!AX3</f>
        <v>10757660.439999999</v>
      </c>
      <c r="AZ164" s="6">
        <f>[1]Capital!AY3</f>
        <v>10906341.779999999</v>
      </c>
      <c r="BA164" s="6">
        <f>[1]Capital!AZ3</f>
        <v>11055572.85</v>
      </c>
      <c r="BB164" s="6">
        <f>[1]Capital!BA3</f>
        <v>12048683.140000001</v>
      </c>
      <c r="BC164" s="6">
        <f>[1]Capital!BB3</f>
        <v>12276883.67</v>
      </c>
      <c r="BD164" s="6">
        <f>[1]Capital!BC3</f>
        <v>12508283.220000001</v>
      </c>
      <c r="BE164" s="6">
        <f>[1]Capital!BD3</f>
        <v>12742824.369999999</v>
      </c>
      <c r="BF164" s="6">
        <f>[1]Capital!BE3</f>
        <v>12980451.76</v>
      </c>
    </row>
    <row r="165" spans="1:58" x14ac:dyDescent="0.35">
      <c r="B165" t="s">
        <v>7</v>
      </c>
      <c r="C165" s="5">
        <f>[1]Capital!B5+[1]Capital!B7</f>
        <v>49062.141071999999</v>
      </c>
      <c r="D165" s="5">
        <f>[1]Capital!C5+[1]Capital!C7</f>
        <v>49625.23184</v>
      </c>
      <c r="E165" s="5">
        <f>[1]Capital!D5+[1]Capital!D7</f>
        <v>50187.860066999994</v>
      </c>
      <c r="F165" s="5">
        <f>[1]Capital!E5+[1]Capital!E7</f>
        <v>50755.068525000002</v>
      </c>
      <c r="G165" s="5">
        <f>[1]Capital!F5+[1]Capital!F7</f>
        <v>51332.564120999996</v>
      </c>
      <c r="H165" s="5">
        <f>[1]Capital!G5+[1]Capital!G7</f>
        <v>51925.404205999999</v>
      </c>
      <c r="I165" s="5">
        <f>[1]Capital!H5+[1]Capital!H7</f>
        <v>52535.760392999997</v>
      </c>
      <c r="J165" s="5">
        <f>[1]Capital!I5+[1]Capital!I7</f>
        <v>53165.369107999999</v>
      </c>
      <c r="K165" s="5">
        <f>[1]Capital!J5+[1]Capital!J7</f>
        <v>53815.596505000001</v>
      </c>
      <c r="L165" s="5">
        <f>[1]Capital!K5+[1]Capital!K7</f>
        <v>54487.458895000003</v>
      </c>
      <c r="M165" s="5">
        <f>[1]Capital!L5+[1]Capital!L7</f>
        <v>55184.980907999998</v>
      </c>
      <c r="N165" s="5">
        <f>[1]Capital!M5+[1]Capital!M7</f>
        <v>55907.693439000002</v>
      </c>
      <c r="O165" s="5">
        <f>[1]Capital!N5+[1]Capital!N7</f>
        <v>56655.058233999996</v>
      </c>
      <c r="P165" s="5">
        <f>[1]Capital!O5+[1]Capital!O7</f>
        <v>57426.583830999996</v>
      </c>
      <c r="Q165" s="5">
        <f>[1]Capital!P5+[1]Capital!P7</f>
        <v>58221.778233000005</v>
      </c>
      <c r="R165" s="5">
        <f>[1]Capital!Q5+[1]Capital!Q7</f>
        <v>59040.146432000001</v>
      </c>
      <c r="S165" s="5">
        <f>[1]Capital!R5+[1]Capital!R7</f>
        <v>59881.209532000001</v>
      </c>
      <c r="T165" s="5">
        <f>[1]Capital!S5+[1]Capital!S7</f>
        <v>60744.524261999999</v>
      </c>
      <c r="U165" s="5">
        <f>[1]Capital!T5+[1]Capital!T7</f>
        <v>61629.694997999999</v>
      </c>
      <c r="V165" s="5">
        <f>[1]Capital!U5+[1]Capital!U7</f>
        <v>62536.377950000002</v>
      </c>
      <c r="W165" s="5">
        <f>[1]Capital!V5+[1]Capital!V7</f>
        <v>63461.803294000005</v>
      </c>
      <c r="X165" s="5">
        <f>[1]Capital!W5+[1]Capital!W7</f>
        <v>64406.410543000005</v>
      </c>
      <c r="Y165" s="5">
        <f>[1]Capital!X5+[1]Capital!X7</f>
        <v>65370.587388</v>
      </c>
      <c r="Z165" s="5">
        <f>[1]Capital!Y5+[1]Capital!Y7</f>
        <v>66354.603768999994</v>
      </c>
      <c r="AA165" s="5">
        <f>[1]Capital!Z5+[1]Capital!Z7</f>
        <v>67358.664688999997</v>
      </c>
      <c r="AB165" s="5">
        <f>[1]Capital!AA5+[1]Capital!AA7</f>
        <v>68375.736461000008</v>
      </c>
      <c r="AC165" s="5">
        <f>[1]Capital!AB5+[1]Capital!AB7</f>
        <v>69404.508207999999</v>
      </c>
      <c r="AD165" s="5">
        <f>[1]Capital!AC5+[1]Capital!AC7</f>
        <v>70444.268060000002</v>
      </c>
      <c r="AE165" s="5">
        <f>[1]Capital!AD5+[1]Capital!AD7</f>
        <v>71494.618359999993</v>
      </c>
      <c r="AF165" s="5">
        <f>[1]Capital!AE5+[1]Capital!AE7</f>
        <v>72555.449397000004</v>
      </c>
      <c r="AG165" s="5">
        <f>[1]Capital!AF5+[1]Capital!AF7</f>
        <v>73626.891396999999</v>
      </c>
      <c r="AH165" s="5">
        <f>[1]Capital!AG5+[1]Capital!AG7</f>
        <v>74709.247927000004</v>
      </c>
      <c r="AI165" s="5">
        <f>[1]Capital!AH5+[1]Capital!AH7</f>
        <v>75802.929814000003</v>
      </c>
      <c r="AJ165" s="5">
        <f>[1]Capital!AI5+[1]Capital!AI7</f>
        <v>76908.400668999995</v>
      </c>
      <c r="AK165" s="5">
        <f>[1]Capital!AJ5+[1]Capital!AJ7</f>
        <v>78026.137533999994</v>
      </c>
      <c r="AL165" s="5">
        <f>[1]Capital!AK5+[1]Capital!AK7</f>
        <v>79156.605999000007</v>
      </c>
      <c r="AM165" s="5">
        <f>[1]Capital!AL5+[1]Capital!AL7</f>
        <v>80298.489182000005</v>
      </c>
      <c r="AN165" s="5">
        <f>[1]Capital!AM5+[1]Capital!AM7</f>
        <v>81450.911090000009</v>
      </c>
      <c r="AO165" s="5">
        <f>[1]Capital!AN5+[1]Capital!AN7</f>
        <v>82613.377735000002</v>
      </c>
      <c r="AP165" s="5">
        <f>[1]Capital!AO5+[1]Capital!AO7</f>
        <v>83785.677500999998</v>
      </c>
      <c r="AQ165" s="5">
        <f>[1]Capital!AP5+[1]Capital!AP7</f>
        <v>84967.821723999994</v>
      </c>
      <c r="AR165" s="5">
        <f>[1]Capital!AQ5+[1]Capital!AQ7</f>
        <v>86160.00121300001</v>
      </c>
      <c r="AS165" s="5">
        <f>[1]Capital!AR5+[1]Capital!AR7</f>
        <v>87362.546224999998</v>
      </c>
      <c r="AT165" s="5">
        <f>[1]Capital!AS5+[1]Capital!AS7</f>
        <v>88575.888359999997</v>
      </c>
      <c r="AU165" s="5">
        <f>[1]Capital!AT5+[1]Capital!AT7</f>
        <v>89800.526180999994</v>
      </c>
      <c r="AV165" s="5">
        <f>[1]Capital!AU5+[1]Capital!AU7</f>
        <v>91036.99631599999</v>
      </c>
      <c r="AW165" s="5">
        <f>[1]Capital!AV5+[1]Capital!AV7</f>
        <v>92286.009088999999</v>
      </c>
      <c r="AX165" s="5">
        <f>[1]Capital!AW5+[1]Capital!AW7</f>
        <v>93548.237715999989</v>
      </c>
      <c r="AY165" s="5">
        <f>[1]Capital!AX5+[1]Capital!AX7</f>
        <v>94824.318228000004</v>
      </c>
      <c r="AZ165" s="5">
        <f>[1]Capital!AY5+[1]Capital!AY7</f>
        <v>96114.844230999995</v>
      </c>
      <c r="BA165" s="5">
        <f>[1]Capital!AZ5+[1]Capital!AZ7</f>
        <v>97420.367140000002</v>
      </c>
      <c r="BB165" s="5">
        <f>[1]Capital!BA5+[1]Capital!BA7</f>
        <v>105778.84574</v>
      </c>
      <c r="BC165" s="5">
        <f>[1]Capital!BB5+[1]Capital!BB7</f>
        <v>107630.562708</v>
      </c>
      <c r="BD165" s="5">
        <f>[1]Capital!BC5+[1]Capital!BC7</f>
        <v>109510.90927799999</v>
      </c>
      <c r="BE165" s="5">
        <f>[1]Capital!BD5+[1]Capital!BD7</f>
        <v>111420.20065100001</v>
      </c>
      <c r="BF165" s="5">
        <f>[1]Capital!BE5+[1]Capital!BE7</f>
        <v>113358.79536300001</v>
      </c>
    </row>
    <row r="166" spans="1:58" x14ac:dyDescent="0.35">
      <c r="B166" t="s">
        <v>30</v>
      </c>
      <c r="C166" s="5">
        <f>[1]Capital!B9+[1]Capital!B11+[1]Capital!B13+[1]Capital!B15+[1]Capital!B17+[1]Capital!B19+[1]Capital!B21+[1]Capital!B23+[1]Capital!B25+[1]Capital!B27+[1]Capital!B41</f>
        <v>2595738.3102220003</v>
      </c>
      <c r="D166" s="5">
        <f>[1]Capital!C9+[1]Capital!C11+[1]Capital!C13+[1]Capital!C15+[1]Capital!C17+[1]Capital!C19+[1]Capital!C21+[1]Capital!C23+[1]Capital!C25+[1]Capital!C27+[1]Capital!C41</f>
        <v>2626423.7680199998</v>
      </c>
      <c r="E166" s="5">
        <f>[1]Capital!D9+[1]Capital!D11+[1]Capital!D13+[1]Capital!D15+[1]Capital!D17+[1]Capital!D19+[1]Capital!D21+[1]Capital!D23+[1]Capital!D25+[1]Capital!D27+[1]Capital!D41</f>
        <v>2658230.4610709995</v>
      </c>
      <c r="F166" s="5">
        <f>[1]Capital!E9+[1]Capital!E11+[1]Capital!E13+[1]Capital!E15+[1]Capital!E17+[1]Capital!E19+[1]Capital!E21+[1]Capital!E23+[1]Capital!E25+[1]Capital!E27+[1]Capital!E41</f>
        <v>2691317.0446019997</v>
      </c>
      <c r="G166" s="5">
        <f>[1]Capital!F9+[1]Capital!F11+[1]Capital!F13+[1]Capital!F15+[1]Capital!F17+[1]Capital!F19+[1]Capital!F21+[1]Capital!F23+[1]Capital!F25+[1]Capital!F27+[1]Capital!F41</f>
        <v>2725774.2731249998</v>
      </c>
      <c r="H166" s="5">
        <f>[1]Capital!G9+[1]Capital!G11+[1]Capital!G13+[1]Capital!G15+[1]Capital!G17+[1]Capital!G19+[1]Capital!G21+[1]Capital!G23+[1]Capital!G25+[1]Capital!G27+[1]Capital!G41</f>
        <v>2761659.2571620001</v>
      </c>
      <c r="I166" s="5">
        <f>[1]Capital!H9+[1]Capital!H11+[1]Capital!H13+[1]Capital!H15+[1]Capital!H17+[1]Capital!H19+[1]Capital!H21+[1]Capital!H23+[1]Capital!H25+[1]Capital!H27+[1]Capital!H41</f>
        <v>2798928.328284</v>
      </c>
      <c r="J166" s="5">
        <f>[1]Capital!I9+[1]Capital!I11+[1]Capital!I13+[1]Capital!I15+[1]Capital!I17+[1]Capital!I19+[1]Capital!I21+[1]Capital!I23+[1]Capital!I25+[1]Capital!I27+[1]Capital!I41</f>
        <v>2837557.076477</v>
      </c>
      <c r="K166" s="5">
        <f>[1]Capital!J9+[1]Capital!J11+[1]Capital!J13+[1]Capital!J15+[1]Capital!J17+[1]Capital!J19+[1]Capital!J21+[1]Capital!J23+[1]Capital!J25+[1]Capital!J27+[1]Capital!J41</f>
        <v>2877540.5143689997</v>
      </c>
      <c r="L166" s="5">
        <f>[1]Capital!K9+[1]Capital!K11+[1]Capital!K13+[1]Capital!K15+[1]Capital!K17+[1]Capital!K19+[1]Capital!K21+[1]Capital!K23+[1]Capital!K25+[1]Capital!K27+[1]Capital!K41</f>
        <v>2918887.60488</v>
      </c>
      <c r="M166" s="5">
        <f>[1]Capital!L9+[1]Capital!L11+[1]Capital!L13+[1]Capital!L15+[1]Capital!L17+[1]Capital!L19+[1]Capital!L21+[1]Capital!L23+[1]Capital!L25+[1]Capital!L27+[1]Capital!L41</f>
        <v>2961771.2861470003</v>
      </c>
      <c r="N166" s="5">
        <f>[1]Capital!M9+[1]Capital!M11+[1]Capital!M13+[1]Capital!M15+[1]Capital!M17+[1]Capital!M19+[1]Capital!M21+[1]Capital!M23+[1]Capital!M25+[1]Capital!M27+[1]Capital!M41</f>
        <v>3006175.5682299999</v>
      </c>
      <c r="O166" s="5">
        <f>[1]Capital!N9+[1]Capital!N11+[1]Capital!N13+[1]Capital!N15+[1]Capital!N17+[1]Capital!N19+[1]Capital!N21+[1]Capital!N23+[1]Capital!N25+[1]Capital!N27+[1]Capital!N41</f>
        <v>3052093.3319200003</v>
      </c>
      <c r="P166" s="5">
        <f>[1]Capital!O9+[1]Capital!O11+[1]Capital!O13+[1]Capital!O15+[1]Capital!O17+[1]Capital!O19+[1]Capital!O21+[1]Capital!O23+[1]Capital!O25+[1]Capital!O27+[1]Capital!O41</f>
        <v>3099527.2714689998</v>
      </c>
      <c r="Q166" s="5">
        <f>[1]Capital!P9+[1]Capital!P11+[1]Capital!P13+[1]Capital!P15+[1]Capital!P17+[1]Capital!P19+[1]Capital!P21+[1]Capital!P23+[1]Capital!P25+[1]Capital!P27+[1]Capital!P41</f>
        <v>3148485.3318599998</v>
      </c>
      <c r="R166" s="5">
        <f>[1]Capital!Q9+[1]Capital!Q11+[1]Capital!Q13+[1]Capital!Q15+[1]Capital!Q17+[1]Capital!Q19+[1]Capital!Q21+[1]Capital!Q23+[1]Capital!Q25+[1]Capital!Q27+[1]Capital!Q41</f>
        <v>3198978.0076919999</v>
      </c>
      <c r="S166" s="5">
        <f>[1]Capital!R9+[1]Capital!R11+[1]Capital!R13+[1]Capital!R15+[1]Capital!R17+[1]Capital!R19+[1]Capital!R21+[1]Capital!R23+[1]Capital!R25+[1]Capital!R27+[1]Capital!R41</f>
        <v>3251017.0120719997</v>
      </c>
      <c r="T166" s="5">
        <f>[1]Capital!S9+[1]Capital!S11+[1]Capital!S13+[1]Capital!S15+[1]Capital!S17+[1]Capital!S19+[1]Capital!S21+[1]Capital!S23+[1]Capital!S25+[1]Capital!S27+[1]Capital!S41</f>
        <v>3304614.6109160003</v>
      </c>
      <c r="U166" s="5">
        <f>[1]Capital!T9+[1]Capital!T11+[1]Capital!T13+[1]Capital!T15+[1]Capital!T17+[1]Capital!T19+[1]Capital!T21+[1]Capital!T23+[1]Capital!T25+[1]Capital!T27+[1]Capital!T41</f>
        <v>3359783.16781</v>
      </c>
      <c r="V166" s="5">
        <f>[1]Capital!U9+[1]Capital!U11+[1]Capital!U13+[1]Capital!U15+[1]Capital!U17+[1]Capital!U19+[1]Capital!U21+[1]Capital!U23+[1]Capital!U25+[1]Capital!U27+[1]Capital!U41</f>
        <v>3416534.6995250001</v>
      </c>
      <c r="W166" s="5">
        <f>[1]Capital!V9+[1]Capital!V11+[1]Capital!V13+[1]Capital!V15+[1]Capital!V17+[1]Capital!V19+[1]Capital!V21+[1]Capital!V23+[1]Capital!V25+[1]Capital!V27+[1]Capital!V41</f>
        <v>3474763.0489639998</v>
      </c>
      <c r="X166" s="5">
        <f>[1]Capital!W9+[1]Capital!W11+[1]Capital!W13+[1]Capital!W15+[1]Capital!W17+[1]Capital!W19+[1]Capital!W21+[1]Capital!W23+[1]Capital!W25+[1]Capital!W27+[1]Capital!W41</f>
        <v>3534506.2238829997</v>
      </c>
      <c r="Y166" s="5">
        <f>[1]Capital!X9+[1]Capital!X11+[1]Capital!X13+[1]Capital!X15+[1]Capital!X17+[1]Capital!X19+[1]Capital!X21+[1]Capital!X23+[1]Capital!X25+[1]Capital!X27+[1]Capital!X41</f>
        <v>3595795.7451320002</v>
      </c>
      <c r="Z166" s="5">
        <f>[1]Capital!Y9+[1]Capital!Y11+[1]Capital!Y13+[1]Capital!Y15+[1]Capital!Y17+[1]Capital!Y19+[1]Capital!Y21+[1]Capital!Y23+[1]Capital!Y25+[1]Capital!Y27+[1]Capital!Y41</f>
        <v>3658653.9755620002</v>
      </c>
      <c r="AA166" s="5">
        <f>[1]Capital!Z9+[1]Capital!Z11+[1]Capital!Z13+[1]Capital!Z15+[1]Capital!Z17+[1]Capital!Z19+[1]Capital!Z21+[1]Capital!Z23+[1]Capital!Z25+[1]Capital!Z27+[1]Capital!Z41</f>
        <v>3723096.152915</v>
      </c>
      <c r="AB166" s="5">
        <f>[1]Capital!AA9+[1]Capital!AA11+[1]Capital!AA13+[1]Capital!AA15+[1]Capital!AA17+[1]Capital!AA19+[1]Capital!AA21+[1]Capital!AA23+[1]Capital!AA25+[1]Capital!AA27+[1]Capital!AA41</f>
        <v>3788788.5615059999</v>
      </c>
      <c r="AC166" s="5">
        <f>[1]Capital!AB9+[1]Capital!AB11+[1]Capital!AB13+[1]Capital!AB15+[1]Capital!AB17+[1]Capital!AB19+[1]Capital!AB21+[1]Capital!AB23+[1]Capital!AB25+[1]Capital!AB27+[1]Capital!AB41</f>
        <v>3855652.4762379997</v>
      </c>
      <c r="AD166" s="5">
        <f>[1]Capital!AC9+[1]Capital!AC11+[1]Capital!AC13+[1]Capital!AC15+[1]Capital!AC17+[1]Capital!AC19+[1]Capital!AC21+[1]Capital!AC23+[1]Capital!AC25+[1]Capital!AC27+[1]Capital!AC41</f>
        <v>3923627.306386</v>
      </c>
      <c r="AE166" s="5">
        <f>[1]Capital!AD9+[1]Capital!AD11+[1]Capital!AD13+[1]Capital!AD15+[1]Capital!AD17+[1]Capital!AD19+[1]Capital!AD21+[1]Capital!AD23+[1]Capital!AD25+[1]Capital!AD27+[1]Capital!AD41</f>
        <v>3992658.6581950001</v>
      </c>
      <c r="AF166" s="5">
        <f>[1]Capital!AE9+[1]Capital!AE11+[1]Capital!AE13+[1]Capital!AE15+[1]Capital!AE17+[1]Capital!AE19+[1]Capital!AE21+[1]Capital!AE23+[1]Capital!AE25+[1]Capital!AE27+[1]Capital!AE41</f>
        <v>4062696.7701590001</v>
      </c>
      <c r="AG166" s="5">
        <f>[1]Capital!AF9+[1]Capital!AF11+[1]Capital!AF13+[1]Capital!AF15+[1]Capital!AF17+[1]Capital!AF19+[1]Capital!AF21+[1]Capital!AF23+[1]Capital!AF25+[1]Capital!AF27+[1]Capital!AF41</f>
        <v>4133695.4368489999</v>
      </c>
      <c r="AH166" s="5">
        <f>[1]Capital!AG9+[1]Capital!AG11+[1]Capital!AG13+[1]Capital!AG15+[1]Capital!AG17+[1]Capital!AG19+[1]Capital!AG21+[1]Capital!AG23+[1]Capital!AG25+[1]Capital!AG27+[1]Capital!AG41</f>
        <v>4205610.768073</v>
      </c>
      <c r="AI166" s="5">
        <f>[1]Capital!AH9+[1]Capital!AH11+[1]Capital!AH13+[1]Capital!AH15+[1]Capital!AH17+[1]Capital!AH19+[1]Capital!AH21+[1]Capital!AH23+[1]Capital!AH25+[1]Capital!AH27+[1]Capital!AH41</f>
        <v>4278399.8866839996</v>
      </c>
      <c r="AJ166" s="5">
        <f>[1]Capital!AI9+[1]Capital!AI11+[1]Capital!AI13+[1]Capital!AI15+[1]Capital!AI17+[1]Capital!AI19+[1]Capital!AI21+[1]Capital!AI23+[1]Capital!AI25+[1]Capital!AI27+[1]Capital!AI41</f>
        <v>4352019.8127670009</v>
      </c>
      <c r="AK166" s="5">
        <f>[1]Capital!AJ9+[1]Capital!AJ11+[1]Capital!AJ13+[1]Capital!AJ15+[1]Capital!AJ17+[1]Capital!AJ19+[1]Capital!AJ21+[1]Capital!AJ23+[1]Capital!AJ25+[1]Capital!AJ27+[1]Capital!AJ41</f>
        <v>4426426.6879249997</v>
      </c>
      <c r="AL166" s="5">
        <f>[1]Capital!AK9+[1]Capital!AK11+[1]Capital!AK13+[1]Capital!AK15+[1]Capital!AK17+[1]Capital!AK19+[1]Capital!AK21+[1]Capital!AK23+[1]Capital!AK25+[1]Capital!AK27+[1]Capital!AK41</f>
        <v>4501575.3912820006</v>
      </c>
      <c r="AM166" s="5">
        <f>[1]Capital!AL9+[1]Capital!AL11+[1]Capital!AL13+[1]Capital!AL15+[1]Capital!AL17+[1]Capital!AL19+[1]Capital!AL21+[1]Capital!AL23+[1]Capital!AL25+[1]Capital!AL27+[1]Capital!AL41</f>
        <v>4577334.7615780002</v>
      </c>
      <c r="AN166" s="5">
        <f>[1]Capital!AM9+[1]Capital!AM11+[1]Capital!AM13+[1]Capital!AM15+[1]Capital!AM17+[1]Capital!AM19+[1]Capital!AM21+[1]Capital!AM23+[1]Capital!AM25+[1]Capital!AM27+[1]Capital!AM41</f>
        <v>4653591.2274600007</v>
      </c>
      <c r="AO166" s="5">
        <f>[1]Capital!AN9+[1]Capital!AN11+[1]Capital!AN13+[1]Capital!AN15+[1]Capital!AN17+[1]Capital!AN19+[1]Capital!AN21+[1]Capital!AN23+[1]Capital!AN25+[1]Capital!AN27+[1]Capital!AN41</f>
        <v>4730246.8599669999</v>
      </c>
      <c r="AP166" s="5">
        <f>[1]Capital!AO9+[1]Capital!AO11+[1]Capital!AO13+[1]Capital!AO15+[1]Capital!AO17+[1]Capital!AO19+[1]Capital!AO21+[1]Capital!AO23+[1]Capital!AO25+[1]Capital!AO27+[1]Capital!AO41</f>
        <v>4807215.6663799994</v>
      </c>
      <c r="AQ166" s="5">
        <f>[1]Capital!AP9+[1]Capital!AP11+[1]Capital!AP13+[1]Capital!AP15+[1]Capital!AP17+[1]Capital!AP19+[1]Capital!AP21+[1]Capital!AP23+[1]Capital!AP25+[1]Capital!AP27+[1]Capital!AP41</f>
        <v>4884421.4727390008</v>
      </c>
      <c r="AR166" s="5">
        <f>[1]Capital!AQ9+[1]Capital!AQ11+[1]Capital!AQ13+[1]Capital!AQ15+[1]Capital!AQ17+[1]Capital!AQ19+[1]Capital!AQ21+[1]Capital!AQ23+[1]Capital!AQ25+[1]Capital!AQ27+[1]Capital!AQ41</f>
        <v>4961796.7409200007</v>
      </c>
      <c r="AS166" s="5">
        <f>[1]Capital!AR9+[1]Capital!AR11+[1]Capital!AR13+[1]Capital!AR15+[1]Capital!AR17+[1]Capital!AR19+[1]Capital!AR21+[1]Capital!AR23+[1]Capital!AR25+[1]Capital!AR27+[1]Capital!AR41</f>
        <v>5039281.7951299995</v>
      </c>
      <c r="AT166" s="5">
        <f>[1]Capital!AS9+[1]Capital!AS11+[1]Capital!AS13+[1]Capital!AS15+[1]Capital!AS17+[1]Capital!AS19+[1]Capital!AS21+[1]Capital!AS23+[1]Capital!AS25+[1]Capital!AS27+[1]Capital!AS41</f>
        <v>5116824.2137900004</v>
      </c>
      <c r="AU166" s="5">
        <f>[1]Capital!AT9+[1]Capital!AT11+[1]Capital!AT13+[1]Capital!AT15+[1]Capital!AT17+[1]Capital!AT19+[1]Capital!AT21+[1]Capital!AT23+[1]Capital!AT25+[1]Capital!AT27+[1]Capital!AT41</f>
        <v>5194378.3092799997</v>
      </c>
      <c r="AV166" s="5">
        <f>[1]Capital!AU9+[1]Capital!AU11+[1]Capital!AU13+[1]Capital!AU15+[1]Capital!AU17+[1]Capital!AU19+[1]Capital!AU21+[1]Capital!AU23+[1]Capital!AU25+[1]Capital!AU27+[1]Capital!AU41</f>
        <v>5271904.7166299997</v>
      </c>
      <c r="AW166" s="5">
        <f>[1]Capital!AV9+[1]Capital!AV11+[1]Capital!AV13+[1]Capital!AV15+[1]Capital!AV17+[1]Capital!AV19+[1]Capital!AV21+[1]Capital!AV23+[1]Capital!AV25+[1]Capital!AV27+[1]Capital!AV41</f>
        <v>5349377.8347699996</v>
      </c>
      <c r="AX166" s="5">
        <f>[1]Capital!AW9+[1]Capital!AW11+[1]Capital!AW13+[1]Capital!AW15+[1]Capital!AW17+[1]Capital!AW19+[1]Capital!AW21+[1]Capital!AW23+[1]Capital!AW25+[1]Capital!AW27+[1]Capital!AW41</f>
        <v>5426776.2067799997</v>
      </c>
      <c r="AY166" s="5">
        <f>[1]Capital!AX9+[1]Capital!AX11+[1]Capital!AX13+[1]Capital!AX15+[1]Capital!AX17+[1]Capital!AX19+[1]Capital!AX21+[1]Capital!AX23+[1]Capital!AX25+[1]Capital!AX27+[1]Capital!AX41</f>
        <v>5504082.6804200001</v>
      </c>
      <c r="AZ166" s="5">
        <f>[1]Capital!AY9+[1]Capital!AY11+[1]Capital!AY13+[1]Capital!AY15+[1]Capital!AY17+[1]Capital!AY19+[1]Capital!AY21+[1]Capital!AY23+[1]Capital!AY25+[1]Capital!AY27+[1]Capital!AY41</f>
        <v>5581284.7027599998</v>
      </c>
      <c r="BA166" s="5">
        <f>[1]Capital!AZ9+[1]Capital!AZ11+[1]Capital!AZ13+[1]Capital!AZ15+[1]Capital!AZ17+[1]Capital!AZ19+[1]Capital!AZ21+[1]Capital!AZ23+[1]Capital!AZ25+[1]Capital!AZ27+[1]Capital!AZ41</f>
        <v>5658374.6013099998</v>
      </c>
      <c r="BB166" s="5">
        <f>[1]Capital!BA9+[1]Capital!BA11+[1]Capital!BA13+[1]Capital!BA15+[1]Capital!BA17+[1]Capital!BA19+[1]Capital!BA21+[1]Capital!BA23+[1]Capital!BA25+[1]Capital!BA27+[1]Capital!BA41</f>
        <v>6246370.856639999</v>
      </c>
      <c r="BC166" s="5">
        <f>[1]Capital!BB9+[1]Capital!BB11+[1]Capital!BB13+[1]Capital!BB15+[1]Capital!BB17+[1]Capital!BB19+[1]Capital!BB21+[1]Capital!BB23+[1]Capital!BB25+[1]Capital!BB27+[1]Capital!BB41</f>
        <v>6372193.4947399991</v>
      </c>
      <c r="BD166" s="5">
        <f>[1]Capital!BC9+[1]Capital!BC11+[1]Capital!BC13+[1]Capital!BC15+[1]Capital!BC17+[1]Capital!BC19+[1]Capital!BC21+[1]Capital!BC23+[1]Capital!BC25+[1]Capital!BC27+[1]Capital!BC41</f>
        <v>6499612.5427000001</v>
      </c>
      <c r="BE166" s="5">
        <f>[1]Capital!BD9+[1]Capital!BD11+[1]Capital!BD13+[1]Capital!BD15+[1]Capital!BD17+[1]Capital!BD19+[1]Capital!BD21+[1]Capital!BD23+[1]Capital!BD25+[1]Capital!BD27+[1]Capital!BD41</f>
        <v>6628559.49125</v>
      </c>
      <c r="BF166" s="5">
        <f>[1]Capital!BE9+[1]Capital!BE11+[1]Capital!BE13+[1]Capital!BE15+[1]Capital!BE17+[1]Capital!BE19+[1]Capital!BE21+[1]Capital!BE23+[1]Capital!BE25+[1]Capital!BE27+[1]Capital!BE41</f>
        <v>6758966.3143799994</v>
      </c>
    </row>
    <row r="167" spans="1:58" x14ac:dyDescent="0.35">
      <c r="B167" t="s">
        <v>9</v>
      </c>
      <c r="C167" s="5">
        <f>[1]Capital!B29+[1]Capital!B31+[1]Capital!B33+[1]Capital!B35</f>
        <v>88561.469265999986</v>
      </c>
      <c r="D167" s="5">
        <f>[1]Capital!C29+[1]Capital!C31+[1]Capital!C33+[1]Capital!C35</f>
        <v>89608.593986000007</v>
      </c>
      <c r="E167" s="5">
        <f>[1]Capital!D29+[1]Capital!D31+[1]Capital!D33+[1]Capital!D35</f>
        <v>90688.423627000011</v>
      </c>
      <c r="F167" s="5">
        <f>[1]Capital!E29+[1]Capital!E31+[1]Capital!E33+[1]Capital!E35</f>
        <v>91805.446395000006</v>
      </c>
      <c r="G167" s="5">
        <f>[1]Capital!F29+[1]Capital!F31+[1]Capital!F33+[1]Capital!F35</f>
        <v>92962.692792000002</v>
      </c>
      <c r="H167" s="5">
        <f>[1]Capital!G29+[1]Capital!G31+[1]Capital!G33+[1]Capital!G35</f>
        <v>94162.076824000003</v>
      </c>
      <c r="I167" s="5">
        <f>[1]Capital!H29+[1]Capital!H31+[1]Capital!H33+[1]Capital!H35</f>
        <v>95400.400450000001</v>
      </c>
      <c r="J167" s="5">
        <f>[1]Capital!I29+[1]Capital!I31+[1]Capital!I33+[1]Capital!I35</f>
        <v>96676.077161000008</v>
      </c>
      <c r="K167" s="5">
        <f>[1]Capital!J29+[1]Capital!J31+[1]Capital!J33+[1]Capital!J35</f>
        <v>97988.168074999994</v>
      </c>
      <c r="L167" s="5">
        <f>[1]Capital!K29+[1]Capital!K31+[1]Capital!K33+[1]Capital!K35</f>
        <v>99335.946857000003</v>
      </c>
      <c r="M167" s="5">
        <f>[1]Capital!L29+[1]Capital!L31+[1]Capital!L33+[1]Capital!L35</f>
        <v>100726.267345</v>
      </c>
      <c r="N167" s="5">
        <f>[1]Capital!M29+[1]Capital!M31+[1]Capital!M33+[1]Capital!M35</f>
        <v>102154.55362599999</v>
      </c>
      <c r="O167" s="5">
        <f>[1]Capital!N29+[1]Capital!N31+[1]Capital!N33+[1]Capital!N35</f>
        <v>103618.311552</v>
      </c>
      <c r="P167" s="5">
        <f>[1]Capital!O29+[1]Capital!O31+[1]Capital!O33+[1]Capital!O35</f>
        <v>105116.060489</v>
      </c>
      <c r="Q167" s="5">
        <f>[1]Capital!P29+[1]Capital!P31+[1]Capital!P33+[1]Capital!P35</f>
        <v>106646.752439</v>
      </c>
      <c r="R167" s="5">
        <f>[1]Capital!Q29+[1]Capital!Q31+[1]Capital!Q33+[1]Capital!Q35</f>
        <v>108209.578899</v>
      </c>
      <c r="S167" s="5">
        <f>[1]Capital!R29+[1]Capital!R31+[1]Capital!R33+[1]Capital!R35</f>
        <v>109803.917694</v>
      </c>
      <c r="T167" s="5">
        <f>[1]Capital!S29+[1]Capital!S31+[1]Capital!S33+[1]Capital!S35</f>
        <v>111429.31978200001</v>
      </c>
      <c r="U167" s="5">
        <f>[1]Capital!T29+[1]Capital!T31+[1]Capital!T33+[1]Capital!T35</f>
        <v>113085.50140000001</v>
      </c>
      <c r="V167" s="5">
        <f>[1]Capital!U29+[1]Capital!U31+[1]Capital!U33+[1]Capital!U35</f>
        <v>114772.33207600001</v>
      </c>
      <c r="W167" s="5">
        <f>[1]Capital!V29+[1]Capital!V31+[1]Capital!V33+[1]Capital!V35</f>
        <v>116484.18199699999</v>
      </c>
      <c r="X167" s="5">
        <f>[1]Capital!W29+[1]Capital!W31+[1]Capital!W33+[1]Capital!W35</f>
        <v>118224.12844599999</v>
      </c>
      <c r="Y167" s="5">
        <f>[1]Capital!X29+[1]Capital!X31+[1]Capital!X33+[1]Capital!X35</f>
        <v>119993.81565499998</v>
      </c>
      <c r="Z167" s="5">
        <f>[1]Capital!Y29+[1]Capital!Y31+[1]Capital!Y33+[1]Capital!Y35</f>
        <v>121794.24009400001</v>
      </c>
      <c r="AA167" s="5">
        <f>[1]Capital!Z29+[1]Capital!Z31+[1]Capital!Z33+[1]Capital!Z35</f>
        <v>123626.173945</v>
      </c>
      <c r="AB167" s="5">
        <f>[1]Capital!AA29+[1]Capital!AA31+[1]Capital!AA33+[1]Capital!AA35</f>
        <v>125473.925286</v>
      </c>
      <c r="AC167" s="5">
        <f>[1]Capital!AB29+[1]Capital!AB31+[1]Capital!AB33+[1]Capital!AB35</f>
        <v>127338.907324</v>
      </c>
      <c r="AD167" s="5">
        <f>[1]Capital!AC29+[1]Capital!AC31+[1]Capital!AC33+[1]Capital!AC35</f>
        <v>129222.017287</v>
      </c>
      <c r="AE167" s="5">
        <f>[1]Capital!AD29+[1]Capital!AD31+[1]Capital!AD33+[1]Capital!AD35</f>
        <v>131123.916899</v>
      </c>
      <c r="AF167" s="5">
        <f>[1]Capital!AE29+[1]Capital!AE31+[1]Capital!AE33+[1]Capital!AE35</f>
        <v>133045.33599200001</v>
      </c>
      <c r="AG167" s="5">
        <f>[1]Capital!AF29+[1]Capital!AF31+[1]Capital!AF33+[1]Capital!AF35</f>
        <v>134987.13655</v>
      </c>
      <c r="AH167" s="5">
        <f>[1]Capital!AG29+[1]Capital!AG31+[1]Capital!AG33+[1]Capital!AG35</f>
        <v>136950.282198</v>
      </c>
      <c r="AI167" s="5">
        <f>[1]Capital!AH29+[1]Capital!AH31+[1]Capital!AH33+[1]Capital!AH35</f>
        <v>138935.78242599999</v>
      </c>
      <c r="AJ167" s="5">
        <f>[1]Capital!AI29+[1]Capital!AI31+[1]Capital!AI33+[1]Capital!AI35</f>
        <v>140944.64038699999</v>
      </c>
      <c r="AK167" s="5">
        <f>[1]Capital!AJ29+[1]Capital!AJ31+[1]Capital!AJ33+[1]Capital!AJ35</f>
        <v>142977.81441999998</v>
      </c>
      <c r="AL167" s="5">
        <f>[1]Capital!AK29+[1]Capital!AK31+[1]Capital!AK33+[1]Capital!AK35</f>
        <v>145036.19499799999</v>
      </c>
      <c r="AM167" s="5">
        <f>[1]Capital!AL29+[1]Capital!AL31+[1]Capital!AL33+[1]Capital!AL35</f>
        <v>147116.58020299999</v>
      </c>
      <c r="AN167" s="5">
        <f>[1]Capital!AM29+[1]Capital!AM31+[1]Capital!AM33+[1]Capital!AM35</f>
        <v>149217.737242</v>
      </c>
      <c r="AO167" s="5">
        <f>[1]Capital!AN29+[1]Capital!AN31+[1]Capital!AN33+[1]Capital!AN35</f>
        <v>151339.351264</v>
      </c>
      <c r="AP167" s="5">
        <f>[1]Capital!AO29+[1]Capital!AO31+[1]Capital!AO33+[1]Capital!AO35</f>
        <v>153481.53256200001</v>
      </c>
      <c r="AQ167" s="5">
        <f>[1]Capital!AP29+[1]Capital!AP31+[1]Capital!AP33+[1]Capital!AP35</f>
        <v>155644.630172</v>
      </c>
      <c r="AR167" s="5">
        <f>[1]Capital!AQ29+[1]Capital!AQ31+[1]Capital!AQ33+[1]Capital!AQ35</f>
        <v>157829.150869</v>
      </c>
      <c r="AS167" s="5">
        <f>[1]Capital!AR29+[1]Capital!AR31+[1]Capital!AR33+[1]Capital!AR35</f>
        <v>160035.711144</v>
      </c>
      <c r="AT167" s="5">
        <f>[1]Capital!AS29+[1]Capital!AS31+[1]Capital!AS33+[1]Capital!AS35</f>
        <v>162264.999733</v>
      </c>
      <c r="AU167" s="5">
        <f>[1]Capital!AT29+[1]Capital!AT31+[1]Capital!AT33+[1]Capital!AT35</f>
        <v>164517.74660500002</v>
      </c>
      <c r="AV167" s="5">
        <f>[1]Capital!AU29+[1]Capital!AU31+[1]Capital!AU33+[1]Capital!AU35</f>
        <v>166794.69827199998</v>
      </c>
      <c r="AW167" s="5">
        <f>[1]Capital!AV29+[1]Capital!AV31+[1]Capital!AV33+[1]Capital!AV35</f>
        <v>169096.96742499998</v>
      </c>
      <c r="AX167" s="5">
        <f>[1]Capital!AW29+[1]Capital!AW31+[1]Capital!AW33+[1]Capital!AW35</f>
        <v>171425.46865999998</v>
      </c>
      <c r="AY167" s="5">
        <f>[1]Capital!AX29+[1]Capital!AX31+[1]Capital!AX33+[1]Capital!AX35</f>
        <v>173781.009483</v>
      </c>
      <c r="AZ167" s="5">
        <f>[1]Capital!AY29+[1]Capital!AY31+[1]Capital!AY33+[1]Capital!AY35</f>
        <v>176164.33030899998</v>
      </c>
      <c r="BA167" s="5">
        <f>[1]Capital!AZ29+[1]Capital!AZ31+[1]Capital!AZ33+[1]Capital!AZ35</f>
        <v>178576.12228700001</v>
      </c>
      <c r="BB167" s="5">
        <f>[1]Capital!BA29+[1]Capital!BA31+[1]Capital!BA33+[1]Capital!BA35</f>
        <v>190473.653915</v>
      </c>
      <c r="BC167" s="5">
        <f>[1]Capital!BB29+[1]Capital!BB31+[1]Capital!BB33+[1]Capital!BB35</f>
        <v>193819.84670199998</v>
      </c>
      <c r="BD167" s="5">
        <f>[1]Capital!BC29+[1]Capital!BC31+[1]Capital!BC33+[1]Capital!BC35</f>
        <v>197228.11242799999</v>
      </c>
      <c r="BE167" s="5">
        <f>[1]Capital!BD29+[1]Capital!BD31+[1]Capital!BD33+[1]Capital!BD35</f>
        <v>200699.30374500001</v>
      </c>
      <c r="BF167" s="5">
        <f>[1]Capital!BE29+[1]Capital!BE31+[1]Capital!BE33+[1]Capital!BE35</f>
        <v>204234.30295299998</v>
      </c>
    </row>
    <row r="168" spans="1:58" x14ac:dyDescent="0.35">
      <c r="B168" t="s">
        <v>10</v>
      </c>
      <c r="C168" s="5">
        <f>[1]Capital!B37+[1]Capital!B39</f>
        <v>2425814.7522</v>
      </c>
      <c r="D168" s="5">
        <f>[1]Capital!C37+[1]Capital!C39</f>
        <v>2454366.3103999998</v>
      </c>
      <c r="E168" s="5">
        <f>[1]Capital!D37+[1]Capital!D39</f>
        <v>2483721.5929</v>
      </c>
      <c r="F168" s="5">
        <f>[1]Capital!E37+[1]Capital!E39</f>
        <v>2514041.4032999999</v>
      </c>
      <c r="G168" s="5">
        <f>[1]Capital!F37+[1]Capital!F39</f>
        <v>2545457.4739000001</v>
      </c>
      <c r="H168" s="5">
        <f>[1]Capital!G37+[1]Capital!G39</f>
        <v>2578071.0338999997</v>
      </c>
      <c r="I168" s="5">
        <f>[1]Capital!H37+[1]Capital!H39</f>
        <v>2611854.9687999999</v>
      </c>
      <c r="J168" s="5">
        <f>[1]Capital!I37+[1]Capital!I39</f>
        <v>2646800.0476000002</v>
      </c>
      <c r="K168" s="5">
        <f>[1]Capital!J37+[1]Capital!J39</f>
        <v>2682907.3775999998</v>
      </c>
      <c r="L168" s="5">
        <f>[1]Capital!K37+[1]Capital!K39</f>
        <v>2720181.4369999999</v>
      </c>
      <c r="M168" s="5">
        <f>[1]Capital!L37+[1]Capital!L39</f>
        <v>2758807.7577</v>
      </c>
      <c r="N168" s="5">
        <f>[1]Capital!M37+[1]Capital!M39</f>
        <v>2798723.5497999997</v>
      </c>
      <c r="O168" s="5">
        <f>[1]Capital!N37+[1]Capital!N39</f>
        <v>2839885.1687000003</v>
      </c>
      <c r="P168" s="5">
        <f>[1]Capital!O37+[1]Capital!O39</f>
        <v>2882262.7248</v>
      </c>
      <c r="Q168" s="5">
        <f>[1]Capital!P37+[1]Capital!P39</f>
        <v>2925831.915</v>
      </c>
      <c r="R168" s="5">
        <f>[1]Capital!Q37+[1]Capital!Q39</f>
        <v>2970570.9926</v>
      </c>
      <c r="S168" s="5">
        <f>[1]Capital!R37+[1]Capital!R39</f>
        <v>3016460.1132</v>
      </c>
      <c r="T168" s="5">
        <f>[1]Capital!S37+[1]Capital!S39</f>
        <v>3063481.3831000002</v>
      </c>
      <c r="U168" s="5">
        <f>[1]Capital!T37+[1]Capital!T39</f>
        <v>3111618.9092000001</v>
      </c>
      <c r="V168" s="5">
        <f>[1]Capital!U37+[1]Capital!U39</f>
        <v>3160858.7024000003</v>
      </c>
      <c r="W168" s="5">
        <f>[1]Capital!V37+[1]Capital!V39</f>
        <v>3211052.0767999999</v>
      </c>
      <c r="X168" s="5">
        <f>[1]Capital!W37+[1]Capital!W39</f>
        <v>3262237.0321</v>
      </c>
      <c r="Y168" s="5">
        <f>[1]Capital!X37+[1]Capital!X39</f>
        <v>3314436.7344</v>
      </c>
      <c r="Z168" s="5">
        <f>[1]Capital!Y37+[1]Capital!Y39</f>
        <v>3367663.0592999998</v>
      </c>
      <c r="AA168" s="5">
        <f>[1]Capital!Z37+[1]Capital!Z39</f>
        <v>3421922.5159999998</v>
      </c>
      <c r="AB168" s="5">
        <f>[1]Capital!AA37+[1]Capital!AA39</f>
        <v>3476821.4254000001</v>
      </c>
      <c r="AC168" s="5">
        <f>[1]Capital!AB37+[1]Capital!AB39</f>
        <v>3532314.5965999998</v>
      </c>
      <c r="AD168" s="5">
        <f>[1]Capital!AC37+[1]Capital!AC39</f>
        <v>3588373.7553000003</v>
      </c>
      <c r="AE168" s="5">
        <f>[1]Capital!AD37+[1]Capital!AD39</f>
        <v>3644977.8015000001</v>
      </c>
      <c r="AF168" s="5">
        <f>[1]Capital!AE37+[1]Capital!AE39</f>
        <v>3702114.7283000001</v>
      </c>
      <c r="AG168" s="5">
        <f>[1]Capital!AF37+[1]Capital!AF39</f>
        <v>3759781.2006000001</v>
      </c>
      <c r="AH168" s="5">
        <f>[1]Capital!AG37+[1]Capital!AG39</f>
        <v>3817980.6348000001</v>
      </c>
      <c r="AI168" s="5">
        <f>[1]Capital!AH37+[1]Capital!AH39</f>
        <v>3876720.9462000001</v>
      </c>
      <c r="AJ168" s="5">
        <f>[1]Capital!AI37+[1]Capital!AI39</f>
        <v>3936012.5945000001</v>
      </c>
      <c r="AK168" s="5">
        <f>[1]Capital!AJ37+[1]Capital!AJ39</f>
        <v>3995867.1509999996</v>
      </c>
      <c r="AL168" s="5">
        <f>[1]Capital!AK37+[1]Capital!AK39</f>
        <v>4056296.4007999999</v>
      </c>
      <c r="AM168" s="5">
        <f>[1]Capital!AL37+[1]Capital!AL39</f>
        <v>4117214.6121</v>
      </c>
      <c r="AN168" s="5">
        <f>[1]Capital!AM37+[1]Capital!AM39</f>
        <v>4178569.6754000001</v>
      </c>
      <c r="AO168" s="5">
        <f>[1]Capital!AN37+[1]Capital!AN39</f>
        <v>4240332.1849999996</v>
      </c>
      <c r="AP168" s="5">
        <f>[1]Capital!AO37+[1]Capital!AO39</f>
        <v>4302487.1951000001</v>
      </c>
      <c r="AQ168" s="5">
        <f>[1]Capital!AP37+[1]Capital!AP39</f>
        <v>4365030.2604</v>
      </c>
      <c r="AR168" s="5">
        <f>[1]Capital!AQ37+[1]Capital!AQ39</f>
        <v>4427965.1770000001</v>
      </c>
      <c r="AS168" s="5">
        <f>[1]Capital!AR37+[1]Capital!AR39</f>
        <v>4491302.2548000002</v>
      </c>
      <c r="AT168" s="5">
        <f>[1]Capital!AS37+[1]Capital!AS39</f>
        <v>4555056.7965000002</v>
      </c>
      <c r="AU168" s="5">
        <f>[1]Capital!AT37+[1]Capital!AT39</f>
        <v>4619247.7490999997</v>
      </c>
      <c r="AV168" s="5">
        <f>[1]Capital!AU37+[1]Capital!AU39</f>
        <v>4683896.5951999994</v>
      </c>
      <c r="AW168" s="5">
        <f>[1]Capital!AV37+[1]Capital!AV39</f>
        <v>4749035.4162999997</v>
      </c>
      <c r="AX168" s="5">
        <f>[1]Capital!AW37+[1]Capital!AW39</f>
        <v>4814694.4572000001</v>
      </c>
      <c r="AY168" s="5">
        <f>[1]Capital!AX37+[1]Capital!AX39</f>
        <v>4880902.7208000002</v>
      </c>
      <c r="AZ168" s="5">
        <f>[1]Capital!AY37+[1]Capital!AY39</f>
        <v>4947688.0739000002</v>
      </c>
      <c r="BA168" s="5">
        <f>[1]Capital!AZ37+[1]Capital!AZ39</f>
        <v>5015077.3717999998</v>
      </c>
      <c r="BB168" s="5">
        <f>[1]Capital!BA37+[1]Capital!BA39</f>
        <v>5391191.7537000002</v>
      </c>
      <c r="BC168" s="5">
        <f>[1]Capital!BB37+[1]Capital!BB39</f>
        <v>5486764.8571000006</v>
      </c>
      <c r="BD168" s="5">
        <f>[1]Capital!BC37+[1]Capital!BC39</f>
        <v>5583821.4360000007</v>
      </c>
      <c r="BE168" s="5">
        <f>[1]Capital!BD37+[1]Capital!BD39</f>
        <v>5682371.216</v>
      </c>
      <c r="BF168" s="5">
        <f>[1]Capital!BE37+[1]Capital!BE39</f>
        <v>5782425.4280000003</v>
      </c>
    </row>
    <row r="169" spans="1:58" x14ac:dyDescent="0.35">
      <c r="B169" t="s">
        <v>29</v>
      </c>
      <c r="C169" s="5">
        <f>[1]Capital!B43+[1]Capital!B47</f>
        <v>22930.647962399999</v>
      </c>
      <c r="D169" s="5">
        <f>[1]Capital!C43+[1]Capital!C47</f>
        <v>23191.6604013</v>
      </c>
      <c r="E169" s="5">
        <f>[1]Capital!D43+[1]Capital!D47</f>
        <v>23447.842968100002</v>
      </c>
      <c r="F169" s="5">
        <f>[1]Capital!E43+[1]Capital!E47</f>
        <v>23699.8387821</v>
      </c>
      <c r="G169" s="5">
        <f>[1]Capital!F43+[1]Capital!F47</f>
        <v>23949.752396</v>
      </c>
      <c r="H169" s="5">
        <f>[1]Capital!G43+[1]Capital!G47</f>
        <v>24200.066042800001</v>
      </c>
      <c r="I169" s="5">
        <f>[1]Capital!H43+[1]Capital!H47</f>
        <v>24452.219570699999</v>
      </c>
      <c r="J169" s="5">
        <f>[1]Capital!I43+[1]Capital!I47</f>
        <v>24707.585752200001</v>
      </c>
      <c r="K169" s="5">
        <f>[1]Capital!J43+[1]Capital!J47</f>
        <v>24967.296806800001</v>
      </c>
      <c r="L169" s="5">
        <f>[1]Capital!K43+[1]Capital!K47</f>
        <v>25232.1986091</v>
      </c>
      <c r="M169" s="5">
        <f>[1]Capital!L43+[1]Capital!L47</f>
        <v>25504.353024400003</v>
      </c>
      <c r="N169" s="5">
        <f>[1]Capital!M43+[1]Capital!M47</f>
        <v>25783.529644000002</v>
      </c>
      <c r="O169" s="5">
        <f>[1]Capital!N43+[1]Capital!N47</f>
        <v>26069.618658300002</v>
      </c>
      <c r="P169" s="5">
        <f>[1]Capital!O43+[1]Capital!O47</f>
        <v>26362.589616699999</v>
      </c>
      <c r="Q169" s="5">
        <f>[1]Capital!P43+[1]Capital!P47</f>
        <v>26662.414277100001</v>
      </c>
      <c r="R169" s="5">
        <f>[1]Capital!Q43+[1]Capital!Q47</f>
        <v>26969.043946899998</v>
      </c>
      <c r="S169" s="5">
        <f>[1]Capital!R43+[1]Capital!R47</f>
        <v>27282.410926100001</v>
      </c>
      <c r="T169" s="5">
        <f>[1]Capital!S43+[1]Capital!S47</f>
        <v>27602.436214699999</v>
      </c>
      <c r="U169" s="5">
        <f>[1]Capital!T43+[1]Capital!T47</f>
        <v>27929.037348499998</v>
      </c>
      <c r="V169" s="5">
        <f>[1]Capital!U43+[1]Capital!U47</f>
        <v>28262.134362299999</v>
      </c>
      <c r="W169" s="5">
        <f>[1]Capital!V43+[1]Capital!V47</f>
        <v>28600.567961600002</v>
      </c>
      <c r="X169" s="5">
        <f>[1]Capital!W43+[1]Capital!W47</f>
        <v>28944.746196299999</v>
      </c>
      <c r="Y169" s="5">
        <f>[1]Capital!X43+[1]Capital!X47</f>
        <v>29294.892137700001</v>
      </c>
      <c r="Z169" s="5">
        <f>[1]Capital!Y43+[1]Capital!Y47</f>
        <v>29651.105927000001</v>
      </c>
      <c r="AA169" s="5">
        <f>[1]Capital!Z43+[1]Capital!Z47</f>
        <v>30013.443463400003</v>
      </c>
      <c r="AB169" s="5">
        <f>[1]Capital!AA43+[1]Capital!AA47</f>
        <v>30378.809389900001</v>
      </c>
      <c r="AC169" s="5">
        <f>[1]Capital!AB43+[1]Capital!AB47</f>
        <v>30747.122585899997</v>
      </c>
      <c r="AD169" s="5">
        <f>[1]Capital!AC43+[1]Capital!AC47</f>
        <v>31118.362448200001</v>
      </c>
      <c r="AE169" s="5">
        <f>[1]Capital!AD43+[1]Capital!AD47</f>
        <v>31492.487882199999</v>
      </c>
      <c r="AF169" s="5">
        <f>[1]Capital!AE43+[1]Capital!AE47</f>
        <v>31869.4840367</v>
      </c>
      <c r="AG169" s="5">
        <f>[1]Capital!AF43+[1]Capital!AF47</f>
        <v>32249.3803453</v>
      </c>
      <c r="AH169" s="5">
        <f>[1]Capital!AG43+[1]Capital!AG47</f>
        <v>32632.2497224</v>
      </c>
      <c r="AI169" s="5">
        <f>[1]Capital!AH43+[1]Capital!AH47</f>
        <v>33018.200128700002</v>
      </c>
      <c r="AJ169" s="5">
        <f>[1]Capital!AI43+[1]Capital!AI47</f>
        <v>33407.364517999995</v>
      </c>
      <c r="AK169" s="5">
        <f>[1]Capital!AJ43+[1]Capital!AJ47</f>
        <v>33799.891662399998</v>
      </c>
      <c r="AL169" s="5">
        <f>[1]Capital!AK43+[1]Capital!AK47</f>
        <v>34195.938701400002</v>
      </c>
      <c r="AM169" s="5">
        <f>[1]Capital!AL43+[1]Capital!AL47</f>
        <v>34594.906637699998</v>
      </c>
      <c r="AN169" s="5">
        <f>[1]Capital!AM43+[1]Capital!AM47</f>
        <v>34996.521064400004</v>
      </c>
      <c r="AO169" s="5">
        <f>[1]Capital!AN43+[1]Capital!AN47</f>
        <v>35400.693409</v>
      </c>
      <c r="AP169" s="5">
        <f>[1]Capital!AO43+[1]Capital!AO47</f>
        <v>35807.426797300002</v>
      </c>
      <c r="AQ169" s="5">
        <f>[1]Capital!AP43+[1]Capital!AP47</f>
        <v>36216.777285899996</v>
      </c>
      <c r="AR169" s="5">
        <f>[1]Capital!AQ43+[1]Capital!AQ47</f>
        <v>36628.8375027</v>
      </c>
      <c r="AS169" s="5">
        <f>[1]Capital!AR43+[1]Capital!AR47</f>
        <v>37043.727614000003</v>
      </c>
      <c r="AT169" s="5">
        <f>[1]Capital!AS43+[1]Capital!AS47</f>
        <v>37461.588456600002</v>
      </c>
      <c r="AU169" s="5">
        <f>[1]Capital!AT43+[1]Capital!AT47</f>
        <v>37882.575085700002</v>
      </c>
      <c r="AV169" s="5">
        <f>[1]Capital!AU43+[1]Capital!AU47</f>
        <v>38306.849990800001</v>
      </c>
      <c r="AW169" s="5">
        <f>[1]Capital!AV43+[1]Capital!AV47</f>
        <v>38734.640085699997</v>
      </c>
      <c r="AX169" s="5">
        <f>[1]Capital!AW43+[1]Capital!AW47</f>
        <v>39166.137959200001</v>
      </c>
      <c r="AY169" s="5">
        <f>[1]Capital!AX43+[1]Capital!AX47</f>
        <v>39601.508221600001</v>
      </c>
      <c r="AZ169" s="5">
        <f>[1]Capital!AY43+[1]Capital!AY47</f>
        <v>40040.9221837</v>
      </c>
      <c r="BA169" s="5">
        <f>[1]Capital!AZ43+[1]Capital!AZ47</f>
        <v>40484.565277199996</v>
      </c>
      <c r="BB169" s="5">
        <f>[1]Capital!BA43+[1]Capital!BA47</f>
        <v>43271.201263000003</v>
      </c>
      <c r="BC169" s="5">
        <f>[1]Capital!BB43+[1]Capital!BB47</f>
        <v>43925.573724000002</v>
      </c>
      <c r="BD169" s="5">
        <f>[1]Capital!BC43+[1]Capital!BC47</f>
        <v>44590.604775</v>
      </c>
      <c r="BE169" s="5">
        <f>[1]Capital!BD43+[1]Capital!BD47</f>
        <v>45266.370203999999</v>
      </c>
      <c r="BF169" s="5">
        <f>[1]Capital!BE43+[1]Capital!BE47</f>
        <v>45952.961798999997</v>
      </c>
    </row>
    <row r="170" spans="1:58" x14ac:dyDescent="0.35">
      <c r="B170" t="s">
        <v>36</v>
      </c>
      <c r="C170" s="5">
        <f>[1]Capital!B45+[1]Capital!B49</f>
        <v>1942.1812265000001</v>
      </c>
      <c r="D170" s="5">
        <f>[1]Capital!C45+[1]Capital!C49</f>
        <v>1964.1139662</v>
      </c>
      <c r="E170" s="5">
        <f>[1]Capital!D45+[1]Capital!D49</f>
        <v>1985.4144666</v>
      </c>
      <c r="F170" s="5">
        <f>[1]Capital!E45+[1]Capital!E49</f>
        <v>2006.1488118000002</v>
      </c>
      <c r="G170" s="5">
        <f>[1]Capital!F45+[1]Capital!F49</f>
        <v>2026.5393739000001</v>
      </c>
      <c r="H170" s="5">
        <f>[1]Capital!G45+[1]Capital!G49</f>
        <v>2046.838377</v>
      </c>
      <c r="I170" s="5">
        <f>[1]Capital!H45+[1]Capital!H49</f>
        <v>2067.2054674000001</v>
      </c>
      <c r="J170" s="5">
        <f>[1]Capital!I45+[1]Capital!I49</f>
        <v>2087.7823171999999</v>
      </c>
      <c r="K170" s="5">
        <f>[1]Capital!J45+[1]Capital!J49</f>
        <v>2108.6816553999997</v>
      </c>
      <c r="L170" s="5">
        <f>[1]Capital!K45+[1]Capital!K49</f>
        <v>2129.9871151000002</v>
      </c>
      <c r="M170" s="5">
        <f>[1]Capital!L45+[1]Capital!L49</f>
        <v>2151.8715192999998</v>
      </c>
      <c r="N170" s="5">
        <f>[1]Capital!M45+[1]Capital!M49</f>
        <v>2174.3284468000002</v>
      </c>
      <c r="O170" s="5">
        <f>[1]Capital!N45+[1]Capital!N49</f>
        <v>2197.3590384999998</v>
      </c>
      <c r="P170" s="5">
        <f>[1]Capital!O45+[1]Capital!O49</f>
        <v>2220.9674757000003</v>
      </c>
      <c r="Q170" s="5">
        <f>[1]Capital!P45+[1]Capital!P49</f>
        <v>2245.1557141000003</v>
      </c>
      <c r="R170" s="5">
        <f>[1]Capital!Q45+[1]Capital!Q49</f>
        <v>2269.9223416</v>
      </c>
      <c r="S170" s="5">
        <f>[1]Capital!R45+[1]Capital!R49</f>
        <v>2295.2630923000002</v>
      </c>
      <c r="T170" s="5">
        <f>[1]Capital!S45+[1]Capital!S49</f>
        <v>2321.1717143000001</v>
      </c>
      <c r="U170" s="5">
        <f>[1]Capital!T45+[1]Capital!T49</f>
        <v>2347.6407651</v>
      </c>
      <c r="V170" s="5">
        <f>[1]Capital!U45+[1]Capital!U49</f>
        <v>2374.6622253</v>
      </c>
      <c r="W170" s="5">
        <f>[1]Capital!V45+[1]Capital!V49</f>
        <v>2402.1441452999998</v>
      </c>
      <c r="X170" s="5">
        <f>[1]Capital!W45+[1]Capital!W49</f>
        <v>2430.1142869</v>
      </c>
      <c r="Y170" s="5">
        <f>[1]Capital!X45+[1]Capital!X49</f>
        <v>2458.5851974000002</v>
      </c>
      <c r="Z170" s="5">
        <f>[1]Capital!Y45+[1]Capital!Y49</f>
        <v>2487.5604001000002</v>
      </c>
      <c r="AA170" s="5">
        <f>[1]Capital!Z45+[1]Capital!Z49</f>
        <v>2517.0402999999997</v>
      </c>
      <c r="AB170" s="5">
        <f>[1]Capital!AA45+[1]Capital!AA49</f>
        <v>2546.7821983000003</v>
      </c>
      <c r="AC170" s="5">
        <f>[1]Capital!AB45+[1]Capital!AB49</f>
        <v>2576.7741549000002</v>
      </c>
      <c r="AD170" s="5">
        <f>[1]Capital!AC45+[1]Capital!AC49</f>
        <v>2607.0064655000001</v>
      </c>
      <c r="AE170" s="5">
        <f>[1]Capital!AD45+[1]Capital!AD49</f>
        <v>2637.4685073999999</v>
      </c>
      <c r="AF170" s="5">
        <f>[1]Capital!AE45+[1]Capital!AE49</f>
        <v>2668.1526841000004</v>
      </c>
      <c r="AG170" s="5">
        <f>[1]Capital!AF45+[1]Capital!AF49</f>
        <v>2699.0557817999997</v>
      </c>
      <c r="AH170" s="5">
        <f>[1]Capital!AG45+[1]Capital!AG49</f>
        <v>2730.1787910000003</v>
      </c>
      <c r="AI170" s="5">
        <f>[1]Capital!AH45+[1]Capital!AH49</f>
        <v>2761.5261489</v>
      </c>
      <c r="AJ170" s="5">
        <f>[1]Capital!AI45+[1]Capital!AI49</f>
        <v>2793.1048811999999</v>
      </c>
      <c r="AK170" s="5">
        <f>[1]Capital!AJ45+[1]Capital!AJ49</f>
        <v>2824.9238141000001</v>
      </c>
      <c r="AL170" s="5">
        <f>[1]Capital!AK45+[1]Capital!AK49</f>
        <v>2856.9929499</v>
      </c>
      <c r="AM170" s="5">
        <f>[1]Capital!AL45+[1]Capital!AL49</f>
        <v>2889.2644357999998</v>
      </c>
      <c r="AN170" s="5">
        <f>[1]Capital!AM45+[1]Capital!AM49</f>
        <v>2921.7155487999999</v>
      </c>
      <c r="AO170" s="5">
        <f>[1]Capital!AN45+[1]Capital!AN49</f>
        <v>2954.3375206000001</v>
      </c>
      <c r="AP170" s="5">
        <f>[1]Capital!AO45+[1]Capital!AO49</f>
        <v>2987.1287421000002</v>
      </c>
      <c r="AQ170" s="5">
        <f>[1]Capital!AP45+[1]Capital!AP49</f>
        <v>3020.0920727000002</v>
      </c>
      <c r="AR170" s="5">
        <f>[1]Capital!AQ45+[1]Capital!AQ49</f>
        <v>3053.2336908999996</v>
      </c>
      <c r="AS170" s="5">
        <f>[1]Capital!AR45+[1]Capital!AR49</f>
        <v>3086.5624204999999</v>
      </c>
      <c r="AT170" s="5">
        <f>[1]Capital!AS45+[1]Capital!AS49</f>
        <v>3120.0891659999998</v>
      </c>
      <c r="AU170" s="5">
        <f>[1]Capital!AT45+[1]Capital!AT49</f>
        <v>3153.8263942000003</v>
      </c>
      <c r="AV170" s="5">
        <f>[1]Capital!AU45+[1]Capital!AU49</f>
        <v>3187.7876319000002</v>
      </c>
      <c r="AW170" s="5">
        <f>[1]Capital!AV45+[1]Capital!AV49</f>
        <v>3221.9922254000003</v>
      </c>
      <c r="AX170" s="5">
        <f>[1]Capital!AW45+[1]Capital!AW49</f>
        <v>3256.4569216</v>
      </c>
      <c r="AY170" s="5">
        <f>[1]Capital!AX45+[1]Capital!AX49</f>
        <v>3291.1963162000002</v>
      </c>
      <c r="AZ170" s="5">
        <f>[1]Capital!AY45+[1]Capital!AY49</f>
        <v>3326.2252807999998</v>
      </c>
      <c r="BA170" s="5">
        <f>[1]Capital!AZ45+[1]Capital!AZ49</f>
        <v>3361.5595223999999</v>
      </c>
      <c r="BB170" s="5">
        <f>[1]Capital!BA45+[1]Capital!BA49</f>
        <v>3588.2409678999998</v>
      </c>
      <c r="BC170" s="5">
        <f>[1]Capital!BB45+[1]Capital!BB49</f>
        <v>3640.4128946999999</v>
      </c>
      <c r="BD170" s="5">
        <f>[1]Capital!BC45+[1]Capital!BC49</f>
        <v>3693.3943216000002</v>
      </c>
      <c r="BE170" s="5">
        <f>[1]Capital!BD45+[1]Capital!BD49</f>
        <v>3747.1915847999999</v>
      </c>
      <c r="BF170" s="5">
        <f>[1]Capital!BE45+[1]Capital!BE49</f>
        <v>3801.8124930999998</v>
      </c>
    </row>
    <row r="171" spans="1:58" x14ac:dyDescent="0.35">
      <c r="B171" t="s">
        <v>33</v>
      </c>
      <c r="C171" s="5">
        <f>[1]Capital!B51+[1]Capital!B53+[1]Capital!B55+[1]Capital!B57+[1]Capital!B59+[1]Capital!B61+[1]Capital!B63+[1]Capital!B65+[1]Capital!B67</f>
        <v>40302.096895729999</v>
      </c>
      <c r="D171" s="5">
        <f>[1]Capital!C51+[1]Capital!C53+[1]Capital!C55+[1]Capital!C57+[1]Capital!C59+[1]Capital!C61+[1]Capital!C63+[1]Capital!C65+[1]Capital!C67</f>
        <v>40759.510885160002</v>
      </c>
      <c r="E171" s="5">
        <f>[1]Capital!D51+[1]Capital!D53+[1]Capital!D55+[1]Capital!D57+[1]Capital!D59+[1]Capital!D61+[1]Capital!D63+[1]Capital!D65+[1]Capital!D67</f>
        <v>41206.675476789998</v>
      </c>
      <c r="F171" s="5">
        <f>[1]Capital!E51+[1]Capital!E53+[1]Capital!E55+[1]Capital!E57+[1]Capital!E59+[1]Capital!E61+[1]Capital!E63+[1]Capital!E65+[1]Capital!E67</f>
        <v>41642.179995050006</v>
      </c>
      <c r="G171" s="5">
        <f>[1]Capital!F51+[1]Capital!F53+[1]Capital!F55+[1]Capital!F57+[1]Capital!F59+[1]Capital!F61+[1]Capital!F63+[1]Capital!F65+[1]Capital!F67</f>
        <v>42067.161310689997</v>
      </c>
      <c r="H171" s="5">
        <f>[1]Capital!G51+[1]Capital!G53+[1]Capital!G55+[1]Capital!G57+[1]Capital!G59+[1]Capital!G61+[1]Capital!G63+[1]Capital!G65+[1]Capital!G67</f>
        <v>42483.992038600001</v>
      </c>
      <c r="I171" s="5">
        <f>[1]Capital!H51+[1]Capital!H53+[1]Capital!H55+[1]Capital!H57+[1]Capital!H59+[1]Capital!H61+[1]Capital!H63+[1]Capital!H65+[1]Capital!H67</f>
        <v>42894.075143170005</v>
      </c>
      <c r="J171" s="5">
        <f>[1]Capital!I51+[1]Capital!I53+[1]Capital!I55+[1]Capital!I57+[1]Capital!I59+[1]Capital!I61+[1]Capital!I63+[1]Capital!I65+[1]Capital!I67</f>
        <v>43299.039946179997</v>
      </c>
      <c r="K171" s="5">
        <f>[1]Capital!J51+[1]Capital!J53+[1]Capital!J55+[1]Capital!J57+[1]Capital!J59+[1]Capital!J61+[1]Capital!J63+[1]Capital!J65+[1]Capital!J67</f>
        <v>43700.433027939995</v>
      </c>
      <c r="L171" s="5">
        <f>[1]Capital!K51+[1]Capital!K53+[1]Capital!K55+[1]Capital!K57+[1]Capital!K59+[1]Capital!K61+[1]Capital!K63+[1]Capital!K65+[1]Capital!K67</f>
        <v>44099.501113600003</v>
      </c>
      <c r="M171" s="5">
        <f>[1]Capital!L51+[1]Capital!L53+[1]Capital!L55+[1]Capital!L57+[1]Capital!L59+[1]Capital!L61+[1]Capital!L63+[1]Capital!L65+[1]Capital!L67</f>
        <v>44499.523653739998</v>
      </c>
      <c r="N171" s="5">
        <f>[1]Capital!M51+[1]Capital!M53+[1]Capital!M55+[1]Capital!M57+[1]Capital!M59+[1]Capital!M61+[1]Capital!M63+[1]Capital!M65+[1]Capital!M67</f>
        <v>44900.426296750004</v>
      </c>
      <c r="O171" s="5">
        <f>[1]Capital!N51+[1]Capital!N53+[1]Capital!N55+[1]Capital!N57+[1]Capital!N59+[1]Capital!N61+[1]Capital!N63+[1]Capital!N65+[1]Capital!N67</f>
        <v>45301.977689489999</v>
      </c>
      <c r="P171" s="5">
        <f>[1]Capital!O51+[1]Capital!O53+[1]Capital!O55+[1]Capital!O57+[1]Capital!O59+[1]Capital!O61+[1]Capital!O63+[1]Capital!O65+[1]Capital!O67</f>
        <v>45704.097172319991</v>
      </c>
      <c r="Q171" s="5">
        <f>[1]Capital!P51+[1]Capital!P53+[1]Capital!P55+[1]Capital!P57+[1]Capital!P59+[1]Capital!P61+[1]Capital!P63+[1]Capital!P65+[1]Capital!P67</f>
        <v>46106.804054869994</v>
      </c>
      <c r="R171" s="5">
        <f>[1]Capital!Q51+[1]Capital!Q53+[1]Capital!Q55+[1]Capital!Q57+[1]Capital!Q59+[1]Capital!Q61+[1]Capital!Q63+[1]Capital!Q65+[1]Capital!Q67</f>
        <v>46510.17552936</v>
      </c>
      <c r="S171" s="5">
        <f>[1]Capital!R51+[1]Capital!R53+[1]Capital!R55+[1]Capital!R57+[1]Capital!R59+[1]Capital!R61+[1]Capital!R63+[1]Capital!R65+[1]Capital!R67</f>
        <v>46914.334100600005</v>
      </c>
      <c r="T171" s="5">
        <f>[1]Capital!S51+[1]Capital!S53+[1]Capital!S55+[1]Capital!S57+[1]Capital!S59+[1]Capital!S61+[1]Capital!S63+[1]Capital!S65+[1]Capital!S67</f>
        <v>47319.448987639997</v>
      </c>
      <c r="U171" s="5">
        <f>[1]Capital!T51+[1]Capital!T53+[1]Capital!T55+[1]Capital!T57+[1]Capital!T59+[1]Capital!T61+[1]Capital!T63+[1]Capital!T65+[1]Capital!T67</f>
        <v>47725.741167819993</v>
      </c>
      <c r="V171" s="5">
        <f>[1]Capital!U51+[1]Capital!U53+[1]Capital!U55+[1]Capital!U57+[1]Capital!U59+[1]Capital!U61+[1]Capital!U63+[1]Capital!U65+[1]Capital!U67</f>
        <v>48133.487266800003</v>
      </c>
      <c r="W171" s="5">
        <f>[1]Capital!V51+[1]Capital!V53+[1]Capital!V55+[1]Capital!V57+[1]Capital!V59+[1]Capital!V61+[1]Capital!V63+[1]Capital!V65+[1]Capital!V67</f>
        <v>48541.333106220001</v>
      </c>
      <c r="X171" s="5">
        <f>[1]Capital!W51+[1]Capital!W53+[1]Capital!W55+[1]Capital!W57+[1]Capital!W59+[1]Capital!W61+[1]Capital!W63+[1]Capital!W65+[1]Capital!W67</f>
        <v>48950.201561950002</v>
      </c>
      <c r="Y171" s="5">
        <f>[1]Capital!X51+[1]Capital!X53+[1]Capital!X55+[1]Capital!X57+[1]Capital!X59+[1]Capital!X61+[1]Capital!X63+[1]Capital!X65+[1]Capital!X67</f>
        <v>49361.043020680001</v>
      </c>
      <c r="Z171" s="5">
        <f>[1]Capital!Y51+[1]Capital!Y53+[1]Capital!Y55+[1]Capital!Y57+[1]Capital!Y59+[1]Capital!Y61+[1]Capital!Y63+[1]Capital!Y65+[1]Capital!Y67</f>
        <v>49774.662003370002</v>
      </c>
      <c r="AA171" s="5">
        <f>[1]Capital!Z51+[1]Capital!Z53+[1]Capital!Z55+[1]Capital!Z57+[1]Capital!Z59+[1]Capital!Z61+[1]Capital!Z63+[1]Capital!Z65+[1]Capital!Z67</f>
        <v>50191.782023510001</v>
      </c>
      <c r="AB171" s="5">
        <f>[1]Capital!AA51+[1]Capital!AA53+[1]Capital!AA55+[1]Capital!AA57+[1]Capital!AA59+[1]Capital!AA61+[1]Capital!AA63+[1]Capital!AA65+[1]Capital!AA67</f>
        <v>50608.300608380014</v>
      </c>
      <c r="AC171" s="5">
        <f>[1]Capital!AB51+[1]Capital!AB53+[1]Capital!AB55+[1]Capital!AB57+[1]Capital!AB59+[1]Capital!AB61+[1]Capital!AB63+[1]Capital!AB65+[1]Capital!AB67</f>
        <v>51024.13743557001</v>
      </c>
      <c r="AD171" s="5">
        <f>[1]Capital!AC51+[1]Capital!AC53+[1]Capital!AC55+[1]Capital!AC57+[1]Capital!AC59+[1]Capital!AC61+[1]Capital!AC63+[1]Capital!AC65+[1]Capital!AC67</f>
        <v>51439.821318330003</v>
      </c>
      <c r="AE171" s="5">
        <f>[1]Capital!AD51+[1]Capital!AD53+[1]Capital!AD55+[1]Capital!AD57+[1]Capital!AD59+[1]Capital!AD61+[1]Capital!AD63+[1]Capital!AD65+[1]Capital!AD67</f>
        <v>51855.993010300001</v>
      </c>
      <c r="AF171" s="5">
        <f>[1]Capital!AE51+[1]Capital!AE53+[1]Capital!AE55+[1]Capital!AE57+[1]Capital!AE59+[1]Capital!AE61+[1]Capital!AE63+[1]Capital!AE65+[1]Capital!AE67</f>
        <v>52273.356375980002</v>
      </c>
      <c r="AG171" s="5">
        <f>[1]Capital!AF51+[1]Capital!AF53+[1]Capital!AF55+[1]Capital!AF57+[1]Capital!AF59+[1]Capital!AF61+[1]Capital!AF63+[1]Capital!AF65+[1]Capital!AF67</f>
        <v>52692.671681900014</v>
      </c>
      <c r="AH171" s="5">
        <f>[1]Capital!AG51+[1]Capital!AG53+[1]Capital!AG55+[1]Capital!AG57+[1]Capital!AG59+[1]Capital!AG61+[1]Capital!AG63+[1]Capital!AG65+[1]Capital!AG67</f>
        <v>53114.740342419995</v>
      </c>
      <c r="AI171" s="5">
        <f>[1]Capital!AH51+[1]Capital!AH53+[1]Capital!AH55+[1]Capital!AH57+[1]Capital!AH59+[1]Capital!AH61+[1]Capital!AH63+[1]Capital!AH65+[1]Capital!AH67</f>
        <v>53540.38359338</v>
      </c>
      <c r="AJ171" s="5">
        <f>[1]Capital!AI51+[1]Capital!AI53+[1]Capital!AI55+[1]Capital!AI57+[1]Capital!AI59+[1]Capital!AI61+[1]Capital!AI63+[1]Capital!AI65+[1]Capital!AI67</f>
        <v>53970.420566880006</v>
      </c>
      <c r="AK171" s="5">
        <f>[1]Capital!AJ51+[1]Capital!AJ53+[1]Capital!AJ55+[1]Capital!AJ57+[1]Capital!AJ59+[1]Capital!AJ61+[1]Capital!AJ63+[1]Capital!AJ65+[1]Capital!AJ67</f>
        <v>54405.649372219996</v>
      </c>
      <c r="AL171" s="5">
        <f>[1]Capital!AK51+[1]Capital!AK53+[1]Capital!AK55+[1]Capital!AK57+[1]Capital!AK59+[1]Capital!AK61+[1]Capital!AK63+[1]Capital!AK65+[1]Capital!AK67</f>
        <v>54846.832568060003</v>
      </c>
      <c r="AM171" s="5">
        <f>[1]Capital!AL51+[1]Capital!AL53+[1]Capital!AL55+[1]Capital!AL57+[1]Capital!AL59+[1]Capital!AL61+[1]Capital!AL63+[1]Capital!AL65+[1]Capital!AL67</f>
        <v>55293.564758349996</v>
      </c>
      <c r="AN171" s="5">
        <f>[1]Capital!AM51+[1]Capital!AM53+[1]Capital!AM55+[1]Capital!AM57+[1]Capital!AM59+[1]Capital!AM61+[1]Capital!AM63+[1]Capital!AM65+[1]Capital!AM67</f>
        <v>55745.733961649996</v>
      </c>
      <c r="AO171" s="5">
        <f>[1]Capital!AN51+[1]Capital!AN53+[1]Capital!AN55+[1]Capital!AN57+[1]Capital!AN59+[1]Capital!AN61+[1]Capital!AN63+[1]Capital!AN65+[1]Capital!AN67</f>
        <v>56203.502131539994</v>
      </c>
      <c r="AP171" s="5">
        <f>[1]Capital!AO51+[1]Capital!AO53+[1]Capital!AO55+[1]Capital!AO57+[1]Capital!AO59+[1]Capital!AO61+[1]Capital!AO63+[1]Capital!AO65+[1]Capital!AO67</f>
        <v>56667.182705990002</v>
      </c>
      <c r="AQ171" s="5">
        <f>[1]Capital!AP51+[1]Capital!AP53+[1]Capital!AP55+[1]Capital!AP57+[1]Capital!AP59+[1]Capital!AP61+[1]Capital!AP63+[1]Capital!AP65+[1]Capital!AP67</f>
        <v>57137.167569149999</v>
      </c>
      <c r="AR171" s="5">
        <f>[1]Capital!AQ51+[1]Capital!AQ53+[1]Capital!AQ55+[1]Capital!AQ57+[1]Capital!AQ59+[1]Capital!AQ61+[1]Capital!AQ63+[1]Capital!AQ65+[1]Capital!AQ67</f>
        <v>57613.889239390002</v>
      </c>
      <c r="AS171" s="5">
        <f>[1]Capital!AR51+[1]Capital!AR53+[1]Capital!AR55+[1]Capital!AR57+[1]Capital!AR59+[1]Capital!AR61+[1]Capital!AR63+[1]Capital!AR65+[1]Capital!AR67</f>
        <v>58097.799761470007</v>
      </c>
      <c r="AT171" s="5">
        <f>[1]Capital!AS51+[1]Capital!AS53+[1]Capital!AS55+[1]Capital!AS57+[1]Capital!AS59+[1]Capital!AS61+[1]Capital!AS63+[1]Capital!AS65+[1]Capital!AS67</f>
        <v>58589.357315809997</v>
      </c>
      <c r="AU171" s="5">
        <f>[1]Capital!AT51+[1]Capital!AT53+[1]Capital!AT55+[1]Capital!AT57+[1]Capital!AT59+[1]Capital!AT61+[1]Capital!AT63+[1]Capital!AT65+[1]Capital!AT67</f>
        <v>59089.015616850018</v>
      </c>
      <c r="AV171" s="5">
        <f>[1]Capital!AU51+[1]Capital!AU53+[1]Capital!AU55+[1]Capital!AU57+[1]Capital!AU59+[1]Capital!AU61+[1]Capital!AU63+[1]Capital!AU65+[1]Capital!AU67</f>
        <v>59597.21185113</v>
      </c>
      <c r="AW171" s="5">
        <f>[1]Capital!AV51+[1]Capital!AV53+[1]Capital!AV55+[1]Capital!AV57+[1]Capital!AV59+[1]Capital!AV61+[1]Capital!AV63+[1]Capital!AV65+[1]Capital!AV67</f>
        <v>60114.436384360008</v>
      </c>
      <c r="AX171" s="5">
        <f>[1]Capital!AW51+[1]Capital!AW53+[1]Capital!AW55+[1]Capital!AW57+[1]Capital!AW59+[1]Capital!AW61+[1]Capital!AW63+[1]Capital!AW65+[1]Capital!AW67</f>
        <v>60640.985117190008</v>
      </c>
      <c r="AY171" s="5">
        <f>[1]Capital!AX51+[1]Capital!AX53+[1]Capital!AX55+[1]Capital!AX57+[1]Capital!AX59+[1]Capital!AX61+[1]Capital!AX63+[1]Capital!AX65+[1]Capital!AX67</f>
        <v>61177.006209940002</v>
      </c>
      <c r="AZ171" s="5">
        <f>[1]Capital!AY51+[1]Capital!AY53+[1]Capital!AY55+[1]Capital!AY57+[1]Capital!AY59+[1]Capital!AY61+[1]Capital!AY63+[1]Capital!AY65+[1]Capital!AY67</f>
        <v>61722.676945420004</v>
      </c>
      <c r="BA171" s="5">
        <f>[1]Capital!AZ51+[1]Capital!AZ53+[1]Capital!AZ55+[1]Capital!AZ57+[1]Capital!AZ59+[1]Capital!AZ61+[1]Capital!AZ63+[1]Capital!AZ65+[1]Capital!AZ67</f>
        <v>62278.25964850001</v>
      </c>
      <c r="BB171" s="5">
        <f>[1]Capital!BA51+[1]Capital!BA53+[1]Capital!BA55+[1]Capital!BA57+[1]Capital!BA59+[1]Capital!BA61+[1]Capital!BA63+[1]Capital!BA65+[1]Capital!BA67</f>
        <v>68008.589476100009</v>
      </c>
      <c r="BC171" s="5">
        <f>[1]Capital!BB51+[1]Capital!BB53+[1]Capital!BB55+[1]Capital!BB57+[1]Capital!BB59+[1]Capital!BB61+[1]Capital!BB63+[1]Capital!BB65+[1]Capital!BB67</f>
        <v>68908.919014700019</v>
      </c>
      <c r="BD171" s="5">
        <f>[1]Capital!BC51+[1]Capital!BC53+[1]Capital!BC55+[1]Capital!BC57+[1]Capital!BC59+[1]Capital!BC61+[1]Capital!BC63+[1]Capital!BC65+[1]Capital!BC67</f>
        <v>69826.220295000006</v>
      </c>
      <c r="BE171" s="5">
        <f>[1]Capital!BD51+[1]Capital!BD53+[1]Capital!BD55+[1]Capital!BD57+[1]Capital!BD59+[1]Capital!BD61+[1]Capital!BD63+[1]Capital!BD65+[1]Capital!BD67</f>
        <v>70760.591945599997</v>
      </c>
      <c r="BF171" s="5">
        <f>[1]Capital!BE51+[1]Capital!BE53+[1]Capital!BE55+[1]Capital!BE57+[1]Capital!BE59+[1]Capital!BE61+[1]Capital!BE63+[1]Capital!BE65+[1]Capital!BE67</f>
        <v>71712.145180200008</v>
      </c>
    </row>
    <row r="172" spans="1:58" x14ac:dyDescent="0.35"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</row>
    <row r="173" spans="1:58" x14ac:dyDescent="0.35">
      <c r="A173" s="12" t="s">
        <v>41</v>
      </c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</row>
    <row r="174" spans="1:58" x14ac:dyDescent="0.35">
      <c r="A174" t="s">
        <v>39</v>
      </c>
      <c r="B174" t="s">
        <v>40</v>
      </c>
      <c r="C174" s="5">
        <f>[1]Capital!B2</f>
        <v>5218721.5520000001</v>
      </c>
      <c r="D174" s="5">
        <f>[1]Capital!C2</f>
        <v>5271406.5820000004</v>
      </c>
      <c r="E174" s="5">
        <f>[1]Capital!D2</f>
        <v>5324029.335</v>
      </c>
      <c r="F174" s="5">
        <f>[1]Capital!E2</f>
        <v>5377525.6950000003</v>
      </c>
      <c r="G174" s="5">
        <f>[1]Capital!F2</f>
        <v>5432435.0590000004</v>
      </c>
      <c r="H174" s="5">
        <f>[1]Capital!G2</f>
        <v>5489098.5250000004</v>
      </c>
      <c r="I174" s="5">
        <f>[1]Capital!H2</f>
        <v>5547558.7989999996</v>
      </c>
      <c r="J174" s="5">
        <f>[1]Capital!I2</f>
        <v>5607869.1569999997</v>
      </c>
      <c r="K174" s="5">
        <f>[1]Capital!J2</f>
        <v>5670095.2910000002</v>
      </c>
      <c r="L174" s="5">
        <f>[1]Capital!K2</f>
        <v>5734305.3880000003</v>
      </c>
      <c r="M174" s="5">
        <f>[1]Capital!L2</f>
        <v>5800897.2920000004</v>
      </c>
      <c r="N174" s="5">
        <f>[1]Capital!M2</f>
        <v>5869796.6639999999</v>
      </c>
      <c r="O174" s="5">
        <f>[1]Capital!N2</f>
        <v>5940963.0460000001</v>
      </c>
      <c r="P174" s="5">
        <f>[1]Capital!O2</f>
        <v>6014382.7709999997</v>
      </c>
      <c r="Q174" s="5">
        <f>[1]Capital!P2</f>
        <v>6090055.0429999996</v>
      </c>
      <c r="R174" s="5">
        <f>[1]Capital!Q2</f>
        <v>6167986.2829999998</v>
      </c>
      <c r="S174" s="5">
        <f>[1]Capital!R2</f>
        <v>6248164.6689999998</v>
      </c>
      <c r="T174" s="5">
        <f>[1]Capital!S2</f>
        <v>6330595.4500000002</v>
      </c>
      <c r="U174" s="5">
        <f>[1]Capital!T2</f>
        <v>6415294.6900000004</v>
      </c>
      <c r="V174" s="5">
        <f>[1]Capital!U2</f>
        <v>6502284.9170000004</v>
      </c>
      <c r="W174" s="5">
        <f>[1]Capital!V2</f>
        <v>6591346.0619999999</v>
      </c>
      <c r="X174" s="5">
        <f>[1]Capital!W2</f>
        <v>6682584.2769999998</v>
      </c>
      <c r="Y174" s="5">
        <f>[1]Capital!X2</f>
        <v>6776084.6869999999</v>
      </c>
      <c r="Z174" s="5">
        <f>[1]Capital!Y2</f>
        <v>6871912.057</v>
      </c>
      <c r="AA174" s="5">
        <f>[1]Capital!Z2</f>
        <v>6970118.7419999996</v>
      </c>
      <c r="AB174" s="5">
        <f>[1]Capital!AA2</f>
        <v>7070036.682</v>
      </c>
      <c r="AC174" s="5">
        <f>[1]Capital!AB2</f>
        <v>7171595.8669999996</v>
      </c>
      <c r="AD174" s="5">
        <f>[1]Capital!AC2</f>
        <v>7274754.807</v>
      </c>
      <c r="AE174" s="5">
        <f>[1]Capital!AD2</f>
        <v>7379481.0049999999</v>
      </c>
      <c r="AF174" s="5">
        <f>[1]Capital!AE2</f>
        <v>7485752.5750000002</v>
      </c>
      <c r="AG174" s="5">
        <f>[1]Capital!AF2</f>
        <v>7593557.5109999999</v>
      </c>
      <c r="AH174" s="5">
        <f>[1]Capital!AG2</f>
        <v>7702896.3650000002</v>
      </c>
      <c r="AI174" s="5">
        <f>[1]Capital!AH2</f>
        <v>7813770.9720000001</v>
      </c>
      <c r="AJ174" s="5">
        <f>[1]Capital!AI2</f>
        <v>7926182.7570000002</v>
      </c>
      <c r="AK174" s="5">
        <f>[1]Capital!AJ2</f>
        <v>8040131.3090000004</v>
      </c>
      <c r="AL174" s="5">
        <f>[1]Capital!AK2</f>
        <v>8155613.3930000002</v>
      </c>
      <c r="AM174" s="5">
        <f>[1]Capital!AL2</f>
        <v>8272497.4740000004</v>
      </c>
      <c r="AN174" s="5">
        <f>[1]Capital!AM2</f>
        <v>8390676.5040000007</v>
      </c>
      <c r="AO174" s="5">
        <f>[1]Capital!AN2</f>
        <v>8510066.0240000002</v>
      </c>
      <c r="AP174" s="5">
        <f>[1]Capital!AO2</f>
        <v>8630598.7070000004</v>
      </c>
      <c r="AQ174" s="5">
        <f>[1]Capital!AP2</f>
        <v>8752220.9900000002</v>
      </c>
      <c r="AR174" s="5">
        <f>[1]Capital!AQ2</f>
        <v>8874898.3800000008</v>
      </c>
      <c r="AS174" s="5">
        <f>[1]Capital!AR2</f>
        <v>8998602.1459999997</v>
      </c>
      <c r="AT174" s="5">
        <f>[1]Capital!AS2</f>
        <v>9123309.2320000008</v>
      </c>
      <c r="AU174" s="5">
        <f>[1]Capital!AT2</f>
        <v>9249001.7320000008</v>
      </c>
      <c r="AV174" s="5">
        <f>[1]Capital!AU2</f>
        <v>9375666.0830000006</v>
      </c>
      <c r="AW174" s="5">
        <f>[1]Capital!AV2</f>
        <v>9503333.8239999991</v>
      </c>
      <c r="AX174" s="5">
        <f>[1]Capital!AW2</f>
        <v>9632022.4590000007</v>
      </c>
      <c r="AY174" s="5">
        <f>[1]Capital!AX2</f>
        <v>9761742.1539999992</v>
      </c>
      <c r="AZ174" s="5">
        <f>[1]Capital!AY2</f>
        <v>9892500.3819999993</v>
      </c>
      <c r="BA174" s="5">
        <f>[1]Capital!AZ2</f>
        <v>10024304.220000001</v>
      </c>
      <c r="BB174" s="5">
        <f>[1]Capital!BA2</f>
        <v>11978567.880000001</v>
      </c>
      <c r="BC174" s="5">
        <f>[1]Capital!BB2</f>
        <v>12204228.35</v>
      </c>
      <c r="BD174" s="5">
        <f>[1]Capital!BC2</f>
        <v>12433206.91</v>
      </c>
      <c r="BE174" s="5">
        <f>[1]Capital!BD2</f>
        <v>12665453.859999999</v>
      </c>
      <c r="BF174" s="5">
        <f>[1]Capital!BE2</f>
        <v>12900919.949999999</v>
      </c>
    </row>
    <row r="175" spans="1:58" x14ac:dyDescent="0.35">
      <c r="B175" t="s">
        <v>7</v>
      </c>
      <c r="C175" s="5">
        <f>[1]Capital!B4+[1]Capital!B6</f>
        <v>48995.310331000001</v>
      </c>
      <c r="D175" s="5">
        <f>[1]Capital!C4+[1]Capital!C6</f>
        <v>49455.163271999998</v>
      </c>
      <c r="E175" s="5">
        <f>[1]Capital!D4+[1]Capital!D6</f>
        <v>49893.759586999993</v>
      </c>
      <c r="F175" s="5">
        <f>[1]Capital!E4+[1]Capital!E6</f>
        <v>50323.478533000001</v>
      </c>
      <c r="G175" s="5">
        <f>[1]Capital!F4+[1]Capital!F6</f>
        <v>50754.060043000005</v>
      </c>
      <c r="H175" s="5">
        <f>[1]Capital!G4+[1]Capital!G6</f>
        <v>51193.226730000002</v>
      </c>
      <c r="I175" s="5">
        <f>[1]Capital!H4+[1]Capital!H6</f>
        <v>51645.213581999997</v>
      </c>
      <c r="J175" s="5">
        <f>[1]Capital!I4+[1]Capital!I6</f>
        <v>52113.431762</v>
      </c>
      <c r="K175" s="5">
        <f>[1]Capital!J4+[1]Capital!J6</f>
        <v>52600.580579999994</v>
      </c>
      <c r="L175" s="5">
        <f>[1]Capital!K4+[1]Capital!K6</f>
        <v>53108.680821000002</v>
      </c>
      <c r="M175" s="5">
        <f>[1]Capital!L4+[1]Capital!L6</f>
        <v>53642.272500999999</v>
      </c>
      <c r="N175" s="5">
        <f>[1]Capital!M4+[1]Capital!M6</f>
        <v>54201.117725000004</v>
      </c>
      <c r="O175" s="5">
        <f>[1]Capital!N4+[1]Capital!N6</f>
        <v>54784.853797000003</v>
      </c>
      <c r="P175" s="5">
        <f>[1]Capital!O4+[1]Capital!O6</f>
        <v>55393.098163000002</v>
      </c>
      <c r="Q175" s="5">
        <f>[1]Capital!P4+[1]Capital!P6</f>
        <v>56025.412810000002</v>
      </c>
      <c r="R175" s="5">
        <f>[1]Capital!Q4+[1]Capital!Q6</f>
        <v>56681.320125999999</v>
      </c>
      <c r="S175" s="5">
        <f>[1]Capital!R4+[1]Capital!R6</f>
        <v>57360.058538999998</v>
      </c>
      <c r="T175" s="5">
        <f>[1]Capital!S4+[1]Capital!S6</f>
        <v>58061.040068999995</v>
      </c>
      <c r="U175" s="5">
        <f>[1]Capital!T4+[1]Capital!T6</f>
        <v>58783.786533999999</v>
      </c>
      <c r="V175" s="5">
        <f>[1]Capital!U4+[1]Capital!U6</f>
        <v>59527.893752000004</v>
      </c>
      <c r="W175" s="5">
        <f>[1]Capital!V4+[1]Capital!V6</f>
        <v>60290.720121999999</v>
      </c>
      <c r="X175" s="5">
        <f>[1]Capital!W4+[1]Capital!W6</f>
        <v>61072.597030000004</v>
      </c>
      <c r="Y175" s="5">
        <f>[1]Capital!X4+[1]Capital!X6</f>
        <v>61873.819573000001</v>
      </c>
      <c r="Z175" s="5">
        <f>[1]Capital!Y4+[1]Capital!Y6</f>
        <v>62694.569917999994</v>
      </c>
      <c r="AA175" s="5">
        <f>[1]Capital!Z4+[1]Capital!Z6</f>
        <v>63534.963774000003</v>
      </c>
      <c r="AB175" s="5">
        <f>[1]Capital!AA4+[1]Capital!AA6</f>
        <v>64388.460901999999</v>
      </c>
      <c r="AC175" s="5">
        <f>[1]Capital!AB4+[1]Capital!AB6</f>
        <v>65253.858068000001</v>
      </c>
      <c r="AD175" s="5">
        <f>[1]Capital!AC4+[1]Capital!AC6</f>
        <v>66130.468638000006</v>
      </c>
      <c r="AE175" s="5">
        <f>[1]Capital!AD4+[1]Capital!AD6</f>
        <v>67017.872082000002</v>
      </c>
      <c r="AF175" s="5">
        <f>[1]Capital!AE4+[1]Capital!AE6</f>
        <v>67915.899479999993</v>
      </c>
      <c r="AG175" s="5">
        <f>[1]Capital!AF4+[1]Capital!AF6</f>
        <v>68824.595293999999</v>
      </c>
      <c r="AH175" s="5">
        <f>[1]Capital!AG4+[1]Capital!AG6</f>
        <v>69744.222552000007</v>
      </c>
      <c r="AI175" s="5">
        <f>[1]Capital!AH4+[1]Capital!AH6</f>
        <v>70675.107208000001</v>
      </c>
      <c r="AJ175" s="5">
        <f>[1]Capital!AI4+[1]Capital!AI6</f>
        <v>71617.606304000001</v>
      </c>
      <c r="AK175" s="5">
        <f>[1]Capital!AJ4+[1]Capital!AJ6</f>
        <v>72572.081031000009</v>
      </c>
      <c r="AL175" s="5">
        <f>[1]Capital!AK4+[1]Capital!AK6</f>
        <v>73538.877432000008</v>
      </c>
      <c r="AM175" s="5">
        <f>[1]Capital!AL4+[1]Capital!AL6</f>
        <v>74517.279288999998</v>
      </c>
      <c r="AN175" s="5">
        <f>[1]Capital!AM4+[1]Capital!AM6</f>
        <v>75506.651915000009</v>
      </c>
      <c r="AO175" s="5">
        <f>[1]Capital!AN4+[1]Capital!AN6</f>
        <v>76506.562221</v>
      </c>
      <c r="AP175" s="5">
        <f>[1]Capital!AO4+[1]Capital!AO6</f>
        <v>77516.77003</v>
      </c>
      <c r="AQ175" s="5">
        <f>[1]Capital!AP4+[1]Capital!AP6</f>
        <v>78537.202073000008</v>
      </c>
      <c r="AR175" s="5">
        <f>[1]Capital!AQ4+[1]Capital!AQ6</f>
        <v>79568.011931000001</v>
      </c>
      <c r="AS175" s="5">
        <f>[1]Capital!AR4+[1]Capital!AR6</f>
        <v>80609.412488000002</v>
      </c>
      <c r="AT175" s="5">
        <f>[1]Capital!AS4+[1]Capital!AS6</f>
        <v>81661.670327999993</v>
      </c>
      <c r="AU175" s="5">
        <f>[1]Capital!AT4+[1]Capital!AT6</f>
        <v>82725.091983999999</v>
      </c>
      <c r="AV175" s="5">
        <f>[1]Capital!AU4+[1]Capital!AU6</f>
        <v>83800.007291999995</v>
      </c>
      <c r="AW175" s="5">
        <f>[1]Capital!AV4+[1]Capital!AV6</f>
        <v>84887.203735999996</v>
      </c>
      <c r="AX175" s="5">
        <f>[1]Capital!AW4+[1]Capital!AW6</f>
        <v>85987.27141999999</v>
      </c>
      <c r="AY175" s="5">
        <f>[1]Capital!AX4+[1]Capital!AX6</f>
        <v>87100.682581999994</v>
      </c>
      <c r="AZ175" s="5">
        <f>[1]Capital!AY4+[1]Capital!AY6</f>
        <v>88227.840174000012</v>
      </c>
      <c r="BA175" s="5">
        <f>[1]Capital!AZ4+[1]Capital!AZ6</f>
        <v>89369.099038999993</v>
      </c>
      <c r="BB175" s="5">
        <f>[1]Capital!BA4+[1]Capital!BA6</f>
        <v>105834.417663</v>
      </c>
      <c r="BC175" s="5">
        <f>[1]Capital!BB4+[1]Capital!BB6</f>
        <v>107731.277131</v>
      </c>
      <c r="BD175" s="5">
        <f>[1]Capital!BC4+[1]Capital!BC6</f>
        <v>109661.173695</v>
      </c>
      <c r="BE175" s="5">
        <f>[1]Capital!BD4+[1]Capital!BD6</f>
        <v>111624.429311</v>
      </c>
      <c r="BF175" s="5">
        <f>[1]Capital!BE4+[1]Capital!BE6</f>
        <v>113621.388359</v>
      </c>
    </row>
    <row r="176" spans="1:58" x14ac:dyDescent="0.35">
      <c r="B176" t="s">
        <v>30</v>
      </c>
      <c r="C176" s="5">
        <f>[1]Capital!B8+[1]Capital!B10+[1]Capital!B13+[1]Capital!B14+[1]Capital!B16+[1]Capital!B18+[1]Capital!B20+[1]Capital!B22+[1]Capital!B24+[1]Capital!B26+[1]Capital!B40</f>
        <v>2592683.0819100006</v>
      </c>
      <c r="D176" s="5">
        <f>[1]Capital!C8+[1]Capital!C10+[1]Capital!C13+[1]Capital!C14+[1]Capital!C16+[1]Capital!C18+[1]Capital!C20+[1]Capital!C22+[1]Capital!C24+[1]Capital!C26+[1]Capital!C40</f>
        <v>2618586.7115039998</v>
      </c>
      <c r="E176" s="5">
        <f>[1]Capital!D8+[1]Capital!D10+[1]Capital!D13+[1]Capital!D14+[1]Capital!D16+[1]Capital!D18+[1]Capital!D20+[1]Capital!D22+[1]Capital!D24+[1]Capital!D26+[1]Capital!D40</f>
        <v>2644546.2140850001</v>
      </c>
      <c r="F176" s="5">
        <f>[1]Capital!E8+[1]Capital!E10+[1]Capital!E13+[1]Capital!E14+[1]Capital!E16+[1]Capital!E18+[1]Capital!E20+[1]Capital!E22+[1]Capital!E24+[1]Capital!E26+[1]Capital!E40</f>
        <v>2671029.3737679999</v>
      </c>
      <c r="G176" s="5">
        <f>[1]Capital!F8+[1]Capital!F10+[1]Capital!F13+[1]Capital!F14+[1]Capital!F16+[1]Capital!F18+[1]Capital!F20+[1]Capital!F22+[1]Capital!F24+[1]Capital!F26+[1]Capital!F40</f>
        <v>2698272.7904679999</v>
      </c>
      <c r="H176" s="5">
        <f>[1]Capital!G8+[1]Capital!G10+[1]Capital!G13+[1]Capital!G14+[1]Capital!G16+[1]Capital!G18+[1]Capital!G20+[1]Capital!G22+[1]Capital!G24+[1]Capital!G26+[1]Capital!G40</f>
        <v>2726402.9462970002</v>
      </c>
      <c r="I176" s="5">
        <f>[1]Capital!H8+[1]Capital!H10+[1]Capital!H13+[1]Capital!H14+[1]Capital!H16+[1]Capital!H18+[1]Capital!H20+[1]Capital!H22+[1]Capital!H24+[1]Capital!H26+[1]Capital!H40</f>
        <v>2755411.3740149997</v>
      </c>
      <c r="J176" s="5">
        <f>[1]Capital!I8+[1]Capital!I10+[1]Capital!I13+[1]Capital!I14+[1]Capital!I16+[1]Capital!I18+[1]Capital!I20+[1]Capital!I22+[1]Capital!I24+[1]Capital!I26+[1]Capital!I40</f>
        <v>2785294.6921489998</v>
      </c>
      <c r="K176" s="5">
        <f>[1]Capital!J8+[1]Capital!J10+[1]Capital!J13+[1]Capital!J14+[1]Capital!J16+[1]Capital!J18+[1]Capital!J20+[1]Capital!J22+[1]Capital!J24+[1]Capital!J26+[1]Capital!J40</f>
        <v>2816063.005498</v>
      </c>
      <c r="L176" s="5">
        <f>[1]Capital!K8+[1]Capital!K10+[1]Capital!K13+[1]Capital!K14+[1]Capital!K16+[1]Capital!K18+[1]Capital!K20+[1]Capital!K22+[1]Capital!K24+[1]Capital!K26+[1]Capital!K40</f>
        <v>2847737.249971</v>
      </c>
      <c r="M176" s="5">
        <f>[1]Capital!L8+[1]Capital!L10+[1]Capital!L13+[1]Capital!L14+[1]Capital!L16+[1]Capital!L18+[1]Capital!L20+[1]Capital!L22+[1]Capital!L24+[1]Capital!L26+[1]Capital!L40</f>
        <v>2880490.9592309999</v>
      </c>
      <c r="N176" s="5">
        <f>[1]Capital!M8+[1]Capital!M10+[1]Capital!M13+[1]Capital!M14+[1]Capital!M16+[1]Capital!M18+[1]Capital!M20+[1]Capital!M22+[1]Capital!M24+[1]Capital!M26+[1]Capital!M40</f>
        <v>2914305.39255</v>
      </c>
      <c r="O176" s="5">
        <f>[1]Capital!N8+[1]Capital!N10+[1]Capital!N13+[1]Capital!N14+[1]Capital!N16+[1]Capital!N18+[1]Capital!N20+[1]Capital!N22+[1]Capital!N24+[1]Capital!N26+[1]Capital!N40</f>
        <v>2949175.730397</v>
      </c>
      <c r="P176" s="5">
        <f>[1]Capital!O8+[1]Capital!O10+[1]Capital!O13+[1]Capital!O14+[1]Capital!O16+[1]Capital!O18+[1]Capital!O20+[1]Capital!O22+[1]Capital!O24+[1]Capital!O26+[1]Capital!O40</f>
        <v>2985110.329473</v>
      </c>
      <c r="Q176" s="5">
        <f>[1]Capital!P8+[1]Capital!P10+[1]Capital!P13+[1]Capital!P14+[1]Capital!P16+[1]Capital!P18+[1]Capital!P20+[1]Capital!P22+[1]Capital!P24+[1]Capital!P26+[1]Capital!P40</f>
        <v>3022125.490001</v>
      </c>
      <c r="R176" s="5">
        <f>[1]Capital!Q8+[1]Capital!Q10+[1]Capital!Q13+[1]Capital!Q14+[1]Capital!Q16+[1]Capital!Q18+[1]Capital!Q20+[1]Capital!Q22+[1]Capital!Q24+[1]Capital!Q26+[1]Capital!Q40</f>
        <v>3060242.6304939999</v>
      </c>
      <c r="S176" s="5">
        <f>[1]Capital!R8+[1]Capital!R10+[1]Capital!R13+[1]Capital!R14+[1]Capital!R16+[1]Capital!R18+[1]Capital!R20+[1]Capital!R22+[1]Capital!R24+[1]Capital!R26+[1]Capital!R40</f>
        <v>3099473.9409059999</v>
      </c>
      <c r="T176" s="5">
        <f>[1]Capital!S8+[1]Capital!S10+[1]Capital!S13+[1]Capital!S14+[1]Capital!S16+[1]Capital!S18+[1]Capital!S20+[1]Capital!S22+[1]Capital!S24+[1]Capital!S26+[1]Capital!S40</f>
        <v>3139841.4501470001</v>
      </c>
      <c r="U176" s="5">
        <f>[1]Capital!T8+[1]Capital!T10+[1]Capital!T13+[1]Capital!T14+[1]Capital!T16+[1]Capital!T18+[1]Capital!T20+[1]Capital!T22+[1]Capital!T24+[1]Capital!T26+[1]Capital!T40</f>
        <v>3181373.037546</v>
      </c>
      <c r="V176" s="5">
        <f>[1]Capital!U8+[1]Capital!U10+[1]Capital!U13+[1]Capital!U14+[1]Capital!U16+[1]Capital!U18+[1]Capital!U20+[1]Capital!U22+[1]Capital!U24+[1]Capital!U26+[1]Capital!U40</f>
        <v>3224099.874537</v>
      </c>
      <c r="W176" s="5">
        <f>[1]Capital!V8+[1]Capital!V10+[1]Capital!V13+[1]Capital!V14+[1]Capital!V16+[1]Capital!V18+[1]Capital!V20+[1]Capital!V22+[1]Capital!V24+[1]Capital!V26+[1]Capital!V40</f>
        <v>3267947.6866669999</v>
      </c>
      <c r="X176" s="5">
        <f>[1]Capital!W8+[1]Capital!W10+[1]Capital!W13+[1]Capital!W14+[1]Capital!W16+[1]Capital!W18+[1]Capital!W20+[1]Capital!W22+[1]Capital!W24+[1]Capital!W26+[1]Capital!W40</f>
        <v>3312976.0839170003</v>
      </c>
      <c r="Y176" s="5">
        <f>[1]Capital!X8+[1]Capital!X10+[1]Capital!X13+[1]Capital!X14+[1]Capital!X16+[1]Capital!X18+[1]Capital!X20+[1]Capital!X22+[1]Capital!X24+[1]Capital!X26+[1]Capital!X40</f>
        <v>3359240.2409620006</v>
      </c>
      <c r="Z176" s="5">
        <f>[1]Capital!Y8+[1]Capital!Y10+[1]Capital!Y13+[1]Capital!Y14+[1]Capital!Y16+[1]Capital!Y18+[1]Capital!Y20+[1]Capital!Y22+[1]Capital!Y24+[1]Capital!Y26+[1]Capital!Y40</f>
        <v>3406787.5465199999</v>
      </c>
      <c r="AA176" s="5">
        <f>[1]Capital!Z8+[1]Capital!Z10+[1]Capital!Z13+[1]Capital!Z14+[1]Capital!Z16+[1]Capital!Z18+[1]Capital!Z20+[1]Capital!Z22+[1]Capital!Z24+[1]Capital!Z26+[1]Capital!Z40</f>
        <v>3455659.2151739998</v>
      </c>
      <c r="AB176" s="5">
        <f>[1]Capital!AA8+[1]Capital!AA10+[1]Capital!AA13+[1]Capital!AA14+[1]Capital!AA16+[1]Capital!AA18+[1]Capital!AA20+[1]Capital!AA22+[1]Capital!AA24+[1]Capital!AA26+[1]Capital!AA40</f>
        <v>3505582.3719649999</v>
      </c>
      <c r="AC176" s="5">
        <f>[1]Capital!AB8+[1]Capital!AB10+[1]Capital!AB13+[1]Capital!AB14+[1]Capital!AB16+[1]Capital!AB18+[1]Capital!AB20+[1]Capital!AB22+[1]Capital!AB24+[1]Capital!AB26+[1]Capital!AB40</f>
        <v>3556520.3607299998</v>
      </c>
      <c r="AD176" s="5">
        <f>[1]Capital!AC8+[1]Capital!AC10+[1]Capital!AC13+[1]Capital!AC14+[1]Capital!AC16+[1]Capital!AC18+[1]Capital!AC20+[1]Capital!AC22+[1]Capital!AC24+[1]Capital!AC26+[1]Capital!AC40</f>
        <v>3608451.6118450002</v>
      </c>
      <c r="AE176" s="5">
        <f>[1]Capital!AD8+[1]Capital!AD10+[1]Capital!AD13+[1]Capital!AD14+[1]Capital!AD16+[1]Capital!AD18+[1]Capital!AD20+[1]Capital!AD22+[1]Capital!AD24+[1]Capital!AD26+[1]Capital!AD40</f>
        <v>3661358.8823500001</v>
      </c>
      <c r="AF176" s="5">
        <f>[1]Capital!AE8+[1]Capital!AE10+[1]Capital!AE13+[1]Capital!AE14+[1]Capital!AE16+[1]Capital!AE18+[1]Capital!AE20+[1]Capital!AE22+[1]Capital!AE24+[1]Capital!AE26+[1]Capital!AE40</f>
        <v>3715228.0815369999</v>
      </c>
      <c r="AG176" s="5">
        <f>[1]Capital!AF8+[1]Capital!AF10+[1]Capital!AF13+[1]Capital!AF14+[1]Capital!AF16+[1]Capital!AF18+[1]Capital!AF20+[1]Capital!AF22+[1]Capital!AF24+[1]Capital!AF26+[1]Capital!AF40</f>
        <v>3770047.456392</v>
      </c>
      <c r="AH176" s="5">
        <f>[1]Capital!AG8+[1]Capital!AG10+[1]Capital!AG13+[1]Capital!AG14+[1]Capital!AG16+[1]Capital!AG18+[1]Capital!AG20+[1]Capital!AG22+[1]Capital!AG24+[1]Capital!AG26+[1]Capital!AG40</f>
        <v>3825809.4540749998</v>
      </c>
      <c r="AI176" s="5">
        <f>[1]Capital!AH8+[1]Capital!AH10+[1]Capital!AH13+[1]Capital!AH14+[1]Capital!AH16+[1]Capital!AH18+[1]Capital!AH20+[1]Capital!AH22+[1]Capital!AH24+[1]Capital!AH26+[1]Capital!AH40</f>
        <v>3882505.1125370003</v>
      </c>
      <c r="AJ176" s="5">
        <f>[1]Capital!AI8+[1]Capital!AI10+[1]Capital!AI13+[1]Capital!AI14+[1]Capital!AI16+[1]Capital!AI18+[1]Capital!AI20+[1]Capital!AI22+[1]Capital!AI24+[1]Capital!AI26+[1]Capital!AI40</f>
        <v>3940123.7091880003</v>
      </c>
      <c r="AK176" s="5">
        <f>[1]Capital!AJ8+[1]Capital!AJ10+[1]Capital!AJ13+[1]Capital!AJ14+[1]Capital!AJ16+[1]Capital!AJ18+[1]Capital!AJ20+[1]Capital!AJ22+[1]Capital!AJ24+[1]Capital!AJ26+[1]Capital!AJ40</f>
        <v>3998652.362706</v>
      </c>
      <c r="AL176" s="5">
        <f>[1]Capital!AK8+[1]Capital!AK10+[1]Capital!AK13+[1]Capital!AK14+[1]Capital!AK16+[1]Capital!AK18+[1]Capital!AK20+[1]Capital!AK22+[1]Capital!AK24+[1]Capital!AK26+[1]Capital!AK40</f>
        <v>4058075.7416989999</v>
      </c>
      <c r="AM176" s="5">
        <f>[1]Capital!AL8+[1]Capital!AL10+[1]Capital!AL13+[1]Capital!AL14+[1]Capital!AL16+[1]Capital!AL18+[1]Capital!AL20+[1]Capital!AL22+[1]Capital!AL24+[1]Capital!AL26+[1]Capital!AL40</f>
        <v>4118326.9809050001</v>
      </c>
      <c r="AN176" s="5">
        <f>[1]Capital!AM8+[1]Capital!AM10+[1]Capital!AM13+[1]Capital!AM14+[1]Capital!AM16+[1]Capital!AM18+[1]Capital!AM20+[1]Capital!AM22+[1]Capital!AM24+[1]Capital!AM26+[1]Capital!AM40</f>
        <v>4179339.9004220003</v>
      </c>
      <c r="AO176" s="5">
        <f>[1]Capital!AN8+[1]Capital!AN10+[1]Capital!AN13+[1]Capital!AN14+[1]Capital!AN16+[1]Capital!AN18+[1]Capital!AN20+[1]Capital!AN22+[1]Capital!AN24+[1]Capital!AN26+[1]Capital!AN40</f>
        <v>4241054.15405</v>
      </c>
      <c r="AP176" s="5">
        <f>[1]Capital!AO8+[1]Capital!AO10+[1]Capital!AO13+[1]Capital!AO14+[1]Capital!AO16+[1]Capital!AO18+[1]Capital!AO20+[1]Capital!AO22+[1]Capital!AO24+[1]Capital!AO26+[1]Capital!AO40</f>
        <v>4303415.3240800006</v>
      </c>
      <c r="AQ176" s="5">
        <f>[1]Capital!AP8+[1]Capital!AP10+[1]Capital!AP13+[1]Capital!AP14+[1]Capital!AP16+[1]Capital!AP18+[1]Capital!AP20+[1]Capital!AP22+[1]Capital!AP24+[1]Capital!AP26+[1]Capital!AP40</f>
        <v>4366374.3877179995</v>
      </c>
      <c r="AR176" s="5">
        <f>[1]Capital!AQ8+[1]Capital!AQ10+[1]Capital!AQ13+[1]Capital!AQ14+[1]Capital!AQ16+[1]Capital!AQ18+[1]Capital!AQ20+[1]Capital!AQ22+[1]Capital!AQ24+[1]Capital!AQ26+[1]Capital!AQ40</f>
        <v>4429891.3213270009</v>
      </c>
      <c r="AS176" s="5">
        <f>[1]Capital!AR8+[1]Capital!AR10+[1]Capital!AR13+[1]Capital!AR14+[1]Capital!AR16+[1]Capital!AR18+[1]Capital!AR20+[1]Capital!AR22+[1]Capital!AR24+[1]Capital!AR26+[1]Capital!AR40</f>
        <v>4493928.3320349995</v>
      </c>
      <c r="AT176" s="5">
        <f>[1]Capital!AS8+[1]Capital!AS10+[1]Capital!AS13+[1]Capital!AS14+[1]Capital!AS16+[1]Capital!AS18+[1]Capital!AS20+[1]Capital!AS22+[1]Capital!AS24+[1]Capital!AS26+[1]Capital!AS40</f>
        <v>4558450.3583530001</v>
      </c>
      <c r="AU176" s="5">
        <f>[1]Capital!AT8+[1]Capital!AT10+[1]Capital!AT13+[1]Capital!AT14+[1]Capital!AT16+[1]Capital!AT18+[1]Capital!AT20+[1]Capital!AT22+[1]Capital!AT24+[1]Capital!AT26+[1]Capital!AT40</f>
        <v>4623425.1744200001</v>
      </c>
      <c r="AV176" s="5">
        <f>[1]Capital!AU8+[1]Capital!AU10+[1]Capital!AU13+[1]Capital!AU14+[1]Capital!AU16+[1]Capital!AU18+[1]Capital!AU20+[1]Capital!AU22+[1]Capital!AU24+[1]Capital!AU26+[1]Capital!AU40</f>
        <v>4688823.2970800009</v>
      </c>
      <c r="AW176" s="5">
        <f>[1]Capital!AV8+[1]Capital!AV10+[1]Capital!AV13+[1]Capital!AV14+[1]Capital!AV16+[1]Capital!AV18+[1]Capital!AV20+[1]Capital!AV22+[1]Capital!AV24+[1]Capital!AV26+[1]Capital!AV40</f>
        <v>4754638.7717700005</v>
      </c>
      <c r="AX176" s="5">
        <f>[1]Capital!AW8+[1]Capital!AW10+[1]Capital!AW13+[1]Capital!AW14+[1]Capital!AW16+[1]Capital!AW18+[1]Capital!AW20+[1]Capital!AW22+[1]Capital!AW24+[1]Capital!AW26+[1]Capital!AW40</f>
        <v>4820859.7313350001</v>
      </c>
      <c r="AY176" s="5">
        <f>[1]Capital!AX8+[1]Capital!AX10+[1]Capital!AX13+[1]Capital!AX14+[1]Capital!AX16+[1]Capital!AX18+[1]Capital!AX20+[1]Capital!AX22+[1]Capital!AX24+[1]Capital!AX26+[1]Capital!AX40</f>
        <v>4887471.9193099998</v>
      </c>
      <c r="AZ176" s="5">
        <f>[1]Capital!AY8+[1]Capital!AY10+[1]Capital!AY13+[1]Capital!AY14+[1]Capital!AY16+[1]Capital!AY18+[1]Capital!AY20+[1]Capital!AY22+[1]Capital!AY24+[1]Capital!AY26+[1]Capital!AY40</f>
        <v>4954461.0265299994</v>
      </c>
      <c r="BA176" s="5">
        <f>[1]Capital!AZ8+[1]Capital!AZ10+[1]Capital!AZ13+[1]Capital!AZ14+[1]Capital!AZ16+[1]Capital!AZ18+[1]Capital!AZ20+[1]Capital!AZ22+[1]Capital!AZ24+[1]Capital!AZ26+[1]Capital!AZ40</f>
        <v>5021813.94716</v>
      </c>
      <c r="BB176" s="5">
        <f>[1]Capital!BA8+[1]Capital!BA10+[1]Capital!BA13+[1]Capital!BA14+[1]Capital!BA16+[1]Capital!BA18+[1]Capital!BA20+[1]Capital!BA22+[1]Capital!BA24+[1]Capital!BA26+[1]Capital!BA40</f>
        <v>6209852.2842600001</v>
      </c>
      <c r="BC176" s="5">
        <f>[1]Capital!BB8+[1]Capital!BB10+[1]Capital!BB13+[1]Capital!BB14+[1]Capital!BB16+[1]Capital!BB18+[1]Capital!BB20+[1]Capital!BB22+[1]Capital!BB24+[1]Capital!BB26+[1]Capital!BB40</f>
        <v>6334641.4243200002</v>
      </c>
      <c r="BD176" s="5">
        <f>[1]Capital!BC8+[1]Capital!BC10+[1]Capital!BC13+[1]Capital!BC14+[1]Capital!BC16+[1]Capital!BC18+[1]Capital!BC20+[1]Capital!BC22+[1]Capital!BC24+[1]Capital!BC26+[1]Capital!BC40</f>
        <v>6461142.51413</v>
      </c>
      <c r="BE176" s="5">
        <f>[1]Capital!BD8+[1]Capital!BD10+[1]Capital!BD13+[1]Capital!BD14+[1]Capital!BD16+[1]Capital!BD18+[1]Capital!BD20+[1]Capital!BD22+[1]Capital!BD24+[1]Capital!BD26+[1]Capital!BD40</f>
        <v>6589295.0747100003</v>
      </c>
      <c r="BF176" s="5">
        <f>[1]Capital!BE8+[1]Capital!BE10+[1]Capital!BE13+[1]Capital!BE14+[1]Capital!BE16+[1]Capital!BE18+[1]Capital!BE20+[1]Capital!BE22+[1]Capital!BE24+[1]Capital!BE26+[1]Capital!BE40</f>
        <v>6719038.0679900004</v>
      </c>
    </row>
    <row r="177" spans="1:58" x14ac:dyDescent="0.35">
      <c r="B177" t="s">
        <v>9</v>
      </c>
      <c r="C177" s="5">
        <f>[1]Capital!B28+[1]Capital!B30+[1]Capital!B32+[1]Capital!B34</f>
        <v>88377.925741000014</v>
      </c>
      <c r="D177" s="5">
        <f>[1]Capital!C28+[1]Capital!C30+[1]Capital!C32+[1]Capital!C34</f>
        <v>89169.303841999994</v>
      </c>
      <c r="E177" s="5">
        <f>[1]Capital!D28+[1]Capital!D30+[1]Capital!D32+[1]Capital!D34</f>
        <v>89963.380612999987</v>
      </c>
      <c r="F177" s="5">
        <f>[1]Capital!E28+[1]Capital!E30+[1]Capital!E32+[1]Capital!E34</f>
        <v>90779.786683999992</v>
      </c>
      <c r="G177" s="5">
        <f>[1]Capital!F28+[1]Capital!F30+[1]Capital!F32+[1]Capital!F34</f>
        <v>91627.567105999988</v>
      </c>
      <c r="H177" s="5">
        <f>[1]Capital!G28+[1]Capital!G30+[1]Capital!G32+[1]Capital!G34</f>
        <v>92511.518899000002</v>
      </c>
      <c r="I177" s="5">
        <f>[1]Capital!H28+[1]Capital!H30+[1]Capital!H32+[1]Capital!H34</f>
        <v>93430.196120999986</v>
      </c>
      <c r="J177" s="5">
        <f>[1]Capital!I28+[1]Capital!I30+[1]Capital!I32+[1]Capital!I34</f>
        <v>94383.222565000004</v>
      </c>
      <c r="K177" s="5">
        <f>[1]Capital!J28+[1]Capital!J30+[1]Capital!J32+[1]Capital!J34</f>
        <v>95370.487383000014</v>
      </c>
      <c r="L177" s="5">
        <f>[1]Capital!K28+[1]Capital!K30+[1]Capital!K32+[1]Capital!K34</f>
        <v>96391.756223000004</v>
      </c>
      <c r="M177" s="5">
        <f>[1]Capital!L28+[1]Capital!L30+[1]Capital!L32+[1]Capital!L34</f>
        <v>97453.570399999997</v>
      </c>
      <c r="N177" s="5">
        <f>[1]Capital!M28+[1]Capital!M30+[1]Capital!M32+[1]Capital!M34</f>
        <v>98550.784543000002</v>
      </c>
      <c r="O177" s="5">
        <f>[1]Capital!N28+[1]Capital!N30+[1]Capital!N32+[1]Capital!N34</f>
        <v>99680.558510000003</v>
      </c>
      <c r="P177" s="5">
        <f>[1]Capital!O28+[1]Capital!O30+[1]Capital!O32+[1]Capital!O34</f>
        <v>100841.116045</v>
      </c>
      <c r="Q177" s="5">
        <f>[1]Capital!P28+[1]Capital!P30+[1]Capital!P32+[1]Capital!P34</f>
        <v>102031.12112000001</v>
      </c>
      <c r="R177" s="5">
        <f>[1]Capital!Q28+[1]Capital!Q30+[1]Capital!Q32+[1]Capital!Q34</f>
        <v>103249.488954</v>
      </c>
      <c r="S177" s="5">
        <f>[1]Capital!R28+[1]Capital!R30+[1]Capital!R32+[1]Capital!R34</f>
        <v>104494.54738500001</v>
      </c>
      <c r="T177" s="5">
        <f>[1]Capital!S28+[1]Capital!S30+[1]Capital!S32+[1]Capital!S34</f>
        <v>105765.375846</v>
      </c>
      <c r="U177" s="5">
        <f>[1]Capital!T28+[1]Capital!T30+[1]Capital!T32+[1]Capital!T34</f>
        <v>107061.46684500002</v>
      </c>
      <c r="V177" s="5">
        <f>[1]Capital!U28+[1]Capital!U30+[1]Capital!U32+[1]Capital!U34</f>
        <v>108382.575031</v>
      </c>
      <c r="W177" s="5">
        <f>[1]Capital!V28+[1]Capital!V30+[1]Capital!V32+[1]Capital!V34</f>
        <v>109723.52526999998</v>
      </c>
      <c r="X177" s="5">
        <f>[1]Capital!W28+[1]Capital!W30+[1]Capital!W32+[1]Capital!W34</f>
        <v>111087.123683</v>
      </c>
      <c r="Y177" s="5">
        <f>[1]Capital!X28+[1]Capital!X30+[1]Capital!X32+[1]Capital!X34</f>
        <v>112474.91232600001</v>
      </c>
      <c r="Z177" s="5">
        <f>[1]Capital!Y28+[1]Capital!Y30+[1]Capital!Y32+[1]Capital!Y34</f>
        <v>113887.86415600001</v>
      </c>
      <c r="AA177" s="5">
        <f>[1]Capital!Z28+[1]Capital!Z30+[1]Capital!Z32+[1]Capital!Z34</f>
        <v>115326.764518</v>
      </c>
      <c r="AB177" s="5">
        <f>[1]Capital!AA28+[1]Capital!AA30+[1]Capital!AA32+[1]Capital!AA34</f>
        <v>116777.626189</v>
      </c>
      <c r="AC177" s="5">
        <f>[1]Capital!AB28+[1]Capital!AB30+[1]Capital!AB32+[1]Capital!AB34</f>
        <v>118242.167925</v>
      </c>
      <c r="AD177" s="5">
        <f>[1]Capital!AC28+[1]Capital!AC30+[1]Capital!AC32+[1]Capital!AC34</f>
        <v>119721.45237499999</v>
      </c>
      <c r="AE177" s="5">
        <f>[1]Capital!AD28+[1]Capital!AD30+[1]Capital!AD32+[1]Capital!AD34</f>
        <v>121216.24782499998</v>
      </c>
      <c r="AF177" s="5">
        <f>[1]Capital!AE28+[1]Capital!AE30+[1]Capital!AE32+[1]Capital!AE34</f>
        <v>122727.350662</v>
      </c>
      <c r="AG177" s="5">
        <f>[1]Capital!AF28+[1]Capital!AF30+[1]Capital!AF32+[1]Capital!AF34</f>
        <v>124255.660758</v>
      </c>
      <c r="AH177" s="5">
        <f>[1]Capital!AG28+[1]Capital!AG30+[1]Capital!AG32+[1]Capital!AG34</f>
        <v>125802.33884700001</v>
      </c>
      <c r="AI177" s="5">
        <f>[1]Capital!AH28+[1]Capital!AH30+[1]Capital!AH32+[1]Capital!AH34</f>
        <v>127368.45723199999</v>
      </c>
      <c r="AJ177" s="5">
        <f>[1]Capital!AI28+[1]Capital!AI30+[1]Capital!AI32+[1]Capital!AI34</f>
        <v>128955.02557600001</v>
      </c>
      <c r="AK177" s="5">
        <f>[1]Capital!AJ28+[1]Capital!AJ30+[1]Capital!AJ32+[1]Capital!AJ34</f>
        <v>130562.985633</v>
      </c>
      <c r="AL177" s="5">
        <f>[1]Capital!AK28+[1]Capital!AK30+[1]Capital!AK32+[1]Capital!AK34</f>
        <v>132193.19965999998</v>
      </c>
      <c r="AM177" s="5">
        <f>[1]Capital!AL28+[1]Capital!AL30+[1]Capital!AL32+[1]Capital!AL34</f>
        <v>133844.49484900001</v>
      </c>
      <c r="AN177" s="5">
        <f>[1]Capital!AM28+[1]Capital!AM30+[1]Capital!AM32+[1]Capital!AM34</f>
        <v>135516.331301</v>
      </c>
      <c r="AO177" s="5">
        <f>[1]Capital!AN28+[1]Capital!AN30+[1]Capital!AN32+[1]Capital!AN34</f>
        <v>137208.55333400003</v>
      </c>
      <c r="AP177" s="5">
        <f>[1]Capital!AO28+[1]Capital!AO30+[1]Capital!AO32+[1]Capital!AO34</f>
        <v>138921.22489400001</v>
      </c>
      <c r="AQ177" s="5">
        <f>[1]Capital!AP28+[1]Capital!AP30+[1]Capital!AP32+[1]Capital!AP34</f>
        <v>140654.55507</v>
      </c>
      <c r="AR177" s="5">
        <f>[1]Capital!AQ28+[1]Capital!AQ30+[1]Capital!AQ32+[1]Capital!AQ34</f>
        <v>142409.111217</v>
      </c>
      <c r="AS177" s="5">
        <f>[1]Capital!AR28+[1]Capital!AR30+[1]Capital!AR32+[1]Capital!AR34</f>
        <v>144185.36480799998</v>
      </c>
      <c r="AT177" s="5">
        <f>[1]Capital!AS28+[1]Capital!AS30+[1]Capital!AS32+[1]Capital!AS34</f>
        <v>145983.767701</v>
      </c>
      <c r="AU177" s="5">
        <f>[1]Capital!AT28+[1]Capital!AT30+[1]Capital!AT32+[1]Capital!AT34</f>
        <v>147804.772493</v>
      </c>
      <c r="AV177" s="5">
        <f>[1]Capital!AU28+[1]Capital!AU30+[1]Capital!AU32+[1]Capital!AU34</f>
        <v>149648.82996600002</v>
      </c>
      <c r="AW177" s="5">
        <f>[1]Capital!AV28+[1]Capital!AV30+[1]Capital!AV32+[1]Capital!AV34</f>
        <v>151517.566968</v>
      </c>
      <c r="AX177" s="5">
        <f>[1]Capital!AW28+[1]Capital!AW30+[1]Capital!AW32+[1]Capital!AW34</f>
        <v>153411.865016</v>
      </c>
      <c r="AY177" s="5">
        <f>[1]Capital!AX28+[1]Capital!AX30+[1]Capital!AX32+[1]Capital!AX34</f>
        <v>155332.28757400002</v>
      </c>
      <c r="AZ177" s="5">
        <f>[1]Capital!AY28+[1]Capital!AY30+[1]Capital!AY32+[1]Capital!AY34</f>
        <v>157279.26514599999</v>
      </c>
      <c r="BA177" s="5">
        <f>[1]Capital!AZ28+[1]Capital!AZ30+[1]Capital!AZ32+[1]Capital!AZ34</f>
        <v>159253.16425999999</v>
      </c>
      <c r="BB177" s="5">
        <f>[1]Capital!BA28+[1]Capital!BA30+[1]Capital!BA32+[1]Capital!BA34</f>
        <v>188979.61027599999</v>
      </c>
      <c r="BC177" s="5">
        <f>[1]Capital!BB28+[1]Capital!BB30+[1]Capital!BB32+[1]Capital!BB34</f>
        <v>192243.26931099998</v>
      </c>
      <c r="BD177" s="5">
        <f>[1]Capital!BC28+[1]Capital!BC30+[1]Capital!BC32+[1]Capital!BC34</f>
        <v>195567.47106400001</v>
      </c>
      <c r="BE177" s="5">
        <f>[1]Capital!BD28+[1]Capital!BD30+[1]Capital!BD32+[1]Capital!BD34</f>
        <v>198953.04954800001</v>
      </c>
      <c r="BF177" s="5">
        <f>[1]Capital!BE28+[1]Capital!BE30+[1]Capital!BE32+[1]Capital!BE34</f>
        <v>202400.852641</v>
      </c>
    </row>
    <row r="178" spans="1:58" x14ac:dyDescent="0.35">
      <c r="B178" t="s">
        <v>10</v>
      </c>
      <c r="C178" s="5">
        <f>[1]Capital!B36+[1]Capital!B38</f>
        <v>2423589.7088000001</v>
      </c>
      <c r="D178" s="5">
        <f>[1]Capital!C36+[1]Capital!C38</f>
        <v>2448534.3248999999</v>
      </c>
      <c r="E178" s="5">
        <f>[1]Capital!D36+[1]Capital!D38</f>
        <v>2473425.7159000002</v>
      </c>
      <c r="F178" s="5">
        <f>[1]Capital!E36+[1]Capital!E38</f>
        <v>2498688.7368000001</v>
      </c>
      <c r="G178" s="5">
        <f>[1]Capital!F36+[1]Capital!F38</f>
        <v>2524597.1858999999</v>
      </c>
      <c r="H178" s="5">
        <f>[1]Capital!G36+[1]Capital!G38</f>
        <v>2551343.9990000003</v>
      </c>
      <c r="I178" s="5">
        <f>[1]Capital!H36+[1]Capital!H38</f>
        <v>2578971.4331</v>
      </c>
      <c r="J178" s="5">
        <f>[1]Capital!I36+[1]Capital!I38</f>
        <v>2607527.6816000002</v>
      </c>
      <c r="K178" s="5">
        <f>[1]Capital!J36+[1]Capital!J38</f>
        <v>2637061.2802000004</v>
      </c>
      <c r="L178" s="5">
        <f>[1]Capital!K36+[1]Capital!K38</f>
        <v>2667614.3380999998</v>
      </c>
      <c r="M178" s="5">
        <f>[1]Capital!L36+[1]Capital!L38</f>
        <v>2699394.0991000002</v>
      </c>
      <c r="N178" s="5">
        <f>[1]Capital!M36+[1]Capital!M38</f>
        <v>2732350.5493999999</v>
      </c>
      <c r="O178" s="5">
        <f>[1]Capital!N36+[1]Capital!N38</f>
        <v>2766451.5697000003</v>
      </c>
      <c r="P178" s="5">
        <f>[1]Capital!O36+[1]Capital!O38</f>
        <v>2801677.4994000001</v>
      </c>
      <c r="Q178" s="5">
        <f>[1]Capital!P36+[1]Capital!P38</f>
        <v>2838013.2116999999</v>
      </c>
      <c r="R178" s="5">
        <f>[1]Capital!Q36+[1]Capital!Q38</f>
        <v>2875445.5186000001</v>
      </c>
      <c r="S178" s="5">
        <f>[1]Capital!R36+[1]Capital!R38</f>
        <v>2913953.5223000003</v>
      </c>
      <c r="T178" s="5">
        <f>[1]Capital!S36+[1]Capital!S38</f>
        <v>2953522.4032000001</v>
      </c>
      <c r="U178" s="5">
        <f>[1]Capital!T36+[1]Capital!T38</f>
        <v>2994141.6188000003</v>
      </c>
      <c r="V178" s="5">
        <f>[1]Capital!U36+[1]Capital!U38</f>
        <v>3035803.3382999999</v>
      </c>
      <c r="W178" s="5">
        <f>[1]Capital!V36+[1]Capital!V38</f>
        <v>3078372.2176999999</v>
      </c>
      <c r="X178" s="5">
        <f>[1]Capital!W36+[1]Capital!W38</f>
        <v>3121890.6624000003</v>
      </c>
      <c r="Y178" s="5">
        <f>[1]Capital!X36+[1]Capital!X38</f>
        <v>3166385.8681000001</v>
      </c>
      <c r="Z178" s="5">
        <f>[1]Capital!Y36+[1]Capital!Y38</f>
        <v>3211873.3552000001</v>
      </c>
      <c r="AA178" s="5">
        <f>[1]Capital!Z36+[1]Capital!Z38</f>
        <v>3258362.7355000004</v>
      </c>
      <c r="AB178" s="5">
        <f>[1]Capital!AA36+[1]Capital!AA38</f>
        <v>3305486.0216000001</v>
      </c>
      <c r="AC178" s="5">
        <f>[1]Capital!AB36+[1]Capital!AB38</f>
        <v>3353209.3211000003</v>
      </c>
      <c r="AD178" s="5">
        <f>[1]Capital!AC36+[1]Capital!AC38</f>
        <v>3401511.7211000002</v>
      </c>
      <c r="AE178" s="5">
        <f>[1]Capital!AD36+[1]Capital!AD38</f>
        <v>3450376.9198000003</v>
      </c>
      <c r="AF178" s="5">
        <f>[1]Capital!AE36+[1]Capital!AE38</f>
        <v>3499795.7097999998</v>
      </c>
      <c r="AG178" s="5">
        <f>[1]Capital!AF36+[1]Capital!AF38</f>
        <v>3549766.0005999999</v>
      </c>
      <c r="AH178" s="5">
        <f>[1]Capital!AG36+[1]Capital!AG38</f>
        <v>3600293.4040000001</v>
      </c>
      <c r="AI178" s="5">
        <f>[1]Capital!AH36+[1]Capital!AH38</f>
        <v>3651386.2359000002</v>
      </c>
      <c r="AJ178" s="5">
        <f>[1]Capital!AI36+[1]Capital!AI38</f>
        <v>3703054.1895999997</v>
      </c>
      <c r="AK178" s="5">
        <f>[1]Capital!AJ36+[1]Capital!AJ38</f>
        <v>3755307.3596000001</v>
      </c>
      <c r="AL178" s="5">
        <f>[1]Capital!AK36+[1]Capital!AK38</f>
        <v>3808155.5915000001</v>
      </c>
      <c r="AM178" s="5">
        <f>[1]Capital!AL36+[1]Capital!AL38</f>
        <v>3861535.9745999998</v>
      </c>
      <c r="AN178" s="5">
        <f>[1]Capital!AM36+[1]Capital!AM38</f>
        <v>3915408.5772000002</v>
      </c>
      <c r="AO178" s="5">
        <f>[1]Capital!AN36+[1]Capital!AN38</f>
        <v>3969749.4616</v>
      </c>
      <c r="AP178" s="5">
        <f>[1]Capital!AO36+[1]Capital!AO38</f>
        <v>4024545.3723999998</v>
      </c>
      <c r="AQ178" s="5">
        <f>[1]Capital!AP36+[1]Capital!AP38</f>
        <v>4079791.0689000003</v>
      </c>
      <c r="AR178" s="5">
        <f>[1]Capital!AQ36+[1]Capital!AQ38</f>
        <v>4135490.6425000001</v>
      </c>
      <c r="AS178" s="5">
        <f>[1]Capital!AR36+[1]Capital!AR38</f>
        <v>4191651.8231999995</v>
      </c>
      <c r="AT178" s="5">
        <f>[1]Capital!AS36+[1]Capital!AS38</f>
        <v>4248285.3059999999</v>
      </c>
      <c r="AU178" s="5">
        <f>[1]Capital!AT36+[1]Capital!AT38</f>
        <v>4305404.1009</v>
      </c>
      <c r="AV178" s="5">
        <f>[1]Capital!AU36+[1]Capital!AU38</f>
        <v>4363022.841</v>
      </c>
      <c r="AW178" s="5">
        <f>[1]Capital!AV36+[1]Capital!AV38</f>
        <v>4421175.5493999999</v>
      </c>
      <c r="AX178" s="5">
        <f>[1]Capital!AW36+[1]Capital!AW38</f>
        <v>4479889.3895999994</v>
      </c>
      <c r="AY178" s="5">
        <f>[1]Capital!AX36+[1]Capital!AX38</f>
        <v>4539187.2279000003</v>
      </c>
      <c r="AZ178" s="5">
        <f>[1]Capital!AY36+[1]Capital!AY38</f>
        <v>4599089.6089000003</v>
      </c>
      <c r="BA178" s="5">
        <f>[1]Capital!AZ36+[1]Capital!AZ38</f>
        <v>4659615.6755999997</v>
      </c>
      <c r="BB178" s="5">
        <f>[1]Capital!BA36+[1]Capital!BA38</f>
        <v>5359346.3844000008</v>
      </c>
      <c r="BC178" s="5">
        <f>[1]Capital!BB36+[1]Capital!BB38</f>
        <v>5453406.2421000004</v>
      </c>
      <c r="BD178" s="5">
        <f>[1]Capital!BC36+[1]Capital!BC38</f>
        <v>5548944.1100000003</v>
      </c>
      <c r="BE178" s="5">
        <f>[1]Capital!BD36+[1]Capital!BD38</f>
        <v>5645969.352</v>
      </c>
      <c r="BF178" s="5">
        <f>[1]Capital!BE36+[1]Capital!BE38</f>
        <v>5744492.3270000005</v>
      </c>
    </row>
    <row r="179" spans="1:58" x14ac:dyDescent="0.35">
      <c r="B179" t="s">
        <v>29</v>
      </c>
      <c r="C179" s="5">
        <f>[1]Capital!B42+[1]Capital!B46</f>
        <v>22892.364785900001</v>
      </c>
      <c r="D179" s="5">
        <f>[1]Capital!C42+[1]Capital!C46</f>
        <v>23095.914261600003</v>
      </c>
      <c r="E179" s="5">
        <f>[1]Capital!D42+[1]Capital!D46</f>
        <v>23284.447852500001</v>
      </c>
      <c r="F179" s="5">
        <f>[1]Capital!E42+[1]Capital!E46</f>
        <v>23462.192501500002</v>
      </c>
      <c r="G179" s="5">
        <f>[1]Capital!F42+[1]Capital!F46</f>
        <v>23632.9586127</v>
      </c>
      <c r="H179" s="5">
        <f>[1]Capital!G42+[1]Capital!G46</f>
        <v>23800.193785899999</v>
      </c>
      <c r="I179" s="5">
        <f>[1]Capital!H42+[1]Capital!H46</f>
        <v>23966.111779400002</v>
      </c>
      <c r="J179" s="5">
        <f>[1]Capital!I42+[1]Capital!I46</f>
        <v>24132.765815899998</v>
      </c>
      <c r="K179" s="5">
        <f>[1]Capital!J42+[1]Capital!J46</f>
        <v>24301.882286600001</v>
      </c>
      <c r="L179" s="5">
        <f>[1]Capital!K42+[1]Capital!K46</f>
        <v>24474.810270399998</v>
      </c>
      <c r="M179" s="5">
        <f>[1]Capital!L42+[1]Capital!L46</f>
        <v>24653.901092100001</v>
      </c>
      <c r="N179" s="5">
        <f>[1]Capital!M42+[1]Capital!M46</f>
        <v>24839.148040299999</v>
      </c>
      <c r="O179" s="5">
        <f>[1]Capital!N42+[1]Capital!N46</f>
        <v>25030.654806300001</v>
      </c>
      <c r="P179" s="5">
        <f>[1]Capital!O42+[1]Capital!O46</f>
        <v>25228.569071500002</v>
      </c>
      <c r="Q179" s="5">
        <f>[1]Capital!P42+[1]Capital!P46</f>
        <v>25432.999720300002</v>
      </c>
      <c r="R179" s="5">
        <f>[1]Capital!Q42+[1]Capital!Q46</f>
        <v>25643.996885599998</v>
      </c>
      <c r="S179" s="5">
        <f>[1]Capital!R42+[1]Capital!R46</f>
        <v>25861.401860400001</v>
      </c>
      <c r="T179" s="5">
        <f>[1]Capital!S42+[1]Capital!S46</f>
        <v>26085.112558500001</v>
      </c>
      <c r="U179" s="5">
        <f>[1]Capital!T42+[1]Capital!T46</f>
        <v>26315.047717399997</v>
      </c>
      <c r="V179" s="5">
        <f>[1]Capital!U42+[1]Capital!U46</f>
        <v>26551.130168300002</v>
      </c>
      <c r="W179" s="5">
        <f>[1]Capital!V42+[1]Capital!V46</f>
        <v>26792.319365899999</v>
      </c>
      <c r="X179" s="5">
        <f>[1]Capital!W42+[1]Capital!W46</f>
        <v>27038.961857000002</v>
      </c>
      <c r="Y179" s="5">
        <f>[1]Capital!X42+[1]Capital!X46</f>
        <v>27291.240682700001</v>
      </c>
      <c r="Z179" s="5">
        <f>[1]Capital!Y42+[1]Capital!Y46</f>
        <v>27549.226353599999</v>
      </c>
      <c r="AA179" s="5">
        <f>[1]Capital!Z42+[1]Capital!Z46</f>
        <v>27812.946889499999</v>
      </c>
      <c r="AB179" s="5">
        <f>[1]Capital!AA42+[1]Capital!AA46</f>
        <v>28079.6654786</v>
      </c>
      <c r="AC179" s="5">
        <f>[1]Capital!AB42+[1]Capital!AB46</f>
        <v>28349.341523000003</v>
      </c>
      <c r="AD179" s="5">
        <f>[1]Capital!AC42+[1]Capital!AC46</f>
        <v>28621.9610211</v>
      </c>
      <c r="AE179" s="5">
        <f>[1]Capital!AD42+[1]Capital!AD46</f>
        <v>28897.479080699999</v>
      </c>
      <c r="AF179" s="5">
        <f>[1]Capital!AE42+[1]Capital!AE46</f>
        <v>29175.8697354</v>
      </c>
      <c r="AG179" s="5">
        <f>[1]Capital!AF42+[1]Capital!AF46</f>
        <v>29457.145219600003</v>
      </c>
      <c r="AH179" s="5">
        <f>[1]Capital!AG42+[1]Capital!AG46</f>
        <v>29741.391254899998</v>
      </c>
      <c r="AI179" s="5">
        <f>[1]Capital!AH42+[1]Capital!AH46</f>
        <v>30028.703644699999</v>
      </c>
      <c r="AJ179" s="5">
        <f>[1]Capital!AI42+[1]Capital!AI46</f>
        <v>30319.189734200001</v>
      </c>
      <c r="AK179" s="5">
        <f>[1]Capital!AJ42+[1]Capital!AJ46</f>
        <v>30612.9657935</v>
      </c>
      <c r="AL179" s="5">
        <f>[1]Capital!AK42+[1]Capital!AK46</f>
        <v>30910.152238699997</v>
      </c>
      <c r="AM179" s="5">
        <f>[1]Capital!AL42+[1]Capital!AL46</f>
        <v>31210.530952000001</v>
      </c>
      <c r="AN179" s="5">
        <f>[1]Capital!AM42+[1]Capital!AM46</f>
        <v>31513.974203000002</v>
      </c>
      <c r="AO179" s="5">
        <f>[1]Capital!AN42+[1]Capital!AN46</f>
        <v>31820.427015599998</v>
      </c>
      <c r="AP179" s="5">
        <f>[1]Capital!AO42+[1]Capital!AO46</f>
        <v>32129.8786965</v>
      </c>
      <c r="AQ179" s="5">
        <f>[1]Capital!AP42+[1]Capital!AP46</f>
        <v>32442.3473319</v>
      </c>
      <c r="AR179" s="5">
        <f>[1]Capital!AQ42+[1]Capital!AQ46</f>
        <v>32757.9212654</v>
      </c>
      <c r="AS179" s="5">
        <f>[1]Capital!AR42+[1]Capital!AR46</f>
        <v>33076.674893800002</v>
      </c>
      <c r="AT179" s="5">
        <f>[1]Capital!AS42+[1]Capital!AS46</f>
        <v>33398.6786794</v>
      </c>
      <c r="AU179" s="5">
        <f>[1]Capital!AT42+[1]Capital!AT46</f>
        <v>33724.002716499999</v>
      </c>
      <c r="AV179" s="5">
        <f>[1]Capital!AU42+[1]Capital!AU46</f>
        <v>34052.716199900002</v>
      </c>
      <c r="AW179" s="5">
        <f>[1]Capital!AV42+[1]Capital!AV46</f>
        <v>34385.112909999996</v>
      </c>
      <c r="AX179" s="5">
        <f>[1]Capital!AW42+[1]Capital!AW46</f>
        <v>34721.362699500001</v>
      </c>
      <c r="AY179" s="5">
        <f>[1]Capital!AX42+[1]Capital!AX46</f>
        <v>35061.569982100002</v>
      </c>
      <c r="AZ179" s="5">
        <f>[1]Capital!AY42+[1]Capital!AY46</f>
        <v>35405.807273800005</v>
      </c>
      <c r="BA179" s="5">
        <f>[1]Capital!AZ42+[1]Capital!AZ46</f>
        <v>35754.127950300004</v>
      </c>
      <c r="BB179" s="5">
        <f>[1]Capital!BA42+[1]Capital!BA46</f>
        <v>43084.703591199999</v>
      </c>
      <c r="BC179" s="5">
        <f>[1]Capital!BB42+[1]Capital!BB46</f>
        <v>43734.392432000001</v>
      </c>
      <c r="BD179" s="5">
        <f>[1]Capital!BC42+[1]Capital!BC46</f>
        <v>44395.129217000002</v>
      </c>
      <c r="BE179" s="5">
        <f>[1]Capital!BD42+[1]Capital!BD46</f>
        <v>45066.992703000004</v>
      </c>
      <c r="BF179" s="5">
        <f>[1]Capital!BE42+[1]Capital!BE46</f>
        <v>45750.076520999995</v>
      </c>
    </row>
    <row r="180" spans="1:58" x14ac:dyDescent="0.35">
      <c r="B180" t="s">
        <v>36</v>
      </c>
      <c r="C180" s="5">
        <f>[1]Capital!B44+[1]Capital!B48</f>
        <v>1939.2486914999999</v>
      </c>
      <c r="D180" s="5">
        <f>[1]Capital!C44+[1]Capital!C48</f>
        <v>1956.8010316</v>
      </c>
      <c r="E180" s="5">
        <f>[1]Capital!D44+[1]Capital!D48</f>
        <v>1972.9245473000001</v>
      </c>
      <c r="F180" s="5">
        <f>[1]Capital!E44+[1]Capital!E48</f>
        <v>1987.9302941000001</v>
      </c>
      <c r="G180" s="5">
        <f>[1]Capital!F44+[1]Capital!F48</f>
        <v>2002.1530928</v>
      </c>
      <c r="H180" s="5">
        <f>[1]Capital!G44+[1]Capital!G48</f>
        <v>2015.9157875000001</v>
      </c>
      <c r="I180" s="5">
        <f>[1]Capital!H44+[1]Capital!H48</f>
        <v>2029.4389894000001</v>
      </c>
      <c r="J180" s="5">
        <f>[1]Capital!I44+[1]Capital!I48</f>
        <v>2042.9205664999999</v>
      </c>
      <c r="K180" s="5">
        <f>[1]Capital!J44+[1]Capital!J48</f>
        <v>2056.5240282</v>
      </c>
      <c r="L180" s="5">
        <f>[1]Capital!K44+[1]Capital!K48</f>
        <v>2070.3775188</v>
      </c>
      <c r="M180" s="5">
        <f>[1]Capital!L44+[1]Capital!L48</f>
        <v>2084.68228</v>
      </c>
      <c r="N180" s="5">
        <f>[1]Capital!M44+[1]Capital!M48</f>
        <v>2099.4556173999999</v>
      </c>
      <c r="O180" s="5">
        <f>[1]Capital!N44+[1]Capital!N48</f>
        <v>2114.7215074999999</v>
      </c>
      <c r="P180" s="5">
        <f>[1]Capital!O44+[1]Capital!O48</f>
        <v>2130.5039701000001</v>
      </c>
      <c r="Q180" s="5">
        <f>[1]Capital!P44+[1]Capital!P48</f>
        <v>2146.8213153000002</v>
      </c>
      <c r="R180" s="5">
        <f>[1]Capital!Q44+[1]Capital!Q48</f>
        <v>2163.6852687000001</v>
      </c>
      <c r="S180" s="5">
        <f>[1]Capital!R44+[1]Capital!R48</f>
        <v>2181.0897850000001</v>
      </c>
      <c r="T180" s="5">
        <f>[1]Capital!S44+[1]Capital!S48</f>
        <v>2199.031626</v>
      </c>
      <c r="U180" s="5">
        <f>[1]Capital!T44+[1]Capital!T48</f>
        <v>2217.5075526999999</v>
      </c>
      <c r="V180" s="5">
        <f>[1]Capital!U44+[1]Capital!U48</f>
        <v>2236.5132548000001</v>
      </c>
      <c r="W180" s="5">
        <f>[1]Capital!V44+[1]Capital!V48</f>
        <v>2255.9689977999997</v>
      </c>
      <c r="X180" s="5">
        <f>[1]Capital!W44+[1]Capital!W48</f>
        <v>2275.9000980999999</v>
      </c>
      <c r="Y180" s="5">
        <f>[1]Capital!X44+[1]Capital!X48</f>
        <v>2296.3179785000002</v>
      </c>
      <c r="Z180" s="5">
        <f>[1]Capital!Y44+[1]Capital!Y48</f>
        <v>2317.2253707</v>
      </c>
      <c r="AA180" s="5">
        <f>[1]Capital!Z44+[1]Capital!Z48</f>
        <v>2338.6215572000001</v>
      </c>
      <c r="AB180" s="5">
        <f>[1]Capital!AA44+[1]Capital!AA48</f>
        <v>2360.2925457000001</v>
      </c>
      <c r="AC180" s="5">
        <f>[1]Capital!AB44+[1]Capital!AB48</f>
        <v>2382.2295801999999</v>
      </c>
      <c r="AD180" s="5">
        <f>[1]Capital!AC44+[1]Capital!AC48</f>
        <v>2404.4236006000001</v>
      </c>
      <c r="AE180" s="5">
        <f>[1]Capital!AD44+[1]Capital!AD48</f>
        <v>2426.8636685000001</v>
      </c>
      <c r="AF180" s="5">
        <f>[1]Capital!AE44+[1]Capital!AE48</f>
        <v>2449.5411078000002</v>
      </c>
      <c r="AG180" s="5">
        <f>[1]Capital!AF44+[1]Capital!AF48</f>
        <v>2472.4509165999998</v>
      </c>
      <c r="AH180" s="5">
        <f>[1]Capital!AG44+[1]Capital!AG48</f>
        <v>2495.5943837999998</v>
      </c>
      <c r="AI180" s="5">
        <f>[1]Capital!AH44+[1]Capital!AH48</f>
        <v>2518.9741405</v>
      </c>
      <c r="AJ180" s="5">
        <f>[1]Capital!AI44+[1]Capital!AI48</f>
        <v>2542.5942577000001</v>
      </c>
      <c r="AK180" s="5">
        <f>[1]Capital!AJ44+[1]Capital!AJ48</f>
        <v>2566.4599711000001</v>
      </c>
      <c r="AL180" s="5">
        <f>[1]Capital!AK44+[1]Capital!AK48</f>
        <v>2590.5772612999999</v>
      </c>
      <c r="AM180" s="5">
        <f>[1]Capital!AL44+[1]Capital!AL48</f>
        <v>2614.9263040999999</v>
      </c>
      <c r="AN180" s="5">
        <f>[1]Capital!AM44+[1]Capital!AM48</f>
        <v>2639.4941721999999</v>
      </c>
      <c r="AO180" s="5">
        <f>[1]Capital!AN44+[1]Capital!AN48</f>
        <v>2664.2735194999996</v>
      </c>
      <c r="AP180" s="5">
        <f>[1]Capital!AO44+[1]Capital!AO48</f>
        <v>2689.2606607999996</v>
      </c>
      <c r="AQ180" s="5">
        <f>[1]Capital!AP44+[1]Capital!AP48</f>
        <v>2714.4545310999997</v>
      </c>
      <c r="AR180" s="5">
        <f>[1]Capital!AQ44+[1]Capital!AQ48</f>
        <v>2739.8598953999999</v>
      </c>
      <c r="AS180" s="5">
        <f>[1]Capital!AR44+[1]Capital!AR48</f>
        <v>2765.4808748999999</v>
      </c>
      <c r="AT180" s="5">
        <f>[1]Capital!AS44+[1]Capital!AS48</f>
        <v>2791.3217089</v>
      </c>
      <c r="AU180" s="5">
        <f>[1]Capital!AT44+[1]Capital!AT48</f>
        <v>2817.3869531</v>
      </c>
      <c r="AV180" s="5">
        <f>[1]Capital!AU44+[1]Capital!AU48</f>
        <v>2843.6813366000001</v>
      </c>
      <c r="AW180" s="5">
        <f>[1]Capital!AV44+[1]Capital!AV48</f>
        <v>2870.2269410999997</v>
      </c>
      <c r="AX180" s="5">
        <f>[1]Capital!AW44+[1]Capital!AW48</f>
        <v>2897.0364424999998</v>
      </c>
      <c r="AY180" s="5">
        <f>[1]Capital!AX44+[1]Capital!AX48</f>
        <v>2924.1177662</v>
      </c>
      <c r="AZ180" s="5">
        <f>[1]Capital!AY44+[1]Capital!AY48</f>
        <v>2951.4765017999998</v>
      </c>
      <c r="BA180" s="5">
        <f>[1]Capital!AZ44+[1]Capital!AZ48</f>
        <v>2979.1167444000002</v>
      </c>
      <c r="BB180" s="5">
        <f>[1]Capital!BA44+[1]Capital!BA48</f>
        <v>3576.4547395999998</v>
      </c>
      <c r="BC180" s="5">
        <f>[1]Capital!BB44+[1]Capital!BB48</f>
        <v>3628.4320534999997</v>
      </c>
      <c r="BD180" s="5">
        <f>[1]Capital!BC44+[1]Capital!BC48</f>
        <v>3681.2543048999996</v>
      </c>
      <c r="BE180" s="5">
        <f>[1]Capital!BD44+[1]Capital!BD48</f>
        <v>3734.9281551999998</v>
      </c>
      <c r="BF180" s="5">
        <f>[1]Capital!BE44+[1]Capital!BE48</f>
        <v>3789.4617128</v>
      </c>
    </row>
    <row r="181" spans="1:58" x14ac:dyDescent="0.35">
      <c r="B181" t="s">
        <v>33</v>
      </c>
      <c r="C181" s="5">
        <f>[1]Capital!B50+[1]Capital!B52+[1]Capital!B54+[1]Capital!B56+[1]Capital!B58+[1]Capital!B60+[1]Capital!B62+[1]Capital!B64+[1]Capital!B66</f>
        <v>40263.84853227</v>
      </c>
      <c r="D181" s="5">
        <f>[1]Capital!C50+[1]Capital!C52+[1]Capital!C54+[1]Capital!C56+[1]Capital!C58+[1]Capital!C60+[1]Capital!C62+[1]Capital!C64+[1]Capital!C66</f>
        <v>40658.982598340008</v>
      </c>
      <c r="E181" s="5">
        <f>[1]Capital!D50+[1]Capital!D52+[1]Capital!D54+[1]Capital!D56+[1]Capital!D58+[1]Capital!D60+[1]Capital!D62+[1]Capital!D64+[1]Capital!D66</f>
        <v>41030.040816559995</v>
      </c>
      <c r="F181" s="5">
        <f>[1]Capital!E50+[1]Capital!E52+[1]Capital!E54+[1]Capital!E56+[1]Capital!E58+[1]Capital!E60+[1]Capital!E62+[1]Capital!E64+[1]Capital!E66</f>
        <v>41381.491813859997</v>
      </c>
      <c r="G181" s="5">
        <f>[1]Capital!F50+[1]Capital!F52+[1]Capital!F54+[1]Capital!F56+[1]Capital!F58+[1]Capital!F60+[1]Capital!F62+[1]Capital!F64+[1]Capital!F66</f>
        <v>41718.41610753</v>
      </c>
      <c r="H181" s="5">
        <f>[1]Capital!G50+[1]Capital!G52+[1]Capital!G54+[1]Capital!G56+[1]Capital!G58+[1]Capital!G60+[1]Capital!G62+[1]Capital!G64+[1]Capital!G66</f>
        <v>42045.762785130006</v>
      </c>
      <c r="I181" s="5">
        <f>[1]Capital!H50+[1]Capital!H52+[1]Capital!H54+[1]Capital!H56+[1]Capital!H58+[1]Capital!H60+[1]Capital!H62+[1]Capital!H64+[1]Capital!H66</f>
        <v>42367.01186423</v>
      </c>
      <c r="J181" s="5">
        <f>[1]Capital!I50+[1]Capital!I52+[1]Capital!I54+[1]Capital!I56+[1]Capital!I58+[1]Capital!I60+[1]Capital!I62+[1]Capital!I64+[1]Capital!I66</f>
        <v>42685.227696259994</v>
      </c>
      <c r="K181" s="5">
        <f>[1]Capital!J50+[1]Capital!J52+[1]Capital!J54+[1]Capital!J56+[1]Capital!J58+[1]Capital!J60+[1]Capital!J62+[1]Capital!J64+[1]Capital!J66</f>
        <v>43002.909216549997</v>
      </c>
      <c r="L181" s="5">
        <f>[1]Capital!K50+[1]Capital!K52+[1]Capital!K54+[1]Capital!K56+[1]Capital!K58+[1]Capital!K60+[1]Capital!K62+[1]Capital!K64+[1]Capital!K66</f>
        <v>43321.898700290003</v>
      </c>
      <c r="M181" s="5">
        <f>[1]Capital!L50+[1]Capital!L52+[1]Capital!L54+[1]Capital!L56+[1]Capital!L58+[1]Capital!L60+[1]Capital!L62+[1]Capital!L64+[1]Capital!L66</f>
        <v>43645.672895820004</v>
      </c>
      <c r="N181" s="5">
        <f>[1]Capital!M50+[1]Capital!M52+[1]Capital!M54+[1]Capital!M56+[1]Capital!M58+[1]Capital!M60+[1]Capital!M62+[1]Capital!M64+[1]Capital!M66</f>
        <v>43974.10603339001</v>
      </c>
      <c r="O181" s="5">
        <f>[1]Capital!N50+[1]Capital!N52+[1]Capital!N54+[1]Capital!N56+[1]Capital!N58+[1]Capital!N60+[1]Capital!N62+[1]Capital!N64+[1]Capital!N66</f>
        <v>44306.806322299999</v>
      </c>
      <c r="P181" s="5">
        <f>[1]Capital!O50+[1]Capital!O52+[1]Capital!O54+[1]Capital!O56+[1]Capital!O58+[1]Capital!O60+[1]Capital!O62+[1]Capital!O64+[1]Capital!O66</f>
        <v>44643.44187201999</v>
      </c>
      <c r="Q181" s="5">
        <f>[1]Capital!P50+[1]Capital!P52+[1]Capital!P54+[1]Capital!P56+[1]Capital!P58+[1]Capital!P60+[1]Capital!P62+[1]Capital!P64+[1]Capital!P66</f>
        <v>44983.709038740009</v>
      </c>
      <c r="R181" s="5">
        <f>[1]Capital!Q50+[1]Capital!Q52+[1]Capital!Q54+[1]Capital!Q56+[1]Capital!Q58+[1]Capital!Q60+[1]Capital!Q62+[1]Capital!Q64+[1]Capital!Q66</f>
        <v>45327.311879870002</v>
      </c>
      <c r="S181" s="5">
        <f>[1]Capital!R50+[1]Capital!R52+[1]Capital!R54+[1]Capital!R56+[1]Capital!R58+[1]Capital!R60+[1]Capital!R62+[1]Capital!R64+[1]Capital!R66</f>
        <v>45673.807387899993</v>
      </c>
      <c r="T181" s="5">
        <f>[1]Capital!S50+[1]Capital!S52+[1]Capital!S54+[1]Capital!S56+[1]Capital!S58+[1]Capital!S60+[1]Capital!S62+[1]Capital!S64+[1]Capital!S66</f>
        <v>46022.860177070012</v>
      </c>
      <c r="U181" s="5">
        <f>[1]Capital!T50+[1]Capital!T52+[1]Capital!T54+[1]Capital!T56+[1]Capital!T58+[1]Capital!T60+[1]Capital!T62+[1]Capital!T64+[1]Capital!T66</f>
        <v>46374.236958279995</v>
      </c>
      <c r="V181" s="5">
        <f>[1]Capital!U50+[1]Capital!U52+[1]Capital!U54+[1]Capital!U56+[1]Capital!U58+[1]Capital!U60+[1]Capital!U62+[1]Capital!U64+[1]Capital!U66</f>
        <v>46727.797591560004</v>
      </c>
      <c r="W181" s="5">
        <f>[1]Capital!V50+[1]Capital!V52+[1]Capital!V54+[1]Capital!V56+[1]Capital!V58+[1]Capital!V60+[1]Capital!V62+[1]Capital!V64+[1]Capital!V66</f>
        <v>47081.892192139996</v>
      </c>
      <c r="X181" s="5">
        <f>[1]Capital!W50+[1]Capital!W52+[1]Capital!W54+[1]Capital!W56+[1]Capital!W58+[1]Capital!W60+[1]Capital!W62+[1]Capital!W64+[1]Capital!W66</f>
        <v>47437.071156519989</v>
      </c>
      <c r="Y181" s="5">
        <f>[1]Capital!X50+[1]Capital!X52+[1]Capital!X54+[1]Capital!X56+[1]Capital!X58+[1]Capital!X60+[1]Capital!X62+[1]Capital!X64+[1]Capital!X66</f>
        <v>47793.957274339991</v>
      </c>
      <c r="Z181" s="5">
        <f>[1]Capital!Y50+[1]Capital!Y52+[1]Capital!Y54+[1]Capital!Y56+[1]Capital!Y58+[1]Capital!Y60+[1]Capital!Y62+[1]Capital!Y64+[1]Capital!Y66</f>
        <v>48153.073708039999</v>
      </c>
      <c r="AA181" s="5">
        <f>[1]Capital!Z50+[1]Capital!Z52+[1]Capital!Z54+[1]Capital!Z56+[1]Capital!Z58+[1]Capital!Z60+[1]Capital!Z62+[1]Capital!Z64+[1]Capital!Z66</f>
        <v>48514.903354669987</v>
      </c>
      <c r="AB181" s="5">
        <f>[1]Capital!AA50+[1]Capital!AA52+[1]Capital!AA54+[1]Capital!AA56+[1]Capital!AA58+[1]Capital!AA60+[1]Capital!AA62+[1]Capital!AA64+[1]Capital!AA66</f>
        <v>48875.415654520002</v>
      </c>
      <c r="AC181" s="5">
        <f>[1]Capital!AB50+[1]Capital!AB52+[1]Capital!AB54+[1]Capital!AB56+[1]Capital!AB58+[1]Capital!AB60+[1]Capital!AB62+[1]Capital!AB64+[1]Capital!AB66</f>
        <v>49234.469355929999</v>
      </c>
      <c r="AD181" s="5">
        <f>[1]Capital!AC50+[1]Capital!AC52+[1]Capital!AC54+[1]Capital!AC56+[1]Capital!AC58+[1]Capital!AC60+[1]Capital!AC62+[1]Capital!AC64+[1]Capital!AC66</f>
        <v>49592.519135460003</v>
      </c>
      <c r="AE181" s="5">
        <f>[1]Capital!AD50+[1]Capital!AD52+[1]Capital!AD54+[1]Capital!AD56+[1]Capital!AD58+[1]Capital!AD60+[1]Capital!AD62+[1]Capital!AD64+[1]Capital!AD66</f>
        <v>49950.142344560008</v>
      </c>
      <c r="AF181" s="5">
        <f>[1]Capital!AE50+[1]Capital!AE52+[1]Capital!AE54+[1]Capital!AE56+[1]Capital!AE58+[1]Capital!AE60+[1]Capital!AE62+[1]Capital!AE64+[1]Capital!AE66</f>
        <v>50307.993093739999</v>
      </c>
      <c r="AG181" s="5">
        <f>[1]Capital!AF50+[1]Capital!AF52+[1]Capital!AF54+[1]Capital!AF56+[1]Capital!AF58+[1]Capital!AF60+[1]Capital!AF62+[1]Capital!AF64+[1]Capital!AF66</f>
        <v>50666.79347004999</v>
      </c>
      <c r="AH181" s="5">
        <f>[1]Capital!AG50+[1]Capital!AG52+[1]Capital!AG54+[1]Capital!AG56+[1]Capital!AG58+[1]Capital!AG60+[1]Capital!AG62+[1]Capital!AG64+[1]Capital!AG66</f>
        <v>51027.353761309998</v>
      </c>
      <c r="AI181" s="5">
        <f>[1]Capital!AH50+[1]Capital!AH52+[1]Capital!AH54+[1]Capital!AH56+[1]Capital!AH58+[1]Capital!AH60+[1]Capital!AH62+[1]Capital!AH64+[1]Capital!AH66</f>
        <v>51390.499536789997</v>
      </c>
      <c r="AJ181" s="5">
        <f>[1]Capital!AI50+[1]Capital!AI52+[1]Capital!AI54+[1]Capital!AI56+[1]Capital!AI58+[1]Capital!AI60+[1]Capital!AI62+[1]Capital!AI64+[1]Capital!AI66</f>
        <v>51757.055054980003</v>
      </c>
      <c r="AK181" s="5">
        <f>[1]Capital!AJ50+[1]Capital!AJ52+[1]Capital!AJ54+[1]Capital!AJ56+[1]Capital!AJ58+[1]Capital!AJ60+[1]Capital!AJ62+[1]Capital!AJ64+[1]Capital!AJ66</f>
        <v>52127.828797429989</v>
      </c>
      <c r="AL181" s="5">
        <f>[1]Capital!AK50+[1]Capital!AK52+[1]Capital!AK54+[1]Capital!AK56+[1]Capital!AK58+[1]Capital!AK60+[1]Capital!AK62+[1]Capital!AK64+[1]Capital!AK66</f>
        <v>52503.599682909997</v>
      </c>
      <c r="AM181" s="5">
        <f>[1]Capital!AL50+[1]Capital!AL52+[1]Capital!AL54+[1]Capital!AL56+[1]Capital!AL58+[1]Capital!AL60+[1]Capital!AL62+[1]Capital!AL64+[1]Capital!AL66</f>
        <v>52884.374702610003</v>
      </c>
      <c r="AN181" s="5">
        <f>[1]Capital!AM50+[1]Capital!AM52+[1]Capital!AM54+[1]Capital!AM56+[1]Capital!AM58+[1]Capital!AM60+[1]Capital!AM62+[1]Capital!AM64+[1]Capital!AM66</f>
        <v>53270.288303830013</v>
      </c>
      <c r="AO181" s="5">
        <f>[1]Capital!AN50+[1]Capital!AN52+[1]Capital!AN54+[1]Capital!AN56+[1]Capital!AN58+[1]Capital!AN60+[1]Capital!AN62+[1]Capital!AN64+[1]Capital!AN66</f>
        <v>53661.637318769986</v>
      </c>
      <c r="AP181" s="5">
        <f>[1]Capital!AO50+[1]Capital!AO52+[1]Capital!AO54+[1]Capital!AO56+[1]Capital!AO58+[1]Capital!AO60+[1]Capital!AO62+[1]Capital!AO64+[1]Capital!AO66</f>
        <v>54058.811055590006</v>
      </c>
      <c r="AQ181" s="5">
        <f>[1]Capital!AP50+[1]Capital!AP52+[1]Capital!AP54+[1]Capital!AP56+[1]Capital!AP58+[1]Capital!AP60+[1]Capital!AP62+[1]Capital!AP64+[1]Capital!AP66</f>
        <v>54462.241045750001</v>
      </c>
      <c r="AR181" s="5">
        <f>[1]Capital!AQ50+[1]Capital!AQ52+[1]Capital!AQ54+[1]Capital!AQ56+[1]Capital!AQ58+[1]Capital!AQ60+[1]Capital!AQ62+[1]Capital!AQ64+[1]Capital!AQ66</f>
        <v>54872.422921360012</v>
      </c>
      <c r="AS181" s="5">
        <f>[1]Capital!AR50+[1]Capital!AR52+[1]Capital!AR54+[1]Capital!AR56+[1]Capital!AR58+[1]Capital!AR60+[1]Capital!AR62+[1]Capital!AR64+[1]Capital!AR66</f>
        <v>55289.82891068</v>
      </c>
      <c r="AT181" s="5">
        <f>[1]Capital!AS50+[1]Capital!AS52+[1]Capital!AS54+[1]Capital!AS56+[1]Capital!AS58+[1]Capital!AS60+[1]Capital!AS62+[1]Capital!AS64+[1]Capital!AS66</f>
        <v>55714.906204990009</v>
      </c>
      <c r="AU181" s="5">
        <f>[1]Capital!AT50+[1]Capital!AT52+[1]Capital!AT54+[1]Capital!AT56+[1]Capital!AT58+[1]Capital!AT60+[1]Capital!AT62+[1]Capital!AT64+[1]Capital!AT66</f>
        <v>56148.07625767999</v>
      </c>
      <c r="AV181" s="5">
        <f>[1]Capital!AU50+[1]Capital!AU52+[1]Capital!AU54+[1]Capital!AU56+[1]Capital!AU58+[1]Capital!AU60+[1]Capital!AU62+[1]Capital!AU64+[1]Capital!AU66</f>
        <v>56589.734472950004</v>
      </c>
      <c r="AW181" s="5">
        <f>[1]Capital!AV50+[1]Capital!AV52+[1]Capital!AV54+[1]Capital!AV56+[1]Capital!AV58+[1]Capital!AV60+[1]Capital!AV62+[1]Capital!AV64+[1]Capital!AV66</f>
        <v>57040.511115380003</v>
      </c>
      <c r="AX181" s="5">
        <f>[1]Capital!AW50+[1]Capital!AW52+[1]Capital!AW54+[1]Capital!AW56+[1]Capital!AW58+[1]Capital!AW60+[1]Capital!AW62+[1]Capital!AW64+[1]Capital!AW66</f>
        <v>57500.908417670005</v>
      </c>
      <c r="AY181" s="5">
        <f>[1]Capital!AX50+[1]Capital!AX52+[1]Capital!AX54+[1]Capital!AX56+[1]Capital!AX58+[1]Capital!AX60+[1]Capital!AX62+[1]Capital!AX64+[1]Capital!AX66</f>
        <v>57971.326815989996</v>
      </c>
      <c r="AZ181" s="5">
        <f>[1]Capital!AY50+[1]Capital!AY52+[1]Capital!AY54+[1]Capital!AY56+[1]Capital!AY58+[1]Capital!AY60+[1]Capital!AY62+[1]Capital!AY64+[1]Capital!AY66</f>
        <v>58452.100979769988</v>
      </c>
      <c r="BA181" s="5">
        <f>[1]Capital!AZ50+[1]Capital!AZ52+[1]Capital!AZ54+[1]Capital!AZ56+[1]Capital!AZ58+[1]Capital!AZ60+[1]Capital!AZ62+[1]Capital!AZ64+[1]Capital!AZ66</f>
        <v>58943.520291169996</v>
      </c>
      <c r="BB181" s="5">
        <f>[1]Capital!BA50+[1]Capital!BA52+[1]Capital!BA54+[1]Capital!BA56+[1]Capital!BA58+[1]Capital!BA60+[1]Capital!BA62+[1]Capital!BA64+[1]Capital!BA66</f>
        <v>68170.981550700002</v>
      </c>
      <c r="BC181" s="5">
        <f>[1]Capital!BB50+[1]Capital!BB52+[1]Capital!BB54+[1]Capital!BB56+[1]Capital!BB58+[1]Capital!BB60+[1]Capital!BB62+[1]Capital!BB64+[1]Capital!BB66</f>
        <v>69131.744166999997</v>
      </c>
      <c r="BD181" s="5">
        <f>[1]Capital!BC50+[1]Capital!BC52+[1]Capital!BC54+[1]Capital!BC56+[1]Capital!BC58+[1]Capital!BC60+[1]Capital!BC62+[1]Capital!BC64+[1]Capital!BC66</f>
        <v>70114.828281199996</v>
      </c>
      <c r="BE181" s="5">
        <f>[1]Capital!BD50+[1]Capital!BD52+[1]Capital!BD54+[1]Capital!BD56+[1]Capital!BD58+[1]Capital!BD60+[1]Capital!BD62+[1]Capital!BD64+[1]Capital!BD66</f>
        <v>71120.353023399992</v>
      </c>
      <c r="BF181" s="5">
        <f>[1]Capital!BE50+[1]Capital!BE52+[1]Capital!BE54+[1]Capital!BE56+[1]Capital!BE58+[1]Capital!BE60+[1]Capital!BE62+[1]Capital!BE64+[1]Capital!BE66</f>
        <v>72148.430556299994</v>
      </c>
    </row>
    <row r="182" spans="1:58" x14ac:dyDescent="0.35"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</row>
    <row r="183" spans="1:58" x14ac:dyDescent="0.35">
      <c r="C183" s="2">
        <v>42005</v>
      </c>
      <c r="D183" s="2">
        <v>42370</v>
      </c>
      <c r="E183" s="2">
        <v>42736</v>
      </c>
      <c r="F183" s="2">
        <v>43101</v>
      </c>
      <c r="G183" s="2">
        <v>43466</v>
      </c>
      <c r="H183" s="2">
        <v>43831</v>
      </c>
      <c r="I183" s="2">
        <v>44197</v>
      </c>
      <c r="J183" s="2">
        <v>44562</v>
      </c>
      <c r="K183" s="2">
        <v>44927</v>
      </c>
      <c r="L183" s="2">
        <v>45292</v>
      </c>
      <c r="M183" s="2">
        <v>45658</v>
      </c>
      <c r="N183" s="2">
        <v>46023</v>
      </c>
      <c r="O183" s="2">
        <v>46388</v>
      </c>
      <c r="P183" s="2">
        <v>46753</v>
      </c>
      <c r="Q183" s="2">
        <v>47119</v>
      </c>
      <c r="R183" s="2">
        <v>47484</v>
      </c>
      <c r="S183" s="2">
        <v>47849</v>
      </c>
      <c r="T183" s="2">
        <v>48214</v>
      </c>
      <c r="U183" s="2">
        <v>48580</v>
      </c>
      <c r="V183" s="2">
        <v>48945</v>
      </c>
      <c r="W183" s="2">
        <v>49310</v>
      </c>
      <c r="X183" s="2">
        <v>49675</v>
      </c>
      <c r="Y183" s="2">
        <v>50041</v>
      </c>
      <c r="Z183" s="2">
        <v>50406</v>
      </c>
      <c r="AA183" s="2">
        <v>50771</v>
      </c>
      <c r="AB183" s="2">
        <v>51136</v>
      </c>
      <c r="AC183" s="2">
        <v>51502</v>
      </c>
      <c r="AD183" s="2">
        <v>51867</v>
      </c>
      <c r="AE183" s="2">
        <v>52232</v>
      </c>
      <c r="AF183" s="2">
        <v>52597</v>
      </c>
      <c r="AG183" s="2">
        <v>52963</v>
      </c>
      <c r="AH183" s="2">
        <v>53328</v>
      </c>
      <c r="AI183" s="2">
        <v>53693</v>
      </c>
      <c r="AJ183" s="2">
        <v>54058</v>
      </c>
      <c r="AK183" s="2">
        <v>54424</v>
      </c>
      <c r="AL183" s="2">
        <v>54789</v>
      </c>
      <c r="AM183" s="2">
        <v>54790</v>
      </c>
      <c r="AN183" s="2">
        <v>54791</v>
      </c>
      <c r="AO183" s="2">
        <v>54792</v>
      </c>
      <c r="AP183" s="2">
        <v>54793</v>
      </c>
      <c r="AQ183" s="2">
        <v>54794</v>
      </c>
      <c r="AR183" s="2">
        <v>54795</v>
      </c>
      <c r="AS183" s="2">
        <v>54796</v>
      </c>
      <c r="AT183" s="2">
        <v>54797</v>
      </c>
      <c r="AU183" s="2">
        <v>54798</v>
      </c>
      <c r="AV183" s="2">
        <v>54799</v>
      </c>
      <c r="AW183" s="2">
        <v>54800</v>
      </c>
      <c r="AX183" s="2">
        <v>54801</v>
      </c>
      <c r="AY183" s="2">
        <v>54802</v>
      </c>
      <c r="AZ183" s="2">
        <v>54803</v>
      </c>
      <c r="BA183" s="2">
        <v>54804</v>
      </c>
      <c r="BB183" s="2">
        <v>54805</v>
      </c>
      <c r="BC183" s="2">
        <v>54806</v>
      </c>
      <c r="BD183" s="2">
        <v>54807</v>
      </c>
      <c r="BE183" s="2">
        <v>54808</v>
      </c>
      <c r="BF183" s="2">
        <v>54809</v>
      </c>
    </row>
    <row r="184" spans="1:58" x14ac:dyDescent="0.35">
      <c r="A184" s="12" t="s">
        <v>42</v>
      </c>
      <c r="B184" t="s">
        <v>40</v>
      </c>
      <c r="C184" s="9">
        <f t="shared" ref="C184:AL184" si="68">C174/C136/(C164/C125)-1</f>
        <v>1.7758117180090904E-2</v>
      </c>
      <c r="D184" s="9">
        <f t="shared" si="68"/>
        <v>2.1522723196523819E-2</v>
      </c>
      <c r="E184" s="9">
        <f t="shared" si="68"/>
        <v>2.3387972059331075E-2</v>
      </c>
      <c r="F184" s="9">
        <f t="shared" si="68"/>
        <v>2.4218389324364153E-2</v>
      </c>
      <c r="G184" s="9">
        <f t="shared" si="68"/>
        <v>2.4327223604734272E-2</v>
      </c>
      <c r="H184" s="9">
        <f t="shared" si="68"/>
        <v>2.3880184150240291E-2</v>
      </c>
      <c r="I184" s="9">
        <f t="shared" si="68"/>
        <v>2.3018342380671575E-2</v>
      </c>
      <c r="J184" s="9">
        <f t="shared" si="68"/>
        <v>2.1823855759322885E-2</v>
      </c>
      <c r="K184" s="9">
        <f t="shared" si="68"/>
        <v>2.0379609460707604E-2</v>
      </c>
      <c r="L184" s="9">
        <f t="shared" si="68"/>
        <v>1.8758824305786792E-2</v>
      </c>
      <c r="M184" s="9">
        <f t="shared" si="68"/>
        <v>1.7017963892832721E-2</v>
      </c>
      <c r="N184" s="9">
        <f t="shared" si="68"/>
        <v>1.5279329736468172E-2</v>
      </c>
      <c r="O184" s="9">
        <f t="shared" si="68"/>
        <v>1.3516502477523673E-2</v>
      </c>
      <c r="P184" s="9">
        <f t="shared" si="68"/>
        <v>1.1746576998858727E-2</v>
      </c>
      <c r="Q184" s="9">
        <f t="shared" si="68"/>
        <v>9.9835774452570192E-3</v>
      </c>
      <c r="R184" s="9">
        <f t="shared" si="68"/>
        <v>8.2379462346438004E-3</v>
      </c>
      <c r="S184" s="9">
        <f t="shared" si="68"/>
        <v>6.5788737150456189E-3</v>
      </c>
      <c r="T184" s="9">
        <f t="shared" si="68"/>
        <v>4.9568079266115728E-3</v>
      </c>
      <c r="U184" s="9">
        <f t="shared" si="68"/>
        <v>3.370361216069595E-3</v>
      </c>
      <c r="V184" s="9">
        <f t="shared" si="68"/>
        <v>1.8212644793507149E-3</v>
      </c>
      <c r="W184" s="9">
        <f t="shared" si="68"/>
        <v>3.1517512014866966E-4</v>
      </c>
      <c r="X184" s="9">
        <f t="shared" si="68"/>
        <v>-1.1515334913460018E-3</v>
      </c>
      <c r="Y184" s="9">
        <f t="shared" si="68"/>
        <v>-2.573913128073424E-3</v>
      </c>
      <c r="Z184" s="9">
        <f t="shared" si="68"/>
        <v>-3.948661126327524E-3</v>
      </c>
      <c r="AA184" s="9">
        <f t="shared" si="68"/>
        <v>-5.273287507361335E-3</v>
      </c>
      <c r="AB184" s="9">
        <f t="shared" si="68"/>
        <v>-6.5393255693922958E-3</v>
      </c>
      <c r="AC184" s="9">
        <f t="shared" si="68"/>
        <v>-7.7758674994730104E-3</v>
      </c>
      <c r="AD184" s="9">
        <f t="shared" si="68"/>
        <v>-8.9609040264284623E-3</v>
      </c>
      <c r="AE184" s="9">
        <f t="shared" si="68"/>
        <v>-1.0090616391814078E-2</v>
      </c>
      <c r="AF184" s="9">
        <f t="shared" si="68"/>
        <v>-1.1162893308349076E-2</v>
      </c>
      <c r="AG184" s="9">
        <f t="shared" si="68"/>
        <v>-1.217657365007152E-2</v>
      </c>
      <c r="AH184" s="9">
        <f t="shared" si="68"/>
        <v>-1.3142076698014815E-2</v>
      </c>
      <c r="AI184" s="9">
        <f t="shared" si="68"/>
        <v>-1.4049395335664516E-2</v>
      </c>
      <c r="AJ184" s="9">
        <f t="shared" si="68"/>
        <v>-1.4897352007749332E-2</v>
      </c>
      <c r="AK184" s="9">
        <f t="shared" si="68"/>
        <v>-1.5685541835979588E-2</v>
      </c>
      <c r="AL184" s="9">
        <f t="shared" si="68"/>
        <v>-1.6413868033874679E-2</v>
      </c>
      <c r="AM184" s="9">
        <f t="shared" ref="AM184:BC184" si="69">AM174/AM136/(AM164/AM125)-1</f>
        <v>-1.7171970242384149E-2</v>
      </c>
      <c r="AN184" s="9">
        <f t="shared" si="69"/>
        <v>-1.7879541678374467E-2</v>
      </c>
      <c r="AO184" s="9">
        <f t="shared" si="69"/>
        <v>-1.8527715625420216E-2</v>
      </c>
      <c r="AP184" s="9">
        <f t="shared" si="69"/>
        <v>-1.9112474856155304E-2</v>
      </c>
      <c r="AQ184" s="9">
        <f t="shared" si="69"/>
        <v>-1.9631413250569496E-2</v>
      </c>
      <c r="AR184" s="9">
        <f t="shared" si="69"/>
        <v>-2.0096628458904142E-2</v>
      </c>
      <c r="AS184" s="9">
        <f t="shared" si="69"/>
        <v>-2.0495479284643459E-2</v>
      </c>
      <c r="AT184" s="9">
        <f t="shared" si="69"/>
        <v>-2.0826553298580852E-2</v>
      </c>
      <c r="AU184" s="9">
        <f t="shared" si="69"/>
        <v>-2.1089891676553285E-2</v>
      </c>
      <c r="AV184" s="9">
        <f t="shared" si="69"/>
        <v>-2.1286372327282921E-2</v>
      </c>
      <c r="AW184" s="9">
        <f t="shared" si="69"/>
        <v>-2.1460591097826609E-2</v>
      </c>
      <c r="AX184" s="9">
        <f t="shared" si="69"/>
        <v>-2.1576571497450514E-2</v>
      </c>
      <c r="AY184" s="9">
        <f t="shared" si="69"/>
        <v>-2.1631771179566384E-2</v>
      </c>
      <c r="AZ184" s="9">
        <f t="shared" si="69"/>
        <v>-2.1626904345320663E-2</v>
      </c>
      <c r="BA184" s="9">
        <f t="shared" si="69"/>
        <v>-2.1563823109839841E-2</v>
      </c>
      <c r="BB184" s="9">
        <f t="shared" si="69"/>
        <v>-3.7714110063516992E-3</v>
      </c>
      <c r="BC184" s="9">
        <f t="shared" si="69"/>
        <v>-3.8419386882917461E-3</v>
      </c>
      <c r="BD184" s="9">
        <f t="shared" ref="BD184:BF184" si="70">BD174/BD136/(BD164/BD125)-1</f>
        <v>-3.9012745783723046E-3</v>
      </c>
      <c r="BE184" s="9">
        <f t="shared" si="70"/>
        <v>-3.948911519975451E-3</v>
      </c>
      <c r="BF184" s="9">
        <f t="shared" si="70"/>
        <v>-3.984532117403683E-3</v>
      </c>
    </row>
    <row r="185" spans="1:58" x14ac:dyDescent="0.35">
      <c r="A185" t="s">
        <v>85</v>
      </c>
      <c r="B185" t="s">
        <v>7</v>
      </c>
      <c r="C185" s="9">
        <f t="shared" ref="C185:AL185" si="71">C175/C137/(C165/C126)-1</f>
        <v>2.0907683043077441E-2</v>
      </c>
      <c r="D185" s="9">
        <f t="shared" si="71"/>
        <v>2.5415066330837455E-2</v>
      </c>
      <c r="E185" s="9">
        <f t="shared" si="71"/>
        <v>2.7904627745278132E-2</v>
      </c>
      <c r="F185" s="9">
        <f t="shared" si="71"/>
        <v>2.9187448510968217E-2</v>
      </c>
      <c r="G185" s="9">
        <f t="shared" si="71"/>
        <v>2.9531585428696605E-2</v>
      </c>
      <c r="H185" s="9">
        <f t="shared" si="71"/>
        <v>2.9154190962247251E-2</v>
      </c>
      <c r="I185" s="9">
        <f t="shared" si="71"/>
        <v>2.8218160951154481E-2</v>
      </c>
      <c r="J185" s="9">
        <f t="shared" si="71"/>
        <v>2.6856839888748762E-2</v>
      </c>
      <c r="K185" s="9">
        <f t="shared" si="71"/>
        <v>2.5198341980187999E-2</v>
      </c>
      <c r="L185" s="9">
        <f t="shared" si="71"/>
        <v>2.3356370163344797E-2</v>
      </c>
      <c r="M185" s="9">
        <f t="shared" si="71"/>
        <v>2.1425314701882803E-2</v>
      </c>
      <c r="N185" s="9">
        <f t="shared" si="71"/>
        <v>1.9551358791596529E-2</v>
      </c>
      <c r="O185" s="9">
        <f t="shared" si="71"/>
        <v>1.7721277718764306E-2</v>
      </c>
      <c r="P185" s="9">
        <f t="shared" si="71"/>
        <v>1.5960796040041636E-2</v>
      </c>
      <c r="Q185" s="9">
        <f t="shared" si="71"/>
        <v>1.428744885492006E-2</v>
      </c>
      <c r="R185" s="9">
        <f t="shared" si="71"/>
        <v>1.2711513312597456E-2</v>
      </c>
      <c r="S185" s="9">
        <f t="shared" si="71"/>
        <v>1.1312306850404186E-2</v>
      </c>
      <c r="T185" s="9">
        <f t="shared" si="71"/>
        <v>1.0024579528816524E-2</v>
      </c>
      <c r="U185" s="9">
        <f t="shared" si="71"/>
        <v>8.8420186903706011E-3</v>
      </c>
      <c r="V185" s="9">
        <f t="shared" si="71"/>
        <v>7.7601897121786223E-3</v>
      </c>
      <c r="W185" s="9">
        <f t="shared" si="71"/>
        <v>6.7725860047180841E-3</v>
      </c>
      <c r="X185" s="9">
        <f t="shared" si="71"/>
        <v>5.8814590309375081E-3</v>
      </c>
      <c r="Y185" s="9">
        <f t="shared" si="71"/>
        <v>5.0755530060497822E-3</v>
      </c>
      <c r="Z185" s="9">
        <f t="shared" si="71"/>
        <v>4.3511631534394191E-3</v>
      </c>
      <c r="AA185" s="9">
        <f t="shared" si="71"/>
        <v>3.7039688606153032E-3</v>
      </c>
      <c r="AB185" s="9">
        <f t="shared" si="71"/>
        <v>3.1190526976059285E-3</v>
      </c>
      <c r="AC185" s="9">
        <f t="shared" si="71"/>
        <v>2.5903259440318571E-3</v>
      </c>
      <c r="AD185" s="9">
        <f t="shared" si="71"/>
        <v>2.121697819886581E-3</v>
      </c>
      <c r="AE185" s="9">
        <f t="shared" si="71"/>
        <v>1.7101811035926673E-3</v>
      </c>
      <c r="AF185" s="9">
        <f t="shared" si="71"/>
        <v>1.3519671112325327E-3</v>
      </c>
      <c r="AG185" s="9">
        <f t="shared" si="71"/>
        <v>1.0428628651524274E-3</v>
      </c>
      <c r="AH185" s="9">
        <f t="shared" si="71"/>
        <v>7.6503724296039799E-4</v>
      </c>
      <c r="AI185" s="9">
        <f t="shared" si="71"/>
        <v>5.2633814223068676E-4</v>
      </c>
      <c r="AJ185" s="9">
        <f t="shared" si="71"/>
        <v>3.2400025504308871E-4</v>
      </c>
      <c r="AK185" s="9">
        <f t="shared" si="71"/>
        <v>1.5494697818008163E-4</v>
      </c>
      <c r="AL185" s="9">
        <f t="shared" si="71"/>
        <v>1.6238620849540197E-5</v>
      </c>
      <c r="AM185" s="9">
        <f t="shared" ref="AM185:BC185" si="72">AM175/AM137/(AM165/AM126)-1</f>
        <v>-2.1021461980852418E-4</v>
      </c>
      <c r="AN185" s="9">
        <f t="shared" si="72"/>
        <v>-4.2004988945931743E-4</v>
      </c>
      <c r="AO185" s="9">
        <f t="shared" si="72"/>
        <v>-6.0642925104659184E-4</v>
      </c>
      <c r="AP185" s="9">
        <f t="shared" si="72"/>
        <v>-7.6658436373999717E-4</v>
      </c>
      <c r="AQ185" s="9">
        <f t="shared" si="72"/>
        <v>-8.9858123077490859E-4</v>
      </c>
      <c r="AR185" s="9">
        <f t="shared" si="72"/>
        <v>-1.0180341954806327E-3</v>
      </c>
      <c r="AS185" s="9">
        <f t="shared" si="72"/>
        <v>-1.1094554020070202E-3</v>
      </c>
      <c r="AT185" s="9">
        <f t="shared" si="72"/>
        <v>-1.1715643546803545E-3</v>
      </c>
      <c r="AU185" s="9">
        <f t="shared" si="72"/>
        <v>-1.2045465752039686E-3</v>
      </c>
      <c r="AV185" s="9">
        <f t="shared" si="72"/>
        <v>-1.2096592443027188E-3</v>
      </c>
      <c r="AW185" s="9">
        <f t="shared" si="72"/>
        <v>-1.2436991152169341E-3</v>
      </c>
      <c r="AX185" s="9">
        <f t="shared" si="72"/>
        <v>-1.2607293101211114E-3</v>
      </c>
      <c r="AY185" s="9">
        <f t="shared" si="72"/>
        <v>-1.2562254260406469E-3</v>
      </c>
      <c r="AZ185" s="9">
        <f t="shared" si="72"/>
        <v>-1.2295450374565364E-3</v>
      </c>
      <c r="BA185" s="9">
        <f t="shared" si="72"/>
        <v>-1.1811027171033661E-3</v>
      </c>
      <c r="BB185" s="9">
        <f t="shared" si="72"/>
        <v>5.6381957856215248E-3</v>
      </c>
      <c r="BC185" s="9">
        <f t="shared" si="72"/>
        <v>6.185596096760948E-3</v>
      </c>
      <c r="BD185" s="9">
        <f t="shared" ref="BD185:BF185" si="73">BD175/BD137/(BD165/BD126)-1</f>
        <v>6.7571042982161877E-3</v>
      </c>
      <c r="BE185" s="9">
        <f t="shared" si="73"/>
        <v>7.352203953093106E-3</v>
      </c>
      <c r="BF185" s="9">
        <f t="shared" si="73"/>
        <v>7.9700543077732E-3</v>
      </c>
    </row>
    <row r="186" spans="1:58" x14ac:dyDescent="0.35">
      <c r="B186" t="s">
        <v>30</v>
      </c>
      <c r="C186" s="9">
        <f t="shared" ref="C186:AL186" si="74">C176/C138/(C166/C127)-1</f>
        <v>2.6786690281095149E-2</v>
      </c>
      <c r="D186" s="9">
        <f t="shared" si="74"/>
        <v>3.0524974902575774E-2</v>
      </c>
      <c r="E186" s="9">
        <f t="shared" si="74"/>
        <v>3.2279673855508229E-2</v>
      </c>
      <c r="F186" s="9">
        <f t="shared" si="74"/>
        <v>3.2984021537802333E-2</v>
      </c>
      <c r="G186" s="9">
        <f t="shared" si="74"/>
        <v>3.3021472224993742E-2</v>
      </c>
      <c r="H186" s="9">
        <f t="shared" si="74"/>
        <v>3.2587514383523475E-2</v>
      </c>
      <c r="I186" s="9">
        <f t="shared" si="74"/>
        <v>3.1831667467065783E-2</v>
      </c>
      <c r="J186" s="9">
        <f t="shared" si="74"/>
        <v>3.0814708064311747E-2</v>
      </c>
      <c r="K186" s="9">
        <f t="shared" si="74"/>
        <v>2.9597861646198931E-2</v>
      </c>
      <c r="L186" s="9">
        <f t="shared" si="74"/>
        <v>2.8234285330285047E-2</v>
      </c>
      <c r="M186" s="9">
        <f t="shared" si="74"/>
        <v>2.6769876714378471E-2</v>
      </c>
      <c r="N186" s="9">
        <f t="shared" si="74"/>
        <v>2.5336085722789559E-2</v>
      </c>
      <c r="O186" s="9">
        <f t="shared" si="74"/>
        <v>2.3869055891948099E-2</v>
      </c>
      <c r="P186" s="9">
        <f t="shared" si="74"/>
        <v>2.237910910308849E-2</v>
      </c>
      <c r="Q186" s="9">
        <f t="shared" si="74"/>
        <v>2.0875527258632731E-2</v>
      </c>
      <c r="R186" s="9">
        <f t="shared" si="74"/>
        <v>1.9365305304850366E-2</v>
      </c>
      <c r="S186" s="9">
        <f t="shared" si="74"/>
        <v>1.7948477843163335E-2</v>
      </c>
      <c r="T186" s="9">
        <f t="shared" si="74"/>
        <v>1.653654960078943E-2</v>
      </c>
      <c r="U186" s="9">
        <f t="shared" si="74"/>
        <v>1.5126472458019569E-2</v>
      </c>
      <c r="V186" s="9">
        <f t="shared" si="74"/>
        <v>1.3719405599400325E-2</v>
      </c>
      <c r="W186" s="9">
        <f t="shared" si="74"/>
        <v>1.231829213328739E-2</v>
      </c>
      <c r="X186" s="9">
        <f t="shared" si="74"/>
        <v>1.0928340826716232E-2</v>
      </c>
      <c r="Y186" s="9">
        <f t="shared" si="74"/>
        <v>9.5503953376963047E-3</v>
      </c>
      <c r="Z186" s="9">
        <f t="shared" si="74"/>
        <v>8.1902988248838682E-3</v>
      </c>
      <c r="AA186" s="9">
        <f t="shared" si="74"/>
        <v>6.8532360032644846E-3</v>
      </c>
      <c r="AB186" s="9">
        <f t="shared" si="74"/>
        <v>5.5420757828119616E-3</v>
      </c>
      <c r="AC186" s="9">
        <f t="shared" si="74"/>
        <v>4.2385404641387403E-3</v>
      </c>
      <c r="AD186" s="9">
        <f t="shared" si="74"/>
        <v>2.9710747128282033E-3</v>
      </c>
      <c r="AE186" s="9">
        <f t="shared" si="74"/>
        <v>1.7469030225030213E-3</v>
      </c>
      <c r="AF186" s="9">
        <f t="shared" si="74"/>
        <v>5.7130057694387837E-4</v>
      </c>
      <c r="AG186" s="9">
        <f t="shared" si="74"/>
        <v>-5.5148743230593045E-4</v>
      </c>
      <c r="AH186" s="9">
        <f t="shared" si="74"/>
        <v>-1.6348617064130266E-3</v>
      </c>
      <c r="AI186" s="9">
        <f t="shared" si="74"/>
        <v>-2.6592804759377753E-3</v>
      </c>
      <c r="AJ186" s="9">
        <f t="shared" si="74"/>
        <v>-3.6206557750392276E-3</v>
      </c>
      <c r="AK186" s="9">
        <f t="shared" si="74"/>
        <v>-4.5158899113940665E-3</v>
      </c>
      <c r="AL186" s="9">
        <f t="shared" si="74"/>
        <v>-5.3424052886889006E-3</v>
      </c>
      <c r="AM186" s="9">
        <f t="shared" ref="AM186:BC186" si="75">AM176/AM138/(AM166/AM127)-1</f>
        <v>-6.2390214813686784E-3</v>
      </c>
      <c r="AN186" s="9">
        <f t="shared" si="75"/>
        <v>-7.0654250655886042E-3</v>
      </c>
      <c r="AO186" s="9">
        <f t="shared" si="75"/>
        <v>-7.8113595447121265E-3</v>
      </c>
      <c r="AP186" s="9">
        <f t="shared" si="75"/>
        <v>-8.4719893299161075E-3</v>
      </c>
      <c r="AQ186" s="9">
        <f t="shared" si="75"/>
        <v>-9.0445440430593216E-3</v>
      </c>
      <c r="AR186" s="9">
        <f t="shared" si="75"/>
        <v>-9.5483172474851719E-3</v>
      </c>
      <c r="AS186" s="9">
        <f t="shared" si="75"/>
        <v>-9.9625557287864597E-3</v>
      </c>
      <c r="AT186" s="9">
        <f t="shared" si="75"/>
        <v>-1.0285615570410966E-2</v>
      </c>
      <c r="AU186" s="9">
        <f t="shared" si="75"/>
        <v>-1.0517394720357176E-2</v>
      </c>
      <c r="AV186" s="9">
        <f t="shared" si="75"/>
        <v>-1.0658693936371866E-2</v>
      </c>
      <c r="AW186" s="9">
        <f t="shared" si="75"/>
        <v>-1.0777229750243533E-2</v>
      </c>
      <c r="AX186" s="9">
        <f t="shared" si="75"/>
        <v>-1.0812019424915276E-2</v>
      </c>
      <c r="AY186" s="9">
        <f t="shared" si="75"/>
        <v>-1.076033997356296E-2</v>
      </c>
      <c r="AZ186" s="9">
        <f t="shared" si="75"/>
        <v>-1.062341512606646E-2</v>
      </c>
      <c r="BA186" s="9">
        <f t="shared" si="75"/>
        <v>-1.0403860775761054E-2</v>
      </c>
      <c r="BB186" s="9">
        <f t="shared" si="75"/>
        <v>-3.2821464647670995E-3</v>
      </c>
      <c r="BC186" s="9">
        <f t="shared" si="75"/>
        <v>-3.3394258183653269E-3</v>
      </c>
      <c r="BD186" s="9">
        <f t="shared" ref="BD186:BF186" si="76">BD176/BD138/(BD166/BD127)-1</f>
        <v>-3.3843333408267728E-3</v>
      </c>
      <c r="BE186" s="9">
        <f t="shared" si="76"/>
        <v>-3.4160345222543631E-3</v>
      </c>
      <c r="BF186" s="9">
        <f t="shared" si="76"/>
        <v>-3.4338280245942432E-3</v>
      </c>
    </row>
    <row r="187" spans="1:58" x14ac:dyDescent="0.35">
      <c r="B187" t="s">
        <v>9</v>
      </c>
      <c r="C187" s="9">
        <f t="shared" ref="C187:AL187" si="77">C177/C139/(C167/C128)-1</f>
        <v>2.4971667141298282E-2</v>
      </c>
      <c r="D187" s="9">
        <f t="shared" si="77"/>
        <v>2.6725862992085903E-2</v>
      </c>
      <c r="E187" s="9">
        <f t="shared" si="77"/>
        <v>2.7012077000841739E-2</v>
      </c>
      <c r="F187" s="9">
        <f t="shared" si="77"/>
        <v>2.6534275981624722E-2</v>
      </c>
      <c r="G187" s="9">
        <f t="shared" si="77"/>
        <v>2.5511647207651311E-2</v>
      </c>
      <c r="H187" s="9">
        <f t="shared" si="77"/>
        <v>2.4068803260280935E-2</v>
      </c>
      <c r="I187" s="9">
        <f t="shared" si="77"/>
        <v>2.2340330039768208E-2</v>
      </c>
      <c r="J187" s="9">
        <f t="shared" si="77"/>
        <v>2.040273698703321E-2</v>
      </c>
      <c r="K187" s="9">
        <f t="shared" si="77"/>
        <v>1.8341072664102454E-2</v>
      </c>
      <c r="L187" s="9">
        <f t="shared" si="77"/>
        <v>1.6228595689425473E-2</v>
      </c>
      <c r="M187" s="9">
        <f t="shared" si="77"/>
        <v>1.4126162682981391E-2</v>
      </c>
      <c r="N187" s="9">
        <f t="shared" si="77"/>
        <v>1.2162758287410202E-2</v>
      </c>
      <c r="O187" s="9">
        <f t="shared" si="77"/>
        <v>1.0275116077261615E-2</v>
      </c>
      <c r="P187" s="9">
        <f t="shared" si="77"/>
        <v>8.4726539365311826E-3</v>
      </c>
      <c r="Q187" s="9">
        <f t="shared" si="77"/>
        <v>6.7608656677702328E-3</v>
      </c>
      <c r="R187" s="9">
        <f t="shared" si="77"/>
        <v>5.1409377005913193E-3</v>
      </c>
      <c r="S187" s="9">
        <f t="shared" si="77"/>
        <v>3.701579473109895E-3</v>
      </c>
      <c r="T187" s="9">
        <f t="shared" si="77"/>
        <v>2.3452906742249535E-3</v>
      </c>
      <c r="U187" s="9">
        <f t="shared" si="77"/>
        <v>1.0623277914767471E-3</v>
      </c>
      <c r="V187" s="9">
        <f t="shared" si="77"/>
        <v>-1.537901684635079E-4</v>
      </c>
      <c r="W187" s="9">
        <f t="shared" si="77"/>
        <v>-1.3120808150219876E-3</v>
      </c>
      <c r="X187" s="9">
        <f t="shared" si="77"/>
        <v>-2.4087737439389967E-3</v>
      </c>
      <c r="Y187" s="9">
        <f t="shared" si="77"/>
        <v>-3.454822289691184E-3</v>
      </c>
      <c r="Z187" s="9">
        <f t="shared" si="77"/>
        <v>-4.4532811288561236E-3</v>
      </c>
      <c r="AA187" s="9">
        <f t="shared" si="77"/>
        <v>-5.4074634132144084E-3</v>
      </c>
      <c r="AB187" s="9">
        <f t="shared" si="77"/>
        <v>-6.333919183036163E-3</v>
      </c>
      <c r="AC187" s="9">
        <f t="shared" si="77"/>
        <v>-7.2396171752732164E-3</v>
      </c>
      <c r="AD187" s="9">
        <f t="shared" si="77"/>
        <v>-8.1074423849141208E-3</v>
      </c>
      <c r="AE187" s="9">
        <f t="shared" si="77"/>
        <v>-8.9377995934390997E-3</v>
      </c>
      <c r="AF187" s="9">
        <f t="shared" si="77"/>
        <v>-9.7323627370802246E-3</v>
      </c>
      <c r="AG187" s="9">
        <f t="shared" si="77"/>
        <v>-1.0493105264711922E-2</v>
      </c>
      <c r="AH187" s="9">
        <f t="shared" si="77"/>
        <v>-1.1238576829150859E-2</v>
      </c>
      <c r="AI187" s="9">
        <f t="shared" si="77"/>
        <v>-1.1953641734988141E-2</v>
      </c>
      <c r="AJ187" s="9">
        <f t="shared" si="77"/>
        <v>-1.2638905554289481E-2</v>
      </c>
      <c r="AK187" s="9">
        <f t="shared" si="77"/>
        <v>-1.3295384217738793E-2</v>
      </c>
      <c r="AL187" s="9">
        <f t="shared" si="77"/>
        <v>-1.3924062540472515E-2</v>
      </c>
      <c r="AM187" s="9">
        <f t="shared" ref="AM187:BC187" si="78">AM177/AM139/(AM167/AM128)-1</f>
        <v>-1.4666733600105286E-2</v>
      </c>
      <c r="AN187" s="9">
        <f t="shared" si="78"/>
        <v>-1.537724833925791E-2</v>
      </c>
      <c r="AO187" s="9">
        <f t="shared" si="78"/>
        <v>-1.6049274853634388E-2</v>
      </c>
      <c r="AP187" s="9">
        <f t="shared" si="78"/>
        <v>-1.6681000676888713E-2</v>
      </c>
      <c r="AQ187" s="9">
        <f t="shared" si="78"/>
        <v>-1.7271790504719164E-2</v>
      </c>
      <c r="AR187" s="9">
        <f t="shared" si="78"/>
        <v>-1.7842219548913407E-2</v>
      </c>
      <c r="AS187" s="9">
        <f t="shared" si="78"/>
        <v>-1.8371769221776968E-2</v>
      </c>
      <c r="AT187" s="9">
        <f t="shared" si="78"/>
        <v>-1.8860040143281243E-2</v>
      </c>
      <c r="AU187" s="9">
        <f t="shared" si="78"/>
        <v>-1.9307838581619996E-2</v>
      </c>
      <c r="AV187" s="9">
        <f t="shared" si="78"/>
        <v>-1.9716536732443779E-2</v>
      </c>
      <c r="AW187" s="9">
        <f t="shared" si="78"/>
        <v>-2.0153274584156056E-2</v>
      </c>
      <c r="AX187" s="9">
        <f t="shared" si="78"/>
        <v>-2.0553876215809619E-2</v>
      </c>
      <c r="AY187" s="9">
        <f t="shared" si="78"/>
        <v>-2.0916134891144633E-2</v>
      </c>
      <c r="AZ187" s="9">
        <f t="shared" si="78"/>
        <v>-2.1240992015986726E-2</v>
      </c>
      <c r="BA187" s="9">
        <f t="shared" si="78"/>
        <v>-2.1530256572865336E-2</v>
      </c>
      <c r="BB187" s="9">
        <f t="shared" si="78"/>
        <v>-4.8690593586189213E-3</v>
      </c>
      <c r="BC187" s="9">
        <f t="shared" si="78"/>
        <v>-5.0537698595797265E-3</v>
      </c>
      <c r="BD187" s="9">
        <f t="shared" ref="BD187:BF187" si="79">BD177/BD139/(BD167/BD128)-1</f>
        <v>-5.2348142376216211E-3</v>
      </c>
      <c r="BE187" s="9">
        <f t="shared" si="79"/>
        <v>-5.4118195360129961E-3</v>
      </c>
      <c r="BF187" s="9">
        <f t="shared" si="79"/>
        <v>-5.5845337401694284E-3</v>
      </c>
    </row>
    <row r="188" spans="1:58" x14ac:dyDescent="0.35">
      <c r="B188" t="s">
        <v>10</v>
      </c>
      <c r="C188" s="9">
        <f t="shared" ref="C188:AL188" si="80">C178/C140/(C168/C129)-1</f>
        <v>1.394188262012741E-2</v>
      </c>
      <c r="D188" s="9">
        <f t="shared" si="80"/>
        <v>1.7887235316255801E-2</v>
      </c>
      <c r="E188" s="9">
        <f t="shared" si="80"/>
        <v>1.9976826923331359E-2</v>
      </c>
      <c r="F188" s="9">
        <f t="shared" si="80"/>
        <v>2.10444253470079E-2</v>
      </c>
      <c r="G188" s="9">
        <f t="shared" si="80"/>
        <v>2.1386619204676549E-2</v>
      </c>
      <c r="H188" s="9">
        <f t="shared" si="80"/>
        <v>2.1157310879424962E-2</v>
      </c>
      <c r="I188" s="9">
        <f t="shared" si="80"/>
        <v>2.050137765033111E-2</v>
      </c>
      <c r="J188" s="9">
        <f t="shared" si="80"/>
        <v>1.9509136616436829E-2</v>
      </c>
      <c r="K188" s="9">
        <f t="shared" si="80"/>
        <v>1.8272452351028257E-2</v>
      </c>
      <c r="L188" s="9">
        <f t="shared" si="80"/>
        <v>1.6872367755961681E-2</v>
      </c>
      <c r="M188" s="9">
        <f t="shared" si="80"/>
        <v>1.536805974667721E-2</v>
      </c>
      <c r="N188" s="9">
        <f t="shared" si="80"/>
        <v>1.3877965412993687E-2</v>
      </c>
      <c r="O188" s="9">
        <f t="shared" si="80"/>
        <v>1.2389418756075354E-2</v>
      </c>
      <c r="P188" s="9">
        <f t="shared" si="80"/>
        <v>1.0920550285103969E-2</v>
      </c>
      <c r="Q188" s="9">
        <f t="shared" si="80"/>
        <v>9.4853763694049409E-3</v>
      </c>
      <c r="R188" s="9">
        <f t="shared" si="80"/>
        <v>8.0937000060048447E-3</v>
      </c>
      <c r="S188" s="9">
        <f t="shared" si="80"/>
        <v>6.7996885748711211E-3</v>
      </c>
      <c r="T188" s="9">
        <f t="shared" si="80"/>
        <v>5.5685068492676848E-3</v>
      </c>
      <c r="U188" s="9">
        <f t="shared" si="80"/>
        <v>4.3972103910796534E-3</v>
      </c>
      <c r="V188" s="9">
        <f t="shared" si="80"/>
        <v>3.285432735956384E-3</v>
      </c>
      <c r="W188" s="9">
        <f t="shared" si="80"/>
        <v>2.2381057545226568E-3</v>
      </c>
      <c r="X188" s="9">
        <f t="shared" si="80"/>
        <v>1.2441944870673627E-3</v>
      </c>
      <c r="Y188" s="9">
        <f t="shared" si="80"/>
        <v>3.0899582790100411E-4</v>
      </c>
      <c r="Z188" s="9">
        <f t="shared" si="80"/>
        <v>-5.675537922158469E-4</v>
      </c>
      <c r="AA188" s="9">
        <f t="shared" si="80"/>
        <v>-1.3863705634189483E-3</v>
      </c>
      <c r="AB188" s="9">
        <f t="shared" si="80"/>
        <v>-2.1374547053436554E-3</v>
      </c>
      <c r="AC188" s="9">
        <f t="shared" si="80"/>
        <v>-2.8600361246866601E-3</v>
      </c>
      <c r="AD188" s="9">
        <f t="shared" si="80"/>
        <v>-3.5354497106750982E-3</v>
      </c>
      <c r="AE188" s="9">
        <f t="shared" si="80"/>
        <v>-4.1632071961705819E-3</v>
      </c>
      <c r="AF188" s="9">
        <f t="shared" si="80"/>
        <v>-4.744330162107957E-3</v>
      </c>
      <c r="AG188" s="9">
        <f t="shared" si="80"/>
        <v>-5.2807016592587575E-3</v>
      </c>
      <c r="AH188" s="9">
        <f t="shared" si="80"/>
        <v>-5.7831970687743928E-3</v>
      </c>
      <c r="AI188" s="9">
        <f t="shared" si="80"/>
        <v>-6.2474221638217919E-3</v>
      </c>
      <c r="AJ188" s="9">
        <f t="shared" si="80"/>
        <v>-6.6748452941722825E-3</v>
      </c>
      <c r="AK188" s="9">
        <f t="shared" si="80"/>
        <v>-7.067473438630012E-3</v>
      </c>
      <c r="AL188" s="9">
        <f t="shared" si="80"/>
        <v>-7.4273948611948137E-3</v>
      </c>
      <c r="AM188" s="9">
        <f t="shared" ref="AM188:BC188" si="81">AM178/AM140/(AM168/AM129)-1</f>
        <v>-7.8246854006905897E-3</v>
      </c>
      <c r="AN188" s="9">
        <f t="shared" si="81"/>
        <v>-8.2061045819261658E-3</v>
      </c>
      <c r="AO188" s="9">
        <f t="shared" si="81"/>
        <v>-8.5639411273920052E-3</v>
      </c>
      <c r="AP188" s="9">
        <f t="shared" si="81"/>
        <v>-8.8949054868318056E-3</v>
      </c>
      <c r="AQ188" s="9">
        <f t="shared" si="81"/>
        <v>-9.1970363000435373E-3</v>
      </c>
      <c r="AR188" s="9">
        <f t="shared" si="81"/>
        <v>-9.4796559084383558E-3</v>
      </c>
      <c r="AS188" s="9">
        <f t="shared" si="81"/>
        <v>-9.7336717111383697E-3</v>
      </c>
      <c r="AT188" s="9">
        <f t="shared" si="81"/>
        <v>-9.9576976945204843E-3</v>
      </c>
      <c r="AU188" s="9">
        <f t="shared" si="81"/>
        <v>-1.0151617061381124E-2</v>
      </c>
      <c r="AV188" s="9">
        <f t="shared" si="81"/>
        <v>-1.0315943207327316E-2</v>
      </c>
      <c r="AW188" s="9">
        <f t="shared" si="81"/>
        <v>-1.0485013564263568E-2</v>
      </c>
      <c r="AX188" s="9">
        <f t="shared" si="81"/>
        <v>-1.0632256703357101E-2</v>
      </c>
      <c r="AY188" s="9">
        <f t="shared" si="81"/>
        <v>-1.0754233864574192E-2</v>
      </c>
      <c r="AZ188" s="9">
        <f t="shared" si="81"/>
        <v>-1.0851226701383943E-2</v>
      </c>
      <c r="BA188" s="9">
        <f t="shared" si="81"/>
        <v>-1.0924339805896022E-2</v>
      </c>
      <c r="BB188" s="9">
        <f t="shared" si="81"/>
        <v>-4.5152881580919901E-3</v>
      </c>
      <c r="BC188" s="9">
        <f t="shared" si="81"/>
        <v>-4.6558780453577198E-3</v>
      </c>
      <c r="BD188" s="9">
        <f t="shared" ref="BD188:BF188" si="82">BD178/BD140/(BD168/BD129)-1</f>
        <v>-4.7912267583254398E-3</v>
      </c>
      <c r="BE188" s="9">
        <f t="shared" si="82"/>
        <v>-4.9210641484708217E-3</v>
      </c>
      <c r="BF188" s="9">
        <f t="shared" si="82"/>
        <v>-5.0452665356431892E-3</v>
      </c>
    </row>
    <row r="189" spans="1:58" x14ac:dyDescent="0.35">
      <c r="B189" t="s">
        <v>29</v>
      </c>
      <c r="C189" s="9">
        <f t="shared" ref="C189:AL189" si="83">(C179+C180)/(C141+C142)/((C169+C170)/(C130+C131))-1</f>
        <v>2.4983040447205784E-2</v>
      </c>
      <c r="D189" s="9">
        <f t="shared" si="83"/>
        <v>2.8098633511326021E-2</v>
      </c>
      <c r="E189" s="9">
        <f t="shared" si="83"/>
        <v>2.9277187563607754E-2</v>
      </c>
      <c r="F189" s="9">
        <f t="shared" si="83"/>
        <v>2.9764642720652601E-2</v>
      </c>
      <c r="G189" s="9">
        <f t="shared" si="83"/>
        <v>2.9733617184911187E-2</v>
      </c>
      <c r="H189" s="9">
        <f t="shared" si="83"/>
        <v>2.9312772796701969E-2</v>
      </c>
      <c r="I189" s="9">
        <f t="shared" si="83"/>
        <v>2.8536357958533598E-2</v>
      </c>
      <c r="J189" s="9">
        <f t="shared" si="83"/>
        <v>2.7441720567898731E-2</v>
      </c>
      <c r="K189" s="9">
        <f t="shared" si="83"/>
        <v>2.6094235763861606E-2</v>
      </c>
      <c r="L189" s="9">
        <f t="shared" si="83"/>
        <v>2.4561515478635831E-2</v>
      </c>
      <c r="M189" s="9">
        <f t="shared" si="83"/>
        <v>2.2919683034910543E-2</v>
      </c>
      <c r="N189" s="9">
        <f t="shared" si="83"/>
        <v>2.1288508902951309E-2</v>
      </c>
      <c r="O189" s="9">
        <f t="shared" si="83"/>
        <v>1.9633521190046466E-2</v>
      </c>
      <c r="P189" s="9">
        <f t="shared" si="83"/>
        <v>1.798054484453826E-2</v>
      </c>
      <c r="Q189" s="9">
        <f t="shared" si="83"/>
        <v>1.6353291423912619E-2</v>
      </c>
      <c r="R189" s="9">
        <f t="shared" si="83"/>
        <v>1.4770647247697166E-2</v>
      </c>
      <c r="S189" s="9">
        <f t="shared" si="83"/>
        <v>1.3339899897119034E-2</v>
      </c>
      <c r="T189" s="9">
        <f t="shared" si="83"/>
        <v>1.197726079221928E-2</v>
      </c>
      <c r="U189" s="9">
        <f t="shared" si="83"/>
        <v>1.0680481036955847E-2</v>
      </c>
      <c r="V189" s="9">
        <f t="shared" si="83"/>
        <v>9.4509220682832407E-3</v>
      </c>
      <c r="W189" s="9">
        <f t="shared" si="83"/>
        <v>8.2769629055505778E-3</v>
      </c>
      <c r="X189" s="9">
        <f t="shared" si="83"/>
        <v>7.184554373216967E-3</v>
      </c>
      <c r="Y189" s="9">
        <f t="shared" si="83"/>
        <v>6.1579666932047861E-3</v>
      </c>
      <c r="Z189" s="9">
        <f t="shared" si="83"/>
        <v>5.1955678160366947E-3</v>
      </c>
      <c r="AA189" s="9">
        <f t="shared" si="83"/>
        <v>4.2955200835599339E-3</v>
      </c>
      <c r="AB189" s="9">
        <f t="shared" si="83"/>
        <v>3.4166528476933244E-3</v>
      </c>
      <c r="AC189" s="9">
        <f t="shared" si="83"/>
        <v>2.5889922861552783E-3</v>
      </c>
      <c r="AD189" s="9">
        <f t="shared" si="83"/>
        <v>1.8191574941051059E-3</v>
      </c>
      <c r="AE189" s="9">
        <f t="shared" si="83"/>
        <v>1.1058986259699921E-3</v>
      </c>
      <c r="AF189" s="9">
        <f t="shared" si="83"/>
        <v>4.4642279218409797E-4</v>
      </c>
      <c r="AG189" s="9">
        <f t="shared" si="83"/>
        <v>-1.6236245867862209E-4</v>
      </c>
      <c r="AH189" s="9">
        <f t="shared" si="83"/>
        <v>-7.4122888765937311E-4</v>
      </c>
      <c r="AI189" s="9">
        <f t="shared" si="83"/>
        <v>-1.2755797136669855E-3</v>
      </c>
      <c r="AJ189" s="9">
        <f t="shared" si="83"/>
        <v>-1.7664354079958144E-3</v>
      </c>
      <c r="AK189" s="9">
        <f t="shared" si="83"/>
        <v>-2.2157162696816446E-3</v>
      </c>
      <c r="AL189" s="9">
        <f t="shared" si="83"/>
        <v>-2.6253445699636613E-3</v>
      </c>
      <c r="AM189" s="9">
        <f t="shared" ref="AM189:BC189" si="84">(AM179+AM180)/(AM141+AM142)/((AM169+AM170)/(AM130+AM131))-1</f>
        <v>-3.1562097628426988E-3</v>
      </c>
      <c r="AN189" s="9">
        <f t="shared" si="84"/>
        <v>-3.6525443401922431E-3</v>
      </c>
      <c r="AO189" s="9">
        <f t="shared" si="84"/>
        <v>-4.1037876687874952E-3</v>
      </c>
      <c r="AP189" s="9">
        <f t="shared" si="84"/>
        <v>-4.5084981578705774E-3</v>
      </c>
      <c r="AQ189" s="9">
        <f t="shared" si="84"/>
        <v>-4.8665683813394756E-3</v>
      </c>
      <c r="AR189" s="9">
        <f t="shared" si="84"/>
        <v>-5.2009023773078589E-3</v>
      </c>
      <c r="AS189" s="9">
        <f t="shared" si="84"/>
        <v>-5.490104218729086E-3</v>
      </c>
      <c r="AT189" s="9">
        <f t="shared" si="84"/>
        <v>-5.7330592101577649E-3</v>
      </c>
      <c r="AU189" s="9">
        <f t="shared" si="84"/>
        <v>-5.9304461027182009E-3</v>
      </c>
      <c r="AV189" s="9">
        <f t="shared" si="84"/>
        <v>-6.0840584037895606E-3</v>
      </c>
      <c r="AW189" s="9">
        <f t="shared" si="84"/>
        <v>-6.2706481925322022E-3</v>
      </c>
      <c r="AX189" s="9">
        <f t="shared" si="84"/>
        <v>-6.4237870324532764E-3</v>
      </c>
      <c r="AY189" s="9">
        <f t="shared" si="84"/>
        <v>-6.541470526739146E-3</v>
      </c>
      <c r="AZ189" s="9">
        <f t="shared" si="84"/>
        <v>-6.6162084837489976E-3</v>
      </c>
      <c r="BA189" s="9">
        <f t="shared" si="84"/>
        <v>-6.6435931648324287E-3</v>
      </c>
      <c r="BB189" s="9">
        <f t="shared" si="84"/>
        <v>-4.0902821510452325E-3</v>
      </c>
      <c r="BC189" s="9">
        <f t="shared" si="84"/>
        <v>-4.195930160900696E-3</v>
      </c>
      <c r="BD189" s="9">
        <f t="shared" ref="BD189:BF189" si="85">(BD179+BD180)/(BD141+BD142)/((BD169+BD170)/(BD130+BD131))-1</f>
        <v>-4.2938519498608718E-3</v>
      </c>
      <c r="BE189" s="9">
        <f t="shared" si="85"/>
        <v>-4.3843283318697468E-3</v>
      </c>
      <c r="BF189" s="9">
        <f t="shared" si="85"/>
        <v>-4.4677866069477989E-3</v>
      </c>
    </row>
    <row r="190" spans="1:58" x14ac:dyDescent="0.35">
      <c r="B190" t="s">
        <v>33</v>
      </c>
      <c r="C190" s="9">
        <f t="shared" ref="C190:AL190" si="86">C181/C143/(C171/C132)-1</f>
        <v>1.4204477446180697E-2</v>
      </c>
      <c r="D190" s="9">
        <f t="shared" si="86"/>
        <v>1.774372518193279E-2</v>
      </c>
      <c r="E190" s="9">
        <f t="shared" si="86"/>
        <v>1.9041612382448614E-2</v>
      </c>
      <c r="F190" s="9">
        <f t="shared" si="86"/>
        <v>1.9220593046926471E-2</v>
      </c>
      <c r="G190" s="9">
        <f t="shared" si="86"/>
        <v>1.8566855701088292E-2</v>
      </c>
      <c r="H190" s="9">
        <f t="shared" si="86"/>
        <v>1.7420962163854803E-2</v>
      </c>
      <c r="I190" s="9">
        <f t="shared" si="86"/>
        <v>1.5861827266375306E-2</v>
      </c>
      <c r="J190" s="9">
        <f t="shared" si="86"/>
        <v>1.4095638808452104E-2</v>
      </c>
      <c r="K190" s="9">
        <f t="shared" si="86"/>
        <v>1.224375237194586E-2</v>
      </c>
      <c r="L190" s="9">
        <f t="shared" si="86"/>
        <v>1.0393035356781821E-2</v>
      </c>
      <c r="M190" s="9">
        <f t="shared" si="86"/>
        <v>8.6212692286204984E-3</v>
      </c>
      <c r="N190" s="9">
        <f t="shared" si="86"/>
        <v>7.0187197805506862E-3</v>
      </c>
      <c r="O190" s="9">
        <f t="shared" si="86"/>
        <v>5.5750730091959078E-3</v>
      </c>
      <c r="P190" s="9">
        <f t="shared" si="86"/>
        <v>4.2979555825428672E-3</v>
      </c>
      <c r="Q190" s="9">
        <f t="shared" si="86"/>
        <v>3.1904788350414215E-3</v>
      </c>
      <c r="R190" s="9">
        <f t="shared" si="86"/>
        <v>2.2500853404581189E-3</v>
      </c>
      <c r="S190" s="9">
        <f t="shared" si="86"/>
        <v>1.524479524861011E-3</v>
      </c>
      <c r="T190" s="9">
        <f t="shared" si="86"/>
        <v>9.5652936672929734E-4</v>
      </c>
      <c r="U190" s="9">
        <f t="shared" si="86"/>
        <v>5.2430899150945898E-4</v>
      </c>
      <c r="V190" s="9">
        <f t="shared" si="86"/>
        <v>2.0995138397483792E-4</v>
      </c>
      <c r="W190" s="9">
        <f t="shared" si="86"/>
        <v>-9.9882629559511216E-6</v>
      </c>
      <c r="X190" s="9">
        <f t="shared" si="86"/>
        <v>-1.4017149804479434E-4</v>
      </c>
      <c r="Y190" s="9">
        <f t="shared" si="86"/>
        <v>-2.0194024526387633E-4</v>
      </c>
      <c r="Z190" s="9">
        <f t="shared" si="86"/>
        <v>-2.0933986242066549E-4</v>
      </c>
      <c r="AA190" s="9">
        <f t="shared" si="86"/>
        <v>-1.7501664332597588E-4</v>
      </c>
      <c r="AB190" s="9">
        <f t="shared" si="86"/>
        <v>-1.318633325421148E-4</v>
      </c>
      <c r="AC190" s="9">
        <f t="shared" si="86"/>
        <v>-7.9981561179054417E-5</v>
      </c>
      <c r="AD190" s="9">
        <f t="shared" si="86"/>
        <v>-2.146415327775042E-5</v>
      </c>
      <c r="AE190" s="9">
        <f t="shared" si="86"/>
        <v>3.8947782872611469E-5</v>
      </c>
      <c r="AF190" s="9">
        <f t="shared" si="86"/>
        <v>9.690802476258753E-5</v>
      </c>
      <c r="AG190" s="9">
        <f t="shared" si="86"/>
        <v>1.491731456504386E-4</v>
      </c>
      <c r="AH190" s="9">
        <f t="shared" si="86"/>
        <v>1.8192822623808169E-4</v>
      </c>
      <c r="AI190" s="9">
        <f t="shared" si="86"/>
        <v>2.0170026980981248E-4</v>
      </c>
      <c r="AJ190" s="9">
        <f t="shared" si="86"/>
        <v>2.0821792286129792E-4</v>
      </c>
      <c r="AK190" s="9">
        <f t="shared" si="86"/>
        <v>2.0072537722648498E-4</v>
      </c>
      <c r="AL190" s="9">
        <f t="shared" si="86"/>
        <v>1.7894354637748577E-4</v>
      </c>
      <c r="AM190" s="9">
        <f t="shared" ref="AM190:BC190" si="87">AM181/AM143/(AM171/AM132)-1</f>
        <v>4.5947713304350657E-5</v>
      </c>
      <c r="AN190" s="9">
        <f t="shared" si="87"/>
        <v>-1.1434454865488775E-4</v>
      </c>
      <c r="AO190" s="9">
        <f t="shared" si="87"/>
        <v>-2.8599009567287226E-4</v>
      </c>
      <c r="AP190" s="9">
        <f t="shared" si="87"/>
        <v>-4.6181396373456973E-4</v>
      </c>
      <c r="AQ190" s="9">
        <f t="shared" si="87"/>
        <v>-6.3660881578675443E-4</v>
      </c>
      <c r="AR190" s="9">
        <f t="shared" si="87"/>
        <v>-8.2022939761350333E-4</v>
      </c>
      <c r="AS190" s="9">
        <f t="shared" si="87"/>
        <v>-9.9772755375604483E-4</v>
      </c>
      <c r="AT190" s="9">
        <f t="shared" si="87"/>
        <v>-1.164547459448606E-3</v>
      </c>
      <c r="AU190" s="9">
        <f t="shared" si="87"/>
        <v>-1.3179662152876803E-3</v>
      </c>
      <c r="AV190" s="9">
        <f t="shared" si="87"/>
        <v>-1.457751522702444E-3</v>
      </c>
      <c r="AW190" s="9">
        <f t="shared" si="87"/>
        <v>-1.6352668235962708E-3</v>
      </c>
      <c r="AX190" s="9">
        <f t="shared" si="87"/>
        <v>-1.8462284664080286E-3</v>
      </c>
      <c r="AY190" s="9">
        <f t="shared" si="87"/>
        <v>-2.0929141958851982E-3</v>
      </c>
      <c r="AZ190" s="9">
        <f t="shared" si="87"/>
        <v>-2.3442975125717025E-3</v>
      </c>
      <c r="BA190" s="9">
        <f t="shared" si="87"/>
        <v>-2.5745363885945061E-3</v>
      </c>
      <c r="BB190" s="9">
        <f t="shared" si="87"/>
        <v>2.2428448509804522E-2</v>
      </c>
      <c r="BC190" s="9">
        <f t="shared" si="87"/>
        <v>2.3685348665945183E-2</v>
      </c>
      <c r="BD190" s="9">
        <f t="shared" ref="BD190:BF190" si="88">BD181/BD143/(BD171/BD132)-1</f>
        <v>2.4985452524077578E-2</v>
      </c>
      <c r="BE190" s="9">
        <f t="shared" si="88"/>
        <v>2.6329744699673974E-2</v>
      </c>
      <c r="BF190" s="9">
        <f t="shared" si="88"/>
        <v>2.7717781782209183E-2</v>
      </c>
    </row>
    <row r="192" spans="1:58" x14ac:dyDescent="0.35">
      <c r="A192" s="12" t="s">
        <v>86</v>
      </c>
      <c r="B192" t="s">
        <v>27</v>
      </c>
      <c r="C192" s="5">
        <f>[1]Results!F1434</f>
        <v>27117.974910000001</v>
      </c>
      <c r="D192" s="5">
        <f>[1]Results!G1434</f>
        <v>26935.030569999999</v>
      </c>
      <c r="E192" s="5">
        <f>[1]Results!H1434</f>
        <v>26810.022420000001</v>
      </c>
      <c r="F192" s="5">
        <f>[1]Results!I1434</f>
        <v>26743.561030000001</v>
      </c>
      <c r="G192" s="5">
        <f>[1]Results!J1434</f>
        <v>26728.771959999998</v>
      </c>
      <c r="H192" s="5">
        <f>[1]Results!K1434</f>
        <v>26756.675569999999</v>
      </c>
      <c r="I192" s="5">
        <f>[1]Results!L1434</f>
        <v>26807.505290000001</v>
      </c>
      <c r="J192" s="5">
        <f>[1]Results!M1434</f>
        <v>26875.047310000002</v>
      </c>
      <c r="K192" s="5">
        <f>[1]Results!N1434</f>
        <v>26954.581429999998</v>
      </c>
      <c r="L192" s="5">
        <f>[1]Results!O1434</f>
        <v>27042.271270000001</v>
      </c>
      <c r="M192" s="5">
        <f>[1]Results!P1434</f>
        <v>27152.305779999999</v>
      </c>
      <c r="N192" s="5">
        <f>[1]Results!Q1434</f>
        <v>27260.797350000001</v>
      </c>
      <c r="O192" s="5">
        <f>[1]Results!R1434</f>
        <v>27365.620510000001</v>
      </c>
      <c r="P192" s="5">
        <f>[1]Results!S1434</f>
        <v>27466.193060000001</v>
      </c>
      <c r="Q192" s="5">
        <f>[1]Results!T1434</f>
        <v>27562.46341</v>
      </c>
      <c r="R192" s="5">
        <f>[1]Results!U1434</f>
        <v>27654.64748</v>
      </c>
      <c r="S192" s="5">
        <f>[1]Results!V1434</f>
        <v>27742.236819999998</v>
      </c>
      <c r="T192" s="5">
        <f>[1]Results!W1434</f>
        <v>27825.92814</v>
      </c>
      <c r="U192" s="5">
        <f>[1]Results!X1434</f>
        <v>27906.451990000001</v>
      </c>
      <c r="V192" s="5">
        <f>[1]Results!Y1434</f>
        <v>27984.476180000001</v>
      </c>
      <c r="W192" s="5">
        <f>[1]Results!Z1434</f>
        <v>28049.200000000001</v>
      </c>
      <c r="X192" s="5">
        <f>[1]Results!AA1434</f>
        <v>28114.633519999999</v>
      </c>
      <c r="Y192" s="5">
        <f>[1]Results!AB1434</f>
        <v>28181.540270000001</v>
      </c>
      <c r="Z192" s="5">
        <f>[1]Results!AC1434</f>
        <v>28249.950150000001</v>
      </c>
      <c r="AA192" s="5">
        <f>[1]Results!AD1434</f>
        <v>28319.736499999999</v>
      </c>
      <c r="AB192" s="5">
        <f>[1]Results!AE1434</f>
        <v>28359.853029999998</v>
      </c>
      <c r="AC192" s="5">
        <f>[1]Results!AF1434</f>
        <v>28392.610349999999</v>
      </c>
      <c r="AD192" s="5">
        <f>[1]Results!AG1434</f>
        <v>28421.407879999999</v>
      </c>
      <c r="AE192" s="5">
        <f>[1]Results!AH1434</f>
        <v>28448.320729999999</v>
      </c>
      <c r="AF192" s="5">
        <f>[1]Results!AI1434</f>
        <v>28474.796890000001</v>
      </c>
      <c r="AG192" s="5">
        <f>[1]Results!AJ1434</f>
        <v>28501.843130000001</v>
      </c>
      <c r="AH192" s="5">
        <f>[1]Results!AK1434</f>
        <v>28530.27348</v>
      </c>
      <c r="AI192" s="5">
        <f>[1]Results!AL1434</f>
        <v>28560.404419999999</v>
      </c>
      <c r="AJ192" s="5">
        <f>[1]Results!AM1434</f>
        <v>28592.328839999998</v>
      </c>
      <c r="AK192" s="5">
        <f>[1]Results!AN1434</f>
        <v>28625.990900000001</v>
      </c>
      <c r="AL192" s="5">
        <f>[1]Results!AO1434</f>
        <v>28661.242259999999</v>
      </c>
      <c r="AM192" s="5">
        <f>[1]Results!AP1434</f>
        <v>28692.73905</v>
      </c>
      <c r="AN192" s="5">
        <f>[1]Results!AQ1434</f>
        <v>28721.129099999998</v>
      </c>
      <c r="AO192" s="5">
        <f>[1]Results!AR1434</f>
        <v>28747.25865</v>
      </c>
      <c r="AP192" s="5">
        <f>[1]Results!AS1434</f>
        <v>28771.887709999999</v>
      </c>
      <c r="AQ192" s="5">
        <f>[1]Results!AT1434</f>
        <v>28795.63118</v>
      </c>
      <c r="AR192" s="5">
        <f>[1]Results!AU1434</f>
        <v>28819.16144</v>
      </c>
      <c r="AS192" s="5">
        <f>[1]Results!AV1434</f>
        <v>28842.75359</v>
      </c>
      <c r="AT192" s="5">
        <f>[1]Results!AW1434</f>
        <v>28866.559990000002</v>
      </c>
      <c r="AU192" s="5">
        <f>[1]Results!AX1434</f>
        <v>28890.646260000001</v>
      </c>
      <c r="AV192" s="5">
        <f>[1]Results!AY1434</f>
        <v>28915.01513</v>
      </c>
      <c r="AW192" s="5">
        <f>[1]Results!AZ1434</f>
        <v>28940.814119999999</v>
      </c>
      <c r="AX192" s="5">
        <f>[1]Results!BA1434</f>
        <v>28967.723610000001</v>
      </c>
      <c r="AY192" s="5">
        <f>[1]Results!BB1434</f>
        <v>28995.393250000001</v>
      </c>
      <c r="AZ192" s="5">
        <f>[1]Results!BC1434</f>
        <v>29023.52535</v>
      </c>
      <c r="BA192" s="5">
        <f>[1]Results!BD1434</f>
        <v>29051.885429999998</v>
      </c>
      <c r="BB192" s="5">
        <f>[1]Results!BE1434</f>
        <v>31151.28602</v>
      </c>
      <c r="BC192" s="5">
        <f>[1]Results!BF1434</f>
        <v>31189.76338</v>
      </c>
      <c r="BD192" s="5">
        <f>[1]Results!BG1434</f>
        <v>31227.690480000001</v>
      </c>
      <c r="BE192" s="5">
        <f>[1]Results!BH1434</f>
        <v>31265.089660000001</v>
      </c>
      <c r="BF192" s="5">
        <f>[1]Results!BI1434</f>
        <v>31301.985199999999</v>
      </c>
    </row>
    <row r="193" spans="1:58" x14ac:dyDescent="0.35">
      <c r="A193" t="s">
        <v>39</v>
      </c>
      <c r="B193" t="s">
        <v>7</v>
      </c>
      <c r="C193" s="5">
        <f>[1]Results!F1435</f>
        <v>750.25024499999995</v>
      </c>
      <c r="D193" s="5">
        <f>[1]Results!G1435</f>
        <v>740.83595009999999</v>
      </c>
      <c r="E193" s="5">
        <f>[1]Results!H1435</f>
        <v>732.95056099999999</v>
      </c>
      <c r="F193" s="5">
        <f>[1]Results!I1435</f>
        <v>727.19516069999997</v>
      </c>
      <c r="G193" s="5">
        <f>[1]Results!J1435</f>
        <v>723.62112320000006</v>
      </c>
      <c r="H193" s="5">
        <f>[1]Results!K1435</f>
        <v>721.99684749999994</v>
      </c>
      <c r="I193" s="5">
        <f>[1]Results!L1435</f>
        <v>721.71562770000003</v>
      </c>
      <c r="J193" s="5">
        <f>[1]Results!M1435</f>
        <v>722.432681</v>
      </c>
      <c r="K193" s="5">
        <f>[1]Results!N1435</f>
        <v>723.86274990000004</v>
      </c>
      <c r="L193" s="5">
        <f>[1]Results!O1435</f>
        <v>725.77300479999997</v>
      </c>
      <c r="M193" s="5">
        <f>[1]Results!P1435</f>
        <v>728.39924429999996</v>
      </c>
      <c r="N193" s="5">
        <f>[1]Results!Q1435</f>
        <v>731.11919139999998</v>
      </c>
      <c r="O193" s="5">
        <f>[1]Results!R1435</f>
        <v>733.79025100000001</v>
      </c>
      <c r="P193" s="5">
        <f>[1]Results!S1435</f>
        <v>736.34413870000003</v>
      </c>
      <c r="Q193" s="5">
        <f>[1]Results!T1435</f>
        <v>738.74913160000006</v>
      </c>
      <c r="R193" s="5">
        <f>[1]Results!U1435</f>
        <v>740.99575240000001</v>
      </c>
      <c r="S193" s="5">
        <f>[1]Results!V1435</f>
        <v>743.05295820000003</v>
      </c>
      <c r="T193" s="5">
        <f>[1]Results!W1435</f>
        <v>744.94453369999997</v>
      </c>
      <c r="U193" s="5">
        <f>[1]Results!X1435</f>
        <v>746.69631900000002</v>
      </c>
      <c r="V193" s="5">
        <f>[1]Results!Y1435</f>
        <v>748.33272469999997</v>
      </c>
      <c r="W193" s="5">
        <f>[1]Results!Z1435</f>
        <v>749.60145839999996</v>
      </c>
      <c r="X193" s="5">
        <f>[1]Results!AA1435</f>
        <v>750.81318150000004</v>
      </c>
      <c r="Y193" s="5">
        <f>[1]Results!AB1435</f>
        <v>752.0200724</v>
      </c>
      <c r="Z193" s="5">
        <f>[1]Results!AC1435</f>
        <v>753.24184909999997</v>
      </c>
      <c r="AA193" s="5">
        <f>[1]Results!AD1435</f>
        <v>754.48590060000004</v>
      </c>
      <c r="AB193" s="5">
        <f>[1]Results!AE1435</f>
        <v>755.01332849999994</v>
      </c>
      <c r="AC193" s="5">
        <f>[1]Results!AF1435</f>
        <v>755.27289659999997</v>
      </c>
      <c r="AD193" s="5">
        <f>[1]Results!AG1435</f>
        <v>755.37623540000004</v>
      </c>
      <c r="AE193" s="5">
        <f>[1]Results!AH1435</f>
        <v>755.40022520000002</v>
      </c>
      <c r="AF193" s="5">
        <f>[1]Results!AI1435</f>
        <v>755.40266929999996</v>
      </c>
      <c r="AG193" s="5">
        <f>[1]Results!AJ1435</f>
        <v>755.42560560000004</v>
      </c>
      <c r="AH193" s="5">
        <f>[1]Results!AK1435</f>
        <v>755.50376610000001</v>
      </c>
      <c r="AI193" s="5">
        <f>[1]Results!AL1435</f>
        <v>755.65151330000003</v>
      </c>
      <c r="AJ193" s="5">
        <f>[1]Results!AM1435</f>
        <v>755.87443499999995</v>
      </c>
      <c r="AK193" s="5">
        <f>[1]Results!AN1435</f>
        <v>756.17208640000001</v>
      </c>
      <c r="AL193" s="5">
        <f>[1]Results!AO1435</f>
        <v>756.54017469999997</v>
      </c>
      <c r="AM193" s="5">
        <f>[1]Results!AP1435</f>
        <v>756.87249099999997</v>
      </c>
      <c r="AN193" s="5">
        <f>[1]Results!AQ1435</f>
        <v>757.15367060000005</v>
      </c>
      <c r="AO193" s="5">
        <f>[1]Results!AR1435</f>
        <v>757.39192260000004</v>
      </c>
      <c r="AP193" s="5">
        <f>[1]Results!AS1435</f>
        <v>757.6032993</v>
      </c>
      <c r="AQ193" s="5">
        <f>[1]Results!AT1435</f>
        <v>757.80488019999996</v>
      </c>
      <c r="AR193" s="5">
        <f>[1]Results!AU1435</f>
        <v>758.01989830000002</v>
      </c>
      <c r="AS193" s="5">
        <f>[1]Results!AV1435</f>
        <v>758.25724679999996</v>
      </c>
      <c r="AT193" s="5">
        <f>[1]Results!AW1435</f>
        <v>758.52234539999995</v>
      </c>
      <c r="AU193" s="5">
        <f>[1]Results!AX1435</f>
        <v>758.8176674</v>
      </c>
      <c r="AV193" s="5">
        <f>[1]Results!AY1435</f>
        <v>759.14329020000002</v>
      </c>
      <c r="AW193" s="5">
        <f>[1]Results!AZ1435</f>
        <v>759.53654410000001</v>
      </c>
      <c r="AX193" s="5">
        <f>[1]Results!BA1435</f>
        <v>759.98620170000004</v>
      </c>
      <c r="AY193" s="5">
        <f>[1]Results!BB1435</f>
        <v>760.48003229999995</v>
      </c>
      <c r="AZ193" s="5">
        <f>[1]Results!BC1435</f>
        <v>761.00724070000001</v>
      </c>
      <c r="BA193" s="5">
        <f>[1]Results!BD1435</f>
        <v>761.55883170000004</v>
      </c>
      <c r="BB193" s="5">
        <f>[1]Results!BE1435</f>
        <v>820.99118099999998</v>
      </c>
      <c r="BC193" s="5">
        <f>[1]Results!BF1435</f>
        <v>821.45874209999999</v>
      </c>
      <c r="BD193" s="5">
        <f>[1]Results!BG1435</f>
        <v>821.93549919999998</v>
      </c>
      <c r="BE193" s="5">
        <f>[1]Results!BH1435</f>
        <v>822.4226175</v>
      </c>
      <c r="BF193" s="5">
        <f>[1]Results!BI1435</f>
        <v>822.92123130000004</v>
      </c>
    </row>
    <row r="194" spans="1:58" x14ac:dyDescent="0.35">
      <c r="B194" t="s">
        <v>8</v>
      </c>
      <c r="C194" s="5">
        <f>[1]Results!F1438</f>
        <v>4307.83698</v>
      </c>
      <c r="D194" s="5">
        <f>[1]Results!G1438</f>
        <v>4266.7516930000002</v>
      </c>
      <c r="E194" s="5">
        <f>[1]Results!H1438</f>
        <v>4239.5893340000002</v>
      </c>
      <c r="F194" s="5">
        <f>[1]Results!I1438</f>
        <v>4224.707324</v>
      </c>
      <c r="G194" s="5">
        <f>[1]Results!J1438</f>
        <v>4219.7474499999998</v>
      </c>
      <c r="H194" s="5">
        <f>[1]Results!K1438</f>
        <v>4222.4342820000002</v>
      </c>
      <c r="I194" s="5">
        <f>[1]Results!L1438</f>
        <v>4229.3585819999998</v>
      </c>
      <c r="J194" s="5">
        <f>[1]Results!M1438</f>
        <v>4239.0912310000003</v>
      </c>
      <c r="K194" s="5">
        <f>[1]Results!N1438</f>
        <v>4250.6789280000003</v>
      </c>
      <c r="L194" s="5">
        <f>[1]Results!O1438</f>
        <v>4263.4513880000004</v>
      </c>
      <c r="M194" s="5">
        <f>[1]Results!P1438</f>
        <v>4279.2437399999999</v>
      </c>
      <c r="N194" s="5">
        <f>[1]Results!Q1438</f>
        <v>4294.9658069999996</v>
      </c>
      <c r="O194" s="5">
        <f>[1]Results!R1438</f>
        <v>4310.2217579999997</v>
      </c>
      <c r="P194" s="5">
        <f>[1]Results!S1438</f>
        <v>4324.8943440000003</v>
      </c>
      <c r="Q194" s="5">
        <f>[1]Results!T1438</f>
        <v>4338.9788120000003</v>
      </c>
      <c r="R194" s="5">
        <f>[1]Results!U1438</f>
        <v>4352.5264809999999</v>
      </c>
      <c r="S194" s="5">
        <f>[1]Results!V1438</f>
        <v>4365.4109820000003</v>
      </c>
      <c r="T194" s="5">
        <f>[1]Results!W1438</f>
        <v>4377.7991769999999</v>
      </c>
      <c r="U194" s="5">
        <f>[1]Results!X1438</f>
        <v>4389.85149</v>
      </c>
      <c r="V194" s="5">
        <f>[1]Results!Y1438</f>
        <v>4401.7094040000002</v>
      </c>
      <c r="W194" s="5">
        <f>[1]Results!Z1438</f>
        <v>4411.9775730000001</v>
      </c>
      <c r="X194" s="5">
        <f>[1]Results!AA1438</f>
        <v>4422.40164</v>
      </c>
      <c r="Y194" s="5">
        <f>[1]Results!AB1438</f>
        <v>4433.2073440000004</v>
      </c>
      <c r="Z194" s="5">
        <f>[1]Results!AC1438</f>
        <v>4444.4672920000003</v>
      </c>
      <c r="AA194" s="5">
        <f>[1]Results!AD1438</f>
        <v>4456.1974550000004</v>
      </c>
      <c r="AB194" s="5">
        <f>[1]Results!AE1438</f>
        <v>4464.2910190000002</v>
      </c>
      <c r="AC194" s="5">
        <f>[1]Results!AF1438</f>
        <v>4471.3064860000004</v>
      </c>
      <c r="AD194" s="5">
        <f>[1]Results!AG1438</f>
        <v>4477.7390960000002</v>
      </c>
      <c r="AE194" s="5">
        <f>[1]Results!AH1438</f>
        <v>4483.903233</v>
      </c>
      <c r="AF194" s="5">
        <f>[1]Results!AI1438</f>
        <v>4490.0155800000002</v>
      </c>
      <c r="AG194" s="5">
        <f>[1]Results!AJ1438</f>
        <v>4496.2220180000004</v>
      </c>
      <c r="AH194" s="5">
        <f>[1]Results!AK1438</f>
        <v>4502.6507869999996</v>
      </c>
      <c r="AI194" s="5">
        <f>[1]Results!AL1438</f>
        <v>4509.3331410000001</v>
      </c>
      <c r="AJ194" s="5">
        <f>[1]Results!AM1438</f>
        <v>4516.2670209999997</v>
      </c>
      <c r="AK194" s="5">
        <f>[1]Results!AN1438</f>
        <v>4523.427565</v>
      </c>
      <c r="AL194" s="5">
        <f>[1]Results!AO1438</f>
        <v>4530.7751760000001</v>
      </c>
      <c r="AM194" s="5">
        <f>[1]Results!AP1438</f>
        <v>4537.7239790000003</v>
      </c>
      <c r="AN194" s="5">
        <f>[1]Results!AQ1438</f>
        <v>4544.1826469999996</v>
      </c>
      <c r="AO194" s="5">
        <f>[1]Results!AR1438</f>
        <v>4550.1652469999999</v>
      </c>
      <c r="AP194" s="5">
        <f>[1]Results!AS1438</f>
        <v>4555.7218050000001</v>
      </c>
      <c r="AQ194" s="5">
        <f>[1]Results!AT1438</f>
        <v>4560.9093240000002</v>
      </c>
      <c r="AR194" s="5">
        <f>[1]Results!AU1438</f>
        <v>4565.8279060000004</v>
      </c>
      <c r="AS194" s="5">
        <f>[1]Results!AV1438</f>
        <v>4570.5025580000001</v>
      </c>
      <c r="AT194" s="5">
        <f>[1]Results!AW1438</f>
        <v>4574.9484759999996</v>
      </c>
      <c r="AU194" s="5">
        <f>[1]Results!AX1438</f>
        <v>4579.1734749999996</v>
      </c>
      <c r="AV194" s="5">
        <f>[1]Results!AY1438</f>
        <v>4583.1796629999999</v>
      </c>
      <c r="AW194" s="5">
        <f>[1]Results!AZ1438</f>
        <v>4587.1909759999999</v>
      </c>
      <c r="AX194" s="5">
        <f>[1]Results!BA1438</f>
        <v>4591.1512460000004</v>
      </c>
      <c r="AY194" s="5">
        <f>[1]Results!BB1438</f>
        <v>4595.0045520000003</v>
      </c>
      <c r="AZ194" s="5">
        <f>[1]Results!BC1438</f>
        <v>4598.7071379999998</v>
      </c>
      <c r="BA194" s="5">
        <f>[1]Results!BD1438</f>
        <v>4602.228521</v>
      </c>
      <c r="BB194" s="5">
        <f>[1]Results!BE1438</f>
        <v>5231.1607729999996</v>
      </c>
      <c r="BC194" s="5">
        <f>[1]Results!BF1438</f>
        <v>5242.3388690000002</v>
      </c>
      <c r="BD194" s="5">
        <f>[1]Results!BG1438</f>
        <v>5253.0782669999999</v>
      </c>
      <c r="BE194" s="5">
        <f>[1]Results!BH1438</f>
        <v>5263.3729199999998</v>
      </c>
      <c r="BF194" s="5">
        <f>[1]Results!BI1438</f>
        <v>5273.218406</v>
      </c>
    </row>
    <row r="195" spans="1:58" x14ac:dyDescent="0.35">
      <c r="B195" t="s">
        <v>28</v>
      </c>
      <c r="C195" s="5">
        <f>[1]Results!F1450</f>
        <v>857.58641609999995</v>
      </c>
      <c r="D195" s="5">
        <f>[1]Results!G1450</f>
        <v>849.98761449999995</v>
      </c>
      <c r="E195" s="5">
        <f>[1]Results!H1450</f>
        <v>844.56660199999999</v>
      </c>
      <c r="F195" s="5">
        <f>[1]Results!I1450</f>
        <v>841.10979850000001</v>
      </c>
      <c r="G195" s="5">
        <f>[1]Results!J1450</f>
        <v>839.31749460000003</v>
      </c>
      <c r="H195" s="5">
        <f>[1]Results!K1450</f>
        <v>838.87698599999999</v>
      </c>
      <c r="I195" s="5">
        <f>[1]Results!L1450</f>
        <v>839.1820659</v>
      </c>
      <c r="J195" s="5">
        <f>[1]Results!M1450</f>
        <v>840.0182638</v>
      </c>
      <c r="K195" s="5">
        <f>[1]Results!N1450</f>
        <v>841.22121660000005</v>
      </c>
      <c r="L195" s="5">
        <f>[1]Results!O1450</f>
        <v>842.65502839999999</v>
      </c>
      <c r="M195" s="5">
        <f>[1]Results!P1450</f>
        <v>844.69689519999997</v>
      </c>
      <c r="N195" s="5">
        <f>[1]Results!Q1450</f>
        <v>846.642563</v>
      </c>
      <c r="O195" s="5">
        <f>[1]Results!R1450</f>
        <v>848.42016049999995</v>
      </c>
      <c r="P195" s="5">
        <f>[1]Results!S1450</f>
        <v>850.01437920000001</v>
      </c>
      <c r="Q195" s="5">
        <f>[1]Results!T1450</f>
        <v>851.42746539999996</v>
      </c>
      <c r="R195" s="5">
        <f>[1]Results!U1450</f>
        <v>852.67041070000005</v>
      </c>
      <c r="S195" s="5">
        <f>[1]Results!V1450</f>
        <v>853.72089789999995</v>
      </c>
      <c r="T195" s="5">
        <f>[1]Results!W1450</f>
        <v>854.612796</v>
      </c>
      <c r="U195" s="5">
        <f>[1]Results!X1450</f>
        <v>855.37840949999998</v>
      </c>
      <c r="V195" s="5">
        <f>[1]Results!Y1450</f>
        <v>856.04612889999999</v>
      </c>
      <c r="W195" s="5">
        <f>[1]Results!Z1450</f>
        <v>856.3222753</v>
      </c>
      <c r="X195" s="5">
        <f>[1]Results!AA1450</f>
        <v>856.6056092</v>
      </c>
      <c r="Y195" s="5">
        <f>[1]Results!AB1450</f>
        <v>856.92914069999995</v>
      </c>
      <c r="Z195" s="5">
        <f>[1]Results!AC1450</f>
        <v>857.29747250000003</v>
      </c>
      <c r="AA195" s="5">
        <f>[1]Results!AD1450</f>
        <v>857.70982200000003</v>
      </c>
      <c r="AB195" s="5">
        <f>[1]Results!AE1450</f>
        <v>857.30590729999994</v>
      </c>
      <c r="AC195" s="5">
        <f>[1]Results!AF1450</f>
        <v>856.71338460000004</v>
      </c>
      <c r="AD195" s="5">
        <f>[1]Results!AG1450</f>
        <v>856.04134739999995</v>
      </c>
      <c r="AE195" s="5">
        <f>[1]Results!AH1450</f>
        <v>855.35072179999997</v>
      </c>
      <c r="AF195" s="5">
        <f>[1]Results!AI1450</f>
        <v>854.68283259999998</v>
      </c>
      <c r="AG195" s="5">
        <f>[1]Results!AJ1450</f>
        <v>854.06605139999999</v>
      </c>
      <c r="AH195" s="5">
        <f>[1]Results!AK1450</f>
        <v>853.52547709999999</v>
      </c>
      <c r="AI195" s="5">
        <f>[1]Results!AL1450</f>
        <v>853.06778010000005</v>
      </c>
      <c r="AJ195" s="5">
        <f>[1]Results!AM1450</f>
        <v>852.69347700000003</v>
      </c>
      <c r="AK195" s="5">
        <f>[1]Results!AN1450</f>
        <v>852.399002</v>
      </c>
      <c r="AL195" s="5">
        <f>[1]Results!AO1450</f>
        <v>852.17823969999995</v>
      </c>
      <c r="AM195" s="5">
        <f>[1]Results!AP1450</f>
        <v>851.90405880000003</v>
      </c>
      <c r="AN195" s="5">
        <f>[1]Results!AQ1450</f>
        <v>851.58029320000003</v>
      </c>
      <c r="AO195" s="5">
        <f>[1]Results!AR1450</f>
        <v>851.22429269999998</v>
      </c>
      <c r="AP195" s="5">
        <f>[1]Results!AS1450</f>
        <v>850.85381370000005</v>
      </c>
      <c r="AQ195" s="5">
        <f>[1]Results!AT1450</f>
        <v>850.48381879999999</v>
      </c>
      <c r="AR195" s="5">
        <f>[1]Results!AU1450</f>
        <v>850.13476030000004</v>
      </c>
      <c r="AS195" s="5">
        <f>[1]Results!AV1450</f>
        <v>849.81127939999999</v>
      </c>
      <c r="AT195" s="5">
        <f>[1]Results!AW1450</f>
        <v>849.51538310000001</v>
      </c>
      <c r="AU195" s="5">
        <f>[1]Results!AX1450</f>
        <v>849.24721480000005</v>
      </c>
      <c r="AV195" s="5">
        <f>[1]Results!AY1450</f>
        <v>849.005495</v>
      </c>
      <c r="AW195" s="5">
        <f>[1]Results!AZ1450</f>
        <v>848.8313177</v>
      </c>
      <c r="AX195" s="5">
        <f>[1]Results!BA1450</f>
        <v>848.70926750000001</v>
      </c>
      <c r="AY195" s="5">
        <f>[1]Results!BB1450</f>
        <v>848.62499530000002</v>
      </c>
      <c r="AZ195" s="5">
        <f>[1]Results!BC1450</f>
        <v>848.56735990000004</v>
      </c>
      <c r="BA195" s="5">
        <f>[1]Results!BD1450</f>
        <v>848.52808990000005</v>
      </c>
      <c r="BB195" s="5">
        <f>[1]Results!BE1450</f>
        <v>906.05349030000002</v>
      </c>
      <c r="BC195" s="5">
        <f>[1]Results!BF1450</f>
        <v>906.0849584</v>
      </c>
      <c r="BD195" s="5">
        <f>[1]Results!BG1450</f>
        <v>906.13729030000002</v>
      </c>
      <c r="BE195" s="5">
        <f>[1]Results!BH1450</f>
        <v>906.21093189999999</v>
      </c>
      <c r="BF195" s="5">
        <f>[1]Results!BI1450</f>
        <v>906.30620550000003</v>
      </c>
    </row>
    <row r="196" spans="1:58" x14ac:dyDescent="0.35">
      <c r="B196" t="s">
        <v>10</v>
      </c>
      <c r="C196" s="5">
        <f>[1]Results!F1455</f>
        <v>21098.40898</v>
      </c>
      <c r="D196" s="5">
        <f>[1]Results!G1455</f>
        <v>20974.633999999998</v>
      </c>
      <c r="E196" s="5">
        <f>[1]Results!H1455</f>
        <v>20891.1505</v>
      </c>
      <c r="F196" s="5">
        <f>[1]Results!I1455</f>
        <v>20849.734339999999</v>
      </c>
      <c r="G196" s="5">
        <f>[1]Results!J1455</f>
        <v>20846.069820000001</v>
      </c>
      <c r="H196" s="5">
        <f>[1]Results!K1455</f>
        <v>20873.988819999999</v>
      </c>
      <c r="I196" s="5">
        <f>[1]Results!L1455</f>
        <v>20918.384440000002</v>
      </c>
      <c r="J196" s="5">
        <f>[1]Results!M1455</f>
        <v>20975.05243</v>
      </c>
      <c r="K196" s="5">
        <f>[1]Results!N1455</f>
        <v>21040.698990000001</v>
      </c>
      <c r="L196" s="5">
        <f>[1]Results!O1455</f>
        <v>21112.55054</v>
      </c>
      <c r="M196" s="5">
        <f>[1]Results!P1455</f>
        <v>21202.31914</v>
      </c>
      <c r="N196" s="5">
        <f>[1]Results!Q1455</f>
        <v>21290.6113</v>
      </c>
      <c r="O196" s="5">
        <f>[1]Results!R1455</f>
        <v>21375.928970000001</v>
      </c>
      <c r="P196" s="5">
        <f>[1]Results!S1455</f>
        <v>21457.89574</v>
      </c>
      <c r="Q196" s="5">
        <f>[1]Results!T1455</f>
        <v>21536.49526</v>
      </c>
      <c r="R196" s="5">
        <f>[1]Results!U1455</f>
        <v>21611.890009999999</v>
      </c>
      <c r="S196" s="5">
        <f>[1]Results!V1455</f>
        <v>21683.753570000001</v>
      </c>
      <c r="T196" s="5">
        <f>[1]Results!W1455</f>
        <v>21752.55503</v>
      </c>
      <c r="U196" s="5">
        <f>[1]Results!X1455</f>
        <v>21818.80301</v>
      </c>
      <c r="V196" s="5">
        <f>[1]Results!Y1455</f>
        <v>21882.967860000001</v>
      </c>
      <c r="W196" s="5">
        <f>[1]Results!Z1455</f>
        <v>21936.219209999999</v>
      </c>
      <c r="X196" s="5">
        <f>[1]Results!AA1455</f>
        <v>21990.07288</v>
      </c>
      <c r="Y196" s="5">
        <f>[1]Results!AB1455</f>
        <v>22044.97507</v>
      </c>
      <c r="Z196" s="5">
        <f>[1]Results!AC1455</f>
        <v>22100.857810000001</v>
      </c>
      <c r="AA196" s="5">
        <f>[1]Results!AD1455</f>
        <v>22157.57186</v>
      </c>
      <c r="AB196" s="5">
        <f>[1]Results!AE1455</f>
        <v>22189.862290000001</v>
      </c>
      <c r="AC196" s="5">
        <f>[1]Results!AF1455</f>
        <v>22216.345809999999</v>
      </c>
      <c r="AD196" s="5">
        <f>[1]Results!AG1455</f>
        <v>22239.689859999999</v>
      </c>
      <c r="AE196" s="5">
        <f>[1]Results!AH1455</f>
        <v>22261.510020000002</v>
      </c>
      <c r="AF196" s="5">
        <f>[1]Results!AI1455</f>
        <v>22282.934450000001</v>
      </c>
      <c r="AG196" s="5">
        <f>[1]Results!AJ1455</f>
        <v>22304.751189999999</v>
      </c>
      <c r="AH196" s="5">
        <f>[1]Results!AK1455</f>
        <v>22327.58411</v>
      </c>
      <c r="AI196" s="5">
        <f>[1]Results!AL1455</f>
        <v>22351.696929999998</v>
      </c>
      <c r="AJ196" s="5">
        <f>[1]Results!AM1455</f>
        <v>22377.178550000001</v>
      </c>
      <c r="AK196" s="5">
        <f>[1]Results!AN1455</f>
        <v>22404.002390000001</v>
      </c>
      <c r="AL196" s="5">
        <f>[1]Results!AO1455</f>
        <v>22432.070759999999</v>
      </c>
      <c r="AM196" s="5">
        <f>[1]Results!AP1455</f>
        <v>22456.871469999998</v>
      </c>
      <c r="AN196" s="5">
        <f>[1]Results!AQ1455</f>
        <v>22479.155340000001</v>
      </c>
      <c r="AO196" s="5">
        <f>[1]Results!AR1455</f>
        <v>22499.727009999999</v>
      </c>
      <c r="AP196" s="5">
        <f>[1]Results!AS1455</f>
        <v>22519.260740000002</v>
      </c>
      <c r="AQ196" s="5">
        <f>[1]Results!AT1455</f>
        <v>22538.281019999999</v>
      </c>
      <c r="AR196" s="5">
        <f>[1]Results!AU1455</f>
        <v>22557.314760000001</v>
      </c>
      <c r="AS196" s="5">
        <f>[1]Results!AV1455</f>
        <v>22576.598320000001</v>
      </c>
      <c r="AT196" s="5">
        <f>[1]Results!AW1455</f>
        <v>22596.261549999999</v>
      </c>
      <c r="AU196" s="5">
        <f>[1]Results!AX1455</f>
        <v>22616.359909999999</v>
      </c>
      <c r="AV196" s="5">
        <f>[1]Results!AY1455</f>
        <v>22636.895530000002</v>
      </c>
      <c r="AW196" s="5">
        <f>[1]Results!AZ1455</f>
        <v>22658.709760000002</v>
      </c>
      <c r="AX196" s="5">
        <f>[1]Results!BA1455</f>
        <v>22681.567159999999</v>
      </c>
      <c r="AY196" s="5">
        <f>[1]Results!BB1455</f>
        <v>22705.201389999998</v>
      </c>
      <c r="AZ196" s="5">
        <f>[1]Results!BC1455</f>
        <v>22729.38162</v>
      </c>
      <c r="BA196" s="5">
        <f>[1]Results!BD1455</f>
        <v>22753.921999999999</v>
      </c>
      <c r="BB196" s="5">
        <f>[1]Results!BE1455</f>
        <v>24105.83799</v>
      </c>
      <c r="BC196" s="5">
        <f>[1]Results!BF1455</f>
        <v>24132.885460000001</v>
      </c>
      <c r="BD196" s="5">
        <f>[1]Results!BG1455</f>
        <v>24159.784810000001</v>
      </c>
      <c r="BE196" s="5">
        <f>[1]Results!BH1455</f>
        <v>24186.563109999999</v>
      </c>
      <c r="BF196" s="5">
        <f>[1]Results!BI1455</f>
        <v>24213.247859999999</v>
      </c>
    </row>
    <row r="197" spans="1:58" x14ac:dyDescent="0.35">
      <c r="B197" t="s">
        <v>29</v>
      </c>
      <c r="C197" s="5">
        <f>C202-C198</f>
        <v>10.420258987399999</v>
      </c>
      <c r="D197" s="5">
        <f t="shared" ref="D197:AL197" si="89">D202-D198</f>
        <v>10.281262853700001</v>
      </c>
      <c r="E197" s="5">
        <f t="shared" si="89"/>
        <v>10.161887931800001</v>
      </c>
      <c r="F197" s="5">
        <f t="shared" si="89"/>
        <v>10.063926756699999</v>
      </c>
      <c r="G197" s="5">
        <f t="shared" si="89"/>
        <v>9.9878184160999979</v>
      </c>
      <c r="H197" s="5">
        <f t="shared" si="89"/>
        <v>9.9318665110999991</v>
      </c>
      <c r="I197" s="5">
        <f t="shared" si="89"/>
        <v>9.8899576432999989</v>
      </c>
      <c r="J197" s="5">
        <f t="shared" si="89"/>
        <v>9.8595774698999996</v>
      </c>
      <c r="K197" s="5">
        <f t="shared" si="89"/>
        <v>9.8381446691999983</v>
      </c>
      <c r="L197" s="5">
        <f t="shared" si="89"/>
        <v>9.8231992284</v>
      </c>
      <c r="M197" s="5">
        <f t="shared" si="89"/>
        <v>9.8180460385000003</v>
      </c>
      <c r="N197" s="5">
        <f t="shared" si="89"/>
        <v>9.8137991070000012</v>
      </c>
      <c r="O197" s="5">
        <f t="shared" si="89"/>
        <v>9.8093758581999992</v>
      </c>
      <c r="P197" s="5">
        <f t="shared" si="89"/>
        <v>9.804431085900001</v>
      </c>
      <c r="Q197" s="5">
        <f t="shared" si="89"/>
        <v>9.798794709500001</v>
      </c>
      <c r="R197" s="5">
        <f t="shared" si="89"/>
        <v>9.7923735590999996</v>
      </c>
      <c r="S197" s="5">
        <f t="shared" si="89"/>
        <v>9.7845547727999982</v>
      </c>
      <c r="T197" s="5">
        <f t="shared" si="89"/>
        <v>9.7755896911000022</v>
      </c>
      <c r="U197" s="5">
        <f t="shared" si="89"/>
        <v>9.7657138879000005</v>
      </c>
      <c r="V197" s="5">
        <f t="shared" si="89"/>
        <v>9.7551182746000009</v>
      </c>
      <c r="W197" s="5">
        <f t="shared" si="89"/>
        <v>9.7404842762999984</v>
      </c>
      <c r="X197" s="5">
        <f t="shared" si="89"/>
        <v>9.7262309185000007</v>
      </c>
      <c r="Y197" s="5">
        <f t="shared" si="89"/>
        <v>9.7125418682000006</v>
      </c>
      <c r="Z197" s="5">
        <f t="shared" si="89"/>
        <v>9.6993125905999982</v>
      </c>
      <c r="AA197" s="5">
        <f t="shared" si="89"/>
        <v>9.6864489511000009</v>
      </c>
      <c r="AB197" s="5">
        <f t="shared" si="89"/>
        <v>9.6645662251000015</v>
      </c>
      <c r="AC197" s="5">
        <f t="shared" si="89"/>
        <v>9.6409630616000008</v>
      </c>
      <c r="AD197" s="5">
        <f t="shared" si="89"/>
        <v>9.6167212253999992</v>
      </c>
      <c r="AE197" s="5">
        <f t="shared" si="89"/>
        <v>9.5923018974000005</v>
      </c>
      <c r="AF197" s="5">
        <f t="shared" si="89"/>
        <v>9.5679906955999989</v>
      </c>
      <c r="AG197" s="5">
        <f t="shared" si="89"/>
        <v>9.5439919385000014</v>
      </c>
      <c r="AH197" s="5">
        <f t="shared" si="89"/>
        <v>9.5205605939999991</v>
      </c>
      <c r="AI197" s="5">
        <f t="shared" si="89"/>
        <v>9.4977509235000017</v>
      </c>
      <c r="AJ197" s="5">
        <f t="shared" si="89"/>
        <v>9.4755848055000005</v>
      </c>
      <c r="AK197" s="5">
        <f t="shared" si="89"/>
        <v>9.4540627229000016</v>
      </c>
      <c r="AL197" s="5">
        <f t="shared" si="89"/>
        <v>9.4331677571999997</v>
      </c>
      <c r="AM197" s="5">
        <f t="shared" ref="AM197:BC197" si="90">AM202-AM198</f>
        <v>9.4118464840999998</v>
      </c>
      <c r="AN197" s="5">
        <f t="shared" si="90"/>
        <v>9.3901591354999994</v>
      </c>
      <c r="AO197" s="5">
        <f t="shared" si="90"/>
        <v>9.3682776694000012</v>
      </c>
      <c r="AP197" s="5">
        <f t="shared" si="90"/>
        <v>9.3463597610000004</v>
      </c>
      <c r="AQ197" s="5">
        <f t="shared" si="90"/>
        <v>9.3245269784000016</v>
      </c>
      <c r="AR197" s="5">
        <f t="shared" si="90"/>
        <v>9.3030022443</v>
      </c>
      <c r="AS197" s="5">
        <f t="shared" si="90"/>
        <v>9.2817912303999996</v>
      </c>
      <c r="AT197" s="5">
        <f t="shared" si="90"/>
        <v>9.2608867349000015</v>
      </c>
      <c r="AU197" s="5">
        <f t="shared" si="90"/>
        <v>9.240276862</v>
      </c>
      <c r="AV197" s="5">
        <f t="shared" si="90"/>
        <v>9.2199449393999995</v>
      </c>
      <c r="AW197" s="5">
        <f t="shared" si="90"/>
        <v>9.2004571179999992</v>
      </c>
      <c r="AX197" s="5">
        <f t="shared" si="90"/>
        <v>9.1815925208000007</v>
      </c>
      <c r="AY197" s="5">
        <f t="shared" si="90"/>
        <v>9.1631618921999998</v>
      </c>
      <c r="AZ197" s="5">
        <f t="shared" si="90"/>
        <v>9.1450330475000001</v>
      </c>
      <c r="BA197" s="5">
        <f t="shared" si="90"/>
        <v>9.1271150932999987</v>
      </c>
      <c r="BB197" s="5">
        <f t="shared" si="90"/>
        <v>10.155948501900001</v>
      </c>
      <c r="BC197" s="5">
        <f t="shared" si="90"/>
        <v>10.145430733600001</v>
      </c>
      <c r="BD197" s="5">
        <f t="shared" ref="BD197:BF197" si="91">BD202-BD198</f>
        <v>10.1351860352</v>
      </c>
      <c r="BE197" s="5">
        <f t="shared" si="91"/>
        <v>10.125230133700001</v>
      </c>
      <c r="BF197" s="5">
        <f t="shared" si="91"/>
        <v>10.115579647300001</v>
      </c>
    </row>
    <row r="198" spans="1:58" x14ac:dyDescent="0.35">
      <c r="B198" t="s">
        <v>36</v>
      </c>
      <c r="C198" s="5">
        <f>C200+C201</f>
        <v>7.3003162526000001</v>
      </c>
      <c r="D198" s="5">
        <f t="shared" ref="D198:AL198" si="92">D200+D201</f>
        <v>7.2036852563</v>
      </c>
      <c r="E198" s="5">
        <f t="shared" si="92"/>
        <v>7.1117510882000001</v>
      </c>
      <c r="F198" s="5">
        <f t="shared" si="92"/>
        <v>7.0309953532999998</v>
      </c>
      <c r="G198" s="5">
        <f t="shared" si="92"/>
        <v>6.9653835139</v>
      </c>
      <c r="H198" s="5">
        <f t="shared" si="92"/>
        <v>6.9154980489</v>
      </c>
      <c r="I198" s="5">
        <f t="shared" si="92"/>
        <v>6.8776359267</v>
      </c>
      <c r="J198" s="5">
        <f t="shared" si="92"/>
        <v>6.8497226100999997</v>
      </c>
      <c r="K198" s="5">
        <f t="shared" si="92"/>
        <v>6.8294944708000003</v>
      </c>
      <c r="L198" s="5">
        <f t="shared" si="92"/>
        <v>6.8148589315999999</v>
      </c>
      <c r="M198" s="5">
        <f t="shared" si="92"/>
        <v>6.8073915915000001</v>
      </c>
      <c r="N198" s="5">
        <f t="shared" si="92"/>
        <v>6.801329043</v>
      </c>
      <c r="O198" s="5">
        <f t="shared" si="92"/>
        <v>6.7958611517999996</v>
      </c>
      <c r="P198" s="5">
        <f t="shared" si="92"/>
        <v>6.7905728941000003</v>
      </c>
      <c r="Q198" s="5">
        <f t="shared" si="92"/>
        <v>6.7851931104999998</v>
      </c>
      <c r="R198" s="5">
        <f t="shared" si="92"/>
        <v>6.7795434109000006</v>
      </c>
      <c r="S198" s="5">
        <f t="shared" si="92"/>
        <v>6.7731449472000005</v>
      </c>
      <c r="T198" s="5">
        <f t="shared" si="92"/>
        <v>6.7660920489</v>
      </c>
      <c r="U198" s="5">
        <f t="shared" si="92"/>
        <v>6.7584736520999993</v>
      </c>
      <c r="V198" s="5">
        <f t="shared" si="92"/>
        <v>6.7503618853999994</v>
      </c>
      <c r="W198" s="5">
        <f t="shared" si="92"/>
        <v>6.7396859936999993</v>
      </c>
      <c r="X198" s="5">
        <f t="shared" si="92"/>
        <v>6.7291184015000001</v>
      </c>
      <c r="Y198" s="5">
        <f t="shared" si="92"/>
        <v>6.7187034717999996</v>
      </c>
      <c r="Z198" s="5">
        <f t="shared" si="92"/>
        <v>6.7083818394000003</v>
      </c>
      <c r="AA198" s="5">
        <f t="shared" si="92"/>
        <v>6.6981092089000001</v>
      </c>
      <c r="AB198" s="5">
        <f t="shared" si="92"/>
        <v>6.6821340248999999</v>
      </c>
      <c r="AC198" s="5">
        <f t="shared" si="92"/>
        <v>6.6649245584000001</v>
      </c>
      <c r="AD198" s="5">
        <f t="shared" si="92"/>
        <v>6.6470107845999999</v>
      </c>
      <c r="AE198" s="5">
        <f t="shared" si="92"/>
        <v>6.6286687325999996</v>
      </c>
      <c r="AF198" s="5">
        <f t="shared" si="92"/>
        <v>6.6101056844000006</v>
      </c>
      <c r="AG198" s="5">
        <f t="shared" si="92"/>
        <v>6.5914888815000001</v>
      </c>
      <c r="AH198" s="5">
        <f t="shared" si="92"/>
        <v>6.5730179759999992</v>
      </c>
      <c r="AI198" s="5">
        <f t="shared" si="92"/>
        <v>6.5547601464999996</v>
      </c>
      <c r="AJ198" s="5">
        <f t="shared" si="92"/>
        <v>6.5367585244999997</v>
      </c>
      <c r="AK198" s="5">
        <f t="shared" si="92"/>
        <v>6.5190374070999999</v>
      </c>
      <c r="AL198" s="5">
        <f t="shared" si="92"/>
        <v>6.5016054528000007</v>
      </c>
      <c r="AM198" s="5">
        <f t="shared" ref="AM198:BC198" si="93">AM200+AM201</f>
        <v>6.4838500558999996</v>
      </c>
      <c r="AN198" s="5">
        <f t="shared" si="93"/>
        <v>6.4658050545000005</v>
      </c>
      <c r="AO198" s="5">
        <f t="shared" si="93"/>
        <v>6.4475614206000005</v>
      </c>
      <c r="AP198" s="5">
        <f t="shared" si="93"/>
        <v>6.4292101289999994</v>
      </c>
      <c r="AQ198" s="5">
        <f t="shared" si="93"/>
        <v>6.4108292316000002</v>
      </c>
      <c r="AR198" s="5">
        <f t="shared" si="93"/>
        <v>6.3925675956999992</v>
      </c>
      <c r="AS198" s="5">
        <f t="shared" si="93"/>
        <v>6.3744377296000003</v>
      </c>
      <c r="AT198" s="5">
        <f t="shared" si="93"/>
        <v>6.3564461350999997</v>
      </c>
      <c r="AU198" s="5">
        <f t="shared" si="93"/>
        <v>6.3385947280000003</v>
      </c>
      <c r="AV198" s="5">
        <f t="shared" si="93"/>
        <v>6.3208797606000005</v>
      </c>
      <c r="AW198" s="5">
        <f t="shared" si="93"/>
        <v>6.3036619620000005</v>
      </c>
      <c r="AX198" s="5">
        <f t="shared" si="93"/>
        <v>6.2868005991999993</v>
      </c>
      <c r="AY198" s="5">
        <f t="shared" si="93"/>
        <v>6.2701821778000006</v>
      </c>
      <c r="AZ198" s="5">
        <f t="shared" si="93"/>
        <v>6.2537259125000002</v>
      </c>
      <c r="BA198" s="5">
        <f t="shared" si="93"/>
        <v>6.2373733167000003</v>
      </c>
      <c r="BB198" s="5">
        <f t="shared" si="93"/>
        <v>6.9507745180999994</v>
      </c>
      <c r="BC198" s="5">
        <f t="shared" si="93"/>
        <v>6.9395229864000001</v>
      </c>
      <c r="BD198" s="5">
        <f t="shared" ref="BD198:BF198" si="94">BD200+BD201</f>
        <v>6.9284598847999996</v>
      </c>
      <c r="BE198" s="5">
        <f t="shared" si="94"/>
        <v>6.9176046962999997</v>
      </c>
      <c r="BF198" s="5">
        <f t="shared" si="94"/>
        <v>6.9069772027000003</v>
      </c>
    </row>
    <row r="199" spans="1:58" x14ac:dyDescent="0.35">
      <c r="B199" t="s">
        <v>11</v>
      </c>
      <c r="C199" s="5">
        <f>[1]Results!F1463</f>
        <v>86.171716230000001</v>
      </c>
      <c r="D199" s="5">
        <f>[1]Results!G1463</f>
        <v>85.336362449999996</v>
      </c>
      <c r="E199" s="5">
        <f>[1]Results!H1463</f>
        <v>84.491787579999993</v>
      </c>
      <c r="F199" s="5">
        <f>[1]Results!I1463</f>
        <v>83.719485419999998</v>
      </c>
      <c r="G199" s="5">
        <f>[1]Results!J1463</f>
        <v>83.062875120000001</v>
      </c>
      <c r="H199" s="5">
        <f>[1]Results!K1463</f>
        <v>82.53127044</v>
      </c>
      <c r="I199" s="5">
        <f>[1]Results!L1463</f>
        <v>82.096973410000004</v>
      </c>
      <c r="J199" s="5">
        <f>[1]Results!M1463</f>
        <v>81.743402489999994</v>
      </c>
      <c r="K199" s="5">
        <f>[1]Results!N1463</f>
        <v>81.451905199999999</v>
      </c>
      <c r="L199" s="5">
        <f>[1]Results!O1463</f>
        <v>81.203257539999996</v>
      </c>
      <c r="M199" s="5">
        <f>[1]Results!P1463</f>
        <v>81.021318500000007</v>
      </c>
      <c r="N199" s="5">
        <f>[1]Results!Q1463</f>
        <v>80.843361139999999</v>
      </c>
      <c r="O199" s="5">
        <f>[1]Results!R1463</f>
        <v>80.654135269999998</v>
      </c>
      <c r="P199" s="5">
        <f>[1]Results!S1463</f>
        <v>80.449453719999994</v>
      </c>
      <c r="Q199" s="5">
        <f>[1]Results!T1463</f>
        <v>80.228750770000005</v>
      </c>
      <c r="R199" s="5">
        <f>[1]Results!U1463</f>
        <v>79.992907400000007</v>
      </c>
      <c r="S199" s="5">
        <f>[1]Results!V1463</f>
        <v>79.740718220000005</v>
      </c>
      <c r="T199" s="5">
        <f>[1]Results!W1463</f>
        <v>79.474924000000001</v>
      </c>
      <c r="U199" s="5">
        <f>[1]Results!X1463</f>
        <v>79.198574320000006</v>
      </c>
      <c r="V199" s="5">
        <f>[1]Results!Y1463</f>
        <v>78.914584840000003</v>
      </c>
      <c r="W199" s="5">
        <f>[1]Results!Z1463</f>
        <v>78.599311029999996</v>
      </c>
      <c r="X199" s="5">
        <f>[1]Results!AA1463</f>
        <v>78.284861289999995</v>
      </c>
      <c r="Y199" s="5">
        <f>[1]Results!AB1463</f>
        <v>77.977396310000003</v>
      </c>
      <c r="Z199" s="5">
        <f>[1]Results!AC1463</f>
        <v>77.678035149999999</v>
      </c>
      <c r="AA199" s="5">
        <f>[1]Results!AD1463</f>
        <v>77.386900620000006</v>
      </c>
      <c r="AB199" s="5">
        <f>[1]Results!AE1463</f>
        <v>77.033782909999999</v>
      </c>
      <c r="AC199" s="5">
        <f>[1]Results!AF1463</f>
        <v>76.665883039999997</v>
      </c>
      <c r="AD199" s="5">
        <f>[1]Results!AG1463</f>
        <v>76.297615480000005</v>
      </c>
      <c r="AE199" s="5">
        <f>[1]Results!AH1463</f>
        <v>75.935555669999999</v>
      </c>
      <c r="AF199" s="5">
        <f>[1]Results!AI1463</f>
        <v>75.583264369999995</v>
      </c>
      <c r="AG199" s="5">
        <f>[1]Results!AJ1463</f>
        <v>75.242783399999993</v>
      </c>
      <c r="AH199" s="5">
        <f>[1]Results!AK1463</f>
        <v>74.915757389999996</v>
      </c>
      <c r="AI199" s="5">
        <f>[1]Results!AL1463</f>
        <v>74.602542249999999</v>
      </c>
      <c r="AJ199" s="5">
        <f>[1]Results!AM1463</f>
        <v>74.303015000000002</v>
      </c>
      <c r="AK199" s="5">
        <f>[1]Results!AN1463</f>
        <v>74.016756470000004</v>
      </c>
      <c r="AL199" s="5">
        <f>[1]Results!AO1463</f>
        <v>73.743140339999997</v>
      </c>
      <c r="AM199" s="5">
        <f>[1]Results!AP1463</f>
        <v>73.471357569999995</v>
      </c>
      <c r="AN199" s="5">
        <f>[1]Results!AQ1463</f>
        <v>73.201180109999996</v>
      </c>
      <c r="AO199" s="5">
        <f>[1]Results!AR1463</f>
        <v>72.934340289999994</v>
      </c>
      <c r="AP199" s="5">
        <f>[1]Results!AS1463</f>
        <v>72.672488709999996</v>
      </c>
      <c r="AQ199" s="5">
        <f>[1]Results!AT1463</f>
        <v>72.416781319999998</v>
      </c>
      <c r="AR199" s="5">
        <f>[1]Results!AU1463</f>
        <v>72.168551600000001</v>
      </c>
      <c r="AS199" s="5">
        <f>[1]Results!AV1463</f>
        <v>71.92795907</v>
      </c>
      <c r="AT199" s="5">
        <f>[1]Results!AW1463</f>
        <v>71.694897170000004</v>
      </c>
      <c r="AU199" s="5">
        <f>[1]Results!AX1463</f>
        <v>71.469121799999996</v>
      </c>
      <c r="AV199" s="5">
        <f>[1]Results!AY1463</f>
        <v>71.250331450000004</v>
      </c>
      <c r="AW199" s="5">
        <f>[1]Results!AZ1463</f>
        <v>71.041399760000004</v>
      </c>
      <c r="AX199" s="5">
        <f>[1]Results!BA1463</f>
        <v>70.841338649999997</v>
      </c>
      <c r="AY199" s="5">
        <f>[1]Results!BB1463</f>
        <v>70.648942160000004</v>
      </c>
      <c r="AZ199" s="5">
        <f>[1]Results!BC1463</f>
        <v>70.463235760000003</v>
      </c>
      <c r="BA199" s="5">
        <f>[1]Results!BD1463</f>
        <v>70.283503289999999</v>
      </c>
      <c r="BB199" s="5">
        <f>[1]Results!BE1463</f>
        <v>70.135860050000005</v>
      </c>
      <c r="BC199" s="5">
        <f>[1]Results!BF1463</f>
        <v>69.91039542</v>
      </c>
      <c r="BD199" s="5">
        <f>[1]Results!BG1463</f>
        <v>69.69096304</v>
      </c>
      <c r="BE199" s="5">
        <f>[1]Results!BH1463</f>
        <v>69.477245850000003</v>
      </c>
      <c r="BF199" s="5">
        <f>[1]Results!BI1463</f>
        <v>69.268945419999994</v>
      </c>
    </row>
    <row r="200" spans="1:58" x14ac:dyDescent="0.35">
      <c r="B200" t="s">
        <v>35</v>
      </c>
      <c r="C200" s="5">
        <f>[1]Results!F1460</f>
        <v>6.5913019400000001</v>
      </c>
      <c r="D200" s="5">
        <f>[1]Results!G1460</f>
        <v>6.5036448870000001</v>
      </c>
      <c r="E200" s="5">
        <f>[1]Results!H1460</f>
        <v>6.418901816</v>
      </c>
      <c r="F200" s="5">
        <f>[1]Results!I1460</f>
        <v>6.3437141260000001</v>
      </c>
      <c r="G200" s="5">
        <f>[1]Results!J1460</f>
        <v>6.2822312</v>
      </c>
      <c r="H200" s="5">
        <f>[1]Results!K1460</f>
        <v>6.2352402439999999</v>
      </c>
      <c r="I200" s="5">
        <f>[1]Results!L1460</f>
        <v>6.1994770739999998</v>
      </c>
      <c r="J200" s="5">
        <f>[1]Results!M1460</f>
        <v>6.1730043480000001</v>
      </c>
      <c r="K200" s="5">
        <f>[1]Results!N1460</f>
        <v>6.153695656</v>
      </c>
      <c r="L200" s="5">
        <f>[1]Results!O1460</f>
        <v>6.1396003309999996</v>
      </c>
      <c r="M200" s="5">
        <f>[1]Results!P1460</f>
        <v>6.1319999369999998</v>
      </c>
      <c r="N200" s="5">
        <f>[1]Results!Q1460</f>
        <v>6.125778231</v>
      </c>
      <c r="O200" s="5">
        <f>[1]Results!R1460</f>
        <v>6.1202245209999999</v>
      </c>
      <c r="P200" s="5">
        <f>[1]Results!S1460</f>
        <v>6.1149450310000004</v>
      </c>
      <c r="Q200" s="5">
        <f>[1]Results!T1460</f>
        <v>6.1096732219999996</v>
      </c>
      <c r="R200" s="5">
        <f>[1]Results!U1460</f>
        <v>6.1042304310000004</v>
      </c>
      <c r="S200" s="5">
        <f>[1]Results!V1460</f>
        <v>6.0981724100000001</v>
      </c>
      <c r="T200" s="5">
        <f>[1]Results!W1460</f>
        <v>6.0915732370000004</v>
      </c>
      <c r="U200" s="5">
        <f>[1]Results!X1460</f>
        <v>6.0845009369999996</v>
      </c>
      <c r="V200" s="5">
        <f>[1]Results!Y1460</f>
        <v>6.0770093579999998</v>
      </c>
      <c r="W200" s="5">
        <f>[1]Results!Z1460</f>
        <v>6.0672826659999997</v>
      </c>
      <c r="X200" s="5">
        <f>[1]Results!AA1460</f>
        <v>6.0576554260000002</v>
      </c>
      <c r="Y200" s="5">
        <f>[1]Results!AB1460</f>
        <v>6.0481379899999999</v>
      </c>
      <c r="Z200" s="5">
        <f>[1]Results!AC1460</f>
        <v>6.0386741800000001</v>
      </c>
      <c r="AA200" s="5">
        <f>[1]Results!AD1460</f>
        <v>6.0292259100000001</v>
      </c>
      <c r="AB200" s="5">
        <f>[1]Results!AE1460</f>
        <v>6.0147708309999999</v>
      </c>
      <c r="AC200" s="5">
        <f>[1]Results!AF1460</f>
        <v>5.9992393220000002</v>
      </c>
      <c r="AD200" s="5">
        <f>[1]Results!AG1460</f>
        <v>5.9830456160000001</v>
      </c>
      <c r="AE200" s="5">
        <f>[1]Results!AH1460</f>
        <v>5.9664183419999999</v>
      </c>
      <c r="AF200" s="5">
        <f>[1]Results!AI1460</f>
        <v>5.9495394770000001</v>
      </c>
      <c r="AG200" s="5">
        <f>[1]Results!AJ1460</f>
        <v>5.9325607060000003</v>
      </c>
      <c r="AH200" s="5">
        <f>[1]Results!AK1460</f>
        <v>5.9156646659999996</v>
      </c>
      <c r="AI200" s="5">
        <f>[1]Results!AL1460</f>
        <v>5.898915218</v>
      </c>
      <c r="AJ200" s="5">
        <f>[1]Results!AM1460</f>
        <v>5.8823549719999999</v>
      </c>
      <c r="AK200" s="5">
        <f>[1]Results!AN1460</f>
        <v>5.8660093169999996</v>
      </c>
      <c r="AL200" s="5">
        <f>[1]Results!AO1460</f>
        <v>5.8498892390000004</v>
      </c>
      <c r="AM200" s="5">
        <f>[1]Results!AP1460</f>
        <v>5.8334747279999997</v>
      </c>
      <c r="AN200" s="5">
        <f>[1]Results!AQ1460</f>
        <v>5.8167950980000001</v>
      </c>
      <c r="AO200" s="5">
        <f>[1]Results!AR1460</f>
        <v>5.7999235660000004</v>
      </c>
      <c r="AP200" s="5">
        <f>[1]Results!AS1460</f>
        <v>5.7829354329999996</v>
      </c>
      <c r="AQ200" s="5">
        <f>[1]Results!AT1460</f>
        <v>5.7658977450000002</v>
      </c>
      <c r="AR200" s="5">
        <f>[1]Results!AU1460</f>
        <v>5.7489435359999996</v>
      </c>
      <c r="AS200" s="5">
        <f>[1]Results!AV1460</f>
        <v>5.732084575</v>
      </c>
      <c r="AT200" s="5">
        <f>[1]Results!AW1460</f>
        <v>5.7153285059999996</v>
      </c>
      <c r="AU200" s="5">
        <f>[1]Results!AX1460</f>
        <v>5.6986790310000002</v>
      </c>
      <c r="AV200" s="5">
        <f>[1]Results!AY1460</f>
        <v>5.6821345230000002</v>
      </c>
      <c r="AW200" s="5">
        <f>[1]Results!AZ1460</f>
        <v>5.6660175830000004</v>
      </c>
      <c r="AX200" s="5">
        <f>[1]Results!BA1460</f>
        <v>5.6502013719999997</v>
      </c>
      <c r="AY200" s="5">
        <f>[1]Results!BB1460</f>
        <v>5.6345860620000003</v>
      </c>
      <c r="AZ200" s="5">
        <f>[1]Results!BC1460</f>
        <v>5.6191008299999998</v>
      </c>
      <c r="BA200" s="5">
        <f>[1]Results!BD1460</f>
        <v>5.6036941340000004</v>
      </c>
      <c r="BB200" s="5">
        <f>[1]Results!BE1460</f>
        <v>6.2603257899999996</v>
      </c>
      <c r="BC200" s="5">
        <f>[1]Results!BF1460</f>
        <v>6.2497078110000004</v>
      </c>
      <c r="BD200" s="5">
        <f>[1]Results!BG1460</f>
        <v>6.2392568309999996</v>
      </c>
      <c r="BE200" s="5">
        <f>[1]Results!BH1460</f>
        <v>6.2289919490000001</v>
      </c>
      <c r="BF200" s="5">
        <f>[1]Results!BI1460</f>
        <v>6.2189324130000001</v>
      </c>
    </row>
    <row r="201" spans="1:58" x14ac:dyDescent="0.35">
      <c r="B201" t="s">
        <v>34</v>
      </c>
      <c r="C201" s="5">
        <f>[1]Results!F1462</f>
        <v>0.70901431260000003</v>
      </c>
      <c r="D201" s="5">
        <f>[1]Results!G1462</f>
        <v>0.70004036930000002</v>
      </c>
      <c r="E201" s="5">
        <f>[1]Results!H1462</f>
        <v>0.69284927220000003</v>
      </c>
      <c r="F201" s="5">
        <f>[1]Results!I1462</f>
        <v>0.68728122729999996</v>
      </c>
      <c r="G201" s="5">
        <f>[1]Results!J1462</f>
        <v>0.68315231389999997</v>
      </c>
      <c r="H201" s="5">
        <f>[1]Results!K1462</f>
        <v>0.68025780489999998</v>
      </c>
      <c r="I201" s="5">
        <f>[1]Results!L1462</f>
        <v>0.67815885269999998</v>
      </c>
      <c r="J201" s="5">
        <f>[1]Results!M1462</f>
        <v>0.67671826209999997</v>
      </c>
      <c r="K201" s="5">
        <f>[1]Results!N1462</f>
        <v>0.67579881480000004</v>
      </c>
      <c r="L201" s="5">
        <f>[1]Results!O1462</f>
        <v>0.67525860059999998</v>
      </c>
      <c r="M201" s="5">
        <f>[1]Results!P1462</f>
        <v>0.67539165450000005</v>
      </c>
      <c r="N201" s="5">
        <f>[1]Results!Q1462</f>
        <v>0.675550812</v>
      </c>
      <c r="O201" s="5">
        <f>[1]Results!R1462</f>
        <v>0.67563663080000003</v>
      </c>
      <c r="P201" s="5">
        <f>[1]Results!S1462</f>
        <v>0.6756278631</v>
      </c>
      <c r="Q201" s="5">
        <f>[1]Results!T1462</f>
        <v>0.6755198885</v>
      </c>
      <c r="R201" s="5">
        <f>[1]Results!U1462</f>
        <v>0.67531297990000005</v>
      </c>
      <c r="S201" s="5">
        <f>[1]Results!V1462</f>
        <v>0.67497253719999994</v>
      </c>
      <c r="T201" s="5">
        <f>[1]Results!W1462</f>
        <v>0.67451881189999996</v>
      </c>
      <c r="U201" s="5">
        <f>[1]Results!X1462</f>
        <v>0.67397271510000001</v>
      </c>
      <c r="V201" s="5">
        <f>[1]Results!Y1462</f>
        <v>0.67335252739999996</v>
      </c>
      <c r="W201" s="5">
        <f>[1]Results!Z1462</f>
        <v>0.6724033277</v>
      </c>
      <c r="X201" s="5">
        <f>[1]Results!AA1462</f>
        <v>0.6714629755</v>
      </c>
      <c r="Y201" s="5">
        <f>[1]Results!AB1462</f>
        <v>0.67056548179999997</v>
      </c>
      <c r="Z201" s="5">
        <f>[1]Results!AC1462</f>
        <v>0.66970765939999999</v>
      </c>
      <c r="AA201" s="5">
        <f>[1]Results!AD1462</f>
        <v>0.66888329889999998</v>
      </c>
      <c r="AB201" s="5">
        <f>[1]Results!AE1462</f>
        <v>0.66736319389999998</v>
      </c>
      <c r="AC201" s="5">
        <f>[1]Results!AF1462</f>
        <v>0.66568523639999999</v>
      </c>
      <c r="AD201" s="5">
        <f>[1]Results!AG1462</f>
        <v>0.66396516859999999</v>
      </c>
      <c r="AE201" s="5">
        <f>[1]Results!AH1462</f>
        <v>0.66225039060000002</v>
      </c>
      <c r="AF201" s="5">
        <f>[1]Results!AI1462</f>
        <v>0.66056620740000005</v>
      </c>
      <c r="AG201" s="5">
        <f>[1]Results!AJ1462</f>
        <v>0.65892817550000005</v>
      </c>
      <c r="AH201" s="5">
        <f>[1]Results!AK1462</f>
        <v>0.65735330999999997</v>
      </c>
      <c r="AI201" s="5">
        <f>[1]Results!AL1462</f>
        <v>0.65584492849999998</v>
      </c>
      <c r="AJ201" s="5">
        <f>[1]Results!AM1462</f>
        <v>0.65440355250000004</v>
      </c>
      <c r="AK201" s="5">
        <f>[1]Results!AN1462</f>
        <v>0.65302809009999996</v>
      </c>
      <c r="AL201" s="5">
        <f>[1]Results!AO1462</f>
        <v>0.6517162138</v>
      </c>
      <c r="AM201" s="5">
        <f>[1]Results!AP1462</f>
        <v>0.65037532789999997</v>
      </c>
      <c r="AN201" s="5">
        <f>[1]Results!AQ1462</f>
        <v>0.64900995650000004</v>
      </c>
      <c r="AO201" s="5">
        <f>[1]Results!AR1462</f>
        <v>0.64763785460000001</v>
      </c>
      <c r="AP201" s="5">
        <f>[1]Results!AS1462</f>
        <v>0.64627469599999998</v>
      </c>
      <c r="AQ201" s="5">
        <f>[1]Results!AT1462</f>
        <v>0.64493148659999999</v>
      </c>
      <c r="AR201" s="5">
        <f>[1]Results!AU1462</f>
        <v>0.64362405970000003</v>
      </c>
      <c r="AS201" s="5">
        <f>[1]Results!AV1462</f>
        <v>0.64235315459999998</v>
      </c>
      <c r="AT201" s="5">
        <f>[1]Results!AW1462</f>
        <v>0.64111762910000003</v>
      </c>
      <c r="AU201" s="5">
        <f>[1]Results!AX1462</f>
        <v>0.63991569699999995</v>
      </c>
      <c r="AV201" s="5">
        <f>[1]Results!AY1462</f>
        <v>0.63874523760000002</v>
      </c>
      <c r="AW201" s="5">
        <f>[1]Results!AZ1462</f>
        <v>0.63764437900000004</v>
      </c>
      <c r="AX201" s="5">
        <f>[1]Results!BA1462</f>
        <v>0.63659922719999995</v>
      </c>
      <c r="AY201" s="5">
        <f>[1]Results!BB1462</f>
        <v>0.63559611579999997</v>
      </c>
      <c r="AZ201" s="5">
        <f>[1]Results!BC1462</f>
        <v>0.63462508250000005</v>
      </c>
      <c r="BA201" s="5">
        <f>[1]Results!BD1462</f>
        <v>0.63367918270000001</v>
      </c>
      <c r="BB201" s="5">
        <f>[1]Results!BE1462</f>
        <v>0.69044872810000002</v>
      </c>
      <c r="BC201" s="5">
        <f>[1]Results!BF1462</f>
        <v>0.68981517540000004</v>
      </c>
      <c r="BD201" s="5">
        <f>[1]Results!BG1462</f>
        <v>0.68920305380000002</v>
      </c>
      <c r="BE201" s="5">
        <f>[1]Results!BH1462</f>
        <v>0.68861274729999999</v>
      </c>
      <c r="BF201" s="5">
        <f>[1]Results!BI1462</f>
        <v>0.68804478970000005</v>
      </c>
    </row>
    <row r="202" spans="1:58" x14ac:dyDescent="0.35">
      <c r="B202" t="s">
        <v>37</v>
      </c>
      <c r="C202" s="5">
        <f>[1]Results!F1458</f>
        <v>17.720575239999999</v>
      </c>
      <c r="D202" s="5">
        <f>[1]Results!G1458</f>
        <v>17.484948110000001</v>
      </c>
      <c r="E202" s="5">
        <f>[1]Results!H1458</f>
        <v>17.273639020000001</v>
      </c>
      <c r="F202" s="5">
        <f>[1]Results!I1458</f>
        <v>17.094922109999999</v>
      </c>
      <c r="G202" s="5">
        <f>[1]Results!J1458</f>
        <v>16.953201929999999</v>
      </c>
      <c r="H202" s="5">
        <f>[1]Results!K1458</f>
        <v>16.847364559999999</v>
      </c>
      <c r="I202" s="5">
        <f>[1]Results!L1458</f>
        <v>16.767593569999999</v>
      </c>
      <c r="J202" s="5">
        <f>[1]Results!M1458</f>
        <v>16.709300079999998</v>
      </c>
      <c r="K202" s="5">
        <f>[1]Results!N1458</f>
        <v>16.667639139999999</v>
      </c>
      <c r="L202" s="5">
        <f>[1]Results!O1458</f>
        <v>16.63805816</v>
      </c>
      <c r="M202" s="5">
        <f>[1]Results!P1458</f>
        <v>16.62543763</v>
      </c>
      <c r="N202" s="5">
        <f>[1]Results!Q1458</f>
        <v>16.61512815</v>
      </c>
      <c r="O202" s="5">
        <f>[1]Results!R1458</f>
        <v>16.60523701</v>
      </c>
      <c r="P202" s="5">
        <f>[1]Results!S1458</f>
        <v>16.595003980000001</v>
      </c>
      <c r="Q202" s="5">
        <f>[1]Results!T1458</f>
        <v>16.583987820000001</v>
      </c>
      <c r="R202" s="5">
        <f>[1]Results!U1458</f>
        <v>16.57191697</v>
      </c>
      <c r="S202" s="5">
        <f>[1]Results!V1458</f>
        <v>16.557699719999999</v>
      </c>
      <c r="T202" s="5">
        <f>[1]Results!W1458</f>
        <v>16.541681740000001</v>
      </c>
      <c r="U202" s="5">
        <f>[1]Results!X1458</f>
        <v>16.52418754</v>
      </c>
      <c r="V202" s="5">
        <f>[1]Results!Y1458</f>
        <v>16.505480160000001</v>
      </c>
      <c r="W202" s="5">
        <f>[1]Results!Z1458</f>
        <v>16.480170269999999</v>
      </c>
      <c r="X202" s="5">
        <f>[1]Results!AA1458</f>
        <v>16.45534932</v>
      </c>
      <c r="Y202" s="5">
        <f>[1]Results!AB1458</f>
        <v>16.43124534</v>
      </c>
      <c r="Z202" s="5">
        <f>[1]Results!AC1458</f>
        <v>16.407694429999999</v>
      </c>
      <c r="AA202" s="5">
        <f>[1]Results!AD1458</f>
        <v>16.384558160000001</v>
      </c>
      <c r="AB202" s="5">
        <f>[1]Results!AE1458</f>
        <v>16.346700250000001</v>
      </c>
      <c r="AC202" s="5">
        <f>[1]Results!AF1458</f>
        <v>16.30588762</v>
      </c>
      <c r="AD202" s="5">
        <f>[1]Results!AG1458</f>
        <v>16.263732009999998</v>
      </c>
      <c r="AE202" s="5">
        <f>[1]Results!AH1458</f>
        <v>16.22097063</v>
      </c>
      <c r="AF202" s="5">
        <f>[1]Results!AI1458</f>
        <v>16.178096379999999</v>
      </c>
      <c r="AG202" s="5">
        <f>[1]Results!AJ1458</f>
        <v>16.135480820000002</v>
      </c>
      <c r="AH202" s="5">
        <f>[1]Results!AK1458</f>
        <v>16.093578569999998</v>
      </c>
      <c r="AI202" s="5">
        <f>[1]Results!AL1458</f>
        <v>16.052511070000001</v>
      </c>
      <c r="AJ202" s="5">
        <f>[1]Results!AM1458</f>
        <v>16.01234333</v>
      </c>
      <c r="AK202" s="5">
        <f>[1]Results!AN1458</f>
        <v>15.973100130000001</v>
      </c>
      <c r="AL202" s="5">
        <f>[1]Results!AO1458</f>
        <v>15.934773209999999</v>
      </c>
      <c r="AM202" s="5">
        <f>[1]Results!AP1458</f>
        <v>15.895696539999999</v>
      </c>
      <c r="AN202" s="5">
        <f>[1]Results!AQ1458</f>
        <v>15.85596419</v>
      </c>
      <c r="AO202" s="5">
        <f>[1]Results!AR1458</f>
        <v>15.815839090000001</v>
      </c>
      <c r="AP202" s="5">
        <f>[1]Results!AS1458</f>
        <v>15.77556989</v>
      </c>
      <c r="AQ202" s="5">
        <f>[1]Results!AT1458</f>
        <v>15.735356210000001</v>
      </c>
      <c r="AR202" s="5">
        <f>[1]Results!AU1458</f>
        <v>15.695569839999999</v>
      </c>
      <c r="AS202" s="5">
        <f>[1]Results!AV1458</f>
        <v>15.65622896</v>
      </c>
      <c r="AT202" s="5">
        <f>[1]Results!AW1458</f>
        <v>15.61733287</v>
      </c>
      <c r="AU202" s="5">
        <f>[1]Results!AX1458</f>
        <v>15.57887159</v>
      </c>
      <c r="AV202" s="5">
        <f>[1]Results!AY1458</f>
        <v>15.5408247</v>
      </c>
      <c r="AW202" s="5">
        <f>[1]Results!AZ1458</f>
        <v>15.504119080000001</v>
      </c>
      <c r="AX202" s="5">
        <f>[1]Results!BA1458</f>
        <v>15.46839312</v>
      </c>
      <c r="AY202" s="5">
        <f>[1]Results!BB1458</f>
        <v>15.43334407</v>
      </c>
      <c r="AZ202" s="5">
        <f>[1]Results!BC1458</f>
        <v>15.39875896</v>
      </c>
      <c r="BA202" s="5">
        <f>[1]Results!BD1458</f>
        <v>15.36448841</v>
      </c>
      <c r="BB202" s="5">
        <f>[1]Results!BE1458</f>
        <v>17.10672302</v>
      </c>
      <c r="BC202" s="5">
        <f>[1]Results!BF1458</f>
        <v>17.084953720000001</v>
      </c>
      <c r="BD202" s="5">
        <f>[1]Results!BG1458</f>
        <v>17.063645919999999</v>
      </c>
      <c r="BE202" s="5">
        <f>[1]Results!BH1458</f>
        <v>17.04283483</v>
      </c>
      <c r="BF202" s="5">
        <f>[1]Results!BI1458</f>
        <v>17.022556850000001</v>
      </c>
    </row>
    <row r="203" spans="1:58" x14ac:dyDescent="0.35"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  <c r="AX203" s="5"/>
      <c r="AY203" s="5"/>
      <c r="AZ203" s="5"/>
      <c r="BA203" s="5"/>
      <c r="BB203" s="5"/>
      <c r="BC203" s="5"/>
      <c r="BD203" s="5"/>
      <c r="BE203" s="5"/>
      <c r="BF203" s="5"/>
    </row>
    <row r="204" spans="1:58" x14ac:dyDescent="0.35">
      <c r="A204" s="12" t="s">
        <v>86</v>
      </c>
      <c r="B204" t="s">
        <v>27</v>
      </c>
      <c r="C204" s="3">
        <f>[1]Results!F1473</f>
        <v>27371.846880000001</v>
      </c>
      <c r="D204" s="3">
        <f>[1]Results!G1473</f>
        <v>27401.593659999999</v>
      </c>
      <c r="E204" s="3">
        <f>[1]Results!H1473</f>
        <v>27439.540099999998</v>
      </c>
      <c r="F204" s="3">
        <f>[1]Results!I1473</f>
        <v>27494.808359999999</v>
      </c>
      <c r="G204" s="3">
        <f>[1]Results!J1473</f>
        <v>27570.244269999999</v>
      </c>
      <c r="H204" s="3">
        <f>[1]Results!K1473</f>
        <v>27664.90668</v>
      </c>
      <c r="I204" s="3">
        <f>[1]Results!L1473</f>
        <v>27765.32691</v>
      </c>
      <c r="J204" s="3">
        <f>[1]Results!M1473</f>
        <v>27870.142619999999</v>
      </c>
      <c r="K204" s="3">
        <f>[1]Results!N1473</f>
        <v>27978.3992</v>
      </c>
      <c r="L204" s="3">
        <f>[1]Results!O1473</f>
        <v>28089.185700000002</v>
      </c>
      <c r="M204" s="3">
        <f>[1]Results!P1473</f>
        <v>28219.506099999999</v>
      </c>
      <c r="N204" s="3">
        <f>[1]Results!Q1473</f>
        <v>28347.466799999998</v>
      </c>
      <c r="O204" s="3">
        <f>[1]Results!R1473</f>
        <v>28471.835709999999</v>
      </c>
      <c r="P204" s="3">
        <f>[1]Results!S1473</f>
        <v>28592.55488</v>
      </c>
      <c r="Q204" s="3">
        <f>[1]Results!T1473</f>
        <v>28709.857830000001</v>
      </c>
      <c r="R204" s="3">
        <f>[1]Results!U1473</f>
        <v>28824.0841</v>
      </c>
      <c r="S204" s="3">
        <f>[1]Results!V1473</f>
        <v>28935.630130000001</v>
      </c>
      <c r="T204" s="3">
        <f>[1]Results!W1473</f>
        <v>29044.920099999999</v>
      </c>
      <c r="U204" s="3">
        <f>[1]Results!X1473</f>
        <v>29152.37918</v>
      </c>
      <c r="V204" s="3">
        <f>[1]Results!Y1473</f>
        <v>29258.410459999999</v>
      </c>
      <c r="W204" s="3">
        <f>[1]Results!Z1473</f>
        <v>29351.548210000001</v>
      </c>
      <c r="X204" s="3">
        <f>[1]Results!AA1473</f>
        <v>29446.0723</v>
      </c>
      <c r="Y204" s="3">
        <f>[1]Results!AB1473</f>
        <v>29542.635340000001</v>
      </c>
      <c r="Z204" s="3">
        <f>[1]Results!AC1473</f>
        <v>29641.154159999998</v>
      </c>
      <c r="AA204" s="3">
        <f>[1]Results!AD1473</f>
        <v>29741.393459999999</v>
      </c>
      <c r="AB204" s="3">
        <f>[1]Results!AE1473</f>
        <v>29810.8298</v>
      </c>
      <c r="AC204" s="3">
        <f>[1]Results!AF1473</f>
        <v>29872.116910000001</v>
      </c>
      <c r="AD204" s="3">
        <f>[1]Results!AG1473</f>
        <v>29928.77247</v>
      </c>
      <c r="AE204" s="3">
        <f>[1]Results!AH1473</f>
        <v>29982.965209999998</v>
      </c>
      <c r="AF204" s="3">
        <f>[1]Results!AI1473</f>
        <v>30036.211480000002</v>
      </c>
      <c r="AG204" s="3">
        <f>[1]Results!AJ1473</f>
        <v>30089.559499999999</v>
      </c>
      <c r="AH204" s="3">
        <f>[1]Results!AK1473</f>
        <v>30143.674370000001</v>
      </c>
      <c r="AI204" s="3">
        <f>[1]Results!AL1473</f>
        <v>30198.911189999999</v>
      </c>
      <c r="AJ204" s="3">
        <f>[1]Results!AM1473</f>
        <v>30255.388940000001</v>
      </c>
      <c r="AK204" s="3">
        <f>[1]Results!AN1473</f>
        <v>30313.061399999999</v>
      </c>
      <c r="AL204" s="3">
        <f>[1]Results!AO1473</f>
        <v>30371.779200000001</v>
      </c>
      <c r="AM204" s="3">
        <f>[1]Results!AP1473</f>
        <v>30424.466499999999</v>
      </c>
      <c r="AN204" s="3">
        <f>[1]Results!AQ1473</f>
        <v>30472.142629999998</v>
      </c>
      <c r="AO204" s="3">
        <f>[1]Results!AR1473</f>
        <v>30516.05877</v>
      </c>
      <c r="AP204" s="3">
        <f>[1]Results!AS1473</f>
        <v>30557.311559999998</v>
      </c>
      <c r="AQ204" s="3">
        <f>[1]Results!AT1473</f>
        <v>30596.784879999999</v>
      </c>
      <c r="AR204" s="3">
        <f>[1]Results!AU1473</f>
        <v>30635.157070000001</v>
      </c>
      <c r="AS204" s="3">
        <f>[1]Results!AV1473</f>
        <v>30672.921839999999</v>
      </c>
      <c r="AT204" s="3">
        <f>[1]Results!AW1473</f>
        <v>30710.41447</v>
      </c>
      <c r="AU204" s="3">
        <f>[1]Results!AX1473</f>
        <v>30747.841090000002</v>
      </c>
      <c r="AV204" s="3">
        <f>[1]Results!AY1473</f>
        <v>30785.309720000001</v>
      </c>
      <c r="AW204" s="3">
        <f>[1]Results!AZ1473</f>
        <v>30823.41648</v>
      </c>
      <c r="AX204" s="3">
        <f>[1]Results!BA1473</f>
        <v>30862.064829999999</v>
      </c>
      <c r="AY204" s="3">
        <f>[1]Results!BB1473</f>
        <v>30901.118210000001</v>
      </c>
      <c r="AZ204" s="3">
        <f>[1]Results!BC1473</f>
        <v>30940.427749999999</v>
      </c>
      <c r="BA204" s="3">
        <f>[1]Results!BD1473</f>
        <v>30979.856240000001</v>
      </c>
      <c r="BB204" s="3">
        <f>[1]Results!BE1473</f>
        <v>31107.650259999999</v>
      </c>
      <c r="BC204" s="3">
        <f>[1]Results!BF1473</f>
        <v>31143.853749999998</v>
      </c>
      <c r="BD204" s="3">
        <f>[1]Results!BG1473</f>
        <v>31179.418160000001</v>
      </c>
      <c r="BE204" s="3">
        <f>[1]Results!BH1473</f>
        <v>31214.358059999999</v>
      </c>
      <c r="BF204" s="3">
        <f>[1]Results!BI1473</f>
        <v>31248.702590000001</v>
      </c>
    </row>
    <row r="205" spans="1:58" x14ac:dyDescent="0.35">
      <c r="A205" t="s">
        <v>38</v>
      </c>
      <c r="B205" t="s">
        <v>7</v>
      </c>
      <c r="C205" s="3">
        <f>[1]Results!F1474</f>
        <v>760.53305030000001</v>
      </c>
      <c r="D205" s="3">
        <f>[1]Results!G1474</f>
        <v>759.21501550000005</v>
      </c>
      <c r="E205" s="3">
        <f>[1]Results!H1474</f>
        <v>757.3148377</v>
      </c>
      <c r="F205" s="3">
        <f>[1]Results!I1474</f>
        <v>755.91675480000004</v>
      </c>
      <c r="G205" s="3">
        <f>[1]Results!J1474</f>
        <v>755.49152930000002</v>
      </c>
      <c r="H205" s="3">
        <f>[1]Results!K1474</f>
        <v>756.13115909999999</v>
      </c>
      <c r="I205" s="3">
        <f>[1]Results!L1474</f>
        <v>757.46432249999998</v>
      </c>
      <c r="J205" s="3">
        <f>[1]Results!M1474</f>
        <v>759.32508580000001</v>
      </c>
      <c r="K205" s="3">
        <f>[1]Results!N1474</f>
        <v>761.56709579999995</v>
      </c>
      <c r="L205" s="3">
        <f>[1]Results!O1474</f>
        <v>764.06698730000005</v>
      </c>
      <c r="M205" s="3">
        <f>[1]Results!P1474</f>
        <v>767.16900269999996</v>
      </c>
      <c r="N205" s="3">
        <f>[1]Results!Q1474</f>
        <v>770.32745990000001</v>
      </c>
      <c r="O205" s="3">
        <f>[1]Results!R1474</f>
        <v>773.43415400000004</v>
      </c>
      <c r="P205" s="3">
        <f>[1]Results!S1474</f>
        <v>776.44274059999998</v>
      </c>
      <c r="Q205" s="3">
        <f>[1]Results!T1474</f>
        <v>779.33460830000001</v>
      </c>
      <c r="R205" s="3">
        <f>[1]Results!U1474</f>
        <v>782.10706530000004</v>
      </c>
      <c r="S205" s="3">
        <f>[1]Results!V1474</f>
        <v>784.76720239999997</v>
      </c>
      <c r="T205" s="3">
        <f>[1]Results!W1474</f>
        <v>787.3277233</v>
      </c>
      <c r="U205" s="3">
        <f>[1]Results!X1474</f>
        <v>789.80393749999996</v>
      </c>
      <c r="V205" s="3">
        <f>[1]Results!Y1474</f>
        <v>792.21169020000002</v>
      </c>
      <c r="W205" s="3">
        <f>[1]Results!Z1474</f>
        <v>794.27426960000003</v>
      </c>
      <c r="X205" s="3">
        <f>[1]Results!AA1474</f>
        <v>796.31609539999999</v>
      </c>
      <c r="Y205" s="3">
        <f>[1]Results!AB1474</f>
        <v>798.38529270000004</v>
      </c>
      <c r="Z205" s="3">
        <f>[1]Results!AC1474</f>
        <v>800.49781419999999</v>
      </c>
      <c r="AA205" s="3">
        <f>[1]Results!AD1474</f>
        <v>802.65762170000005</v>
      </c>
      <c r="AB205" s="3">
        <f>[1]Results!AE1474</f>
        <v>804.06893530000002</v>
      </c>
      <c r="AC205" s="3">
        <f>[1]Results!AF1474</f>
        <v>805.19966439999996</v>
      </c>
      <c r="AD205" s="3">
        <f>[1]Results!AG1474</f>
        <v>806.16685870000003</v>
      </c>
      <c r="AE205" s="3">
        <f>[1]Results!AH1474</f>
        <v>807.05122029999995</v>
      </c>
      <c r="AF205" s="3">
        <f>[1]Results!AI1474</f>
        <v>807.91324799999995</v>
      </c>
      <c r="AG205" s="3">
        <f>[1]Results!AJ1474</f>
        <v>808.796604</v>
      </c>
      <c r="AH205" s="3">
        <f>[1]Results!AK1474</f>
        <v>809.73002489999999</v>
      </c>
      <c r="AI205" s="3">
        <f>[1]Results!AL1474</f>
        <v>810.72975120000001</v>
      </c>
      <c r="AJ205" s="3">
        <f>[1]Results!AM1474</f>
        <v>811.80236600000001</v>
      </c>
      <c r="AK205" s="3">
        <f>[1]Results!AN1474</f>
        <v>812.94762200000002</v>
      </c>
      <c r="AL205" s="3">
        <f>[1]Results!AO1474</f>
        <v>814.16093539999997</v>
      </c>
      <c r="AM205" s="3">
        <f>[1]Results!AP1474</f>
        <v>815.26672740000004</v>
      </c>
      <c r="AN205" s="3">
        <f>[1]Results!AQ1474</f>
        <v>816.26832830000001</v>
      </c>
      <c r="AO205" s="3">
        <f>[1]Results!AR1474</f>
        <v>817.19005919999995</v>
      </c>
      <c r="AP205" s="3">
        <f>[1]Results!AS1474</f>
        <v>818.06017069999996</v>
      </c>
      <c r="AQ205" s="3">
        <f>[1]Results!AT1474</f>
        <v>818.90505259999998</v>
      </c>
      <c r="AR205" s="3">
        <f>[1]Results!AU1474</f>
        <v>819.74677250000002</v>
      </c>
      <c r="AS205" s="3">
        <f>[1]Results!AV1474</f>
        <v>820.60211409999999</v>
      </c>
      <c r="AT205" s="3">
        <f>[1]Results!AW1474</f>
        <v>821.48254150000002</v>
      </c>
      <c r="AU205" s="3">
        <f>[1]Results!AX1474</f>
        <v>822.39476070000001</v>
      </c>
      <c r="AV205" s="3">
        <f>[1]Results!AY1474</f>
        <v>823.34158430000002</v>
      </c>
      <c r="AW205" s="3">
        <f>[1]Results!AZ1474</f>
        <v>824.33631930000001</v>
      </c>
      <c r="AX205" s="3">
        <f>[1]Results!BA1474</f>
        <v>825.37649260000001</v>
      </c>
      <c r="AY205" s="3">
        <f>[1]Results!BB1474</f>
        <v>826.45734340000001</v>
      </c>
      <c r="AZ205" s="3">
        <f>[1]Results!BC1474</f>
        <v>827.5727382</v>
      </c>
      <c r="BA205" s="3">
        <f>[1]Results!BD1474</f>
        <v>828.71630709999999</v>
      </c>
      <c r="BB205" s="3">
        <f>[1]Results!BE1474</f>
        <v>821.15535560000001</v>
      </c>
      <c r="BC205" s="3">
        <f>[1]Results!BF1474</f>
        <v>821.62769619999995</v>
      </c>
      <c r="BD205" s="3">
        <f>[1]Results!BG1474</f>
        <v>822.10868189999997</v>
      </c>
      <c r="BE205" s="3">
        <f>[1]Results!BH1474</f>
        <v>822.59935270000005</v>
      </c>
      <c r="BF205" s="3">
        <f>[1]Results!BI1474</f>
        <v>823.10108200000002</v>
      </c>
    </row>
    <row r="206" spans="1:58" x14ac:dyDescent="0.35">
      <c r="B206" t="s">
        <v>30</v>
      </c>
      <c r="C206" s="3">
        <f>[1]Results!F1477</f>
        <v>4367.1201659999997</v>
      </c>
      <c r="D206" s="3">
        <f>[1]Results!G1477</f>
        <v>4371.5474249999997</v>
      </c>
      <c r="E206" s="3">
        <f>[1]Results!H1477</f>
        <v>4377.7143219999998</v>
      </c>
      <c r="F206" s="3">
        <f>[1]Results!I1477</f>
        <v>4387.0979779999998</v>
      </c>
      <c r="G206" s="3">
        <f>[1]Results!J1477</f>
        <v>4400.0579740000003</v>
      </c>
      <c r="H206" s="3">
        <f>[1]Results!K1477</f>
        <v>4416.3723090000003</v>
      </c>
      <c r="I206" s="3">
        <f>[1]Results!L1477</f>
        <v>4434.1015550000002</v>
      </c>
      <c r="J206" s="3">
        <f>[1]Results!M1477</f>
        <v>4452.8384370000003</v>
      </c>
      <c r="K206" s="3">
        <f>[1]Results!N1477</f>
        <v>4472.3342270000003</v>
      </c>
      <c r="L206" s="3">
        <f>[1]Results!O1477</f>
        <v>4492.4070590000001</v>
      </c>
      <c r="M206" s="3">
        <f>[1]Results!P1477</f>
        <v>4515.361774</v>
      </c>
      <c r="N206" s="3">
        <f>[1]Results!Q1477</f>
        <v>4538.4201700000003</v>
      </c>
      <c r="O206" s="3">
        <f>[1]Results!R1477</f>
        <v>4561.2697230000003</v>
      </c>
      <c r="P206" s="3">
        <f>[1]Results!S1477</f>
        <v>4583.8285839999999</v>
      </c>
      <c r="Q206" s="3">
        <f>[1]Results!T1477</f>
        <v>4606.0978029999997</v>
      </c>
      <c r="R206" s="3">
        <f>[1]Results!U1477</f>
        <v>4628.1141669999997</v>
      </c>
      <c r="S206" s="3">
        <f>[1]Results!V1477</f>
        <v>4649.9314109999996</v>
      </c>
      <c r="T206" s="3">
        <f>[1]Results!W1477</f>
        <v>4671.6105250000001</v>
      </c>
      <c r="U206" s="3">
        <f>[1]Results!X1477</f>
        <v>4693.2133860000004</v>
      </c>
      <c r="V206" s="3">
        <f>[1]Results!Y1477</f>
        <v>4714.7981060000002</v>
      </c>
      <c r="W206" s="3">
        <f>[1]Results!Z1477</f>
        <v>4734.7919910000001</v>
      </c>
      <c r="X206" s="3">
        <f>[1]Results!AA1477</f>
        <v>4754.9928719999998</v>
      </c>
      <c r="Y206" s="3">
        <f>[1]Results!AB1477</f>
        <v>4775.5807119999999</v>
      </c>
      <c r="Z206" s="3">
        <f>[1]Results!AC1477</f>
        <v>4796.5866800000003</v>
      </c>
      <c r="AA206" s="3">
        <f>[1]Results!AD1477</f>
        <v>4817.989106</v>
      </c>
      <c r="AB206" s="3">
        <f>[1]Results!AE1477</f>
        <v>4835.31149</v>
      </c>
      <c r="AC206" s="3">
        <f>[1]Results!AF1477</f>
        <v>4851.1993949999996</v>
      </c>
      <c r="AD206" s="3">
        <f>[1]Results!AG1477</f>
        <v>4866.1657990000003</v>
      </c>
      <c r="AE206" s="3">
        <f>[1]Results!AH1477</f>
        <v>4880.5376409999999</v>
      </c>
      <c r="AF206" s="3">
        <f>[1]Results!AI1477</f>
        <v>4894.5395410000001</v>
      </c>
      <c r="AG206" s="3">
        <f>[1]Results!AJ1477</f>
        <v>4908.3212670000003</v>
      </c>
      <c r="AH206" s="3">
        <f>[1]Results!AK1477</f>
        <v>4921.9726769999997</v>
      </c>
      <c r="AI206" s="3">
        <f>[1]Results!AL1477</f>
        <v>4935.5357780000004</v>
      </c>
      <c r="AJ206" s="3">
        <f>[1]Results!AM1477</f>
        <v>4949.0159999999996</v>
      </c>
      <c r="AK206" s="3">
        <f>[1]Results!AN1477</f>
        <v>4962.3928150000002</v>
      </c>
      <c r="AL206" s="3">
        <f>[1]Results!AO1477</f>
        <v>4975.6292679999997</v>
      </c>
      <c r="AM206" s="3">
        <f>[1]Results!AP1477</f>
        <v>4987.7316879999998</v>
      </c>
      <c r="AN206" s="3">
        <f>[1]Results!AQ1477</f>
        <v>4998.7244840000003</v>
      </c>
      <c r="AO206" s="3">
        <f>[1]Results!AR1477</f>
        <v>5008.7239140000001</v>
      </c>
      <c r="AP206" s="3">
        <f>[1]Results!AS1477</f>
        <v>5017.8594860000003</v>
      </c>
      <c r="AQ206" s="3">
        <f>[1]Results!AT1477</f>
        <v>5026.2494139999999</v>
      </c>
      <c r="AR206" s="3">
        <f>[1]Results!AU1477</f>
        <v>5033.9929750000001</v>
      </c>
      <c r="AS206" s="3">
        <f>[1]Results!AV1477</f>
        <v>5041.169245</v>
      </c>
      <c r="AT206" s="3">
        <f>[1]Results!AW1477</f>
        <v>5047.8386659999996</v>
      </c>
      <c r="AU206" s="3">
        <f>[1]Results!AX1477</f>
        <v>5054.046002</v>
      </c>
      <c r="AV206" s="3">
        <f>[1]Results!AY1477</f>
        <v>5059.8239819999999</v>
      </c>
      <c r="AW206" s="3">
        <f>[1]Results!AZ1477</f>
        <v>5065.2740030000004</v>
      </c>
      <c r="AX206" s="3">
        <f>[1]Results!BA1477</f>
        <v>5070.4102789999997</v>
      </c>
      <c r="AY206" s="3">
        <f>[1]Results!BB1477</f>
        <v>5075.2376009999998</v>
      </c>
      <c r="AZ206" s="3">
        <f>[1]Results!BC1477</f>
        <v>5079.7579009999999</v>
      </c>
      <c r="BA206" s="3">
        <f>[1]Results!BD1477</f>
        <v>5083.9747909999996</v>
      </c>
      <c r="BB206" s="3">
        <f>[1]Results!BE1477</f>
        <v>5222.4697040000001</v>
      </c>
      <c r="BC206" s="3">
        <f>[1]Results!BF1477</f>
        <v>5232.6580800000002</v>
      </c>
      <c r="BD206" s="3">
        <f>[1]Results!BG1477</f>
        <v>5242.3468860000003</v>
      </c>
      <c r="BE206" s="3">
        <f>[1]Results!BH1477</f>
        <v>5251.5300660000003</v>
      </c>
      <c r="BF206" s="3">
        <f>[1]Results!BI1477</f>
        <v>5260.2061640000002</v>
      </c>
    </row>
    <row r="207" spans="1:58" x14ac:dyDescent="0.35">
      <c r="B207" t="s">
        <v>28</v>
      </c>
      <c r="C207" s="3">
        <f>[1]Results!F1489</f>
        <v>868.26537059999998</v>
      </c>
      <c r="D207" s="3">
        <f>[1]Results!G1489</f>
        <v>868.48347039999999</v>
      </c>
      <c r="E207" s="3">
        <f>[1]Results!H1489</f>
        <v>868.50546039999995</v>
      </c>
      <c r="F207" s="3">
        <f>[1]Results!I1489</f>
        <v>868.81863199999998</v>
      </c>
      <c r="G207" s="3">
        <f>[1]Results!J1489</f>
        <v>869.64341109999998</v>
      </c>
      <c r="H207" s="3">
        <f>[1]Results!K1489</f>
        <v>871.02130069999998</v>
      </c>
      <c r="I207" s="3">
        <f>[1]Results!L1489</f>
        <v>872.59028569999998</v>
      </c>
      <c r="J207" s="3">
        <f>[1]Results!M1489</f>
        <v>874.31068889999995</v>
      </c>
      <c r="K207" s="3">
        <f>[1]Results!N1489</f>
        <v>876.14799870000002</v>
      </c>
      <c r="L207" s="3">
        <f>[1]Results!O1489</f>
        <v>878.06463399999996</v>
      </c>
      <c r="M207" s="3">
        <f>[1]Results!P1489</f>
        <v>880.53449699999999</v>
      </c>
      <c r="N207" s="3">
        <f>[1]Results!Q1489</f>
        <v>882.9208509</v>
      </c>
      <c r="O207" s="3">
        <f>[1]Results!R1489</f>
        <v>885.1750346</v>
      </c>
      <c r="P207" s="3">
        <f>[1]Results!S1489</f>
        <v>887.29482059999998</v>
      </c>
      <c r="Q207" s="3">
        <f>[1]Results!T1489</f>
        <v>889.28897129999996</v>
      </c>
      <c r="R207" s="3">
        <f>[1]Results!U1489</f>
        <v>891.1703804</v>
      </c>
      <c r="S207" s="3">
        <f>[1]Results!V1489</f>
        <v>892.95437389999995</v>
      </c>
      <c r="T207" s="3">
        <f>[1]Results!W1489</f>
        <v>894.6576417</v>
      </c>
      <c r="U207" s="3">
        <f>[1]Results!X1489</f>
        <v>896.29719290000003</v>
      </c>
      <c r="V207" s="3">
        <f>[1]Results!Y1489</f>
        <v>897.88943449999999</v>
      </c>
      <c r="W207" s="3">
        <f>[1]Results!Z1489</f>
        <v>899.11346790000005</v>
      </c>
      <c r="X207" s="3">
        <f>[1]Results!AA1489</f>
        <v>900.38128549999999</v>
      </c>
      <c r="Y207" s="3">
        <f>[1]Results!AB1489</f>
        <v>901.71975129999998</v>
      </c>
      <c r="Z207" s="3">
        <f>[1]Results!AC1489</f>
        <v>903.1279323</v>
      </c>
      <c r="AA207" s="3">
        <f>[1]Results!AD1489</f>
        <v>904.60016929999995</v>
      </c>
      <c r="AB207" s="3">
        <f>[1]Results!AE1489</f>
        <v>905.21651759999997</v>
      </c>
      <c r="AC207" s="3">
        <f>[1]Results!AF1489</f>
        <v>905.62589990000004</v>
      </c>
      <c r="AD207" s="3">
        <f>[1]Results!AG1489</f>
        <v>905.94349120000004</v>
      </c>
      <c r="AE207" s="3">
        <f>[1]Results!AH1489</f>
        <v>906.23398899999995</v>
      </c>
      <c r="AF207" s="3">
        <f>[1]Results!AI1489</f>
        <v>906.54089160000001</v>
      </c>
      <c r="AG207" s="3">
        <f>[1]Results!AJ1489</f>
        <v>906.89355430000001</v>
      </c>
      <c r="AH207" s="3">
        <f>[1]Results!AK1489</f>
        <v>907.30994109999995</v>
      </c>
      <c r="AI207" s="3">
        <f>[1]Results!AL1489</f>
        <v>907.79879240000002</v>
      </c>
      <c r="AJ207" s="3">
        <f>[1]Results!AM1489</f>
        <v>908.36180999999999</v>
      </c>
      <c r="AK207" s="3">
        <f>[1]Results!AN1489</f>
        <v>908.99577109999996</v>
      </c>
      <c r="AL207" s="3">
        <f>[1]Results!AO1489</f>
        <v>909.69439690000002</v>
      </c>
      <c r="AM207" s="3">
        <f>[1]Results!AP1489</f>
        <v>910.25577269999997</v>
      </c>
      <c r="AN207" s="3">
        <f>[1]Results!AQ1489</f>
        <v>910.7080191</v>
      </c>
      <c r="AO207" s="3">
        <f>[1]Results!AR1489</f>
        <v>911.08818210000004</v>
      </c>
      <c r="AP207" s="3">
        <f>[1]Results!AS1489</f>
        <v>911.42770410000003</v>
      </c>
      <c r="AQ207" s="3">
        <f>[1]Results!AT1489</f>
        <v>911.75090850000004</v>
      </c>
      <c r="AR207" s="3">
        <f>[1]Results!AU1489</f>
        <v>912.07565569999997</v>
      </c>
      <c r="AS207" s="3">
        <f>[1]Results!AV1489</f>
        <v>912.41423970000005</v>
      </c>
      <c r="AT207" s="3">
        <f>[1]Results!AW1489</f>
        <v>912.77429210000003</v>
      </c>
      <c r="AU207" s="3">
        <f>[1]Results!AX1489</f>
        <v>913.1597021</v>
      </c>
      <c r="AV207" s="3">
        <f>[1]Results!AY1489</f>
        <v>913.57154100000002</v>
      </c>
      <c r="AW207" s="3">
        <f>[1]Results!AZ1489</f>
        <v>914.02462700000001</v>
      </c>
      <c r="AX207" s="3">
        <f>[1]Results!BA1489</f>
        <v>914.51409760000001</v>
      </c>
      <c r="AY207" s="3">
        <f>[1]Results!BB1489</f>
        <v>915.03384289999997</v>
      </c>
      <c r="AZ207" s="3">
        <f>[1]Results!BC1489</f>
        <v>915.57776909999995</v>
      </c>
      <c r="BA207" s="3">
        <f>[1]Results!BD1489</f>
        <v>916.14035469999999</v>
      </c>
      <c r="BB207" s="3">
        <f>[1]Results!BE1489</f>
        <v>906.06296829999997</v>
      </c>
      <c r="BC207" s="3">
        <f>[1]Results!BF1489</f>
        <v>906.10522619999995</v>
      </c>
      <c r="BD207" s="3">
        <f>[1]Results!BG1489</f>
        <v>906.16741290000004</v>
      </c>
      <c r="BE207" s="3">
        <f>[1]Results!BH1489</f>
        <v>906.24966629999994</v>
      </c>
      <c r="BF207" s="3">
        <f>[1]Results!BI1489</f>
        <v>906.35235750000004</v>
      </c>
    </row>
    <row r="208" spans="1:58" x14ac:dyDescent="0.35">
      <c r="B208" t="s">
        <v>10</v>
      </c>
      <c r="C208" s="3">
        <f>[1]Results!F1494</f>
        <v>21270.980510000001</v>
      </c>
      <c r="D208" s="3">
        <f>[1]Results!G1494</f>
        <v>21297.637309999998</v>
      </c>
      <c r="E208" s="3">
        <f>[1]Results!H1494</f>
        <v>21331.772209999999</v>
      </c>
      <c r="F208" s="3">
        <f>[1]Results!I1494</f>
        <v>21379.30891</v>
      </c>
      <c r="G208" s="3">
        <f>[1]Results!J1494</f>
        <v>21441.94224</v>
      </c>
      <c r="H208" s="3">
        <f>[1]Results!K1494</f>
        <v>21518.764050000002</v>
      </c>
      <c r="I208" s="3">
        <f>[1]Results!L1494</f>
        <v>21598.988659999999</v>
      </c>
      <c r="J208" s="3">
        <f>[1]Results!M1494</f>
        <v>21681.864089999999</v>
      </c>
      <c r="K208" s="3">
        <f>[1]Results!N1494</f>
        <v>21766.871660000001</v>
      </c>
      <c r="L208" s="3">
        <f>[1]Results!O1494</f>
        <v>21853.455000000002</v>
      </c>
      <c r="M208" s="3">
        <f>[1]Results!P1494</f>
        <v>21955.455330000001</v>
      </c>
      <c r="N208" s="3">
        <f>[1]Results!Q1494</f>
        <v>22055.009829999999</v>
      </c>
      <c r="O208" s="3">
        <f>[1]Results!R1494</f>
        <v>22151.369979999999</v>
      </c>
      <c r="P208" s="3">
        <f>[1]Results!S1494</f>
        <v>22244.611550000001</v>
      </c>
      <c r="Q208" s="3">
        <f>[1]Results!T1494</f>
        <v>22334.976930000001</v>
      </c>
      <c r="R208" s="3">
        <f>[1]Results!U1494</f>
        <v>22422.757689999999</v>
      </c>
      <c r="S208" s="3">
        <f>[1]Results!V1494</f>
        <v>22508.272639999999</v>
      </c>
      <c r="T208" s="3">
        <f>[1]Results!W1494</f>
        <v>22591.853930000001</v>
      </c>
      <c r="U208" s="3">
        <f>[1]Results!X1494</f>
        <v>22673.83078</v>
      </c>
      <c r="V208" s="3">
        <f>[1]Results!Y1494</f>
        <v>22754.514169999999</v>
      </c>
      <c r="W208" s="3">
        <f>[1]Results!Z1494</f>
        <v>22824.640670000001</v>
      </c>
      <c r="X208" s="3">
        <f>[1]Results!AA1494</f>
        <v>22895.915850000001</v>
      </c>
      <c r="Y208" s="3">
        <f>[1]Results!AB1494</f>
        <v>22968.731889999999</v>
      </c>
      <c r="Z208" s="3">
        <f>[1]Results!AC1494</f>
        <v>23042.959490000001</v>
      </c>
      <c r="AA208" s="3">
        <f>[1]Results!AD1494</f>
        <v>23118.387610000002</v>
      </c>
      <c r="AB208" s="3">
        <f>[1]Results!AE1494</f>
        <v>23168.77648</v>
      </c>
      <c r="AC208" s="3">
        <f>[1]Results!AF1494</f>
        <v>23212.9568</v>
      </c>
      <c r="AD208" s="3">
        <f>[1]Results!AG1494</f>
        <v>23253.68463</v>
      </c>
      <c r="AE208" s="3">
        <f>[1]Results!AH1494</f>
        <v>23292.648980000002</v>
      </c>
      <c r="AF208" s="3">
        <f>[1]Results!AI1494</f>
        <v>23331.03357</v>
      </c>
      <c r="AG208" s="3">
        <f>[1]Results!AJ1494</f>
        <v>23369.661489999999</v>
      </c>
      <c r="AH208" s="3">
        <f>[1]Results!AK1494</f>
        <v>23409.06</v>
      </c>
      <c r="AI208" s="3">
        <f>[1]Results!AL1494</f>
        <v>23449.516660000001</v>
      </c>
      <c r="AJ208" s="3">
        <f>[1]Results!AM1494</f>
        <v>23491.136740000002</v>
      </c>
      <c r="AK208" s="3">
        <f>[1]Results!AN1494</f>
        <v>23533.898410000002</v>
      </c>
      <c r="AL208" s="3">
        <f>[1]Results!AO1494</f>
        <v>23577.700819999998</v>
      </c>
      <c r="AM208" s="3">
        <f>[1]Results!AP1494</f>
        <v>23616.858919999999</v>
      </c>
      <c r="AN208" s="3">
        <f>[1]Results!AQ1494</f>
        <v>23652.334340000001</v>
      </c>
      <c r="AO208" s="3">
        <f>[1]Results!AR1494</f>
        <v>23685.196599999999</v>
      </c>
      <c r="AP208" s="3">
        <f>[1]Results!AS1494</f>
        <v>23716.34978</v>
      </c>
      <c r="AQ208" s="3">
        <f>[1]Results!AT1494</f>
        <v>23746.50648</v>
      </c>
      <c r="AR208" s="3">
        <f>[1]Results!AU1494</f>
        <v>23776.204300000001</v>
      </c>
      <c r="AS208" s="3">
        <f>[1]Results!AV1494</f>
        <v>23805.827860000001</v>
      </c>
      <c r="AT208" s="3">
        <f>[1]Results!AW1494</f>
        <v>23835.632420000002</v>
      </c>
      <c r="AU208" s="3">
        <f>[1]Results!AX1494</f>
        <v>23865.76857</v>
      </c>
      <c r="AV208" s="3">
        <f>[1]Results!AY1494</f>
        <v>23896.307799999999</v>
      </c>
      <c r="AW208" s="3">
        <f>[1]Results!AZ1494</f>
        <v>23927.715789999998</v>
      </c>
      <c r="AX208" s="3">
        <f>[1]Results!BA1494</f>
        <v>23959.89143</v>
      </c>
      <c r="AY208" s="3">
        <f>[1]Results!BB1494</f>
        <v>23992.706450000001</v>
      </c>
      <c r="AZ208" s="3">
        <f>[1]Results!BC1494</f>
        <v>24026.022379999999</v>
      </c>
      <c r="BA208" s="3">
        <f>[1]Results!BD1494</f>
        <v>24059.709320000002</v>
      </c>
      <c r="BB208" s="3">
        <f>[1]Results!BE1494</f>
        <v>24069.530859999999</v>
      </c>
      <c r="BC208" s="3">
        <f>[1]Results!BF1494</f>
        <v>24095.26267</v>
      </c>
      <c r="BD208" s="3">
        <f>[1]Results!BG1494</f>
        <v>24120.821110000001</v>
      </c>
      <c r="BE208" s="3">
        <f>[1]Results!BH1494</f>
        <v>24146.22565</v>
      </c>
      <c r="BF208" s="3">
        <f>[1]Results!BI1494</f>
        <v>24171.505140000001</v>
      </c>
    </row>
    <row r="209" spans="1:58" x14ac:dyDescent="0.35">
      <c r="B209" t="s">
        <v>29</v>
      </c>
      <c r="C209" s="3">
        <f>C214-C210</f>
        <v>10.587678502699999</v>
      </c>
      <c r="D209" s="3">
        <f t="shared" ref="D209:AL209" si="95">D214-D210</f>
        <v>10.566688647899998</v>
      </c>
      <c r="E209" s="3">
        <f t="shared" si="95"/>
        <v>10.5257320942</v>
      </c>
      <c r="F209" s="3">
        <f t="shared" si="95"/>
        <v>10.4813730484</v>
      </c>
      <c r="G209" s="3">
        <f t="shared" si="95"/>
        <v>10.443735855099998</v>
      </c>
      <c r="H209" s="3">
        <f t="shared" si="95"/>
        <v>10.417407538799999</v>
      </c>
      <c r="I209" s="3">
        <f t="shared" si="95"/>
        <v>10.399563679199998</v>
      </c>
      <c r="J209" s="3">
        <f t="shared" si="95"/>
        <v>10.389550473700002</v>
      </c>
      <c r="K209" s="3">
        <f t="shared" si="95"/>
        <v>10.385935091500002</v>
      </c>
      <c r="L209" s="3">
        <f t="shared" si="95"/>
        <v>10.3870250913</v>
      </c>
      <c r="M209" s="3">
        <f t="shared" si="95"/>
        <v>10.397090512699998</v>
      </c>
      <c r="N209" s="3">
        <f t="shared" si="95"/>
        <v>10.4077435996</v>
      </c>
      <c r="O209" s="3">
        <f t="shared" si="95"/>
        <v>10.417997288700001</v>
      </c>
      <c r="P209" s="3">
        <f t="shared" si="95"/>
        <v>10.427592301800001</v>
      </c>
      <c r="Q209" s="3">
        <f t="shared" si="95"/>
        <v>10.436446653999997</v>
      </c>
      <c r="R209" s="3">
        <f t="shared" si="95"/>
        <v>10.4445501149</v>
      </c>
      <c r="S209" s="3">
        <f t="shared" si="95"/>
        <v>10.4519372637</v>
      </c>
      <c r="T209" s="3">
        <f t="shared" si="95"/>
        <v>10.458673521299998</v>
      </c>
      <c r="U209" s="3">
        <f t="shared" si="95"/>
        <v>10.464843929600001</v>
      </c>
      <c r="V209" s="3">
        <f t="shared" si="95"/>
        <v>10.470543616699999</v>
      </c>
      <c r="W209" s="3">
        <f t="shared" si="95"/>
        <v>10.472048785100002</v>
      </c>
      <c r="X209" s="3">
        <f t="shared" si="95"/>
        <v>10.474167009899999</v>
      </c>
      <c r="Y209" s="3">
        <f t="shared" si="95"/>
        <v>10.4770375718</v>
      </c>
      <c r="Z209" s="3">
        <f t="shared" si="95"/>
        <v>10.480507490400001</v>
      </c>
      <c r="AA209" s="3">
        <f t="shared" si="95"/>
        <v>10.484444819100002</v>
      </c>
      <c r="AB209" s="3">
        <f t="shared" si="95"/>
        <v>10.478387385900001</v>
      </c>
      <c r="AC209" s="3">
        <f t="shared" si="95"/>
        <v>10.4702283995</v>
      </c>
      <c r="AD209" s="3">
        <f t="shared" si="95"/>
        <v>10.4611984094</v>
      </c>
      <c r="AE209" s="3">
        <f t="shared" si="95"/>
        <v>10.4518338048</v>
      </c>
      <c r="AF209" s="3">
        <f t="shared" si="95"/>
        <v>10.442457196599999</v>
      </c>
      <c r="AG209" s="3">
        <f t="shared" si="95"/>
        <v>10.4332889326</v>
      </c>
      <c r="AH209" s="3">
        <f t="shared" si="95"/>
        <v>10.424479962900001</v>
      </c>
      <c r="AI209" s="3">
        <f t="shared" si="95"/>
        <v>10.416125942600001</v>
      </c>
      <c r="AJ209" s="3">
        <f t="shared" si="95"/>
        <v>10.408277528100001</v>
      </c>
      <c r="AK209" s="3">
        <f t="shared" si="95"/>
        <v>10.400950202699999</v>
      </c>
      <c r="AL209" s="3">
        <f t="shared" si="95"/>
        <v>10.394133716399999</v>
      </c>
      <c r="AM209" s="3">
        <f t="shared" ref="AM209:BC209" si="96">AM214-AM210</f>
        <v>10.385608020300001</v>
      </c>
      <c r="AN209" s="3">
        <f t="shared" si="96"/>
        <v>10.375858990899999</v>
      </c>
      <c r="AO209" s="3">
        <f t="shared" si="96"/>
        <v>10.365388241000002</v>
      </c>
      <c r="AP209" s="3">
        <f t="shared" si="96"/>
        <v>10.354558567600002</v>
      </c>
      <c r="AQ209" s="3">
        <f t="shared" si="96"/>
        <v>10.343616035999998</v>
      </c>
      <c r="AR209" s="3">
        <f t="shared" si="96"/>
        <v>10.332724883400001</v>
      </c>
      <c r="AS209" s="3">
        <f t="shared" si="96"/>
        <v>10.321992605699998</v>
      </c>
      <c r="AT209" s="3">
        <f t="shared" si="96"/>
        <v>10.311486073199998</v>
      </c>
      <c r="AU209" s="3">
        <f t="shared" si="96"/>
        <v>10.3012415092</v>
      </c>
      <c r="AV209" s="3">
        <f t="shared" si="96"/>
        <v>10.291269203400001</v>
      </c>
      <c r="AW209" s="3">
        <f t="shared" si="96"/>
        <v>10.281721056999999</v>
      </c>
      <c r="AX209" s="3">
        <f t="shared" si="96"/>
        <v>10.272511735600002</v>
      </c>
      <c r="AY209" s="3">
        <f t="shared" si="96"/>
        <v>10.263532130100002</v>
      </c>
      <c r="AZ209" s="3">
        <f t="shared" si="96"/>
        <v>10.254776742299999</v>
      </c>
      <c r="BA209" s="3">
        <f t="shared" si="96"/>
        <v>10.246283847000001</v>
      </c>
      <c r="BB209" s="3">
        <f t="shared" si="96"/>
        <v>10.1385891352</v>
      </c>
      <c r="BC209" s="3">
        <f t="shared" si="96"/>
        <v>10.1267563557</v>
      </c>
      <c r="BD209" s="3">
        <f t="shared" ref="BD209:BF209" si="97">BD214-BD210</f>
        <v>10.115161729</v>
      </c>
      <c r="BE209" s="3">
        <f t="shared" si="97"/>
        <v>10.1038212526</v>
      </c>
      <c r="BF209" s="3">
        <f t="shared" si="97"/>
        <v>10.092751701099999</v>
      </c>
    </row>
    <row r="210" spans="1:58" x14ac:dyDescent="0.35">
      <c r="B210" t="s">
        <v>36</v>
      </c>
      <c r="C210" s="3">
        <f>C212+C213</f>
        <v>7.4064825973000001</v>
      </c>
      <c r="D210" s="3">
        <f t="shared" ref="D210:AL210" si="98">D212+D213</f>
        <v>7.3832166621000006</v>
      </c>
      <c r="E210" s="3">
        <f t="shared" si="98"/>
        <v>7.3411235858000001</v>
      </c>
      <c r="F210" s="3">
        <f t="shared" si="98"/>
        <v>7.2961147216000004</v>
      </c>
      <c r="G210" s="3">
        <f t="shared" si="98"/>
        <v>7.2579222349000005</v>
      </c>
      <c r="H210" s="3">
        <f t="shared" si="98"/>
        <v>7.2303833111999998</v>
      </c>
      <c r="I210" s="3">
        <f t="shared" si="98"/>
        <v>7.2114877808000006</v>
      </c>
      <c r="J210" s="3">
        <f t="shared" si="98"/>
        <v>7.2001106362999998</v>
      </c>
      <c r="K210" s="3">
        <f t="shared" si="98"/>
        <v>7.1945751785000001</v>
      </c>
      <c r="L210" s="3">
        <f t="shared" si="98"/>
        <v>7.1931961787000001</v>
      </c>
      <c r="M210" s="3">
        <f t="shared" si="98"/>
        <v>7.1981322473000002</v>
      </c>
      <c r="N210" s="3">
        <f t="shared" si="98"/>
        <v>7.2039200104000001</v>
      </c>
      <c r="O210" s="3">
        <f t="shared" si="98"/>
        <v>7.2098245312999998</v>
      </c>
      <c r="P210" s="3">
        <f t="shared" si="98"/>
        <v>7.2155143182000003</v>
      </c>
      <c r="Q210" s="3">
        <f t="shared" si="98"/>
        <v>7.2208043060000007</v>
      </c>
      <c r="R210" s="3">
        <f t="shared" si="98"/>
        <v>7.2255950351000005</v>
      </c>
      <c r="S210" s="3">
        <f t="shared" si="98"/>
        <v>7.2298464762999997</v>
      </c>
      <c r="T210" s="3">
        <f t="shared" si="98"/>
        <v>7.2335595287000007</v>
      </c>
      <c r="U210" s="3">
        <f t="shared" si="98"/>
        <v>7.2367615004000001</v>
      </c>
      <c r="V210" s="3">
        <f t="shared" si="98"/>
        <v>7.2394951732999999</v>
      </c>
      <c r="W210" s="3">
        <f t="shared" si="98"/>
        <v>7.2394525948999995</v>
      </c>
      <c r="X210" s="3">
        <f t="shared" si="98"/>
        <v>7.2395900000999998</v>
      </c>
      <c r="Y210" s="3">
        <f t="shared" si="98"/>
        <v>7.2399381482000003</v>
      </c>
      <c r="Z210" s="3">
        <f t="shared" si="98"/>
        <v>7.2404239395999994</v>
      </c>
      <c r="AA210" s="3">
        <f t="shared" si="98"/>
        <v>7.2409946108999996</v>
      </c>
      <c r="AB210" s="3">
        <f t="shared" si="98"/>
        <v>7.2352068841000001</v>
      </c>
      <c r="AC210" s="3">
        <f t="shared" si="98"/>
        <v>7.2279458304999995</v>
      </c>
      <c r="AD210" s="3">
        <f t="shared" si="98"/>
        <v>7.2198356205999996</v>
      </c>
      <c r="AE210" s="3">
        <f t="shared" si="98"/>
        <v>7.2112009351999999</v>
      </c>
      <c r="AF210" s="3">
        <f t="shared" si="98"/>
        <v>7.2022749634000007</v>
      </c>
      <c r="AG210" s="3">
        <f t="shared" si="98"/>
        <v>7.1932388374</v>
      </c>
      <c r="AH210" s="3">
        <f t="shared" si="98"/>
        <v>7.1842297671000006</v>
      </c>
      <c r="AI210" s="3">
        <f t="shared" si="98"/>
        <v>7.1753453073999998</v>
      </c>
      <c r="AJ210" s="3">
        <f t="shared" si="98"/>
        <v>7.1666487118999997</v>
      </c>
      <c r="AK210" s="3">
        <f t="shared" si="98"/>
        <v>7.1581754572999996</v>
      </c>
      <c r="AL210" s="3">
        <f t="shared" si="98"/>
        <v>7.1499400436</v>
      </c>
      <c r="AM210" s="3">
        <f t="shared" ref="AM210:BC210" si="99">AM212+AM213</f>
        <v>7.1405848196999999</v>
      </c>
      <c r="AN210" s="3">
        <f t="shared" si="99"/>
        <v>7.1304254691000004</v>
      </c>
      <c r="AO210" s="3">
        <f t="shared" si="99"/>
        <v>7.1197545389999997</v>
      </c>
      <c r="AP210" s="3">
        <f t="shared" si="99"/>
        <v>7.1087873924</v>
      </c>
      <c r="AQ210" s="3">
        <f t="shared" si="99"/>
        <v>7.0976789839999999</v>
      </c>
      <c r="AR210" s="3">
        <f t="shared" si="99"/>
        <v>7.0865415165999996</v>
      </c>
      <c r="AS210" s="3">
        <f t="shared" si="99"/>
        <v>7.0754557543000001</v>
      </c>
      <c r="AT210" s="3">
        <f t="shared" si="99"/>
        <v>7.0644780868000003</v>
      </c>
      <c r="AU210" s="3">
        <f t="shared" si="99"/>
        <v>7.0536454408000004</v>
      </c>
      <c r="AV210" s="3">
        <f t="shared" si="99"/>
        <v>7.0429790366000002</v>
      </c>
      <c r="AW210" s="3">
        <f t="shared" si="99"/>
        <v>7.032595433</v>
      </c>
      <c r="AX210" s="3">
        <f t="shared" si="99"/>
        <v>7.0224606543999997</v>
      </c>
      <c r="AY210" s="3">
        <f t="shared" si="99"/>
        <v>7.0125320798999997</v>
      </c>
      <c r="AZ210" s="3">
        <f t="shared" si="99"/>
        <v>7.0027921976999998</v>
      </c>
      <c r="BA210" s="3">
        <f t="shared" si="99"/>
        <v>6.9932354429999997</v>
      </c>
      <c r="BB210" s="3">
        <f t="shared" si="99"/>
        <v>6.9228504148000001</v>
      </c>
      <c r="BC210" s="3">
        <f t="shared" si="99"/>
        <v>6.9103832043000004</v>
      </c>
      <c r="BD210" s="3">
        <f t="shared" ref="BD210:BF210" si="100">BD212+BD213</f>
        <v>6.8980857909999997</v>
      </c>
      <c r="BE210" s="3">
        <f t="shared" si="100"/>
        <v>6.8859729474</v>
      </c>
      <c r="BF210" s="3">
        <f t="shared" si="100"/>
        <v>6.8740612289000005</v>
      </c>
    </row>
    <row r="211" spans="1:58" x14ac:dyDescent="0.35">
      <c r="B211" t="s">
        <v>33</v>
      </c>
      <c r="C211" s="3">
        <f>[1]Results!F1502</f>
        <v>86.953616359999998</v>
      </c>
      <c r="D211" s="3">
        <f>[1]Results!G1502</f>
        <v>86.76053288</v>
      </c>
      <c r="E211" s="3">
        <f>[1]Results!H1502</f>
        <v>86.366416650000005</v>
      </c>
      <c r="F211" s="3">
        <f>[1]Results!I1502</f>
        <v>85.888598009999995</v>
      </c>
      <c r="G211" s="3">
        <f>[1]Results!J1502</f>
        <v>85.40746154</v>
      </c>
      <c r="H211" s="3">
        <f>[1]Results!K1502</f>
        <v>84.970071520000005</v>
      </c>
      <c r="I211" s="3">
        <f>[1]Results!L1502</f>
        <v>84.57103352</v>
      </c>
      <c r="J211" s="3">
        <f>[1]Results!M1502</f>
        <v>84.214655519999994</v>
      </c>
      <c r="K211" s="3">
        <f>[1]Results!N1502</f>
        <v>83.897710959999998</v>
      </c>
      <c r="L211" s="3">
        <f>[1]Results!O1502</f>
        <v>83.6118053</v>
      </c>
      <c r="M211" s="3">
        <f>[1]Results!P1502</f>
        <v>83.390268989999996</v>
      </c>
      <c r="N211" s="3">
        <f>[1]Results!Q1502</f>
        <v>83.176827020000005</v>
      </c>
      <c r="O211" s="3">
        <f>[1]Results!R1502</f>
        <v>82.958994730000001</v>
      </c>
      <c r="P211" s="3">
        <f>[1]Results!S1502</f>
        <v>82.734078920000002</v>
      </c>
      <c r="Q211" s="3">
        <f>[1]Results!T1502</f>
        <v>82.502259260000002</v>
      </c>
      <c r="R211" s="3">
        <f>[1]Results!U1502</f>
        <v>82.264651169999993</v>
      </c>
      <c r="S211" s="3">
        <f>[1]Results!V1502</f>
        <v>82.022714210000004</v>
      </c>
      <c r="T211" s="3">
        <f>[1]Results!W1502</f>
        <v>81.778044019999996</v>
      </c>
      <c r="U211" s="3">
        <f>[1]Results!X1502</f>
        <v>81.532275819999995</v>
      </c>
      <c r="V211" s="3">
        <f>[1]Results!Y1502</f>
        <v>81.287020650000002</v>
      </c>
      <c r="W211" s="3">
        <f>[1]Results!Z1502</f>
        <v>81.016301159999998</v>
      </c>
      <c r="X211" s="3">
        <f>[1]Results!AA1502</f>
        <v>80.752448119999997</v>
      </c>
      <c r="Y211" s="3">
        <f>[1]Results!AB1502</f>
        <v>80.500717050000006</v>
      </c>
      <c r="Z211" s="3">
        <f>[1]Results!AC1502</f>
        <v>80.261309690000004</v>
      </c>
      <c r="AA211" s="3">
        <f>[1]Results!AD1502</f>
        <v>80.033516649999996</v>
      </c>
      <c r="AB211" s="3">
        <f>[1]Results!AE1502</f>
        <v>79.742776430000006</v>
      </c>
      <c r="AC211" s="3">
        <f>[1]Results!AF1502</f>
        <v>79.436980419999998</v>
      </c>
      <c r="AD211" s="3">
        <f>[1]Results!AG1502</f>
        <v>79.130658699999998</v>
      </c>
      <c r="AE211" s="3">
        <f>[1]Results!AH1502</f>
        <v>78.830344819999993</v>
      </c>
      <c r="AF211" s="3">
        <f>[1]Results!AI1502</f>
        <v>78.539497979999993</v>
      </c>
      <c r="AG211" s="3">
        <f>[1]Results!AJ1502</f>
        <v>78.260054310000001</v>
      </c>
      <c r="AH211" s="3">
        <f>[1]Results!AK1502</f>
        <v>77.993016150000003</v>
      </c>
      <c r="AI211" s="3">
        <f>[1]Results!AL1502</f>
        <v>77.738737</v>
      </c>
      <c r="AJ211" s="3">
        <f>[1]Results!AM1502</f>
        <v>77.497099489999997</v>
      </c>
      <c r="AK211" s="3">
        <f>[1]Results!AN1502</f>
        <v>77.267650540000005</v>
      </c>
      <c r="AL211" s="3">
        <f>[1]Results!AO1502</f>
        <v>77.049714069999993</v>
      </c>
      <c r="AM211" s="3">
        <f>[1]Results!AP1502</f>
        <v>76.827197979999994</v>
      </c>
      <c r="AN211" s="3">
        <f>[1]Results!AQ1502</f>
        <v>76.601174700000001</v>
      </c>
      <c r="AO211" s="3">
        <f>[1]Results!AR1502</f>
        <v>76.374874689999999</v>
      </c>
      <c r="AP211" s="3">
        <f>[1]Results!AS1502</f>
        <v>76.151073519999997</v>
      </c>
      <c r="AQ211" s="3">
        <f>[1]Results!AT1502</f>
        <v>75.931729689999997</v>
      </c>
      <c r="AR211" s="3">
        <f>[1]Results!AU1502</f>
        <v>75.718102700000003</v>
      </c>
      <c r="AS211" s="3">
        <f>[1]Results!AV1502</f>
        <v>75.510930860000002</v>
      </c>
      <c r="AT211" s="3">
        <f>[1]Results!AW1502</f>
        <v>75.310585520000004</v>
      </c>
      <c r="AU211" s="3">
        <f>[1]Results!AX1502</f>
        <v>75.117172100000005</v>
      </c>
      <c r="AV211" s="3">
        <f>[1]Results!AY1502</f>
        <v>74.930563669999998</v>
      </c>
      <c r="AW211" s="3">
        <f>[1]Results!AZ1502</f>
        <v>74.751423270000004</v>
      </c>
      <c r="AX211" s="3">
        <f>[1]Results!BA1502</f>
        <v>74.577561430000003</v>
      </c>
      <c r="AY211" s="3">
        <f>[1]Results!BB1502</f>
        <v>74.406906770000006</v>
      </c>
      <c r="AZ211" s="3">
        <f>[1]Results!BC1502</f>
        <v>74.239389419999995</v>
      </c>
      <c r="BA211" s="3">
        <f>[1]Results!BD1502</f>
        <v>74.075951399999994</v>
      </c>
      <c r="BB211" s="3">
        <f>[1]Results!BE1502</f>
        <v>71.369933189999998</v>
      </c>
      <c r="BC211" s="3">
        <f>[1]Results!BF1502</f>
        <v>71.162944929999995</v>
      </c>
      <c r="BD211" s="3">
        <f>[1]Results!BG1502</f>
        <v>70.960819119999996</v>
      </c>
      <c r="BE211" s="3">
        <f>[1]Results!BH1502</f>
        <v>70.76353349</v>
      </c>
      <c r="BF211" s="3">
        <f>[1]Results!BI1502</f>
        <v>70.57103103</v>
      </c>
    </row>
    <row r="212" spans="1:58" x14ac:dyDescent="0.35">
      <c r="B212" t="s">
        <v>35</v>
      </c>
      <c r="C212" s="3">
        <f>[1]Results!F1499</f>
        <v>6.6863688420000003</v>
      </c>
      <c r="D212" s="3">
        <f>[1]Results!G1499</f>
        <v>6.6636884590000003</v>
      </c>
      <c r="E212" s="3">
        <f>[1]Results!H1499</f>
        <v>6.6230406159999999</v>
      </c>
      <c r="F212" s="3">
        <f>[1]Results!I1499</f>
        <v>6.5796770130000004</v>
      </c>
      <c r="G212" s="3">
        <f>[1]Results!J1499</f>
        <v>6.5429209080000001</v>
      </c>
      <c r="H212" s="3">
        <f>[1]Results!K1499</f>
        <v>6.5163609989999998</v>
      </c>
      <c r="I212" s="3">
        <f>[1]Results!L1499</f>
        <v>6.4981650650000002</v>
      </c>
      <c r="J212" s="3">
        <f>[1]Results!M1499</f>
        <v>6.4871787799999998</v>
      </c>
      <c r="K212" s="3">
        <f>[1]Results!N1499</f>
        <v>6.4817429320000004</v>
      </c>
      <c r="L212" s="3">
        <f>[1]Results!O1499</f>
        <v>6.4802288370000003</v>
      </c>
      <c r="M212" s="3">
        <f>[1]Results!P1499</f>
        <v>6.4844130560000002</v>
      </c>
      <c r="N212" s="3">
        <f>[1]Results!Q1499</f>
        <v>6.4894319070000002</v>
      </c>
      <c r="O212" s="3">
        <f>[1]Results!R1499</f>
        <v>6.494634595</v>
      </c>
      <c r="P212" s="3">
        <f>[1]Results!S1499</f>
        <v>6.4997009400000003</v>
      </c>
      <c r="Q212" s="3">
        <f>[1]Results!T1499</f>
        <v>6.5044421210000003</v>
      </c>
      <c r="R212" s="3">
        <f>[1]Results!U1499</f>
        <v>6.5087515700000003</v>
      </c>
      <c r="S212" s="3">
        <f>[1]Results!V1499</f>
        <v>6.512581076</v>
      </c>
      <c r="T212" s="3">
        <f>[1]Results!W1499</f>
        <v>6.5159227260000003</v>
      </c>
      <c r="U212" s="3">
        <f>[1]Results!X1499</f>
        <v>6.5187945870000004</v>
      </c>
      <c r="V212" s="3">
        <f>[1]Results!Y1499</f>
        <v>6.52123001</v>
      </c>
      <c r="W212" s="3">
        <f>[1]Results!Z1499</f>
        <v>6.5212052409999997</v>
      </c>
      <c r="X212" s="3">
        <f>[1]Results!AA1499</f>
        <v>6.5213172029999997</v>
      </c>
      <c r="Y212" s="3">
        <f>[1]Results!AB1499</f>
        <v>6.5215674220000004</v>
      </c>
      <c r="Z212" s="3">
        <f>[1]Results!AC1499</f>
        <v>6.5218916699999996</v>
      </c>
      <c r="AA212" s="3">
        <f>[1]Results!AD1499</f>
        <v>6.5222483139999996</v>
      </c>
      <c r="AB212" s="3">
        <f>[1]Results!AE1499</f>
        <v>6.5169956060000001</v>
      </c>
      <c r="AC212" s="3">
        <f>[1]Results!AF1499</f>
        <v>6.510447256</v>
      </c>
      <c r="AD212" s="3">
        <f>[1]Results!AG1499</f>
        <v>6.5031028360000001</v>
      </c>
      <c r="AE212" s="3">
        <f>[1]Results!AH1499</f>
        <v>6.4952354659999996</v>
      </c>
      <c r="AF212" s="3">
        <f>[1]Results!AI1499</f>
        <v>6.4870515060000002</v>
      </c>
      <c r="AG212" s="3">
        <f>[1]Results!AJ1499</f>
        <v>6.478716296</v>
      </c>
      <c r="AH212" s="3">
        <f>[1]Results!AK1499</f>
        <v>6.4703575750000004</v>
      </c>
      <c r="AI212" s="3">
        <f>[1]Results!AL1499</f>
        <v>6.4620677549999996</v>
      </c>
      <c r="AJ212" s="3">
        <f>[1]Results!AM1499</f>
        <v>6.4539081559999998</v>
      </c>
      <c r="AK212" s="3">
        <f>[1]Results!AN1499</f>
        <v>6.4459147249999997</v>
      </c>
      <c r="AL212" s="3">
        <f>[1]Results!AO1499</f>
        <v>6.4381041679999997</v>
      </c>
      <c r="AM212" s="3">
        <f>[1]Results!AP1499</f>
        <v>6.4292883930000002</v>
      </c>
      <c r="AN212" s="3">
        <f>[1]Results!AQ1499</f>
        <v>6.4197542009999999</v>
      </c>
      <c r="AO212" s="3">
        <f>[1]Results!AR1499</f>
        <v>6.4097546799999998</v>
      </c>
      <c r="AP212" s="3">
        <f>[1]Results!AS1499</f>
        <v>6.3994753040000001</v>
      </c>
      <c r="AQ212" s="3">
        <f>[1]Results!AT1499</f>
        <v>6.389051018</v>
      </c>
      <c r="AR212" s="3">
        <f>[1]Results!AU1499</f>
        <v>6.3785813569999998</v>
      </c>
      <c r="AS212" s="3">
        <f>[1]Results!AV1499</f>
        <v>6.3681395009999999</v>
      </c>
      <c r="AT212" s="3">
        <f>[1]Results!AW1499</f>
        <v>6.3577777400000004</v>
      </c>
      <c r="AU212" s="3">
        <f>[1]Results!AX1499</f>
        <v>6.347531354</v>
      </c>
      <c r="AV212" s="3">
        <f>[1]Results!AY1499</f>
        <v>6.3374218500000001</v>
      </c>
      <c r="AW212" s="3">
        <f>[1]Results!AZ1499</f>
        <v>6.3275552069999996</v>
      </c>
      <c r="AX212" s="3">
        <f>[1]Results!BA1499</f>
        <v>6.3179103269999999</v>
      </c>
      <c r="AY212" s="3">
        <f>[1]Results!BB1499</f>
        <v>6.3084635389999999</v>
      </c>
      <c r="AZ212" s="3">
        <f>[1]Results!BC1499</f>
        <v>6.2991946260000002</v>
      </c>
      <c r="BA212" s="3">
        <f>[1]Results!BD1499</f>
        <v>6.2900861539999999</v>
      </c>
      <c r="BB212" s="3">
        <f>[1]Results!BE1499</f>
        <v>6.2314564189999997</v>
      </c>
      <c r="BC212" s="3">
        <f>[1]Results!BF1499</f>
        <v>6.21968941</v>
      </c>
      <c r="BD212" s="3">
        <f>[1]Results!BG1499</f>
        <v>6.2080740509999996</v>
      </c>
      <c r="BE212" s="3">
        <f>[1]Results!BH1499</f>
        <v>6.1966238159999998</v>
      </c>
      <c r="BF212" s="3">
        <f>[1]Results!BI1499</f>
        <v>6.1853541830000003</v>
      </c>
    </row>
    <row r="213" spans="1:58" x14ac:dyDescent="0.35">
      <c r="B213" t="s">
        <v>34</v>
      </c>
      <c r="C213" s="3">
        <f>[1]Results!F1501</f>
        <v>0.72011375529999999</v>
      </c>
      <c r="D213" s="3">
        <f>[1]Results!G1501</f>
        <v>0.71952820309999999</v>
      </c>
      <c r="E213" s="3">
        <f>[1]Results!H1501</f>
        <v>0.71808296979999997</v>
      </c>
      <c r="F213" s="3">
        <f>[1]Results!I1501</f>
        <v>0.7164377086</v>
      </c>
      <c r="G213" s="3">
        <f>[1]Results!J1501</f>
        <v>0.71500132689999996</v>
      </c>
      <c r="H213" s="3">
        <f>[1]Results!K1501</f>
        <v>0.71402231220000001</v>
      </c>
      <c r="I213" s="3">
        <f>[1]Results!L1501</f>
        <v>0.71332271579999995</v>
      </c>
      <c r="J213" s="3">
        <f>[1]Results!M1501</f>
        <v>0.7129318563</v>
      </c>
      <c r="K213" s="3">
        <f>[1]Results!N1501</f>
        <v>0.71283224649999999</v>
      </c>
      <c r="L213" s="3">
        <f>[1]Results!O1501</f>
        <v>0.71296734169999998</v>
      </c>
      <c r="M213" s="3">
        <f>[1]Results!P1501</f>
        <v>0.71371919130000006</v>
      </c>
      <c r="N213" s="3">
        <f>[1]Results!Q1501</f>
        <v>0.71448810340000002</v>
      </c>
      <c r="O213" s="3">
        <f>[1]Results!R1501</f>
        <v>0.71518993630000005</v>
      </c>
      <c r="P213" s="3">
        <f>[1]Results!S1501</f>
        <v>0.71581337820000002</v>
      </c>
      <c r="Q213" s="3">
        <f>[1]Results!T1501</f>
        <v>0.71636218500000004</v>
      </c>
      <c r="R213" s="3">
        <f>[1]Results!U1501</f>
        <v>0.71684346509999997</v>
      </c>
      <c r="S213" s="3">
        <f>[1]Results!V1501</f>
        <v>0.71726540029999997</v>
      </c>
      <c r="T213" s="3">
        <f>[1]Results!W1501</f>
        <v>0.71763680269999996</v>
      </c>
      <c r="U213" s="3">
        <f>[1]Results!X1501</f>
        <v>0.71796691339999996</v>
      </c>
      <c r="V213" s="3">
        <f>[1]Results!Y1501</f>
        <v>0.71826516330000001</v>
      </c>
      <c r="W213" s="3">
        <f>[1]Results!Z1501</f>
        <v>0.71824735390000005</v>
      </c>
      <c r="X213" s="3">
        <f>[1]Results!AA1501</f>
        <v>0.71827279710000003</v>
      </c>
      <c r="Y213" s="3">
        <f>[1]Results!AB1501</f>
        <v>0.71837072619999998</v>
      </c>
      <c r="Z213" s="3">
        <f>[1]Results!AC1501</f>
        <v>0.71853226960000005</v>
      </c>
      <c r="AA213" s="3">
        <f>[1]Results!AD1501</f>
        <v>0.71874629690000003</v>
      </c>
      <c r="AB213" s="3">
        <f>[1]Results!AE1501</f>
        <v>0.71821127809999996</v>
      </c>
      <c r="AC213" s="3">
        <f>[1]Results!AF1501</f>
        <v>0.71749857449999999</v>
      </c>
      <c r="AD213" s="3">
        <f>[1]Results!AG1501</f>
        <v>0.71673278460000001</v>
      </c>
      <c r="AE213" s="3">
        <f>[1]Results!AH1501</f>
        <v>0.71596546920000004</v>
      </c>
      <c r="AF213" s="3">
        <f>[1]Results!AI1501</f>
        <v>0.71522345740000004</v>
      </c>
      <c r="AG213" s="3">
        <f>[1]Results!AJ1501</f>
        <v>0.71452254140000004</v>
      </c>
      <c r="AH213" s="3">
        <f>[1]Results!AK1501</f>
        <v>0.71387219209999997</v>
      </c>
      <c r="AI213" s="3">
        <f>[1]Results!AL1501</f>
        <v>0.71327755240000001</v>
      </c>
      <c r="AJ213" s="3">
        <f>[1]Results!AM1501</f>
        <v>0.71274055589999996</v>
      </c>
      <c r="AK213" s="3">
        <f>[1]Results!AN1501</f>
        <v>0.71226073229999998</v>
      </c>
      <c r="AL213" s="3">
        <f>[1]Results!AO1501</f>
        <v>0.71183587559999995</v>
      </c>
      <c r="AM213" s="3">
        <f>[1]Results!AP1501</f>
        <v>0.71129642670000004</v>
      </c>
      <c r="AN213" s="3">
        <f>[1]Results!AQ1501</f>
        <v>0.71067126810000003</v>
      </c>
      <c r="AO213" s="3">
        <f>[1]Results!AR1501</f>
        <v>0.70999985899999996</v>
      </c>
      <c r="AP213" s="3">
        <f>[1]Results!AS1501</f>
        <v>0.70931208840000004</v>
      </c>
      <c r="AQ213" s="3">
        <f>[1]Results!AT1501</f>
        <v>0.708627966</v>
      </c>
      <c r="AR213" s="3">
        <f>[1]Results!AU1501</f>
        <v>0.70796015960000003</v>
      </c>
      <c r="AS213" s="3">
        <f>[1]Results!AV1501</f>
        <v>0.70731625330000003</v>
      </c>
      <c r="AT213" s="3">
        <f>[1]Results!AW1501</f>
        <v>0.70670034680000005</v>
      </c>
      <c r="AU213" s="3">
        <f>[1]Results!AX1501</f>
        <v>0.70611408679999998</v>
      </c>
      <c r="AV213" s="3">
        <f>[1]Results!AY1501</f>
        <v>0.7055571866</v>
      </c>
      <c r="AW213" s="3">
        <f>[1]Results!AZ1501</f>
        <v>0.70504022600000005</v>
      </c>
      <c r="AX213" s="3">
        <f>[1]Results!BA1501</f>
        <v>0.70455032740000001</v>
      </c>
      <c r="AY213" s="3">
        <f>[1]Results!BB1501</f>
        <v>0.70406854090000004</v>
      </c>
      <c r="AZ213" s="3">
        <f>[1]Results!BC1501</f>
        <v>0.70359757170000004</v>
      </c>
      <c r="BA213" s="3">
        <f>[1]Results!BD1501</f>
        <v>0.70314928899999996</v>
      </c>
      <c r="BB213" s="3">
        <f>[1]Results!BE1501</f>
        <v>0.69139399580000005</v>
      </c>
      <c r="BC213" s="3">
        <f>[1]Results!BF1501</f>
        <v>0.6906937943</v>
      </c>
      <c r="BD213" s="3">
        <f>[1]Results!BG1501</f>
        <v>0.69001173999999998</v>
      </c>
      <c r="BE213" s="3">
        <f>[1]Results!BH1501</f>
        <v>0.68934913139999998</v>
      </c>
      <c r="BF213" s="3">
        <f>[1]Results!BI1501</f>
        <v>0.68870704589999998</v>
      </c>
    </row>
    <row r="214" spans="1:58" x14ac:dyDescent="0.35">
      <c r="B214" t="s">
        <v>37</v>
      </c>
      <c r="C214" s="3">
        <f>[1]Results!F1497</f>
        <v>17.994161099999999</v>
      </c>
      <c r="D214" s="3">
        <f>[1]Results!G1497</f>
        <v>17.949905309999998</v>
      </c>
      <c r="E214" s="3">
        <f>[1]Results!H1497</f>
        <v>17.86685568</v>
      </c>
      <c r="F214" s="3">
        <f>[1]Results!I1497</f>
        <v>17.77748777</v>
      </c>
      <c r="G214" s="3">
        <f>[1]Results!J1497</f>
        <v>17.701658089999999</v>
      </c>
      <c r="H214" s="3">
        <f>[1]Results!K1497</f>
        <v>17.64779085</v>
      </c>
      <c r="I214" s="3">
        <f>[1]Results!L1497</f>
        <v>17.611051459999999</v>
      </c>
      <c r="J214" s="3">
        <f>[1]Results!M1497</f>
        <v>17.589661110000002</v>
      </c>
      <c r="K214" s="3">
        <f>[1]Results!N1497</f>
        <v>17.580510270000001</v>
      </c>
      <c r="L214" s="3">
        <f>[1]Results!O1497</f>
        <v>17.580221269999999</v>
      </c>
      <c r="M214" s="3">
        <f>[1]Results!P1497</f>
        <v>17.595222759999999</v>
      </c>
      <c r="N214" s="3">
        <f>[1]Results!Q1497</f>
        <v>17.611663610000001</v>
      </c>
      <c r="O214" s="3">
        <f>[1]Results!R1497</f>
        <v>17.627821820000001</v>
      </c>
      <c r="P214" s="3">
        <f>[1]Results!S1497</f>
        <v>17.643106620000001</v>
      </c>
      <c r="Q214" s="3">
        <f>[1]Results!T1497</f>
        <v>17.657250959999999</v>
      </c>
      <c r="R214" s="3">
        <f>[1]Results!U1497</f>
        <v>17.67014515</v>
      </c>
      <c r="S214" s="3">
        <f>[1]Results!V1497</f>
        <v>17.68178374</v>
      </c>
      <c r="T214" s="3">
        <f>[1]Results!W1497</f>
        <v>17.692233049999999</v>
      </c>
      <c r="U214" s="3">
        <f>[1]Results!X1497</f>
        <v>17.701605430000001</v>
      </c>
      <c r="V214" s="3">
        <f>[1]Results!Y1497</f>
        <v>17.710038789999999</v>
      </c>
      <c r="W214" s="3">
        <f>[1]Results!Z1497</f>
        <v>17.711501380000001</v>
      </c>
      <c r="X214" s="3">
        <f>[1]Results!AA1497</f>
        <v>17.713757009999998</v>
      </c>
      <c r="Y214" s="3">
        <f>[1]Results!AB1497</f>
        <v>17.716975720000001</v>
      </c>
      <c r="Z214" s="3">
        <f>[1]Results!AC1497</f>
        <v>17.72093143</v>
      </c>
      <c r="AA214" s="3">
        <f>[1]Results!AD1497</f>
        <v>17.725439430000002</v>
      </c>
      <c r="AB214" s="3">
        <f>[1]Results!AE1497</f>
        <v>17.713594270000002</v>
      </c>
      <c r="AC214" s="3">
        <f>[1]Results!AF1497</f>
        <v>17.698174229999999</v>
      </c>
      <c r="AD214" s="3">
        <f>[1]Results!AG1497</f>
        <v>17.681034029999999</v>
      </c>
      <c r="AE214" s="3">
        <f>[1]Results!AH1497</f>
        <v>17.663034740000001</v>
      </c>
      <c r="AF214" s="3">
        <f>[1]Results!AI1497</f>
        <v>17.64473216</v>
      </c>
      <c r="AG214" s="3">
        <f>[1]Results!AJ1497</f>
        <v>17.626527769999999</v>
      </c>
      <c r="AH214" s="3">
        <f>[1]Results!AK1497</f>
        <v>17.608709730000001</v>
      </c>
      <c r="AI214" s="3">
        <f>[1]Results!AL1497</f>
        <v>17.591471250000001</v>
      </c>
      <c r="AJ214" s="3">
        <f>[1]Results!AM1497</f>
        <v>17.57492624</v>
      </c>
      <c r="AK214" s="3">
        <f>[1]Results!AN1497</f>
        <v>17.559125659999999</v>
      </c>
      <c r="AL214" s="3">
        <f>[1]Results!AO1497</f>
        <v>17.54407376</v>
      </c>
      <c r="AM214" s="3">
        <f>[1]Results!AP1497</f>
        <v>17.52619284</v>
      </c>
      <c r="AN214" s="3">
        <f>[1]Results!AQ1497</f>
        <v>17.50628446</v>
      </c>
      <c r="AO214" s="3">
        <f>[1]Results!AR1497</f>
        <v>17.48514278</v>
      </c>
      <c r="AP214" s="3">
        <f>[1]Results!AS1497</f>
        <v>17.463345960000002</v>
      </c>
      <c r="AQ214" s="3">
        <f>[1]Results!AT1497</f>
        <v>17.441295019999998</v>
      </c>
      <c r="AR214" s="3">
        <f>[1]Results!AU1497</f>
        <v>17.419266400000001</v>
      </c>
      <c r="AS214" s="3">
        <f>[1]Results!AV1497</f>
        <v>17.397448359999999</v>
      </c>
      <c r="AT214" s="3">
        <f>[1]Results!AW1497</f>
        <v>17.375964159999999</v>
      </c>
      <c r="AU214" s="3">
        <f>[1]Results!AX1497</f>
        <v>17.354886950000001</v>
      </c>
      <c r="AV214" s="3">
        <f>[1]Results!AY1497</f>
        <v>17.334248240000001</v>
      </c>
      <c r="AW214" s="3">
        <f>[1]Results!AZ1497</f>
        <v>17.31431649</v>
      </c>
      <c r="AX214" s="3">
        <f>[1]Results!BA1497</f>
        <v>17.294972390000002</v>
      </c>
      <c r="AY214" s="3">
        <f>[1]Results!BB1497</f>
        <v>17.276064210000001</v>
      </c>
      <c r="AZ214" s="3">
        <f>[1]Results!BC1497</f>
        <v>17.257568939999999</v>
      </c>
      <c r="BA214" s="3">
        <f>[1]Results!BD1497</f>
        <v>17.23951929</v>
      </c>
      <c r="BB214" s="3">
        <f>[1]Results!BE1497</f>
        <v>17.061439549999999</v>
      </c>
      <c r="BC214" s="3">
        <f>[1]Results!BF1497</f>
        <v>17.03713956</v>
      </c>
      <c r="BD214" s="3">
        <f>[1]Results!BG1497</f>
        <v>17.01324752</v>
      </c>
      <c r="BE214" s="3">
        <f>[1]Results!BH1497</f>
        <v>16.989794199999999</v>
      </c>
      <c r="BF214" s="3">
        <f>[1]Results!BI1497</f>
        <v>16.96681293</v>
      </c>
    </row>
    <row r="216" spans="1:58" x14ac:dyDescent="0.35">
      <c r="A216" s="12" t="s">
        <v>86</v>
      </c>
      <c r="B216" t="s">
        <v>27</v>
      </c>
      <c r="C216" s="5">
        <f t="shared" ref="C216:AL216" si="101">C192-C204</f>
        <v>-253.87197000000015</v>
      </c>
      <c r="D216" s="5">
        <f t="shared" si="101"/>
        <v>-466.56308999999965</v>
      </c>
      <c r="E216" s="5">
        <f t="shared" si="101"/>
        <v>-629.5176799999972</v>
      </c>
      <c r="F216" s="5">
        <f t="shared" si="101"/>
        <v>-751.24732999999833</v>
      </c>
      <c r="G216" s="5">
        <f t="shared" si="101"/>
        <v>-841.47231000000102</v>
      </c>
      <c r="H216" s="5">
        <f t="shared" si="101"/>
        <v>-908.23111000000063</v>
      </c>
      <c r="I216" s="5">
        <f t="shared" si="101"/>
        <v>-957.8216199999988</v>
      </c>
      <c r="J216" s="5">
        <f t="shared" si="101"/>
        <v>-995.09530999999697</v>
      </c>
      <c r="K216" s="5">
        <f t="shared" si="101"/>
        <v>-1023.8177700000015</v>
      </c>
      <c r="L216" s="5">
        <f t="shared" si="101"/>
        <v>-1046.9144300000007</v>
      </c>
      <c r="M216" s="5">
        <f t="shared" si="101"/>
        <v>-1067.2003199999999</v>
      </c>
      <c r="N216" s="5">
        <f t="shared" si="101"/>
        <v>-1086.6694499999976</v>
      </c>
      <c r="O216" s="5">
        <f t="shared" si="101"/>
        <v>-1106.2151999999987</v>
      </c>
      <c r="P216" s="5">
        <f t="shared" si="101"/>
        <v>-1126.3618199999983</v>
      </c>
      <c r="Q216" s="5">
        <f t="shared" si="101"/>
        <v>-1147.3944200000005</v>
      </c>
      <c r="R216" s="5">
        <f t="shared" si="101"/>
        <v>-1169.4366200000004</v>
      </c>
      <c r="S216" s="5">
        <f t="shared" si="101"/>
        <v>-1193.3933100000031</v>
      </c>
      <c r="T216" s="5">
        <f t="shared" si="101"/>
        <v>-1218.9919599999994</v>
      </c>
      <c r="U216" s="5">
        <f t="shared" si="101"/>
        <v>-1245.9271899999985</v>
      </c>
      <c r="V216" s="5">
        <f t="shared" si="101"/>
        <v>-1273.9342799999977</v>
      </c>
      <c r="W216" s="5">
        <f t="shared" si="101"/>
        <v>-1302.3482100000001</v>
      </c>
      <c r="X216" s="5">
        <f t="shared" si="101"/>
        <v>-1331.4387800000004</v>
      </c>
      <c r="Y216" s="5">
        <f t="shared" si="101"/>
        <v>-1361.0950699999994</v>
      </c>
      <c r="Z216" s="5">
        <f t="shared" si="101"/>
        <v>-1391.2040099999977</v>
      </c>
      <c r="AA216" s="5">
        <f t="shared" si="101"/>
        <v>-1421.6569600000003</v>
      </c>
      <c r="AB216" s="5">
        <f t="shared" si="101"/>
        <v>-1450.9767700000011</v>
      </c>
      <c r="AC216" s="5">
        <f t="shared" si="101"/>
        <v>-1479.5065600000016</v>
      </c>
      <c r="AD216" s="5">
        <f t="shared" si="101"/>
        <v>-1507.364590000001</v>
      </c>
      <c r="AE216" s="5">
        <f t="shared" si="101"/>
        <v>-1534.644479999999</v>
      </c>
      <c r="AF216" s="5">
        <f t="shared" si="101"/>
        <v>-1561.4145900000003</v>
      </c>
      <c r="AG216" s="5">
        <f t="shared" si="101"/>
        <v>-1587.7163699999983</v>
      </c>
      <c r="AH216" s="5">
        <f t="shared" si="101"/>
        <v>-1613.4008900000008</v>
      </c>
      <c r="AI216" s="5">
        <f t="shared" si="101"/>
        <v>-1638.50677</v>
      </c>
      <c r="AJ216" s="5">
        <f t="shared" si="101"/>
        <v>-1663.0601000000024</v>
      </c>
      <c r="AK216" s="5">
        <f t="shared" si="101"/>
        <v>-1687.070499999998</v>
      </c>
      <c r="AL216" s="5">
        <f t="shared" si="101"/>
        <v>-1710.5369400000018</v>
      </c>
      <c r="AM216" s="5">
        <f t="shared" ref="AM216:BC216" si="102">AM192-AM204</f>
        <v>-1731.7274499999985</v>
      </c>
      <c r="AN216" s="5">
        <f t="shared" si="102"/>
        <v>-1751.0135300000002</v>
      </c>
      <c r="AO216" s="5">
        <f t="shared" si="102"/>
        <v>-1768.8001199999999</v>
      </c>
      <c r="AP216" s="5">
        <f t="shared" si="102"/>
        <v>-1785.4238499999992</v>
      </c>
      <c r="AQ216" s="5">
        <f t="shared" si="102"/>
        <v>-1801.1536999999989</v>
      </c>
      <c r="AR216" s="5">
        <f t="shared" si="102"/>
        <v>-1815.9956300000013</v>
      </c>
      <c r="AS216" s="5">
        <f t="shared" si="102"/>
        <v>-1830.1682499999988</v>
      </c>
      <c r="AT216" s="5">
        <f t="shared" si="102"/>
        <v>-1843.8544799999981</v>
      </c>
      <c r="AU216" s="5">
        <f t="shared" si="102"/>
        <v>-1857.1948300000004</v>
      </c>
      <c r="AV216" s="5">
        <f t="shared" si="102"/>
        <v>-1870.2945900000013</v>
      </c>
      <c r="AW216" s="5">
        <f t="shared" si="102"/>
        <v>-1882.6023600000008</v>
      </c>
      <c r="AX216" s="5">
        <f t="shared" si="102"/>
        <v>-1894.3412199999984</v>
      </c>
      <c r="AY216" s="5">
        <f t="shared" si="102"/>
        <v>-1905.7249599999996</v>
      </c>
      <c r="AZ216" s="5">
        <f t="shared" si="102"/>
        <v>-1916.902399999999</v>
      </c>
      <c r="BA216" s="5">
        <f t="shared" si="102"/>
        <v>-1927.9708100000025</v>
      </c>
      <c r="BB216" s="5">
        <f t="shared" si="102"/>
        <v>43.635760000001028</v>
      </c>
      <c r="BC216" s="5">
        <f t="shared" si="102"/>
        <v>45.909630000001926</v>
      </c>
      <c r="BD216" s="5">
        <f t="shared" ref="BD216:BF216" si="103">BD192-BD204</f>
        <v>48.272320000000036</v>
      </c>
      <c r="BE216" s="5">
        <f t="shared" si="103"/>
        <v>50.7316000000028</v>
      </c>
      <c r="BF216" s="5">
        <f t="shared" si="103"/>
        <v>53.282609999998385</v>
      </c>
    </row>
    <row r="217" spans="1:58" x14ac:dyDescent="0.35">
      <c r="A217" t="s">
        <v>87</v>
      </c>
      <c r="B217" t="s">
        <v>7</v>
      </c>
      <c r="C217" s="5">
        <f t="shared" ref="C217:AL217" si="104">C193-C205</f>
        <v>-10.282805300000064</v>
      </c>
      <c r="D217" s="5">
        <f t="shared" si="104"/>
        <v>-18.379065400000059</v>
      </c>
      <c r="E217" s="5">
        <f t="shared" si="104"/>
        <v>-24.364276700000005</v>
      </c>
      <c r="F217" s="5">
        <f t="shared" si="104"/>
        <v>-28.721594100000061</v>
      </c>
      <c r="G217" s="5">
        <f t="shared" si="104"/>
        <v>-31.870406099999968</v>
      </c>
      <c r="H217" s="5">
        <f t="shared" si="104"/>
        <v>-34.134311600000046</v>
      </c>
      <c r="I217" s="5">
        <f t="shared" si="104"/>
        <v>-35.748694799999953</v>
      </c>
      <c r="J217" s="5">
        <f t="shared" si="104"/>
        <v>-36.892404800000008</v>
      </c>
      <c r="K217" s="5">
        <f t="shared" si="104"/>
        <v>-37.704345899999907</v>
      </c>
      <c r="L217" s="5">
        <f t="shared" si="104"/>
        <v>-38.293982500000084</v>
      </c>
      <c r="M217" s="5">
        <f t="shared" si="104"/>
        <v>-38.769758400000001</v>
      </c>
      <c r="N217" s="5">
        <f t="shared" si="104"/>
        <v>-39.208268500000031</v>
      </c>
      <c r="O217" s="5">
        <f t="shared" si="104"/>
        <v>-39.643903000000023</v>
      </c>
      <c r="P217" s="5">
        <f t="shared" si="104"/>
        <v>-40.098601899999949</v>
      </c>
      <c r="Q217" s="5">
        <f t="shared" si="104"/>
        <v>-40.585476699999958</v>
      </c>
      <c r="R217" s="5">
        <f t="shared" si="104"/>
        <v>-41.11131290000003</v>
      </c>
      <c r="S217" s="5">
        <f t="shared" si="104"/>
        <v>-41.714244199999939</v>
      </c>
      <c r="T217" s="5">
        <f t="shared" si="104"/>
        <v>-42.383189600000037</v>
      </c>
      <c r="U217" s="5">
        <f t="shared" si="104"/>
        <v>-43.107618499999944</v>
      </c>
      <c r="V217" s="5">
        <f t="shared" si="104"/>
        <v>-43.878965500000049</v>
      </c>
      <c r="W217" s="5">
        <f t="shared" si="104"/>
        <v>-44.672811200000069</v>
      </c>
      <c r="X217" s="5">
        <f t="shared" si="104"/>
        <v>-45.502913899999953</v>
      </c>
      <c r="Y217" s="5">
        <f t="shared" si="104"/>
        <v>-46.365220300000033</v>
      </c>
      <c r="Z217" s="5">
        <f t="shared" si="104"/>
        <v>-47.255965100000026</v>
      </c>
      <c r="AA217" s="5">
        <f t="shared" si="104"/>
        <v>-48.171721100000013</v>
      </c>
      <c r="AB217" s="5">
        <f t="shared" si="104"/>
        <v>-49.055606800000078</v>
      </c>
      <c r="AC217" s="5">
        <f t="shared" si="104"/>
        <v>-49.926767799999993</v>
      </c>
      <c r="AD217" s="5">
        <f t="shared" si="104"/>
        <v>-50.790623299999993</v>
      </c>
      <c r="AE217" s="5">
        <f t="shared" si="104"/>
        <v>-51.650995099999932</v>
      </c>
      <c r="AF217" s="5">
        <f t="shared" si="104"/>
        <v>-52.510578699999996</v>
      </c>
      <c r="AG217" s="5">
        <f t="shared" si="104"/>
        <v>-53.370998399999962</v>
      </c>
      <c r="AH217" s="5">
        <f t="shared" si="104"/>
        <v>-54.226258799999982</v>
      </c>
      <c r="AI217" s="5">
        <f t="shared" si="104"/>
        <v>-55.078237899999976</v>
      </c>
      <c r="AJ217" s="5">
        <f t="shared" si="104"/>
        <v>-55.927931000000058</v>
      </c>
      <c r="AK217" s="5">
        <f t="shared" si="104"/>
        <v>-56.775535600000012</v>
      </c>
      <c r="AL217" s="5">
        <f t="shared" si="104"/>
        <v>-57.620760700000005</v>
      </c>
      <c r="AM217" s="5">
        <f t="shared" ref="AM217:BC217" si="105">AM193-AM205</f>
        <v>-58.394236400000068</v>
      </c>
      <c r="AN217" s="5">
        <f t="shared" si="105"/>
        <v>-59.114657699999952</v>
      </c>
      <c r="AO217" s="5">
        <f t="shared" si="105"/>
        <v>-59.798136599999907</v>
      </c>
      <c r="AP217" s="5">
        <f t="shared" si="105"/>
        <v>-60.456871399999955</v>
      </c>
      <c r="AQ217" s="5">
        <f t="shared" si="105"/>
        <v>-61.100172400000019</v>
      </c>
      <c r="AR217" s="5">
        <f t="shared" si="105"/>
        <v>-61.726874199999997</v>
      </c>
      <c r="AS217" s="5">
        <f t="shared" si="105"/>
        <v>-62.344867300000033</v>
      </c>
      <c r="AT217" s="5">
        <f t="shared" si="105"/>
        <v>-62.960196100000076</v>
      </c>
      <c r="AU217" s="5">
        <f t="shared" si="105"/>
        <v>-63.577093300000001</v>
      </c>
      <c r="AV217" s="5">
        <f t="shared" si="105"/>
        <v>-64.198294099999998</v>
      </c>
      <c r="AW217" s="5">
        <f t="shared" si="105"/>
        <v>-64.799775199999999</v>
      </c>
      <c r="AX217" s="5">
        <f t="shared" si="105"/>
        <v>-65.390290899999968</v>
      </c>
      <c r="AY217" s="5">
        <f t="shared" si="105"/>
        <v>-65.977311100000065</v>
      </c>
      <c r="AZ217" s="5">
        <f t="shared" si="105"/>
        <v>-66.565497499999992</v>
      </c>
      <c r="BA217" s="5">
        <f t="shared" si="105"/>
        <v>-67.157475399999953</v>
      </c>
      <c r="BB217" s="5">
        <f t="shared" si="105"/>
        <v>-0.16417460000002393</v>
      </c>
      <c r="BC217" s="5">
        <f t="shared" si="105"/>
        <v>-0.16895409999995081</v>
      </c>
      <c r="BD217" s="5">
        <f t="shared" ref="BD217:BF217" si="106">BD193-BD205</f>
        <v>-0.17318269999998392</v>
      </c>
      <c r="BE217" s="5">
        <f t="shared" si="106"/>
        <v>-0.17673520000005283</v>
      </c>
      <c r="BF217" s="5">
        <f t="shared" si="106"/>
        <v>-0.17985069999997449</v>
      </c>
    </row>
    <row r="218" spans="1:58" x14ac:dyDescent="0.35">
      <c r="B218" t="s">
        <v>30</v>
      </c>
      <c r="C218" s="5">
        <f t="shared" ref="C218:AL218" si="107">C194-C206</f>
        <v>-59.28318599999966</v>
      </c>
      <c r="D218" s="5">
        <f t="shared" si="107"/>
        <v>-104.79573199999959</v>
      </c>
      <c r="E218" s="5">
        <f t="shared" si="107"/>
        <v>-138.12498799999958</v>
      </c>
      <c r="F218" s="5">
        <f t="shared" si="107"/>
        <v>-162.39065399999981</v>
      </c>
      <c r="G218" s="5">
        <f t="shared" si="107"/>
        <v>-180.31052400000044</v>
      </c>
      <c r="H218" s="5">
        <f t="shared" si="107"/>
        <v>-193.93802700000015</v>
      </c>
      <c r="I218" s="5">
        <f t="shared" si="107"/>
        <v>-204.74297300000035</v>
      </c>
      <c r="J218" s="5">
        <f t="shared" si="107"/>
        <v>-213.74720600000001</v>
      </c>
      <c r="K218" s="5">
        <f t="shared" si="107"/>
        <v>-221.65529900000001</v>
      </c>
      <c r="L218" s="5">
        <f t="shared" si="107"/>
        <v>-228.95567099999971</v>
      </c>
      <c r="M218" s="5">
        <f t="shared" si="107"/>
        <v>-236.11803400000008</v>
      </c>
      <c r="N218" s="5">
        <f t="shared" si="107"/>
        <v>-243.45436300000074</v>
      </c>
      <c r="O218" s="5">
        <f t="shared" si="107"/>
        <v>-251.04796500000066</v>
      </c>
      <c r="P218" s="5">
        <f t="shared" si="107"/>
        <v>-258.93423999999959</v>
      </c>
      <c r="Q218" s="5">
        <f t="shared" si="107"/>
        <v>-267.11899099999937</v>
      </c>
      <c r="R218" s="5">
        <f t="shared" si="107"/>
        <v>-275.58768599999985</v>
      </c>
      <c r="S218" s="5">
        <f t="shared" si="107"/>
        <v>-284.52042899999924</v>
      </c>
      <c r="T218" s="5">
        <f t="shared" si="107"/>
        <v>-293.81134800000018</v>
      </c>
      <c r="U218" s="5">
        <f t="shared" si="107"/>
        <v>-303.36189600000034</v>
      </c>
      <c r="V218" s="5">
        <f t="shared" si="107"/>
        <v>-313.08870200000001</v>
      </c>
      <c r="W218" s="5">
        <f t="shared" si="107"/>
        <v>-322.81441799999993</v>
      </c>
      <c r="X218" s="5">
        <f t="shared" si="107"/>
        <v>-332.59123199999976</v>
      </c>
      <c r="Y218" s="5">
        <f t="shared" si="107"/>
        <v>-342.37336799999957</v>
      </c>
      <c r="Z218" s="5">
        <f t="shared" si="107"/>
        <v>-352.11938800000007</v>
      </c>
      <c r="AA218" s="5">
        <f t="shared" si="107"/>
        <v>-361.79165099999955</v>
      </c>
      <c r="AB218" s="5">
        <f t="shared" si="107"/>
        <v>-371.02047099999982</v>
      </c>
      <c r="AC218" s="5">
        <f t="shared" si="107"/>
        <v>-379.89290899999924</v>
      </c>
      <c r="AD218" s="5">
        <f t="shared" si="107"/>
        <v>-388.42670300000009</v>
      </c>
      <c r="AE218" s="5">
        <f t="shared" si="107"/>
        <v>-396.63440799999989</v>
      </c>
      <c r="AF218" s="5">
        <f t="shared" si="107"/>
        <v>-404.52396099999987</v>
      </c>
      <c r="AG218" s="5">
        <f t="shared" si="107"/>
        <v>-412.09924899999987</v>
      </c>
      <c r="AH218" s="5">
        <f t="shared" si="107"/>
        <v>-419.32189000000017</v>
      </c>
      <c r="AI218" s="5">
        <f t="shared" si="107"/>
        <v>-426.20263700000032</v>
      </c>
      <c r="AJ218" s="5">
        <f t="shared" si="107"/>
        <v>-432.74897899999996</v>
      </c>
      <c r="AK218" s="5">
        <f t="shared" si="107"/>
        <v>-438.9652500000002</v>
      </c>
      <c r="AL218" s="5">
        <f t="shared" si="107"/>
        <v>-444.85409199999958</v>
      </c>
      <c r="AM218" s="5">
        <f t="shared" ref="AM218:BC218" si="108">AM194-AM206</f>
        <v>-450.00770899999952</v>
      </c>
      <c r="AN218" s="5">
        <f t="shared" si="108"/>
        <v>-454.54183700000067</v>
      </c>
      <c r="AO218" s="5">
        <f t="shared" si="108"/>
        <v>-458.55866700000024</v>
      </c>
      <c r="AP218" s="5">
        <f t="shared" si="108"/>
        <v>-462.13768100000016</v>
      </c>
      <c r="AQ218" s="5">
        <f t="shared" si="108"/>
        <v>-465.34008999999969</v>
      </c>
      <c r="AR218" s="5">
        <f t="shared" si="108"/>
        <v>-468.16506899999968</v>
      </c>
      <c r="AS218" s="5">
        <f t="shared" si="108"/>
        <v>-470.66668699999991</v>
      </c>
      <c r="AT218" s="5">
        <f t="shared" si="108"/>
        <v>-472.89019000000008</v>
      </c>
      <c r="AU218" s="5">
        <f t="shared" si="108"/>
        <v>-474.87252700000045</v>
      </c>
      <c r="AV218" s="5">
        <f t="shared" si="108"/>
        <v>-476.644319</v>
      </c>
      <c r="AW218" s="5">
        <f t="shared" si="108"/>
        <v>-478.08302700000058</v>
      </c>
      <c r="AX218" s="5">
        <f t="shared" si="108"/>
        <v>-479.25903299999936</v>
      </c>
      <c r="AY218" s="5">
        <f t="shared" si="108"/>
        <v>-480.23304899999948</v>
      </c>
      <c r="AZ218" s="5">
        <f t="shared" si="108"/>
        <v>-481.05076300000019</v>
      </c>
      <c r="BA218" s="5">
        <f t="shared" si="108"/>
        <v>-481.74626999999964</v>
      </c>
      <c r="BB218" s="5">
        <f t="shared" si="108"/>
        <v>8.6910689999995157</v>
      </c>
      <c r="BC218" s="5">
        <f t="shared" si="108"/>
        <v>9.6807890000000043</v>
      </c>
      <c r="BD218" s="5">
        <f t="shared" ref="BD218:BF218" si="109">BD194-BD206</f>
        <v>10.731380999999601</v>
      </c>
      <c r="BE218" s="5">
        <f t="shared" si="109"/>
        <v>11.842853999999534</v>
      </c>
      <c r="BF218" s="5">
        <f t="shared" si="109"/>
        <v>13.012241999999787</v>
      </c>
    </row>
    <row r="219" spans="1:58" x14ac:dyDescent="0.35">
      <c r="B219" t="s">
        <v>28</v>
      </c>
      <c r="C219" s="5">
        <f t="shared" ref="C219:AL219" si="110">C195-C207</f>
        <v>-10.678954500000032</v>
      </c>
      <c r="D219" s="5">
        <f t="shared" si="110"/>
        <v>-18.495855900000038</v>
      </c>
      <c r="E219" s="5">
        <f t="shared" si="110"/>
        <v>-23.938858399999958</v>
      </c>
      <c r="F219" s="5">
        <f t="shared" si="110"/>
        <v>-27.708833499999969</v>
      </c>
      <c r="G219" s="5">
        <f t="shared" si="110"/>
        <v>-30.325916499999948</v>
      </c>
      <c r="H219" s="5">
        <f t="shared" si="110"/>
        <v>-32.144314699999995</v>
      </c>
      <c r="I219" s="5">
        <f t="shared" si="110"/>
        <v>-33.408219799999983</v>
      </c>
      <c r="J219" s="5">
        <f t="shared" si="110"/>
        <v>-34.292425099999946</v>
      </c>
      <c r="K219" s="5">
        <f t="shared" si="110"/>
        <v>-34.926782099999969</v>
      </c>
      <c r="L219" s="5">
        <f t="shared" si="110"/>
        <v>-35.409605599999963</v>
      </c>
      <c r="M219" s="5">
        <f t="shared" si="110"/>
        <v>-35.837601800000016</v>
      </c>
      <c r="N219" s="5">
        <f t="shared" si="110"/>
        <v>-36.278287900000009</v>
      </c>
      <c r="O219" s="5">
        <f t="shared" si="110"/>
        <v>-36.754874100000052</v>
      </c>
      <c r="P219" s="5">
        <f t="shared" si="110"/>
        <v>-37.280441399999972</v>
      </c>
      <c r="Q219" s="5">
        <f t="shared" si="110"/>
        <v>-37.861505899999997</v>
      </c>
      <c r="R219" s="5">
        <f t="shared" si="110"/>
        <v>-38.499969699999951</v>
      </c>
      <c r="S219" s="5">
        <f t="shared" si="110"/>
        <v>-39.233475999999996</v>
      </c>
      <c r="T219" s="5">
        <f t="shared" si="110"/>
        <v>-40.044845699999996</v>
      </c>
      <c r="U219" s="5">
        <f t="shared" si="110"/>
        <v>-40.918783400000052</v>
      </c>
      <c r="V219" s="5">
        <f t="shared" si="110"/>
        <v>-41.843305600000008</v>
      </c>
      <c r="W219" s="5">
        <f t="shared" si="110"/>
        <v>-42.791192600000045</v>
      </c>
      <c r="X219" s="5">
        <f t="shared" si="110"/>
        <v>-43.775676299999986</v>
      </c>
      <c r="Y219" s="5">
        <f t="shared" si="110"/>
        <v>-44.790610600000036</v>
      </c>
      <c r="Z219" s="5">
        <f t="shared" si="110"/>
        <v>-45.830459799999971</v>
      </c>
      <c r="AA219" s="5">
        <f t="shared" si="110"/>
        <v>-46.890347299999917</v>
      </c>
      <c r="AB219" s="5">
        <f t="shared" si="110"/>
        <v>-47.91061030000003</v>
      </c>
      <c r="AC219" s="5">
        <f t="shared" si="110"/>
        <v>-48.912515299999995</v>
      </c>
      <c r="AD219" s="5">
        <f t="shared" si="110"/>
        <v>-49.90214380000009</v>
      </c>
      <c r="AE219" s="5">
        <f t="shared" si="110"/>
        <v>-50.883267199999977</v>
      </c>
      <c r="AF219" s="5">
        <f t="shared" si="110"/>
        <v>-51.858059000000026</v>
      </c>
      <c r="AG219" s="5">
        <f t="shared" si="110"/>
        <v>-52.827502900000013</v>
      </c>
      <c r="AH219" s="5">
        <f t="shared" si="110"/>
        <v>-53.784463999999957</v>
      </c>
      <c r="AI219" s="5">
        <f t="shared" si="110"/>
        <v>-54.731012299999975</v>
      </c>
      <c r="AJ219" s="5">
        <f t="shared" si="110"/>
        <v>-55.668332999999961</v>
      </c>
      <c r="AK219" s="5">
        <f t="shared" si="110"/>
        <v>-56.59676909999996</v>
      </c>
      <c r="AL219" s="5">
        <f t="shared" si="110"/>
        <v>-57.516157200000066</v>
      </c>
      <c r="AM219" s="5">
        <f t="shared" ref="AM219:BC219" si="111">AM195-AM207</f>
        <v>-58.351713899999936</v>
      </c>
      <c r="AN219" s="5">
        <f t="shared" si="111"/>
        <v>-59.127725899999973</v>
      </c>
      <c r="AO219" s="5">
        <f t="shared" si="111"/>
        <v>-59.863889400000062</v>
      </c>
      <c r="AP219" s="5">
        <f t="shared" si="111"/>
        <v>-60.573890399999982</v>
      </c>
      <c r="AQ219" s="5">
        <f t="shared" si="111"/>
        <v>-61.267089700000042</v>
      </c>
      <c r="AR219" s="5">
        <f t="shared" si="111"/>
        <v>-61.940895399999931</v>
      </c>
      <c r="AS219" s="5">
        <f t="shared" si="111"/>
        <v>-62.602960300000063</v>
      </c>
      <c r="AT219" s="5">
        <f t="shared" si="111"/>
        <v>-63.258909000000017</v>
      </c>
      <c r="AU219" s="5">
        <f t="shared" si="111"/>
        <v>-63.912487299999952</v>
      </c>
      <c r="AV219" s="5">
        <f t="shared" si="111"/>
        <v>-64.566046000000028</v>
      </c>
      <c r="AW219" s="5">
        <f t="shared" si="111"/>
        <v>-65.19330930000001</v>
      </c>
      <c r="AX219" s="5">
        <f t="shared" si="111"/>
        <v>-65.804830100000004</v>
      </c>
      <c r="AY219" s="5">
        <f t="shared" si="111"/>
        <v>-66.408847599999945</v>
      </c>
      <c r="AZ219" s="5">
        <f t="shared" si="111"/>
        <v>-67.010409199999913</v>
      </c>
      <c r="BA219" s="5">
        <f t="shared" si="111"/>
        <v>-67.612264799999934</v>
      </c>
      <c r="BB219" s="5">
        <f t="shared" si="111"/>
        <v>-9.4779999999445863E-3</v>
      </c>
      <c r="BC219" s="5">
        <f t="shared" si="111"/>
        <v>-2.0267799999942326E-2</v>
      </c>
      <c r="BD219" s="5">
        <f t="shared" ref="BD219:BF219" si="112">BD195-BD207</f>
        <v>-3.0122600000026978E-2</v>
      </c>
      <c r="BE219" s="5">
        <f t="shared" si="112"/>
        <v>-3.8734399999952984E-2</v>
      </c>
      <c r="BF219" s="5">
        <f t="shared" si="112"/>
        <v>-4.615200000000641E-2</v>
      </c>
    </row>
    <row r="220" spans="1:58" x14ac:dyDescent="0.35">
      <c r="B220" t="s">
        <v>10</v>
      </c>
      <c r="C220" s="5">
        <f t="shared" ref="C220:AL220" si="113">C196-C208</f>
        <v>-172.57153000000108</v>
      </c>
      <c r="D220" s="5">
        <f t="shared" si="113"/>
        <v>-323.00331000000006</v>
      </c>
      <c r="E220" s="5">
        <f t="shared" si="113"/>
        <v>-440.62170999999944</v>
      </c>
      <c r="F220" s="5">
        <f t="shared" si="113"/>
        <v>-529.57457000000068</v>
      </c>
      <c r="G220" s="5">
        <f t="shared" si="113"/>
        <v>-595.87241999999969</v>
      </c>
      <c r="H220" s="5">
        <f t="shared" si="113"/>
        <v>-644.77523000000292</v>
      </c>
      <c r="I220" s="5">
        <f t="shared" si="113"/>
        <v>-680.60421999999744</v>
      </c>
      <c r="J220" s="5">
        <f t="shared" si="113"/>
        <v>-706.81165999999939</v>
      </c>
      <c r="K220" s="5">
        <f t="shared" si="113"/>
        <v>-726.17266999999993</v>
      </c>
      <c r="L220" s="5">
        <f t="shared" si="113"/>
        <v>-740.90446000000156</v>
      </c>
      <c r="M220" s="5">
        <f t="shared" si="113"/>
        <v>-753.13619000000108</v>
      </c>
      <c r="N220" s="5">
        <f t="shared" si="113"/>
        <v>-764.39852999999857</v>
      </c>
      <c r="O220" s="5">
        <f t="shared" si="113"/>
        <v>-775.44100999999864</v>
      </c>
      <c r="P220" s="5">
        <f t="shared" si="113"/>
        <v>-786.71581000000151</v>
      </c>
      <c r="Q220" s="5">
        <f t="shared" si="113"/>
        <v>-798.48167000000103</v>
      </c>
      <c r="R220" s="5">
        <f t="shared" si="113"/>
        <v>-810.86767999999938</v>
      </c>
      <c r="S220" s="5">
        <f t="shared" si="113"/>
        <v>-824.51906999999846</v>
      </c>
      <c r="T220" s="5">
        <f t="shared" si="113"/>
        <v>-839.29890000000159</v>
      </c>
      <c r="U220" s="5">
        <f t="shared" si="113"/>
        <v>-855.0277700000006</v>
      </c>
      <c r="V220" s="5">
        <f t="shared" si="113"/>
        <v>-871.5463099999979</v>
      </c>
      <c r="W220" s="5">
        <f t="shared" si="113"/>
        <v>-888.42146000000139</v>
      </c>
      <c r="X220" s="5">
        <f t="shared" si="113"/>
        <v>-905.84297000000151</v>
      </c>
      <c r="Y220" s="5">
        <f t="shared" si="113"/>
        <v>-923.7568199999987</v>
      </c>
      <c r="Z220" s="5">
        <f t="shared" si="113"/>
        <v>-942.10167999999976</v>
      </c>
      <c r="AA220" s="5">
        <f t="shared" si="113"/>
        <v>-960.81575000000157</v>
      </c>
      <c r="AB220" s="5">
        <f t="shared" si="113"/>
        <v>-978.91418999999951</v>
      </c>
      <c r="AC220" s="5">
        <f t="shared" si="113"/>
        <v>-996.61099000000104</v>
      </c>
      <c r="AD220" s="5">
        <f t="shared" si="113"/>
        <v>-1013.9947700000012</v>
      </c>
      <c r="AE220" s="5">
        <f t="shared" si="113"/>
        <v>-1031.1389600000002</v>
      </c>
      <c r="AF220" s="5">
        <f t="shared" si="113"/>
        <v>-1048.0991199999989</v>
      </c>
      <c r="AG220" s="5">
        <f t="shared" si="113"/>
        <v>-1064.9102999999996</v>
      </c>
      <c r="AH220" s="5">
        <f t="shared" si="113"/>
        <v>-1081.4758900000015</v>
      </c>
      <c r="AI220" s="5">
        <f t="shared" si="113"/>
        <v>-1097.8197300000029</v>
      </c>
      <c r="AJ220" s="5">
        <f t="shared" si="113"/>
        <v>-1113.9581900000012</v>
      </c>
      <c r="AK220" s="5">
        <f t="shared" si="113"/>
        <v>-1129.8960200000001</v>
      </c>
      <c r="AL220" s="5">
        <f t="shared" si="113"/>
        <v>-1145.6300599999995</v>
      </c>
      <c r="AM220" s="5">
        <f t="shared" ref="AM220:BC220" si="114">AM196-AM208</f>
        <v>-1159.9874500000005</v>
      </c>
      <c r="AN220" s="5">
        <f t="shared" si="114"/>
        <v>-1173.1790000000001</v>
      </c>
      <c r="AO220" s="5">
        <f t="shared" si="114"/>
        <v>-1185.4695900000006</v>
      </c>
      <c r="AP220" s="5">
        <f t="shared" si="114"/>
        <v>-1197.0890399999989</v>
      </c>
      <c r="AQ220" s="5">
        <f t="shared" si="114"/>
        <v>-1208.2254600000015</v>
      </c>
      <c r="AR220" s="5">
        <f t="shared" si="114"/>
        <v>-1218.8895400000001</v>
      </c>
      <c r="AS220" s="5">
        <f t="shared" si="114"/>
        <v>-1229.2295400000003</v>
      </c>
      <c r="AT220" s="5">
        <f t="shared" si="114"/>
        <v>-1239.3708700000025</v>
      </c>
      <c r="AU220" s="5">
        <f t="shared" si="114"/>
        <v>-1249.408660000001</v>
      </c>
      <c r="AV220" s="5">
        <f t="shared" si="114"/>
        <v>-1259.4122699999971</v>
      </c>
      <c r="AW220" s="5">
        <f t="shared" si="114"/>
        <v>-1269.0060299999968</v>
      </c>
      <c r="AX220" s="5">
        <f t="shared" si="114"/>
        <v>-1278.324270000001</v>
      </c>
      <c r="AY220" s="5">
        <f t="shared" si="114"/>
        <v>-1287.5050600000031</v>
      </c>
      <c r="AZ220" s="5">
        <f t="shared" si="114"/>
        <v>-1296.6407599999984</v>
      </c>
      <c r="BA220" s="5">
        <f t="shared" si="114"/>
        <v>-1305.7873200000031</v>
      </c>
      <c r="BB220" s="5">
        <f t="shared" si="114"/>
        <v>36.307130000001052</v>
      </c>
      <c r="BC220" s="5">
        <f t="shared" si="114"/>
        <v>37.62279000000126</v>
      </c>
      <c r="BD220" s="5">
        <f t="shared" ref="BD220:BF220" si="115">BD196-BD208</f>
        <v>38.963700000000244</v>
      </c>
      <c r="BE220" s="5">
        <f t="shared" si="115"/>
        <v>40.337459999998828</v>
      </c>
      <c r="BF220" s="5">
        <f t="shared" si="115"/>
        <v>41.742719999998371</v>
      </c>
    </row>
    <row r="221" spans="1:58" x14ac:dyDescent="0.35">
      <c r="B221" t="s">
        <v>31</v>
      </c>
      <c r="C221" s="5">
        <f>C197-C209</f>
        <v>-0.16741951530000065</v>
      </c>
      <c r="D221" s="5">
        <f t="shared" ref="D221:AL221" si="116">D197-D209</f>
        <v>-0.28542579419999647</v>
      </c>
      <c r="E221" s="5">
        <f t="shared" si="116"/>
        <v>-0.3638441623999995</v>
      </c>
      <c r="F221" s="5">
        <f t="shared" si="116"/>
        <v>-0.41744629170000103</v>
      </c>
      <c r="G221" s="5">
        <f t="shared" si="116"/>
        <v>-0.45591743900000026</v>
      </c>
      <c r="H221" s="5">
        <f t="shared" si="116"/>
        <v>-0.48554102770000007</v>
      </c>
      <c r="I221" s="5">
        <f t="shared" si="116"/>
        <v>-0.5096060358999992</v>
      </c>
      <c r="J221" s="5">
        <f t="shared" si="116"/>
        <v>-0.52997300380000212</v>
      </c>
      <c r="K221" s="5">
        <f t="shared" si="116"/>
        <v>-0.54779042230000385</v>
      </c>
      <c r="L221" s="5">
        <f t="shared" si="116"/>
        <v>-0.56382586289999992</v>
      </c>
      <c r="M221" s="5">
        <f t="shared" si="116"/>
        <v>-0.57904447419999805</v>
      </c>
      <c r="N221" s="5">
        <f t="shared" si="116"/>
        <v>-0.5939444925999986</v>
      </c>
      <c r="O221" s="5">
        <f t="shared" si="116"/>
        <v>-0.60862143050000128</v>
      </c>
      <c r="P221" s="5">
        <f t="shared" si="116"/>
        <v>-0.62316121589999973</v>
      </c>
      <c r="Q221" s="5">
        <f t="shared" si="116"/>
        <v>-0.6376519444999964</v>
      </c>
      <c r="R221" s="5">
        <f t="shared" si="116"/>
        <v>-0.65217655580000056</v>
      </c>
      <c r="S221" s="5">
        <f t="shared" si="116"/>
        <v>-0.66738249090000146</v>
      </c>
      <c r="T221" s="5">
        <f t="shared" si="116"/>
        <v>-0.68308383019999575</v>
      </c>
      <c r="U221" s="5">
        <f t="shared" si="116"/>
        <v>-0.69913004170000015</v>
      </c>
      <c r="V221" s="5">
        <f t="shared" si="116"/>
        <v>-0.71542534209999786</v>
      </c>
      <c r="W221" s="5">
        <f t="shared" si="116"/>
        <v>-0.73156450880000357</v>
      </c>
      <c r="X221" s="5">
        <f t="shared" si="116"/>
        <v>-0.74793609139999795</v>
      </c>
      <c r="Y221" s="5">
        <f t="shared" si="116"/>
        <v>-0.76449570359999974</v>
      </c>
      <c r="Z221" s="5">
        <f t="shared" si="116"/>
        <v>-0.78119489980000267</v>
      </c>
      <c r="AA221" s="5">
        <f t="shared" si="116"/>
        <v>-0.797995868000001</v>
      </c>
      <c r="AB221" s="5">
        <f t="shared" si="116"/>
        <v>-0.81382116079999989</v>
      </c>
      <c r="AC221" s="5">
        <f t="shared" si="116"/>
        <v>-0.82926533789999901</v>
      </c>
      <c r="AD221" s="5">
        <f t="shared" si="116"/>
        <v>-0.84447718400000049</v>
      </c>
      <c r="AE221" s="5">
        <f t="shared" si="116"/>
        <v>-0.85953190739999918</v>
      </c>
      <c r="AF221" s="5">
        <f t="shared" si="116"/>
        <v>-0.87446650100000056</v>
      </c>
      <c r="AG221" s="5">
        <f t="shared" si="116"/>
        <v>-0.88929699409999863</v>
      </c>
      <c r="AH221" s="5">
        <f t="shared" si="116"/>
        <v>-0.90391936890000224</v>
      </c>
      <c r="AI221" s="5">
        <f t="shared" si="116"/>
        <v>-0.91837501909999908</v>
      </c>
      <c r="AJ221" s="5">
        <f t="shared" si="116"/>
        <v>-0.93269272260000058</v>
      </c>
      <c r="AK221" s="5">
        <f t="shared" si="116"/>
        <v>-0.94688747979999732</v>
      </c>
      <c r="AL221" s="5">
        <f t="shared" si="116"/>
        <v>-0.96096595919999928</v>
      </c>
      <c r="AM221" s="5">
        <f t="shared" ref="AM221:BC221" si="117">AM197-AM209</f>
        <v>-0.97376153620000139</v>
      </c>
      <c r="AN221" s="5">
        <f t="shared" si="117"/>
        <v>-0.98569985540000005</v>
      </c>
      <c r="AO221" s="5">
        <f t="shared" si="117"/>
        <v>-0.99711057160000038</v>
      </c>
      <c r="AP221" s="5">
        <f t="shared" si="117"/>
        <v>-1.0081988066000012</v>
      </c>
      <c r="AQ221" s="5">
        <f t="shared" si="117"/>
        <v>-1.0190890575999969</v>
      </c>
      <c r="AR221" s="5">
        <f t="shared" si="117"/>
        <v>-1.0297226391000009</v>
      </c>
      <c r="AS221" s="5">
        <f t="shared" si="117"/>
        <v>-1.0402013752999988</v>
      </c>
      <c r="AT221" s="5">
        <f t="shared" si="117"/>
        <v>-1.0505993382999961</v>
      </c>
      <c r="AU221" s="5">
        <f t="shared" si="117"/>
        <v>-1.0609646472000005</v>
      </c>
      <c r="AV221" s="5">
        <f t="shared" si="117"/>
        <v>-1.0713242640000011</v>
      </c>
      <c r="AW221" s="5">
        <f t="shared" si="117"/>
        <v>-1.0812639389999994</v>
      </c>
      <c r="AX221" s="5">
        <f t="shared" si="117"/>
        <v>-1.0909192148000013</v>
      </c>
      <c r="AY221" s="5">
        <f t="shared" si="117"/>
        <v>-1.1003702379000018</v>
      </c>
      <c r="AZ221" s="5">
        <f t="shared" si="117"/>
        <v>-1.1097436947999988</v>
      </c>
      <c r="BA221" s="5">
        <f t="shared" si="117"/>
        <v>-1.1191687537000021</v>
      </c>
      <c r="BB221" s="5">
        <f t="shared" si="117"/>
        <v>1.7359366700000933E-2</v>
      </c>
      <c r="BC221" s="5">
        <f t="shared" si="117"/>
        <v>1.8674377900001815E-2</v>
      </c>
      <c r="BD221" s="5">
        <f t="shared" ref="BD221:BF221" si="118">BD197-BD209</f>
        <v>2.0024306199999842E-2</v>
      </c>
      <c r="BE221" s="5">
        <f t="shared" si="118"/>
        <v>2.1408881100001054E-2</v>
      </c>
      <c r="BF221" s="5">
        <f t="shared" si="118"/>
        <v>2.2827946200001392E-2</v>
      </c>
    </row>
    <row r="222" spans="1:58" x14ac:dyDescent="0.35">
      <c r="B222" t="s">
        <v>36</v>
      </c>
      <c r="C222" s="5">
        <f>C198-C210</f>
        <v>-0.10616634470000008</v>
      </c>
      <c r="D222" s="5">
        <f t="shared" ref="D222:AL222" si="119">D198-D210</f>
        <v>-0.1795314058000006</v>
      </c>
      <c r="E222" s="5">
        <f t="shared" si="119"/>
        <v>-0.2293724976</v>
      </c>
      <c r="F222" s="5">
        <f t="shared" si="119"/>
        <v>-0.2651193683000006</v>
      </c>
      <c r="G222" s="5">
        <f t="shared" si="119"/>
        <v>-0.29253872100000056</v>
      </c>
      <c r="H222" s="5">
        <f t="shared" si="119"/>
        <v>-0.3148852622999998</v>
      </c>
      <c r="I222" s="5">
        <f t="shared" si="119"/>
        <v>-0.33385185410000062</v>
      </c>
      <c r="J222" s="5">
        <f t="shared" si="119"/>
        <v>-0.35038802620000009</v>
      </c>
      <c r="K222" s="5">
        <f t="shared" si="119"/>
        <v>-0.36508070769999978</v>
      </c>
      <c r="L222" s="5">
        <f t="shared" si="119"/>
        <v>-0.37833724710000016</v>
      </c>
      <c r="M222" s="5">
        <f t="shared" si="119"/>
        <v>-0.39074065580000017</v>
      </c>
      <c r="N222" s="5">
        <f t="shared" si="119"/>
        <v>-0.40259096740000011</v>
      </c>
      <c r="O222" s="5">
        <f t="shared" si="119"/>
        <v>-0.41396337950000017</v>
      </c>
      <c r="P222" s="5">
        <f t="shared" si="119"/>
        <v>-0.42494142410000002</v>
      </c>
      <c r="Q222" s="5">
        <f t="shared" si="119"/>
        <v>-0.43561119550000083</v>
      </c>
      <c r="R222" s="5">
        <f t="shared" si="119"/>
        <v>-0.44605162419999989</v>
      </c>
      <c r="S222" s="5">
        <f t="shared" si="119"/>
        <v>-0.45670152909999917</v>
      </c>
      <c r="T222" s="5">
        <f t="shared" si="119"/>
        <v>-0.4674674798000007</v>
      </c>
      <c r="U222" s="5">
        <f t="shared" si="119"/>
        <v>-0.47828784830000082</v>
      </c>
      <c r="V222" s="5">
        <f t="shared" si="119"/>
        <v>-0.48913328790000055</v>
      </c>
      <c r="W222" s="5">
        <f t="shared" si="119"/>
        <v>-0.49976660120000016</v>
      </c>
      <c r="X222" s="5">
        <f t="shared" si="119"/>
        <v>-0.51047159859999969</v>
      </c>
      <c r="Y222" s="5">
        <f t="shared" si="119"/>
        <v>-0.52123467640000065</v>
      </c>
      <c r="Z222" s="5">
        <f t="shared" si="119"/>
        <v>-0.53204210019999909</v>
      </c>
      <c r="AA222" s="5">
        <f t="shared" si="119"/>
        <v>-0.54288540199999957</v>
      </c>
      <c r="AB222" s="5">
        <f t="shared" si="119"/>
        <v>-0.55307285920000027</v>
      </c>
      <c r="AC222" s="5">
        <f t="shared" si="119"/>
        <v>-0.56302127209999941</v>
      </c>
      <c r="AD222" s="5">
        <f t="shared" si="119"/>
        <v>-0.57282483599999967</v>
      </c>
      <c r="AE222" s="5">
        <f t="shared" si="119"/>
        <v>-0.58253220260000038</v>
      </c>
      <c r="AF222" s="5">
        <f t="shared" si="119"/>
        <v>-0.59216927900000016</v>
      </c>
      <c r="AG222" s="5">
        <f t="shared" si="119"/>
        <v>-0.60174995589999991</v>
      </c>
      <c r="AH222" s="5">
        <f t="shared" si="119"/>
        <v>-0.61121179110000146</v>
      </c>
      <c r="AI222" s="5">
        <f t="shared" si="119"/>
        <v>-0.62058516090000015</v>
      </c>
      <c r="AJ222" s="5">
        <f t="shared" si="119"/>
        <v>-0.62989018740000002</v>
      </c>
      <c r="AK222" s="5">
        <f t="shared" si="119"/>
        <v>-0.6391380501999997</v>
      </c>
      <c r="AL222" s="5">
        <f t="shared" si="119"/>
        <v>-0.64833459079999933</v>
      </c>
      <c r="AM222" s="5">
        <f t="shared" ref="AM222:BC222" si="120">AM198-AM210</f>
        <v>-0.65673476380000029</v>
      </c>
      <c r="AN222" s="5">
        <f t="shared" si="120"/>
        <v>-0.66462041459999988</v>
      </c>
      <c r="AO222" s="5">
        <f t="shared" si="120"/>
        <v>-0.67219311839999918</v>
      </c>
      <c r="AP222" s="5">
        <f t="shared" si="120"/>
        <v>-0.67957726340000058</v>
      </c>
      <c r="AQ222" s="5">
        <f t="shared" si="120"/>
        <v>-0.68684975239999968</v>
      </c>
      <c r="AR222" s="5">
        <f t="shared" si="120"/>
        <v>-0.69397392090000043</v>
      </c>
      <c r="AS222" s="5">
        <f t="shared" si="120"/>
        <v>-0.70101802469999974</v>
      </c>
      <c r="AT222" s="5">
        <f t="shared" si="120"/>
        <v>-0.70803195170000066</v>
      </c>
      <c r="AU222" s="5">
        <f t="shared" si="120"/>
        <v>-0.7150507128000001</v>
      </c>
      <c r="AV222" s="5">
        <f t="shared" si="120"/>
        <v>-0.72209927599999979</v>
      </c>
      <c r="AW222" s="5">
        <f t="shared" si="120"/>
        <v>-0.7289334709999995</v>
      </c>
      <c r="AX222" s="5">
        <f t="shared" si="120"/>
        <v>-0.73566005520000033</v>
      </c>
      <c r="AY222" s="5">
        <f t="shared" si="120"/>
        <v>-0.74234990209999907</v>
      </c>
      <c r="AZ222" s="5">
        <f t="shared" si="120"/>
        <v>-0.74906628519999963</v>
      </c>
      <c r="BA222" s="5">
        <f t="shared" si="120"/>
        <v>-0.75586212629999938</v>
      </c>
      <c r="BB222" s="5">
        <f t="shared" si="120"/>
        <v>2.7924103299999281E-2</v>
      </c>
      <c r="BC222" s="5">
        <f t="shared" si="120"/>
        <v>2.9139782099999678E-2</v>
      </c>
      <c r="BD222" s="5">
        <f t="shared" ref="BD222:BF222" si="121">BD198-BD210</f>
        <v>3.0374093799999891E-2</v>
      </c>
      <c r="BE222" s="5">
        <f t="shared" si="121"/>
        <v>3.1631748899999756E-2</v>
      </c>
      <c r="BF222" s="5">
        <f t="shared" si="121"/>
        <v>3.2915973799999776E-2</v>
      </c>
    </row>
    <row r="223" spans="1:58" x14ac:dyDescent="0.35">
      <c r="B223" t="s">
        <v>11</v>
      </c>
      <c r="C223" s="5">
        <f>C199-C211</f>
        <v>-0.78190012999999681</v>
      </c>
      <c r="D223" s="5">
        <f t="shared" ref="D223:AL223" si="122">D199-D211</f>
        <v>-1.4241704300000038</v>
      </c>
      <c r="E223" s="5">
        <f t="shared" si="122"/>
        <v>-1.8746290700000117</v>
      </c>
      <c r="F223" s="5">
        <f t="shared" si="122"/>
        <v>-2.1691125899999975</v>
      </c>
      <c r="G223" s="5">
        <f t="shared" si="122"/>
        <v>-2.3445864199999988</v>
      </c>
      <c r="H223" s="5">
        <f t="shared" si="122"/>
        <v>-2.4388010800000046</v>
      </c>
      <c r="I223" s="5">
        <f t="shared" si="122"/>
        <v>-2.4740601099999964</v>
      </c>
      <c r="J223" s="5">
        <f t="shared" si="122"/>
        <v>-2.4712530299999997</v>
      </c>
      <c r="K223" s="5">
        <f t="shared" si="122"/>
        <v>-2.4458057599999989</v>
      </c>
      <c r="L223" s="5">
        <f t="shared" si="122"/>
        <v>-2.4085477600000047</v>
      </c>
      <c r="M223" s="5">
        <f t="shared" si="122"/>
        <v>-2.3689504899999889</v>
      </c>
      <c r="N223" s="5">
        <f t="shared" si="122"/>
        <v>-2.3334658800000057</v>
      </c>
      <c r="O223" s="5">
        <f t="shared" si="122"/>
        <v>-2.304859460000003</v>
      </c>
      <c r="P223" s="5">
        <f t="shared" si="122"/>
        <v>-2.2846252000000078</v>
      </c>
      <c r="Q223" s="5">
        <f t="shared" si="122"/>
        <v>-2.2735084899999976</v>
      </c>
      <c r="R223" s="5">
        <f t="shared" si="122"/>
        <v>-2.2717437699999863</v>
      </c>
      <c r="S223" s="5">
        <f t="shared" si="122"/>
        <v>-2.2819959899999986</v>
      </c>
      <c r="T223" s="5">
        <f t="shared" si="122"/>
        <v>-2.3031200199999944</v>
      </c>
      <c r="U223" s="5">
        <f t="shared" si="122"/>
        <v>-2.3337014999999894</v>
      </c>
      <c r="V223" s="5">
        <f t="shared" si="122"/>
        <v>-2.3724358099999989</v>
      </c>
      <c r="W223" s="5">
        <f t="shared" si="122"/>
        <v>-2.4169901300000021</v>
      </c>
      <c r="X223" s="5">
        <f t="shared" si="122"/>
        <v>-2.4675868300000019</v>
      </c>
      <c r="Y223" s="5">
        <f t="shared" si="122"/>
        <v>-2.5233207400000026</v>
      </c>
      <c r="Z223" s="5">
        <f t="shared" si="122"/>
        <v>-2.583274540000005</v>
      </c>
      <c r="AA223" s="5">
        <f t="shared" si="122"/>
        <v>-2.6466160299999899</v>
      </c>
      <c r="AB223" s="5">
        <f t="shared" si="122"/>
        <v>-2.708993520000007</v>
      </c>
      <c r="AC223" s="5">
        <f t="shared" si="122"/>
        <v>-2.7710973800000005</v>
      </c>
      <c r="AD223" s="5">
        <f t="shared" si="122"/>
        <v>-2.8330432199999933</v>
      </c>
      <c r="AE223" s="5">
        <f t="shared" si="122"/>
        <v>-2.894789149999994</v>
      </c>
      <c r="AF223" s="5">
        <f t="shared" si="122"/>
        <v>-2.9562336099999982</v>
      </c>
      <c r="AG223" s="5">
        <f t="shared" si="122"/>
        <v>-3.0172709100000077</v>
      </c>
      <c r="AH223" s="5">
        <f t="shared" si="122"/>
        <v>-3.0772587600000065</v>
      </c>
      <c r="AI223" s="5">
        <f t="shared" si="122"/>
        <v>-3.1361947500000014</v>
      </c>
      <c r="AJ223" s="5">
        <f t="shared" si="122"/>
        <v>-3.1940844899999945</v>
      </c>
      <c r="AK223" s="5">
        <f t="shared" si="122"/>
        <v>-3.2508940700000011</v>
      </c>
      <c r="AL223" s="5">
        <f t="shared" si="122"/>
        <v>-3.3065737299999967</v>
      </c>
      <c r="AM223" s="5">
        <f t="shared" ref="AM223:BC223" si="123">AM199-AM211</f>
        <v>-3.355840409999999</v>
      </c>
      <c r="AN223" s="5">
        <f t="shared" si="123"/>
        <v>-3.3999945900000057</v>
      </c>
      <c r="AO223" s="5">
        <f t="shared" si="123"/>
        <v>-3.4405344000000042</v>
      </c>
      <c r="AP223" s="5">
        <f t="shared" si="123"/>
        <v>-3.478584810000001</v>
      </c>
      <c r="AQ223" s="5">
        <f t="shared" si="123"/>
        <v>-3.514948369999999</v>
      </c>
      <c r="AR223" s="5">
        <f t="shared" si="123"/>
        <v>-3.5495511000000022</v>
      </c>
      <c r="AS223" s="5">
        <f t="shared" si="123"/>
        <v>-3.582971790000002</v>
      </c>
      <c r="AT223" s="5">
        <f t="shared" si="123"/>
        <v>-3.6156883499999992</v>
      </c>
      <c r="AU223" s="5">
        <f t="shared" si="123"/>
        <v>-3.6480503000000084</v>
      </c>
      <c r="AV223" s="5">
        <f t="shared" si="123"/>
        <v>-3.6802322199999935</v>
      </c>
      <c r="AW223" s="5">
        <f t="shared" si="123"/>
        <v>-3.7100235099999992</v>
      </c>
      <c r="AX223" s="5">
        <f t="shared" si="123"/>
        <v>-3.7362227800000056</v>
      </c>
      <c r="AY223" s="5">
        <f t="shared" si="123"/>
        <v>-3.7579646100000019</v>
      </c>
      <c r="AZ223" s="5">
        <f t="shared" si="123"/>
        <v>-3.7761536599999914</v>
      </c>
      <c r="BA223" s="5">
        <f t="shared" si="123"/>
        <v>-3.7924481099999952</v>
      </c>
      <c r="BB223" s="5">
        <f t="shared" si="123"/>
        <v>-1.2340731399999925</v>
      </c>
      <c r="BC223" s="5">
        <f t="shared" si="123"/>
        <v>-1.2525495099999944</v>
      </c>
      <c r="BD223" s="5">
        <f t="shared" ref="BD223:BF223" si="124">BD199-BD211</f>
        <v>-1.2698560799999967</v>
      </c>
      <c r="BE223" s="5">
        <f t="shared" si="124"/>
        <v>-1.2862876399999976</v>
      </c>
      <c r="BF223" s="5">
        <f t="shared" si="124"/>
        <v>-1.302085610000006</v>
      </c>
    </row>
    <row r="225" spans="1:58" x14ac:dyDescent="0.35">
      <c r="A225" s="12" t="s">
        <v>86</v>
      </c>
      <c r="B225" t="s">
        <v>14</v>
      </c>
      <c r="C225" s="7" t="s">
        <v>15</v>
      </c>
      <c r="D225" s="7" t="s">
        <v>16</v>
      </c>
      <c r="E225" s="7" t="s">
        <v>17</v>
      </c>
    </row>
    <row r="226" spans="1:58" x14ac:dyDescent="0.35">
      <c r="A226" t="s">
        <v>87</v>
      </c>
      <c r="B226" t="s">
        <v>27</v>
      </c>
      <c r="C226" s="6">
        <f t="shared" ref="C226:C232" si="125">R216</f>
        <v>-1169.4366200000004</v>
      </c>
      <c r="D226" s="6">
        <f t="shared" ref="D226:D232" si="126">AB216</f>
        <v>-1450.9767700000011</v>
      </c>
      <c r="E226" s="6">
        <f>AL216</f>
        <v>-1710.5369400000018</v>
      </c>
    </row>
    <row r="227" spans="1:58" x14ac:dyDescent="0.35">
      <c r="B227" t="s">
        <v>7</v>
      </c>
      <c r="C227" s="6">
        <f t="shared" si="125"/>
        <v>-41.11131290000003</v>
      </c>
      <c r="D227" s="6">
        <f t="shared" si="126"/>
        <v>-49.055606800000078</v>
      </c>
      <c r="E227" s="6">
        <f t="shared" ref="E227:E231" si="127">AL217</f>
        <v>-57.620760700000005</v>
      </c>
    </row>
    <row r="228" spans="1:58" x14ac:dyDescent="0.35">
      <c r="B228" t="s">
        <v>30</v>
      </c>
      <c r="C228" s="6">
        <f t="shared" si="125"/>
        <v>-275.58768599999985</v>
      </c>
      <c r="D228" s="6">
        <f t="shared" si="126"/>
        <v>-371.02047099999982</v>
      </c>
      <c r="E228" s="6">
        <f t="shared" si="127"/>
        <v>-444.85409199999958</v>
      </c>
    </row>
    <row r="229" spans="1:58" x14ac:dyDescent="0.35">
      <c r="B229" t="s">
        <v>28</v>
      </c>
      <c r="C229" s="6">
        <f t="shared" si="125"/>
        <v>-38.499969699999951</v>
      </c>
      <c r="D229" s="6">
        <f t="shared" si="126"/>
        <v>-47.91061030000003</v>
      </c>
      <c r="E229" s="6">
        <f t="shared" si="127"/>
        <v>-57.516157200000066</v>
      </c>
    </row>
    <row r="230" spans="1:58" x14ac:dyDescent="0.35">
      <c r="B230" t="s">
        <v>10</v>
      </c>
      <c r="C230" s="6">
        <f t="shared" si="125"/>
        <v>-810.86767999999938</v>
      </c>
      <c r="D230" s="6">
        <f t="shared" si="126"/>
        <v>-978.91418999999951</v>
      </c>
      <c r="E230" s="6">
        <f t="shared" si="127"/>
        <v>-1145.6300599999995</v>
      </c>
    </row>
    <row r="231" spans="1:58" x14ac:dyDescent="0.35">
      <c r="B231" t="s">
        <v>29</v>
      </c>
      <c r="C231" s="1">
        <f t="shared" si="125"/>
        <v>-0.65217655580000056</v>
      </c>
      <c r="D231" s="1">
        <f t="shared" si="126"/>
        <v>-0.81382116079999989</v>
      </c>
      <c r="E231" s="1">
        <f t="shared" si="127"/>
        <v>-0.96096595919999928</v>
      </c>
    </row>
    <row r="232" spans="1:58" x14ac:dyDescent="0.35">
      <c r="B232" t="s">
        <v>32</v>
      </c>
      <c r="C232" s="1">
        <f t="shared" si="125"/>
        <v>-0.44605162419999989</v>
      </c>
      <c r="D232" s="1">
        <f t="shared" si="126"/>
        <v>-0.55307285920000027</v>
      </c>
      <c r="E232" s="1">
        <f t="shared" ref="E232" si="128">AL222</f>
        <v>-0.64833459079999933</v>
      </c>
    </row>
    <row r="233" spans="1:58" x14ac:dyDescent="0.35">
      <c r="B233" t="s">
        <v>33</v>
      </c>
      <c r="C233" s="1">
        <f t="shared" ref="C233" si="129">R223</f>
        <v>-2.2717437699999863</v>
      </c>
      <c r="D233" s="1">
        <f t="shared" ref="D233" si="130">AB223</f>
        <v>-2.708993520000007</v>
      </c>
      <c r="E233" s="1">
        <f t="shared" ref="E233" si="131">AL223</f>
        <v>-3.3065737299999967</v>
      </c>
    </row>
    <row r="235" spans="1:58" x14ac:dyDescent="0.35">
      <c r="A235" s="12" t="s">
        <v>43</v>
      </c>
      <c r="B235" t="s">
        <v>26</v>
      </c>
      <c r="C235" s="5">
        <f>C236+C237+C238+C239</f>
        <v>95.668191359000005</v>
      </c>
      <c r="D235" s="5">
        <f t="shared" ref="D235:AL235" si="132">D236+D237+D238+D239</f>
        <v>95.930555822000002</v>
      </c>
      <c r="E235" s="5">
        <f t="shared" si="132"/>
        <v>96.584176130999992</v>
      </c>
      <c r="F235" s="5">
        <f t="shared" si="132"/>
        <v>97.458613607999993</v>
      </c>
      <c r="G235" s="5">
        <f t="shared" si="132"/>
        <v>98.52346404699999</v>
      </c>
      <c r="H235" s="5">
        <f t="shared" si="132"/>
        <v>99.757497013999995</v>
      </c>
      <c r="I235" s="5">
        <f t="shared" si="132"/>
        <v>101.072179093</v>
      </c>
      <c r="J235" s="5">
        <f t="shared" si="132"/>
        <v>102.47781726699999</v>
      </c>
      <c r="K235" s="5">
        <f t="shared" si="132"/>
        <v>103.960116977</v>
      </c>
      <c r="L235" s="5">
        <f t="shared" si="132"/>
        <v>105.50282060800001</v>
      </c>
      <c r="M235" s="5">
        <f t="shared" si="132"/>
        <v>107.19745503600001</v>
      </c>
      <c r="N235" s="5">
        <f t="shared" si="132"/>
        <v>108.85589166600001</v>
      </c>
      <c r="O235" s="5">
        <f t="shared" si="132"/>
        <v>110.52077871</v>
      </c>
      <c r="P235" s="5">
        <f t="shared" si="132"/>
        <v>112.19515113</v>
      </c>
      <c r="Q235" s="5">
        <f t="shared" si="132"/>
        <v>113.876511119</v>
      </c>
      <c r="R235" s="5">
        <f t="shared" si="132"/>
        <v>115.562748836</v>
      </c>
      <c r="S235" s="5">
        <f t="shared" si="132"/>
        <v>117.24284264400001</v>
      </c>
      <c r="T235" s="5">
        <f t="shared" si="132"/>
        <v>118.924161755</v>
      </c>
      <c r="U235" s="5">
        <f t="shared" si="132"/>
        <v>120.60916283</v>
      </c>
      <c r="V235" s="5">
        <f t="shared" si="132"/>
        <v>122.299960664</v>
      </c>
      <c r="W235" s="5">
        <f t="shared" si="132"/>
        <v>123.92097803199999</v>
      </c>
      <c r="X235" s="5">
        <f t="shared" si="132"/>
        <v>125.59770673200001</v>
      </c>
      <c r="Y235" s="5">
        <f t="shared" si="132"/>
        <v>127.29984367500001</v>
      </c>
      <c r="Z235" s="5">
        <f t="shared" si="132"/>
        <v>129.023718933</v>
      </c>
      <c r="AA235" s="5">
        <f t="shared" si="132"/>
        <v>130.770328648</v>
      </c>
      <c r="AB235" s="5">
        <f t="shared" si="132"/>
        <v>132.318021458</v>
      </c>
      <c r="AC235" s="5">
        <f t="shared" si="132"/>
        <v>133.918327269</v>
      </c>
      <c r="AD235" s="5">
        <f t="shared" si="132"/>
        <v>135.535396996</v>
      </c>
      <c r="AE235" s="5">
        <f t="shared" si="132"/>
        <v>137.16801714499999</v>
      </c>
      <c r="AF235" s="5">
        <f t="shared" si="132"/>
        <v>138.82047066199999</v>
      </c>
      <c r="AG235" s="5">
        <f t="shared" si="132"/>
        <v>140.49713706199998</v>
      </c>
      <c r="AH235" s="5">
        <f t="shared" si="132"/>
        <v>142.20376159</v>
      </c>
      <c r="AI235" s="5">
        <f t="shared" si="132"/>
        <v>143.94126790999997</v>
      </c>
      <c r="AJ235" s="5">
        <f t="shared" si="132"/>
        <v>145.71098142900001</v>
      </c>
      <c r="AK235" s="5">
        <f t="shared" si="132"/>
        <v>147.51373032800001</v>
      </c>
      <c r="AL235" s="5">
        <f t="shared" si="132"/>
        <v>149.34984386300002</v>
      </c>
      <c r="AM235" s="5">
        <f t="shared" ref="AM235:BC235" si="133">AM236+AM237+AM238+AM239</f>
        <v>151.18583545499999</v>
      </c>
      <c r="AN235" s="5">
        <f t="shared" si="133"/>
        <v>153.03723751400003</v>
      </c>
      <c r="AO235" s="5">
        <f t="shared" si="133"/>
        <v>154.90874556199998</v>
      </c>
      <c r="AP235" s="5">
        <f t="shared" si="133"/>
        <v>156.80262488299999</v>
      </c>
      <c r="AQ235" s="5">
        <f t="shared" si="133"/>
        <v>158.72044114799999</v>
      </c>
      <c r="AR235" s="5">
        <f t="shared" si="133"/>
        <v>160.66657096399999</v>
      </c>
      <c r="AS235" s="5">
        <f t="shared" si="133"/>
        <v>162.639691441</v>
      </c>
      <c r="AT235" s="5">
        <f t="shared" si="133"/>
        <v>164.63994966800001</v>
      </c>
      <c r="AU235" s="5">
        <f t="shared" si="133"/>
        <v>166.66752446000001</v>
      </c>
      <c r="AV235" s="5">
        <f t="shared" si="133"/>
        <v>168.72244708299999</v>
      </c>
      <c r="AW235" s="5">
        <f t="shared" si="133"/>
        <v>170.820193652</v>
      </c>
      <c r="AX235" s="5">
        <f t="shared" si="133"/>
        <v>172.95044932900001</v>
      </c>
      <c r="AY235" s="5">
        <f t="shared" si="133"/>
        <v>175.110788923</v>
      </c>
      <c r="AZ235" s="5">
        <f t="shared" si="133"/>
        <v>177.30014706900002</v>
      </c>
      <c r="BA235" s="5">
        <f t="shared" si="133"/>
        <v>179.51779002999999</v>
      </c>
      <c r="BB235" s="5">
        <f t="shared" si="133"/>
        <v>219.54593958000001</v>
      </c>
      <c r="BC235" s="5">
        <f t="shared" si="133"/>
        <v>223.20089697</v>
      </c>
      <c r="BD235" s="5">
        <f t="shared" ref="BD235:BF235" si="134">BD236+BD237+BD238+BD239</f>
        <v>226.91325506999999</v>
      </c>
      <c r="BE235" s="5">
        <f t="shared" si="134"/>
        <v>230.68433690999996</v>
      </c>
      <c r="BF235" s="5">
        <f t="shared" si="134"/>
        <v>234.51543447</v>
      </c>
    </row>
    <row r="236" spans="1:58" x14ac:dyDescent="0.35">
      <c r="A236" t="s">
        <v>39</v>
      </c>
      <c r="B236" t="s">
        <v>7</v>
      </c>
      <c r="C236" s="5">
        <f>[1]Results!F378</f>
        <v>4.7917902489999999</v>
      </c>
      <c r="D236" s="5">
        <f>[1]Results!G378</f>
        <v>4.7850285719999999</v>
      </c>
      <c r="E236" s="5">
        <f>[1]Results!H378</f>
        <v>4.7957778910000002</v>
      </c>
      <c r="F236" s="5">
        <f>[1]Results!I378</f>
        <v>4.8207997679999997</v>
      </c>
      <c r="G236" s="5">
        <f>[1]Results!J378</f>
        <v>4.8590954770000003</v>
      </c>
      <c r="H236" s="5">
        <f>[1]Results!K378</f>
        <v>4.909177594</v>
      </c>
      <c r="I236" s="5">
        <f>[1]Results!L378</f>
        <v>4.9664412530000002</v>
      </c>
      <c r="J236" s="5">
        <f>[1]Results!M378</f>
        <v>5.0302930870000004</v>
      </c>
      <c r="K236" s="5">
        <f>[1]Results!N378</f>
        <v>5.0995741270000003</v>
      </c>
      <c r="L236" s="5">
        <f>[1]Results!O378</f>
        <v>5.1731758680000004</v>
      </c>
      <c r="M236" s="5">
        <f>[1]Results!P378</f>
        <v>5.2548467959999998</v>
      </c>
      <c r="N236" s="5">
        <f>[1]Results!Q378</f>
        <v>5.3367056259999996</v>
      </c>
      <c r="O236" s="5">
        <f>[1]Results!R378</f>
        <v>5.4196421800000003</v>
      </c>
      <c r="P236" s="5">
        <f>[1]Results!S378</f>
        <v>5.5035397799999997</v>
      </c>
      <c r="Q236" s="5">
        <f>[1]Results!T378</f>
        <v>5.5881633989999999</v>
      </c>
      <c r="R236" s="5">
        <f>[1]Results!U378</f>
        <v>5.6733371559999997</v>
      </c>
      <c r="S236" s="5">
        <f>[1]Results!V378</f>
        <v>5.7585222939999996</v>
      </c>
      <c r="T236" s="5">
        <f>[1]Results!W378</f>
        <v>5.8439568550000001</v>
      </c>
      <c r="U236" s="5">
        <f>[1]Results!X378</f>
        <v>5.9297011900000003</v>
      </c>
      <c r="V236" s="5">
        <f>[1]Results!Y378</f>
        <v>6.0158090839999998</v>
      </c>
      <c r="W236" s="5">
        <f>[1]Results!Z378</f>
        <v>6.0988946320000004</v>
      </c>
      <c r="X236" s="5">
        <f>[1]Results!AA378</f>
        <v>6.1839602720000002</v>
      </c>
      <c r="Y236" s="5">
        <f>[1]Results!AB378</f>
        <v>6.2702119349999998</v>
      </c>
      <c r="Z236" s="5">
        <f>[1]Results!AC378</f>
        <v>6.3575275729999996</v>
      </c>
      <c r="AA236" s="5">
        <f>[1]Results!AD378</f>
        <v>6.4459247580000003</v>
      </c>
      <c r="AB236" s="5">
        <f>[1]Results!AE378</f>
        <v>6.525538128</v>
      </c>
      <c r="AC236" s="5">
        <f>[1]Results!AF378</f>
        <v>6.6059704190000001</v>
      </c>
      <c r="AD236" s="5">
        <f>[1]Results!AG378</f>
        <v>6.686581726</v>
      </c>
      <c r="AE236" s="5">
        <f>[1]Results!AH378</f>
        <v>6.7675671450000001</v>
      </c>
      <c r="AF236" s="5">
        <f>[1]Results!AI378</f>
        <v>6.8492577020000001</v>
      </c>
      <c r="AG236" s="5">
        <f>[1]Results!AJ378</f>
        <v>6.9319496120000004</v>
      </c>
      <c r="AH236" s="5">
        <f>[1]Results!AK378</f>
        <v>7.0159683199999998</v>
      </c>
      <c r="AI236" s="5">
        <f>[1]Results!AL378</f>
        <v>7.1014136099999998</v>
      </c>
      <c r="AJ236" s="5">
        <f>[1]Results!AM378</f>
        <v>7.1883790190000001</v>
      </c>
      <c r="AK236" s="5">
        <f>[1]Results!AN378</f>
        <v>7.276924288</v>
      </c>
      <c r="AL236" s="5">
        <f>[1]Results!AO378</f>
        <v>7.3670807329999999</v>
      </c>
      <c r="AM236" s="5">
        <f>[1]Results!AP378</f>
        <v>7.4573596950000001</v>
      </c>
      <c r="AN236" s="5">
        <f>[1]Results!AQ378</f>
        <v>7.5481774440000002</v>
      </c>
      <c r="AO236" s="5">
        <f>[1]Results!AR378</f>
        <v>7.639797562</v>
      </c>
      <c r="AP236" s="5">
        <f>[1]Results!AS378</f>
        <v>7.7324103129999999</v>
      </c>
      <c r="AQ236" s="5">
        <f>[1]Results!AT378</f>
        <v>7.8261683680000003</v>
      </c>
      <c r="AR236" s="5">
        <f>[1]Results!AU378</f>
        <v>7.9213324539999999</v>
      </c>
      <c r="AS236" s="5">
        <f>[1]Results!AV378</f>
        <v>8.0179108610000007</v>
      </c>
      <c r="AT236" s="5">
        <f>[1]Results!AW378</f>
        <v>8.1159519679999992</v>
      </c>
      <c r="AU236" s="5">
        <f>[1]Results!AX378</f>
        <v>8.2154913999999994</v>
      </c>
      <c r="AV236" s="5">
        <f>[1]Results!AY378</f>
        <v>8.3165479829999995</v>
      </c>
      <c r="AW236" s="5">
        <f>[1]Results!AZ378</f>
        <v>8.4198067919999993</v>
      </c>
      <c r="AX236" s="5">
        <f>[1]Results!BA378</f>
        <v>8.5248888590000007</v>
      </c>
      <c r="AY236" s="5">
        <f>[1]Results!BB378</f>
        <v>8.6316886529999994</v>
      </c>
      <c r="AZ236" s="5">
        <f>[1]Results!BC378</f>
        <v>8.7401479690000006</v>
      </c>
      <c r="BA236" s="5">
        <f>[1]Results!BD378</f>
        <v>8.8502201599999992</v>
      </c>
      <c r="BB236" s="5">
        <f>[1]Results!BE378</f>
        <v>10.89254086</v>
      </c>
      <c r="BC236" s="5">
        <f>[1]Results!BF378</f>
        <v>11.071818240000001</v>
      </c>
      <c r="BD236" s="5">
        <f>[1]Results!BG378</f>
        <v>11.25394421</v>
      </c>
      <c r="BE236" s="5">
        <f>[1]Results!BH378</f>
        <v>11.439009499999999</v>
      </c>
      <c r="BF236" s="5">
        <f>[1]Results!BI378</f>
        <v>11.62710313</v>
      </c>
    </row>
    <row r="237" spans="1:58" x14ac:dyDescent="0.35">
      <c r="B237" t="s">
        <v>8</v>
      </c>
      <c r="C237" s="5">
        <f>[1]Results!F390</f>
        <v>42.865370769999998</v>
      </c>
      <c r="D237" s="5">
        <f>[1]Results!G390</f>
        <v>42.936233510000001</v>
      </c>
      <c r="E237" s="5">
        <f>[1]Results!H390</f>
        <v>43.229639939999998</v>
      </c>
      <c r="F237" s="5">
        <f>[1]Results!I390</f>
        <v>43.632441929999999</v>
      </c>
      <c r="G237" s="5">
        <f>[1]Results!J390</f>
        <v>44.123765939999998</v>
      </c>
      <c r="H237" s="5">
        <f>[1]Results!K390</f>
        <v>44.691881520000003</v>
      </c>
      <c r="I237" s="5">
        <f>[1]Results!L390</f>
        <v>45.294380539999999</v>
      </c>
      <c r="J237" s="5">
        <f>[1]Results!M390</f>
        <v>45.937460399999999</v>
      </c>
      <c r="K237" s="5">
        <f>[1]Results!N390</f>
        <v>46.61447424</v>
      </c>
      <c r="L237" s="5">
        <f>[1]Results!O390</f>
        <v>47.317831230000003</v>
      </c>
      <c r="M237" s="5">
        <f>[1]Results!P390</f>
        <v>48.090719350000001</v>
      </c>
      <c r="N237" s="5">
        <f>[1]Results!Q390</f>
        <v>48.841704210000003</v>
      </c>
      <c r="O237" s="5">
        <f>[1]Results!R390</f>
        <v>49.594218939999998</v>
      </c>
      <c r="P237" s="5">
        <f>[1]Results!S390</f>
        <v>50.350034110000003</v>
      </c>
      <c r="Q237" s="5">
        <f>[1]Results!T390</f>
        <v>51.108018710000003</v>
      </c>
      <c r="R237" s="5">
        <f>[1]Results!U390</f>
        <v>51.86721781</v>
      </c>
      <c r="S237" s="5">
        <f>[1]Results!V390</f>
        <v>52.621370679999998</v>
      </c>
      <c r="T237" s="5">
        <f>[1]Results!W390</f>
        <v>53.375136150000003</v>
      </c>
      <c r="U237" s="5">
        <f>[1]Results!X390</f>
        <v>54.129955799999998</v>
      </c>
      <c r="V237" s="5">
        <f>[1]Results!Y390</f>
        <v>54.887021230000002</v>
      </c>
      <c r="W237" s="5">
        <f>[1]Results!Z390</f>
        <v>55.611076400000002</v>
      </c>
      <c r="X237" s="5">
        <f>[1]Results!AA390</f>
        <v>56.36258437</v>
      </c>
      <c r="Y237" s="5">
        <f>[1]Results!AB390</f>
        <v>57.12590719</v>
      </c>
      <c r="Z237" s="5">
        <f>[1]Results!AC390</f>
        <v>57.899440939999998</v>
      </c>
      <c r="AA237" s="5">
        <f>[1]Results!AD390</f>
        <v>58.683891819999999</v>
      </c>
      <c r="AB237" s="5">
        <f>[1]Results!AE390</f>
        <v>59.375729290000002</v>
      </c>
      <c r="AC237" s="5">
        <f>[1]Results!AF390</f>
        <v>60.097121610000002</v>
      </c>
      <c r="AD237" s="5">
        <f>[1]Results!AG390</f>
        <v>60.828146830000001</v>
      </c>
      <c r="AE237" s="5">
        <f>[1]Results!AH390</f>
        <v>61.567671220000001</v>
      </c>
      <c r="AF237" s="5">
        <f>[1]Results!AI390</f>
        <v>62.317425219999997</v>
      </c>
      <c r="AG237" s="5">
        <f>[1]Results!AJ390</f>
        <v>63.07925582</v>
      </c>
      <c r="AH237" s="5">
        <f>[1]Results!AK390</f>
        <v>63.85596314</v>
      </c>
      <c r="AI237" s="5">
        <f>[1]Results!AL390</f>
        <v>64.647627439999994</v>
      </c>
      <c r="AJ237" s="5">
        <f>[1]Results!AM390</f>
        <v>65.454751150000007</v>
      </c>
      <c r="AK237" s="5">
        <f>[1]Results!AN390</f>
        <v>66.277637630000001</v>
      </c>
      <c r="AL237" s="5">
        <f>[1]Results!AO390</f>
        <v>67.116355060000004</v>
      </c>
      <c r="AM237" s="5">
        <f>[1]Results!AP390</f>
        <v>67.957487599999993</v>
      </c>
      <c r="AN237" s="5">
        <f>[1]Results!AQ390</f>
        <v>68.806852070000005</v>
      </c>
      <c r="AO237" s="5">
        <f>[1]Results!AR390</f>
        <v>69.66606136</v>
      </c>
      <c r="AP237" s="5">
        <f>[1]Results!AS390</f>
        <v>70.535793769999998</v>
      </c>
      <c r="AQ237" s="5">
        <f>[1]Results!AT390</f>
        <v>71.416472249999998</v>
      </c>
      <c r="AR237" s="5">
        <f>[1]Results!AU390</f>
        <v>72.310252899999995</v>
      </c>
      <c r="AS237" s="5">
        <f>[1]Results!AV390</f>
        <v>73.215969209999997</v>
      </c>
      <c r="AT237" s="5">
        <f>[1]Results!AW390</f>
        <v>74.133484229999993</v>
      </c>
      <c r="AU237" s="5">
        <f>[1]Results!AX390</f>
        <v>75.062754130000002</v>
      </c>
      <c r="AV237" s="5">
        <f>[1]Results!AY390</f>
        <v>76.003702000000004</v>
      </c>
      <c r="AW237" s="5">
        <f>[1]Results!AZ390</f>
        <v>76.964736500000001</v>
      </c>
      <c r="AX237" s="5">
        <f>[1]Results!BA390</f>
        <v>77.939765679999994</v>
      </c>
      <c r="AY237" s="5">
        <f>[1]Results!BB390</f>
        <v>78.927489859999994</v>
      </c>
      <c r="AZ237" s="5">
        <f>[1]Results!BC390</f>
        <v>79.927394100000001</v>
      </c>
      <c r="BA237" s="5">
        <f>[1]Results!BD390</f>
        <v>80.939142059999995</v>
      </c>
      <c r="BB237" s="5">
        <f>[1]Results!BE390</f>
        <v>101.8741746</v>
      </c>
      <c r="BC237" s="5">
        <f>[1]Results!BF390</f>
        <v>103.62538499999999</v>
      </c>
      <c r="BD237" s="5">
        <f>[1]Results!BG390</f>
        <v>105.40327739999999</v>
      </c>
      <c r="BE237" s="5">
        <f>[1]Results!BH390</f>
        <v>107.20839049999999</v>
      </c>
      <c r="BF237" s="5">
        <f>[1]Results!BI390</f>
        <v>109.0412402</v>
      </c>
    </row>
    <row r="238" spans="1:58" x14ac:dyDescent="0.35">
      <c r="B238" t="s">
        <v>28</v>
      </c>
      <c r="C238" s="5">
        <f>[1]Results!F366</f>
        <v>25.839708649999999</v>
      </c>
      <c r="D238" s="5">
        <f>[1]Results!G366</f>
        <v>25.966597700000001</v>
      </c>
      <c r="E238" s="5">
        <f>[1]Results!H366</f>
        <v>26.18089457</v>
      </c>
      <c r="F238" s="5">
        <f>[1]Results!I366</f>
        <v>26.439404889999999</v>
      </c>
      <c r="G238" s="5">
        <f>[1]Results!J366</f>
        <v>26.733981</v>
      </c>
      <c r="H238" s="5">
        <f>[1]Results!K366</f>
        <v>27.060146069999998</v>
      </c>
      <c r="I238" s="5">
        <f>[1]Results!L366</f>
        <v>27.39753949</v>
      </c>
      <c r="J238" s="5">
        <f>[1]Results!M366</f>
        <v>27.750630080000001</v>
      </c>
      <c r="K238" s="5">
        <f>[1]Results!N366</f>
        <v>28.117676580000001</v>
      </c>
      <c r="L238" s="5">
        <f>[1]Results!O366</f>
        <v>28.49598739</v>
      </c>
      <c r="M238" s="5">
        <f>[1]Results!P366</f>
        <v>28.90935412</v>
      </c>
      <c r="N238" s="5">
        <f>[1]Results!Q366</f>
        <v>29.31168241</v>
      </c>
      <c r="O238" s="5">
        <f>[1]Results!R366</f>
        <v>29.714012369999999</v>
      </c>
      <c r="P238" s="5">
        <f>[1]Results!S366</f>
        <v>30.11790422</v>
      </c>
      <c r="Q238" s="5">
        <f>[1]Results!T366</f>
        <v>30.523331840000001</v>
      </c>
      <c r="R238" s="5">
        <f>[1]Results!U366</f>
        <v>30.93021641</v>
      </c>
      <c r="S238" s="5">
        <f>[1]Results!V366</f>
        <v>31.336290160000001</v>
      </c>
      <c r="T238" s="5">
        <f>[1]Results!W366</f>
        <v>31.743612290000002</v>
      </c>
      <c r="U238" s="5">
        <f>[1]Results!X366</f>
        <v>32.152939310000001</v>
      </c>
      <c r="V238" s="5">
        <f>[1]Results!Y366</f>
        <v>32.564840009999998</v>
      </c>
      <c r="W238" s="5">
        <f>[1]Results!Z366</f>
        <v>32.960569219999996</v>
      </c>
      <c r="X238" s="5">
        <f>[1]Results!AA366</f>
        <v>33.37125425</v>
      </c>
      <c r="Y238" s="5">
        <f>[1]Results!AB366</f>
        <v>33.78942026</v>
      </c>
      <c r="Z238" s="5">
        <f>[1]Results!AC366</f>
        <v>34.213829099999998</v>
      </c>
      <c r="AA238" s="5">
        <f>[1]Results!AD366</f>
        <v>34.64447303</v>
      </c>
      <c r="AB238" s="5">
        <f>[1]Results!AE366</f>
        <v>35.026298689999997</v>
      </c>
      <c r="AC238" s="5">
        <f>[1]Results!AF366</f>
        <v>35.421759049999999</v>
      </c>
      <c r="AD238" s="5">
        <f>[1]Results!AG366</f>
        <v>35.822470899999999</v>
      </c>
      <c r="AE238" s="5">
        <f>[1]Results!AH366</f>
        <v>36.227889650000002</v>
      </c>
      <c r="AF238" s="5">
        <f>[1]Results!AI366</f>
        <v>36.638864849999997</v>
      </c>
      <c r="AG238" s="5">
        <f>[1]Results!AJ366</f>
        <v>37.056300419999999</v>
      </c>
      <c r="AH238" s="5">
        <f>[1]Results!AK366</f>
        <v>37.481419099999997</v>
      </c>
      <c r="AI238" s="5">
        <f>[1]Results!AL366</f>
        <v>37.914287379999998</v>
      </c>
      <c r="AJ238" s="5">
        <f>[1]Results!AM366</f>
        <v>38.355086669999999</v>
      </c>
      <c r="AK238" s="5">
        <f>[1]Results!AN366</f>
        <v>38.803905999999998</v>
      </c>
      <c r="AL238" s="5">
        <f>[1]Results!AO366</f>
        <v>39.260745550000003</v>
      </c>
      <c r="AM238" s="5">
        <f>[1]Results!AP366</f>
        <v>39.717025360000001</v>
      </c>
      <c r="AN238" s="5">
        <f>[1]Results!AQ366</f>
        <v>40.176709109999997</v>
      </c>
      <c r="AO238" s="5">
        <f>[1]Results!AR366</f>
        <v>40.641186740000002</v>
      </c>
      <c r="AP238" s="5">
        <f>[1]Results!AS366</f>
        <v>41.111176610000001</v>
      </c>
      <c r="AQ238" s="5">
        <f>[1]Results!AT366</f>
        <v>41.587187399999998</v>
      </c>
      <c r="AR238" s="5">
        <f>[1]Results!AU366</f>
        <v>42.070358830000004</v>
      </c>
      <c r="AS238" s="5">
        <f>[1]Results!AV366</f>
        <v>42.560435249999998</v>
      </c>
      <c r="AT238" s="5">
        <f>[1]Results!AW366</f>
        <v>43.05750407</v>
      </c>
      <c r="AU238" s="5">
        <f>[1]Results!AX366</f>
        <v>43.561651609999998</v>
      </c>
      <c r="AV238" s="5">
        <f>[1]Results!AY366</f>
        <v>44.072920529999998</v>
      </c>
      <c r="AW238" s="5">
        <f>[1]Results!AZ366</f>
        <v>44.595041989999999</v>
      </c>
      <c r="AX238" s="5">
        <f>[1]Results!BA366</f>
        <v>45.125478049999998</v>
      </c>
      <c r="AY238" s="5">
        <f>[1]Results!BB366</f>
        <v>45.663631940000002</v>
      </c>
      <c r="AZ238" s="5">
        <f>[1]Results!BC366</f>
        <v>46.209273260000003</v>
      </c>
      <c r="BA238" s="5">
        <f>[1]Results!BD366</f>
        <v>46.762264829999999</v>
      </c>
      <c r="BB238" s="5">
        <f>[1]Results!BE366</f>
        <v>55.400333269999997</v>
      </c>
      <c r="BC238" s="5">
        <f>[1]Results!BF366</f>
        <v>56.275190469999998</v>
      </c>
      <c r="BD238" s="5">
        <f>[1]Results!BG366</f>
        <v>57.165000159999998</v>
      </c>
      <c r="BE238" s="5">
        <f>[1]Results!BH366</f>
        <v>58.070065749999998</v>
      </c>
      <c r="BF238" s="5">
        <f>[1]Results!BI366</f>
        <v>58.990694609999998</v>
      </c>
    </row>
    <row r="239" spans="1:58" x14ac:dyDescent="0.35">
      <c r="B239" t="s">
        <v>10</v>
      </c>
      <c r="C239" s="5">
        <f>[1]Results!F402</f>
        <v>22.171321689999999</v>
      </c>
      <c r="D239" s="5">
        <f>[1]Results!G402</f>
        <v>22.242696039999998</v>
      </c>
      <c r="E239" s="5">
        <f>[1]Results!H402</f>
        <v>22.377863730000001</v>
      </c>
      <c r="F239" s="5">
        <f>[1]Results!I402</f>
        <v>22.565967019999999</v>
      </c>
      <c r="G239" s="5">
        <f>[1]Results!J402</f>
        <v>22.806621629999999</v>
      </c>
      <c r="H239" s="5">
        <f>[1]Results!K402</f>
        <v>23.096291829999998</v>
      </c>
      <c r="I239" s="5">
        <f>[1]Results!L402</f>
        <v>23.413817810000001</v>
      </c>
      <c r="J239" s="5">
        <f>[1]Results!M402</f>
        <v>23.759433699999999</v>
      </c>
      <c r="K239" s="5">
        <f>[1]Results!N402</f>
        <v>24.128392030000001</v>
      </c>
      <c r="L239" s="5">
        <f>[1]Results!O402</f>
        <v>24.51582612</v>
      </c>
      <c r="M239" s="5">
        <f>[1]Results!P402</f>
        <v>24.942534770000002</v>
      </c>
      <c r="N239" s="5">
        <f>[1]Results!Q402</f>
        <v>25.365799419999998</v>
      </c>
      <c r="O239" s="5">
        <f>[1]Results!R402</f>
        <v>25.792905220000002</v>
      </c>
      <c r="P239" s="5">
        <f>[1]Results!S402</f>
        <v>26.22367302</v>
      </c>
      <c r="Q239" s="5">
        <f>[1]Results!T402</f>
        <v>26.65699717</v>
      </c>
      <c r="R239" s="5">
        <f>[1]Results!U402</f>
        <v>27.091977459999999</v>
      </c>
      <c r="S239" s="5">
        <f>[1]Results!V402</f>
        <v>27.526659510000002</v>
      </c>
      <c r="T239" s="5">
        <f>[1]Results!W402</f>
        <v>27.961456460000001</v>
      </c>
      <c r="U239" s="5">
        <f>[1]Results!X402</f>
        <v>28.396566530000001</v>
      </c>
      <c r="V239" s="5">
        <f>[1]Results!Y402</f>
        <v>28.83229034</v>
      </c>
      <c r="W239" s="5">
        <f>[1]Results!Z402</f>
        <v>29.250437779999999</v>
      </c>
      <c r="X239" s="5">
        <f>[1]Results!AA402</f>
        <v>29.679907839999998</v>
      </c>
      <c r="Y239" s="5">
        <f>[1]Results!AB402</f>
        <v>30.11430429</v>
      </c>
      <c r="Z239" s="5">
        <f>[1]Results!AC402</f>
        <v>30.552921319999999</v>
      </c>
      <c r="AA239" s="5">
        <f>[1]Results!AD402</f>
        <v>30.996039039999999</v>
      </c>
      <c r="AB239" s="5">
        <f>[1]Results!AE402</f>
        <v>31.39045535</v>
      </c>
      <c r="AC239" s="5">
        <f>[1]Results!AF402</f>
        <v>31.79347619</v>
      </c>
      <c r="AD239" s="5">
        <f>[1]Results!AG402</f>
        <v>32.198197540000002</v>
      </c>
      <c r="AE239" s="5">
        <f>[1]Results!AH402</f>
        <v>32.604889129999997</v>
      </c>
      <c r="AF239" s="5">
        <f>[1]Results!AI402</f>
        <v>33.014922890000001</v>
      </c>
      <c r="AG239" s="5">
        <f>[1]Results!AJ402</f>
        <v>33.429631209999997</v>
      </c>
      <c r="AH239" s="5">
        <f>[1]Results!AK402</f>
        <v>33.850411029999997</v>
      </c>
      <c r="AI239" s="5">
        <f>[1]Results!AL402</f>
        <v>34.277939480000001</v>
      </c>
      <c r="AJ239" s="5">
        <f>[1]Results!AM402</f>
        <v>34.712764589999999</v>
      </c>
      <c r="AK239" s="5">
        <f>[1]Results!AN402</f>
        <v>35.155262409999999</v>
      </c>
      <c r="AL239" s="5">
        <f>[1]Results!AO402</f>
        <v>35.605662520000003</v>
      </c>
      <c r="AM239" s="5">
        <f>[1]Results!AP402</f>
        <v>36.053962800000001</v>
      </c>
      <c r="AN239" s="5">
        <f>[1]Results!AQ402</f>
        <v>36.505498889999998</v>
      </c>
      <c r="AO239" s="5">
        <f>[1]Results!AR402</f>
        <v>36.961699899999999</v>
      </c>
      <c r="AP239" s="5">
        <f>[1]Results!AS402</f>
        <v>37.423244189999998</v>
      </c>
      <c r="AQ239" s="5">
        <f>[1]Results!AT402</f>
        <v>37.890613129999998</v>
      </c>
      <c r="AR239" s="5">
        <f>[1]Results!AU402</f>
        <v>38.364626780000002</v>
      </c>
      <c r="AS239" s="5">
        <f>[1]Results!AV402</f>
        <v>38.845376119999997</v>
      </c>
      <c r="AT239" s="5">
        <f>[1]Results!AW402</f>
        <v>39.333009400000002</v>
      </c>
      <c r="AU239" s="5">
        <f>[1]Results!AX402</f>
        <v>39.827627319999998</v>
      </c>
      <c r="AV239" s="5">
        <f>[1]Results!AY402</f>
        <v>40.329276569999998</v>
      </c>
      <c r="AW239" s="5">
        <f>[1]Results!AZ402</f>
        <v>40.840608369999998</v>
      </c>
      <c r="AX239" s="5">
        <f>[1]Results!BA402</f>
        <v>41.360316740000002</v>
      </c>
      <c r="AY239" s="5">
        <f>[1]Results!BB402</f>
        <v>41.88797847</v>
      </c>
      <c r="AZ239" s="5">
        <f>[1]Results!BC402</f>
        <v>42.423331740000002</v>
      </c>
      <c r="BA239" s="5">
        <f>[1]Results!BD402</f>
        <v>42.96616298</v>
      </c>
      <c r="BB239" s="5">
        <f>[1]Results!BE402</f>
        <v>51.378890849999998</v>
      </c>
      <c r="BC239" s="5">
        <f>[1]Results!BF402</f>
        <v>52.228503259999997</v>
      </c>
      <c r="BD239" s="5">
        <f>[1]Results!BG402</f>
        <v>53.091033299999999</v>
      </c>
      <c r="BE239" s="5">
        <f>[1]Results!BH402</f>
        <v>53.966871159999997</v>
      </c>
      <c r="BF239" s="5">
        <f>[1]Results!BI402</f>
        <v>54.856396529999998</v>
      </c>
    </row>
    <row r="240" spans="1:58" x14ac:dyDescent="0.35">
      <c r="B240" t="s">
        <v>44</v>
      </c>
      <c r="C240" s="5">
        <f>[1]Results!F353</f>
        <v>64.301440170000006</v>
      </c>
      <c r="D240" s="5">
        <f>[1]Results!G353</f>
        <v>64.218759689999999</v>
      </c>
      <c r="E240" s="5">
        <f>[1]Results!H353</f>
        <v>63.918997060000002</v>
      </c>
      <c r="F240" s="5">
        <f>[1]Results!I353</f>
        <v>63.614401460000003</v>
      </c>
      <c r="G240" s="5">
        <f>[1]Results!J353</f>
        <v>63.370542180000001</v>
      </c>
      <c r="H240" s="5">
        <f>[1]Results!K353</f>
        <v>63.192928559999999</v>
      </c>
      <c r="I240" s="5">
        <f>[1]Results!L353</f>
        <v>63.083483870000002</v>
      </c>
      <c r="J240" s="5">
        <f>[1]Results!M353</f>
        <v>63.040344699999999</v>
      </c>
      <c r="K240" s="5">
        <f>[1]Results!N353</f>
        <v>63.050788179999998</v>
      </c>
      <c r="L240" s="5">
        <f>[1]Results!O353</f>
        <v>63.101086389999999</v>
      </c>
      <c r="M240" s="5">
        <f>[1]Results!P353</f>
        <v>63.209201409999999</v>
      </c>
      <c r="N240" s="5">
        <f>[1]Results!Q353</f>
        <v>63.323663029999999</v>
      </c>
      <c r="O240" s="5">
        <f>[1]Results!R353</f>
        <v>63.44672808</v>
      </c>
      <c r="P240" s="5">
        <f>[1]Results!S353</f>
        <v>63.578212350000001</v>
      </c>
      <c r="Q240" s="5">
        <f>[1]Results!T353</f>
        <v>63.716810529999997</v>
      </c>
      <c r="R240" s="5">
        <f>[1]Results!U353</f>
        <v>63.860900350000001</v>
      </c>
      <c r="S240" s="5">
        <f>[1]Results!V353</f>
        <v>64.009145790000005</v>
      </c>
      <c r="T240" s="5">
        <f>[1]Results!W353</f>
        <v>64.160483510000006</v>
      </c>
      <c r="U240" s="5">
        <f>[1]Results!X353</f>
        <v>64.314027109999998</v>
      </c>
      <c r="V240" s="5">
        <f>[1]Results!Y353</f>
        <v>64.469077619999993</v>
      </c>
      <c r="W240" s="5">
        <f>[1]Results!Z353</f>
        <v>64.605665639999998</v>
      </c>
      <c r="X240" s="5">
        <f>[1]Results!AA353</f>
        <v>64.752252089999999</v>
      </c>
      <c r="Y240" s="5">
        <f>[1]Results!AB353</f>
        <v>64.903401200000005</v>
      </c>
      <c r="Z240" s="5">
        <f>[1]Results!AC353</f>
        <v>65.056476149999995</v>
      </c>
      <c r="AA240" s="5">
        <f>[1]Results!AD353</f>
        <v>65.210192059999997</v>
      </c>
      <c r="AB240" s="5">
        <f>[1]Results!AE353</f>
        <v>65.310780559999998</v>
      </c>
      <c r="AC240" s="5">
        <f>[1]Results!AF353</f>
        <v>65.412122330000003</v>
      </c>
      <c r="AD240" s="5">
        <f>[1]Results!AG353</f>
        <v>65.512473810000003</v>
      </c>
      <c r="AE240" s="5">
        <f>[1]Results!AH353</f>
        <v>65.610996760000006</v>
      </c>
      <c r="AF240" s="5">
        <f>[1]Results!AI353</f>
        <v>65.707351290000005</v>
      </c>
      <c r="AG240" s="5">
        <f>[1]Results!AJ353</f>
        <v>65.801628879999996</v>
      </c>
      <c r="AH240" s="5">
        <f>[1]Results!AK353</f>
        <v>65.894150760000002</v>
      </c>
      <c r="AI240" s="5">
        <f>[1]Results!AL353</f>
        <v>65.985296090000006</v>
      </c>
      <c r="AJ240" s="5">
        <f>[1]Results!AM353</f>
        <v>66.075430949999998</v>
      </c>
      <c r="AK240" s="5">
        <f>[1]Results!AN353</f>
        <v>66.164883610000004</v>
      </c>
      <c r="AL240" s="5">
        <f>[1]Results!AO353</f>
        <v>66.253930909999994</v>
      </c>
      <c r="AM240" s="5">
        <f>[1]Results!AP353</f>
        <v>66.331562939999998</v>
      </c>
      <c r="AN240" s="5">
        <f>[1]Results!AQ353</f>
        <v>66.40361394</v>
      </c>
      <c r="AO240" s="5">
        <f>[1]Results!AR353</f>
        <v>66.472925189999998</v>
      </c>
      <c r="AP240" s="5">
        <f>[1]Results!AS353</f>
        <v>66.54093159</v>
      </c>
      <c r="AQ240" s="5">
        <f>[1]Results!AT353</f>
        <v>66.608415160000007</v>
      </c>
      <c r="AR240" s="5">
        <f>[1]Results!AU353</f>
        <v>66.675875160000004</v>
      </c>
      <c r="AS240" s="5">
        <f>[1]Results!AV353</f>
        <v>66.743646699999999</v>
      </c>
      <c r="AT240" s="5">
        <f>[1]Results!AW353</f>
        <v>66.811979859999994</v>
      </c>
      <c r="AU240" s="5">
        <f>[1]Results!AX353</f>
        <v>66.880992030000002</v>
      </c>
      <c r="AV240" s="5">
        <f>[1]Results!AY353</f>
        <v>66.950772029999996</v>
      </c>
      <c r="AW240" s="5">
        <f>[1]Results!AZ353</f>
        <v>67.022379419999993</v>
      </c>
      <c r="AX240" s="5">
        <f>[1]Results!BA353</f>
        <v>67.095450339999999</v>
      </c>
      <c r="AY240" s="5">
        <f>[1]Results!BB353</f>
        <v>67.169789890000004</v>
      </c>
      <c r="AZ240" s="5">
        <f>[1]Results!BC353</f>
        <v>67.245259899999994</v>
      </c>
      <c r="BA240" s="5">
        <f>[1]Results!BD353</f>
        <v>67.32173349</v>
      </c>
      <c r="BB240" s="5">
        <f>[1]Results!BE353</f>
        <v>64.419719540000003</v>
      </c>
      <c r="BC240" s="5">
        <f>[1]Results!BF353</f>
        <v>64.521376770000003</v>
      </c>
      <c r="BD240" s="5">
        <f>[1]Results!BG353</f>
        <v>64.626029189999997</v>
      </c>
      <c r="BE240" s="5">
        <f>[1]Results!BH353</f>
        <v>64.733579050000003</v>
      </c>
      <c r="BF240" s="5">
        <f>[1]Results!BI353</f>
        <v>64.844110799999996</v>
      </c>
    </row>
    <row r="241" spans="1:58" x14ac:dyDescent="0.35">
      <c r="B241" t="s">
        <v>45</v>
      </c>
      <c r="C241" s="5">
        <f>[1]Results!F354</f>
        <v>42.52087745</v>
      </c>
      <c r="D241" s="5">
        <f>[1]Results!G354</f>
        <v>42.737941040000003</v>
      </c>
      <c r="E241" s="5">
        <f>[1]Results!H354</f>
        <v>42.616361670000003</v>
      </c>
      <c r="F241" s="5">
        <f>[1]Results!I354</f>
        <v>42.405363700000002</v>
      </c>
      <c r="G241" s="5">
        <f>[1]Results!J354</f>
        <v>42.19463425</v>
      </c>
      <c r="H241" s="5">
        <f>[1]Results!K354</f>
        <v>42.005210549999994</v>
      </c>
      <c r="I241" s="5">
        <f>[1]Results!L354</f>
        <v>41.851778079999995</v>
      </c>
      <c r="J241" s="5">
        <f>[1]Results!M354</f>
        <v>41.739387110000003</v>
      </c>
      <c r="K241" s="5">
        <f>[1]Results!N354</f>
        <v>41.660268979999998</v>
      </c>
      <c r="L241" s="5">
        <f>[1]Results!O354</f>
        <v>41.604421409999993</v>
      </c>
      <c r="M241" s="5">
        <f>[1]Results!P354</f>
        <v>41.588350810000001</v>
      </c>
      <c r="N241" s="5">
        <f>[1]Results!Q354</f>
        <v>41.567751530000002</v>
      </c>
      <c r="O241" s="5">
        <f>[1]Results!R354</f>
        <v>41.546975859999996</v>
      </c>
      <c r="P241" s="5">
        <f>[1]Results!S354</f>
        <v>41.527636999999999</v>
      </c>
      <c r="Q241" s="5">
        <f>[1]Results!T354</f>
        <v>41.509921609999999</v>
      </c>
      <c r="R241" s="5">
        <f>[1]Results!U354</f>
        <v>41.49343545</v>
      </c>
      <c r="S241" s="5">
        <f>[1]Results!V354</f>
        <v>41.47798152</v>
      </c>
      <c r="T241" s="5">
        <f>[1]Results!W354</f>
        <v>41.463391200000004</v>
      </c>
      <c r="U241" s="5">
        <f>[1]Results!X354</f>
        <v>41.449512640000002</v>
      </c>
      <c r="V241" s="5">
        <f>[1]Results!Y354</f>
        <v>41.43626313</v>
      </c>
      <c r="W241" s="5">
        <f>[1]Results!Z354</f>
        <v>41.407318200000006</v>
      </c>
      <c r="X241" s="5">
        <f>[1]Results!AA354</f>
        <v>41.388199060000005</v>
      </c>
      <c r="Y241" s="5">
        <f>[1]Results!AB354</f>
        <v>41.373781569999998</v>
      </c>
      <c r="Z241" s="5">
        <f>[1]Results!AC354</f>
        <v>41.361644170000005</v>
      </c>
      <c r="AA241" s="5">
        <f>[1]Results!AD354</f>
        <v>41.350687860000001</v>
      </c>
      <c r="AB241" s="5">
        <f>[1]Results!AE354</f>
        <v>41.296071779999998</v>
      </c>
      <c r="AC241" s="5">
        <f>[1]Results!AF354</f>
        <v>41.246412290000002</v>
      </c>
      <c r="AD241" s="5">
        <f>[1]Results!AG354</f>
        <v>41.199611619999999</v>
      </c>
      <c r="AE241" s="5">
        <f>[1]Results!AH354</f>
        <v>41.154317720000002</v>
      </c>
      <c r="AF241" s="5">
        <f>[1]Results!AI354</f>
        <v>41.109647939999995</v>
      </c>
      <c r="AG241" s="5">
        <f>[1]Results!AJ354</f>
        <v>41.065187309999999</v>
      </c>
      <c r="AH241" s="5">
        <f>[1]Results!AK354</f>
        <v>41.020790040000001</v>
      </c>
      <c r="AI241" s="5">
        <f>[1]Results!AL354</f>
        <v>40.976456390000003</v>
      </c>
      <c r="AJ241" s="5">
        <f>[1]Results!AM354</f>
        <v>40.93224506</v>
      </c>
      <c r="AK241" s="5">
        <f>[1]Results!AN354</f>
        <v>40.888233700000001</v>
      </c>
      <c r="AL241" s="5">
        <f>[1]Results!AO354</f>
        <v>40.844492240000001</v>
      </c>
      <c r="AM241" s="5">
        <f>[1]Results!AP354</f>
        <v>40.791582659999996</v>
      </c>
      <c r="AN241" s="5">
        <f>[1]Results!AQ354</f>
        <v>40.734957610000002</v>
      </c>
      <c r="AO241" s="5">
        <f>[1]Results!AR354</f>
        <v>40.677127740000003</v>
      </c>
      <c r="AP241" s="5">
        <f>[1]Results!AS354</f>
        <v>40.6192001</v>
      </c>
      <c r="AQ241" s="5">
        <f>[1]Results!AT354</f>
        <v>40.561641420000001</v>
      </c>
      <c r="AR241" s="5">
        <f>[1]Results!AU354</f>
        <v>40.504633840000004</v>
      </c>
      <c r="AS241" s="5">
        <f>[1]Results!AV354</f>
        <v>40.448262749999998</v>
      </c>
      <c r="AT241" s="5">
        <f>[1]Results!AW354</f>
        <v>40.392588000000003</v>
      </c>
      <c r="AU241" s="5">
        <f>[1]Results!AX354</f>
        <v>40.33759113</v>
      </c>
      <c r="AV241" s="5">
        <f>[1]Results!AY354</f>
        <v>40.283273469999997</v>
      </c>
      <c r="AW241" s="5">
        <f>[1]Results!AZ354</f>
        <v>40.23037549</v>
      </c>
      <c r="AX241" s="5">
        <f>[1]Results!BA354</f>
        <v>40.178498990000001</v>
      </c>
      <c r="AY241" s="5">
        <f>[1]Results!BB354</f>
        <v>40.127472170000004</v>
      </c>
      <c r="AZ241" s="5">
        <f>[1]Results!BC354</f>
        <v>40.077218359999996</v>
      </c>
      <c r="BA241" s="5">
        <f>[1]Results!BD354</f>
        <v>40.027698990000005</v>
      </c>
      <c r="BB241" s="5">
        <f>[1]Results!BE354</f>
        <v>34.849368820000002</v>
      </c>
      <c r="BC241" s="5">
        <f>[1]Results!BF354</f>
        <v>34.745864249999997</v>
      </c>
      <c r="BD241" s="5">
        <f>[1]Results!BG354</f>
        <v>34.643640210000001</v>
      </c>
      <c r="BE241" s="5">
        <f>[1]Results!BH354</f>
        <v>34.542457280000001</v>
      </c>
      <c r="BF241" s="5">
        <f>[1]Results!BI354</f>
        <v>34.442238750000001</v>
      </c>
    </row>
    <row r="242" spans="1:58" x14ac:dyDescent="0.35">
      <c r="B242" t="s">
        <v>46</v>
      </c>
      <c r="C242" s="5">
        <f>[1]Results!F362</f>
        <v>21.78056273</v>
      </c>
      <c r="D242" s="5">
        <f>[1]Results!G362</f>
        <v>21.480818639999999</v>
      </c>
      <c r="E242" s="5">
        <f>[1]Results!H362</f>
        <v>21.302635389999999</v>
      </c>
      <c r="F242" s="5">
        <f>[1]Results!I362</f>
        <v>21.209037760000001</v>
      </c>
      <c r="G242" s="5">
        <f>[1]Results!J362</f>
        <v>21.175907930000001</v>
      </c>
      <c r="H242" s="5">
        <f>[1]Results!K362</f>
        <v>21.187718010000001</v>
      </c>
      <c r="I242" s="5">
        <f>[1]Results!L362</f>
        <v>21.231705780000002</v>
      </c>
      <c r="J242" s="5">
        <f>[1]Results!M362</f>
        <v>21.300957589999999</v>
      </c>
      <c r="K242" s="5">
        <f>[1]Results!N362</f>
        <v>21.3905192</v>
      </c>
      <c r="L242" s="5">
        <f>[1]Results!O362</f>
        <v>21.496664980000002</v>
      </c>
      <c r="M242" s="5">
        <f>[1]Results!P362</f>
        <v>21.620850609999998</v>
      </c>
      <c r="N242" s="5">
        <f>[1]Results!Q362</f>
        <v>21.7559115</v>
      </c>
      <c r="O242" s="5">
        <f>[1]Results!R362</f>
        <v>21.899752210000003</v>
      </c>
      <c r="P242" s="5">
        <f>[1]Results!S362</f>
        <v>22.050575350000003</v>
      </c>
      <c r="Q242" s="5">
        <f>[1]Results!T362</f>
        <v>22.206888920000001</v>
      </c>
      <c r="R242" s="5">
        <f>[1]Results!U362</f>
        <v>22.367464909999999</v>
      </c>
      <c r="S242" s="5">
        <f>[1]Results!V362</f>
        <v>22.531164269999998</v>
      </c>
      <c r="T242" s="5">
        <f>[1]Results!W362</f>
        <v>22.697092309999999</v>
      </c>
      <c r="U242" s="5">
        <f>[1]Results!X362</f>
        <v>22.86451447</v>
      </c>
      <c r="V242" s="5">
        <f>[1]Results!Y362</f>
        <v>23.03281449</v>
      </c>
      <c r="W242" s="5">
        <f>[1]Results!Z362</f>
        <v>23.198347429999998</v>
      </c>
      <c r="X242" s="5">
        <f>[1]Results!AA362</f>
        <v>23.364053030000001</v>
      </c>
      <c r="Y242" s="5">
        <f>[1]Results!AB362</f>
        <v>23.52961964</v>
      </c>
      <c r="Z242" s="5">
        <f>[1]Results!AC362</f>
        <v>23.69483198</v>
      </c>
      <c r="AA242" s="5">
        <f>[1]Results!AD362</f>
        <v>23.8595042</v>
      </c>
      <c r="AB242" s="5">
        <f>[1]Results!AE362</f>
        <v>24.014708779999999</v>
      </c>
      <c r="AC242" s="5">
        <f>[1]Results!AF362</f>
        <v>24.16571004</v>
      </c>
      <c r="AD242" s="5">
        <f>[1]Results!AG362</f>
        <v>24.312862190000001</v>
      </c>
      <c r="AE242" s="5">
        <f>[1]Results!AH362</f>
        <v>24.456679039999997</v>
      </c>
      <c r="AF242" s="5">
        <f>[1]Results!AI362</f>
        <v>24.59770335</v>
      </c>
      <c r="AG242" s="5">
        <f>[1]Results!AJ362</f>
        <v>24.73644157</v>
      </c>
      <c r="AH242" s="5">
        <f>[1]Results!AK362</f>
        <v>24.873360730000002</v>
      </c>
      <c r="AI242" s="5">
        <f>[1]Results!AL362</f>
        <v>25.008839699999999</v>
      </c>
      <c r="AJ242" s="5">
        <f>[1]Results!AM362</f>
        <v>25.143185890000002</v>
      </c>
      <c r="AK242" s="5">
        <f>[1]Results!AN362</f>
        <v>25.27664991</v>
      </c>
      <c r="AL242" s="5">
        <f>[1]Results!AO362</f>
        <v>25.409438659999999</v>
      </c>
      <c r="AM242" s="5">
        <f>[1]Results!AP362</f>
        <v>25.539980280000002</v>
      </c>
      <c r="AN242" s="5">
        <f>[1]Results!AQ362</f>
        <v>25.668656329999997</v>
      </c>
      <c r="AO242" s="5">
        <f>[1]Results!AR362</f>
        <v>25.795797449999998</v>
      </c>
      <c r="AP242" s="5">
        <f>[1]Results!AS362</f>
        <v>25.921731489999999</v>
      </c>
      <c r="AQ242" s="5">
        <f>[1]Results!AT362</f>
        <v>26.046773739999999</v>
      </c>
      <c r="AR242" s="5">
        <f>[1]Results!AU362</f>
        <v>26.17124132</v>
      </c>
      <c r="AS242" s="5">
        <f>[1]Results!AV362</f>
        <v>26.295383949999998</v>
      </c>
      <c r="AT242" s="5">
        <f>[1]Results!AW362</f>
        <v>26.419391860000001</v>
      </c>
      <c r="AU242" s="5">
        <f>[1]Results!AX362</f>
        <v>26.543400899999998</v>
      </c>
      <c r="AV242" s="5">
        <f>[1]Results!AY362</f>
        <v>26.667498559999999</v>
      </c>
      <c r="AW242" s="5">
        <f>[1]Results!AZ362</f>
        <v>26.79200393</v>
      </c>
      <c r="AX242" s="5">
        <f>[1]Results!BA362</f>
        <v>26.916951350000001</v>
      </c>
      <c r="AY242" s="5">
        <f>[1]Results!BB362</f>
        <v>27.042317710000003</v>
      </c>
      <c r="AZ242" s="5">
        <f>[1]Results!BC362</f>
        <v>27.168041540000001</v>
      </c>
      <c r="BA242" s="5">
        <f>[1]Results!BD362</f>
        <v>27.294034489999998</v>
      </c>
      <c r="BB242" s="5">
        <f>[1]Results!BE362</f>
        <v>29.57035072</v>
      </c>
      <c r="BC242" s="5">
        <f>[1]Results!BF362</f>
        <v>29.775512519999999</v>
      </c>
      <c r="BD242" s="5">
        <f>[1]Results!BG362</f>
        <v>29.98238898</v>
      </c>
      <c r="BE242" s="5">
        <f>[1]Results!BH362</f>
        <v>30.191121769999999</v>
      </c>
      <c r="BF242" s="5">
        <f>[1]Results!BI362</f>
        <v>30.401872050000001</v>
      </c>
    </row>
    <row r="244" spans="1:58" x14ac:dyDescent="0.35">
      <c r="A244" s="12" t="s">
        <v>43</v>
      </c>
      <c r="B244" t="s">
        <v>26</v>
      </c>
      <c r="C244" s="5">
        <f>C245+C246+C247+C248</f>
        <v>98.023964313000008</v>
      </c>
      <c r="D244" s="5">
        <f t="shared" ref="D244:AL244" si="135">D245+D246+D247+D248</f>
        <v>99.171189552999991</v>
      </c>
      <c r="E244" s="5">
        <f t="shared" si="135"/>
        <v>100.422061863</v>
      </c>
      <c r="F244" s="5">
        <f t="shared" si="135"/>
        <v>101.78541328099999</v>
      </c>
      <c r="G244" s="5">
        <f t="shared" si="135"/>
        <v>103.26253461900001</v>
      </c>
      <c r="H244" s="5">
        <f t="shared" si="135"/>
        <v>104.84531681600001</v>
      </c>
      <c r="I244" s="5">
        <f t="shared" si="135"/>
        <v>106.45706251300001</v>
      </c>
      <c r="J244" s="5">
        <f t="shared" si="135"/>
        <v>108.119988068</v>
      </c>
      <c r="K244" s="5">
        <f t="shared" si="135"/>
        <v>109.83043148</v>
      </c>
      <c r="L244" s="5">
        <f t="shared" si="135"/>
        <v>111.581327488</v>
      </c>
      <c r="M244" s="5">
        <f t="shared" si="135"/>
        <v>113.478143909</v>
      </c>
      <c r="N244" s="5">
        <f t="shared" si="135"/>
        <v>115.339317663</v>
      </c>
      <c r="O244" s="5">
        <f t="shared" si="135"/>
        <v>117.208540024</v>
      </c>
      <c r="P244" s="5">
        <f t="shared" si="135"/>
        <v>119.091829292</v>
      </c>
      <c r="Q244" s="5">
        <f t="shared" si="135"/>
        <v>120.98922408700001</v>
      </c>
      <c r="R244" s="5">
        <f t="shared" si="135"/>
        <v>122.90047925899999</v>
      </c>
      <c r="S244" s="5">
        <f t="shared" si="135"/>
        <v>124.82596550299999</v>
      </c>
      <c r="T244" s="5">
        <f t="shared" si="135"/>
        <v>126.766669175</v>
      </c>
      <c r="U244" s="5">
        <f t="shared" si="135"/>
        <v>128.72403929799998</v>
      </c>
      <c r="V244" s="5">
        <f t="shared" si="135"/>
        <v>130.699830268</v>
      </c>
      <c r="W244" s="5">
        <f t="shared" si="135"/>
        <v>132.61254402200001</v>
      </c>
      <c r="X244" s="5">
        <f t="shared" si="135"/>
        <v>134.595649944</v>
      </c>
      <c r="Y244" s="5">
        <f t="shared" si="135"/>
        <v>136.61572723999998</v>
      </c>
      <c r="Z244" s="5">
        <f t="shared" si="135"/>
        <v>138.66812295099999</v>
      </c>
      <c r="AA244" s="5">
        <f t="shared" si="135"/>
        <v>140.75315352800001</v>
      </c>
      <c r="AB244" s="5">
        <f t="shared" si="135"/>
        <v>142.63061651699999</v>
      </c>
      <c r="AC244" s="5">
        <f t="shared" si="135"/>
        <v>144.566692257</v>
      </c>
      <c r="AD244" s="5">
        <f t="shared" si="135"/>
        <v>146.52419215</v>
      </c>
      <c r="AE244" s="5">
        <f t="shared" si="135"/>
        <v>148.501389824</v>
      </c>
      <c r="AF244" s="5">
        <f t="shared" si="135"/>
        <v>150.50230025000002</v>
      </c>
      <c r="AG244" s="5">
        <f t="shared" si="135"/>
        <v>152.53111213599999</v>
      </c>
      <c r="AH244" s="5">
        <f t="shared" si="135"/>
        <v>154.591141924</v>
      </c>
      <c r="AI244" s="5">
        <f t="shared" si="135"/>
        <v>156.68472299199999</v>
      </c>
      <c r="AJ244" s="5">
        <f t="shared" si="135"/>
        <v>158.81331732799998</v>
      </c>
      <c r="AK244" s="5">
        <f t="shared" si="135"/>
        <v>160.97768412100001</v>
      </c>
      <c r="AL244" s="5">
        <f t="shared" si="135"/>
        <v>163.17805465100002</v>
      </c>
      <c r="AM244" s="5">
        <f t="shared" ref="AM244:BC244" si="136">AM245+AM246+AM247+AM248</f>
        <v>165.35580738199999</v>
      </c>
      <c r="AN244" s="5">
        <f t="shared" si="136"/>
        <v>167.54353674800001</v>
      </c>
      <c r="AO244" s="5">
        <f t="shared" si="136"/>
        <v>169.749321264</v>
      </c>
      <c r="AP244" s="5">
        <f t="shared" si="136"/>
        <v>171.97670173200004</v>
      </c>
      <c r="AQ244" s="5">
        <f t="shared" si="136"/>
        <v>174.22822507600003</v>
      </c>
      <c r="AR244" s="5">
        <f t="shared" si="136"/>
        <v>176.50600497400001</v>
      </c>
      <c r="AS244" s="5">
        <f t="shared" si="136"/>
        <v>178.81177323899999</v>
      </c>
      <c r="AT244" s="5">
        <f t="shared" si="136"/>
        <v>181.14688210400001</v>
      </c>
      <c r="AU244" s="5">
        <f t="shared" si="136"/>
        <v>183.512334071</v>
      </c>
      <c r="AV244" s="5">
        <f t="shared" si="136"/>
        <v>185.90884280099999</v>
      </c>
      <c r="AW244" s="5">
        <f t="shared" si="136"/>
        <v>188.342244669</v>
      </c>
      <c r="AX244" s="5">
        <f t="shared" si="136"/>
        <v>190.80997439700002</v>
      </c>
      <c r="AY244" s="5">
        <f t="shared" si="136"/>
        <v>193.31160419699998</v>
      </c>
      <c r="AZ244" s="5">
        <f t="shared" si="136"/>
        <v>195.84689902699998</v>
      </c>
      <c r="BA244" s="5">
        <f t="shared" si="136"/>
        <v>198.41565624</v>
      </c>
      <c r="BB244" s="5">
        <f t="shared" si="136"/>
        <v>219.62979436000001</v>
      </c>
      <c r="BC244" s="5">
        <f t="shared" si="136"/>
        <v>223.28244995</v>
      </c>
      <c r="BD244" s="5">
        <f t="shared" ref="BD244:BF244" si="137">BD245+BD246+BD247+BD248</f>
        <v>226.99166742999998</v>
      </c>
      <c r="BE244" s="5">
        <f t="shared" si="137"/>
        <v>230.75868786000001</v>
      </c>
      <c r="BF244" s="5">
        <f t="shared" si="137"/>
        <v>234.58481332999997</v>
      </c>
    </row>
    <row r="245" spans="1:58" x14ac:dyDescent="0.35">
      <c r="A245" t="s">
        <v>38</v>
      </c>
      <c r="B245" t="s">
        <v>7</v>
      </c>
      <c r="C245" s="5">
        <f>[1]Results!F439</f>
        <v>4.8967256030000001</v>
      </c>
      <c r="D245" s="5">
        <f>[1]Results!G439</f>
        <v>4.9371381330000004</v>
      </c>
      <c r="E245" s="5">
        <f>[1]Results!H439</f>
        <v>4.9821183529999997</v>
      </c>
      <c r="F245" s="5">
        <f>[1]Results!I439</f>
        <v>5.0356536409999997</v>
      </c>
      <c r="G245" s="5">
        <f>[1]Results!J439</f>
        <v>5.098033729</v>
      </c>
      <c r="H245" s="5">
        <f>[1]Results!K439</f>
        <v>5.1684125659999998</v>
      </c>
      <c r="I245" s="5">
        <f>[1]Results!L439</f>
        <v>5.2427701229999997</v>
      </c>
      <c r="J245" s="5">
        <f>[1]Results!M439</f>
        <v>5.3211436980000002</v>
      </c>
      <c r="K245" s="5">
        <f>[1]Results!N439</f>
        <v>5.40296237</v>
      </c>
      <c r="L245" s="5">
        <f>[1]Results!O439</f>
        <v>5.4876413079999997</v>
      </c>
      <c r="M245" s="5">
        <f>[1]Results!P439</f>
        <v>5.579664009</v>
      </c>
      <c r="N245" s="5">
        <f>[1]Results!Q439</f>
        <v>5.671520213</v>
      </c>
      <c r="O245" s="5">
        <f>[1]Results!R439</f>
        <v>5.7642180239999998</v>
      </c>
      <c r="P245" s="5">
        <f>[1]Results!S439</f>
        <v>5.8578144620000003</v>
      </c>
      <c r="Q245" s="5">
        <f>[1]Results!T439</f>
        <v>5.9522154670000003</v>
      </c>
      <c r="R245" s="5">
        <f>[1]Results!U439</f>
        <v>6.0473505789999997</v>
      </c>
      <c r="S245" s="5">
        <f>[1]Results!V439</f>
        <v>6.1431971130000003</v>
      </c>
      <c r="T245" s="5">
        <f>[1]Results!W439</f>
        <v>6.2397721449999999</v>
      </c>
      <c r="U245" s="5">
        <f>[1]Results!X439</f>
        <v>6.3371204580000002</v>
      </c>
      <c r="V245" s="5">
        <f>[1]Results!Y439</f>
        <v>6.4353045179999997</v>
      </c>
      <c r="W245" s="5">
        <f>[1]Results!Z439</f>
        <v>6.5306901320000001</v>
      </c>
      <c r="X245" s="5">
        <f>[1]Results!AA439</f>
        <v>6.6286546739999999</v>
      </c>
      <c r="Y245" s="5">
        <f>[1]Results!AB439</f>
        <v>6.7283058200000001</v>
      </c>
      <c r="Z245" s="5">
        <f>[1]Results!AC439</f>
        <v>6.8295040910000004</v>
      </c>
      <c r="AA245" s="5">
        <f>[1]Results!AD439</f>
        <v>6.9322594579999999</v>
      </c>
      <c r="AB245" s="5">
        <f>[1]Results!AE439</f>
        <v>7.0258803670000001</v>
      </c>
      <c r="AC245" s="5">
        <f>[1]Results!AF439</f>
        <v>7.1206103570000003</v>
      </c>
      <c r="AD245" s="5">
        <f>[1]Results!AG439</f>
        <v>7.2157772400000004</v>
      </c>
      <c r="AE245" s="5">
        <f>[1]Results!AH439</f>
        <v>7.3115759440000003</v>
      </c>
      <c r="AF245" s="5">
        <f>[1]Results!AI439</f>
        <v>7.4083459999999999</v>
      </c>
      <c r="AG245" s="5">
        <f>[1]Results!AJ439</f>
        <v>7.506391196</v>
      </c>
      <c r="AH245" s="5">
        <f>[1]Results!AK439</f>
        <v>7.6059430240000001</v>
      </c>
      <c r="AI245" s="5">
        <f>[1]Results!AL439</f>
        <v>7.707162962</v>
      </c>
      <c r="AJ245" s="5">
        <f>[1]Results!AM439</f>
        <v>7.8101549280000002</v>
      </c>
      <c r="AK245" s="5">
        <f>[1]Results!AN439</f>
        <v>7.9149793610000003</v>
      </c>
      <c r="AL245" s="5">
        <f>[1]Results!AO439</f>
        <v>8.0216660409999996</v>
      </c>
      <c r="AM245" s="5">
        <f>[1]Results!AP439</f>
        <v>8.1276290420000006</v>
      </c>
      <c r="AN245" s="5">
        <f>[1]Results!AQ439</f>
        <v>8.2339534580000002</v>
      </c>
      <c r="AO245" s="5">
        <f>[1]Results!AR439</f>
        <v>8.3410495640000004</v>
      </c>
      <c r="AP245" s="5">
        <f>[1]Results!AS439</f>
        <v>8.4491758620000006</v>
      </c>
      <c r="AQ245" s="5">
        <f>[1]Results!AT439</f>
        <v>8.5585446760000004</v>
      </c>
      <c r="AR245" s="5">
        <f>[1]Results!AU439</f>
        <v>8.6693354639999995</v>
      </c>
      <c r="AS245" s="5">
        <f>[1]Results!AV439</f>
        <v>8.7816934189999998</v>
      </c>
      <c r="AT245" s="5">
        <f>[1]Results!AW439</f>
        <v>8.8957294640000004</v>
      </c>
      <c r="AU245" s="5">
        <f>[1]Results!AX439</f>
        <v>9.0115234809999993</v>
      </c>
      <c r="AV245" s="5">
        <f>[1]Results!AY439</f>
        <v>9.1291295209999994</v>
      </c>
      <c r="AW245" s="5">
        <f>[1]Results!AZ439</f>
        <v>9.2488160490000002</v>
      </c>
      <c r="AX245" s="5">
        <f>[1]Results!BA439</f>
        <v>9.3705138570000006</v>
      </c>
      <c r="AY245" s="5">
        <f>[1]Results!BB439</f>
        <v>9.4942086470000007</v>
      </c>
      <c r="AZ245" s="5">
        <f>[1]Results!BC439</f>
        <v>9.6198788670000006</v>
      </c>
      <c r="BA245" s="5">
        <f>[1]Results!BD439</f>
        <v>9.7475017400000006</v>
      </c>
      <c r="BB245" s="5">
        <f>[1]Results!BE439</f>
        <v>10.78471672</v>
      </c>
      <c r="BC245" s="5">
        <f>[1]Results!BF439</f>
        <v>10.958941790000001</v>
      </c>
      <c r="BD245" s="5">
        <f>[1]Results!BG439</f>
        <v>11.13593225</v>
      </c>
      <c r="BE245" s="5">
        <f>[1]Results!BH439</f>
        <v>11.315761910000001</v>
      </c>
      <c r="BF245" s="5">
        <f>[1]Results!BI439</f>
        <v>11.498509670000001</v>
      </c>
    </row>
    <row r="246" spans="1:58" x14ac:dyDescent="0.35">
      <c r="B246" t="s">
        <v>30</v>
      </c>
      <c r="C246" s="5">
        <f>[1]Results!F451</f>
        <v>44.244008669999999</v>
      </c>
      <c r="D246" s="5">
        <f>[1]Results!G451</f>
        <v>44.769815780000002</v>
      </c>
      <c r="E246" s="5">
        <f>[1]Results!H451</f>
        <v>45.353067879999998</v>
      </c>
      <c r="F246" s="5">
        <f>[1]Results!I451</f>
        <v>45.991688310000001</v>
      </c>
      <c r="G246" s="5">
        <f>[1]Results!J451</f>
        <v>46.683978740000001</v>
      </c>
      <c r="H246" s="5">
        <f>[1]Results!K451</f>
        <v>47.42537514</v>
      </c>
      <c r="I246" s="5">
        <f>[1]Results!L451</f>
        <v>48.179204900000002</v>
      </c>
      <c r="J246" s="5">
        <f>[1]Results!M451</f>
        <v>48.95718368</v>
      </c>
      <c r="K246" s="5">
        <f>[1]Results!N451</f>
        <v>49.757438270000002</v>
      </c>
      <c r="L246" s="5">
        <f>[1]Results!O451</f>
        <v>50.576470350000001</v>
      </c>
      <c r="M246" s="5">
        <f>[1]Results!P451</f>
        <v>51.464484419999998</v>
      </c>
      <c r="N246" s="5">
        <f>[1]Results!Q451</f>
        <v>52.333025550000002</v>
      </c>
      <c r="O246" s="5">
        <f>[1]Results!R451</f>
        <v>53.20541807</v>
      </c>
      <c r="P246" s="5">
        <f>[1]Results!S451</f>
        <v>54.084782140000002</v>
      </c>
      <c r="Q246" s="5">
        <f>[1]Results!T451</f>
        <v>54.971196980000002</v>
      </c>
      <c r="R246" s="5">
        <f>[1]Results!U451</f>
        <v>55.864593290000002</v>
      </c>
      <c r="S246" s="5">
        <f>[1]Results!V451</f>
        <v>56.765192829999997</v>
      </c>
      <c r="T246" s="5">
        <f>[1]Results!W451</f>
        <v>57.673515639999998</v>
      </c>
      <c r="U246" s="5">
        <f>[1]Results!X451</f>
        <v>58.5903128</v>
      </c>
      <c r="V246" s="5">
        <f>[1]Results!Y451</f>
        <v>59.516491940000002</v>
      </c>
      <c r="W246" s="5">
        <f>[1]Results!Z451</f>
        <v>60.413300239999998</v>
      </c>
      <c r="X246" s="5">
        <f>[1]Results!AA451</f>
        <v>61.345848240000002</v>
      </c>
      <c r="Y246" s="5">
        <f>[1]Results!AB451</f>
        <v>62.296504030000001</v>
      </c>
      <c r="Z246" s="5">
        <f>[1]Results!AC451</f>
        <v>63.263019219999997</v>
      </c>
      <c r="AA246" s="5">
        <f>[1]Results!AD451</f>
        <v>64.24565054</v>
      </c>
      <c r="AB246" s="5">
        <f>[1]Results!AE451</f>
        <v>65.130067479999994</v>
      </c>
      <c r="AC246" s="5">
        <f>[1]Results!AF451</f>
        <v>66.047222950000005</v>
      </c>
      <c r="AD246" s="5">
        <f>[1]Results!AG451</f>
        <v>66.976295669999999</v>
      </c>
      <c r="AE246" s="5">
        <f>[1]Results!AH451</f>
        <v>67.915770940000002</v>
      </c>
      <c r="AF246" s="5">
        <f>[1]Results!AI451</f>
        <v>68.867155010000005</v>
      </c>
      <c r="AG246" s="5">
        <f>[1]Results!AJ451</f>
        <v>69.832134830000001</v>
      </c>
      <c r="AH246" s="5">
        <f>[1]Results!AK451</f>
        <v>70.812064410000005</v>
      </c>
      <c r="AI246" s="5">
        <f>[1]Results!AL451</f>
        <v>71.807892289999998</v>
      </c>
      <c r="AJ246" s="5">
        <f>[1]Results!AM451</f>
        <v>72.820190299999993</v>
      </c>
      <c r="AK246" s="5">
        <f>[1]Results!AN451</f>
        <v>73.849212980000004</v>
      </c>
      <c r="AL246" s="5">
        <f>[1]Results!AO451</f>
        <v>74.894966800000006</v>
      </c>
      <c r="AM246" s="5">
        <f>[1]Results!AP451</f>
        <v>75.929390139999995</v>
      </c>
      <c r="AN246" s="5">
        <f>[1]Results!AQ451</f>
        <v>76.968864940000003</v>
      </c>
      <c r="AO246" s="5">
        <f>[1]Results!AR451</f>
        <v>78.016891310000005</v>
      </c>
      <c r="AP246" s="5">
        <f>[1]Results!AS451</f>
        <v>79.074750640000005</v>
      </c>
      <c r="AQ246" s="5">
        <f>[1]Results!AT451</f>
        <v>80.143301070000007</v>
      </c>
      <c r="AR246" s="5">
        <f>[1]Results!AU451</f>
        <v>81.223257180000004</v>
      </c>
      <c r="AS246" s="5">
        <f>[1]Results!AV451</f>
        <v>82.315217090000004</v>
      </c>
      <c r="AT246" s="5">
        <f>[1]Results!AW451</f>
        <v>83.419659240000001</v>
      </c>
      <c r="AU246" s="5">
        <f>[1]Results!AX451</f>
        <v>84.536947380000001</v>
      </c>
      <c r="AV246" s="5">
        <f>[1]Results!AY451</f>
        <v>85.667348390000001</v>
      </c>
      <c r="AW246" s="5">
        <f>[1]Results!AZ451</f>
        <v>86.813606890000003</v>
      </c>
      <c r="AX246" s="5">
        <f>[1]Results!BA451</f>
        <v>87.974380490000001</v>
      </c>
      <c r="AY246" s="5">
        <f>[1]Results!BB451</f>
        <v>89.149470109999996</v>
      </c>
      <c r="AZ246" s="5">
        <f>[1]Results!BC451</f>
        <v>90.338799100000003</v>
      </c>
      <c r="BA246" s="5">
        <f>[1]Results!BD451</f>
        <v>91.542314680000004</v>
      </c>
      <c r="BB246" s="5">
        <f>[1]Results!BE451</f>
        <v>101.9694488</v>
      </c>
      <c r="BC246" s="5">
        <f>[1]Results!BF451</f>
        <v>103.7202384</v>
      </c>
      <c r="BD246" s="5">
        <f>[1]Results!BG451</f>
        <v>105.4971243</v>
      </c>
      <c r="BE246" s="5">
        <f>[1]Results!BH451</f>
        <v>107.30059749999999</v>
      </c>
      <c r="BF246" s="5">
        <f>[1]Results!BI451</f>
        <v>109.13117939999999</v>
      </c>
    </row>
    <row r="247" spans="1:58" x14ac:dyDescent="0.35">
      <c r="B247" t="s">
        <v>28</v>
      </c>
      <c r="C247" s="5">
        <f>[1]Results!F427</f>
        <v>26.37987115</v>
      </c>
      <c r="D247" s="5">
        <f>[1]Results!G427</f>
        <v>26.68954651</v>
      </c>
      <c r="E247" s="5">
        <f>[1]Results!H427</f>
        <v>27.01817612</v>
      </c>
      <c r="F247" s="5">
        <f>[1]Results!I427</f>
        <v>27.368658140000001</v>
      </c>
      <c r="G247" s="5">
        <f>[1]Results!J427</f>
        <v>27.741209659999999</v>
      </c>
      <c r="H247" s="5">
        <f>[1]Results!K427</f>
        <v>28.134008099999999</v>
      </c>
      <c r="I247" s="5">
        <f>[1]Results!L427</f>
        <v>28.52873383</v>
      </c>
      <c r="J247" s="5">
        <f>[1]Results!M427</f>
        <v>28.931914150000001</v>
      </c>
      <c r="K247" s="5">
        <f>[1]Results!N427</f>
        <v>29.343819929999999</v>
      </c>
      <c r="L247" s="5">
        <f>[1]Results!O427</f>
        <v>29.763610629999999</v>
      </c>
      <c r="M247" s="5">
        <f>[1]Results!P427</f>
        <v>30.217983719999999</v>
      </c>
      <c r="N247" s="5">
        <f>[1]Results!Q427</f>
        <v>30.66237564</v>
      </c>
      <c r="O247" s="5">
        <f>[1]Results!R427</f>
        <v>31.107693279999999</v>
      </c>
      <c r="P247" s="5">
        <f>[1]Results!S427</f>
        <v>31.555929559999999</v>
      </c>
      <c r="Q247" s="5">
        <f>[1]Results!T427</f>
        <v>32.007439150000003</v>
      </c>
      <c r="R247" s="5">
        <f>[1]Results!U427</f>
        <v>32.462404919999997</v>
      </c>
      <c r="S247" s="5">
        <f>[1]Results!V427</f>
        <v>32.921099069999997</v>
      </c>
      <c r="T247" s="5">
        <f>[1]Results!W427</f>
        <v>33.383893200000003</v>
      </c>
      <c r="U247" s="5">
        <f>[1]Results!X427</f>
        <v>33.8512226</v>
      </c>
      <c r="V247" s="5">
        <f>[1]Results!Y427</f>
        <v>34.323550640000001</v>
      </c>
      <c r="W247" s="5">
        <f>[1]Results!Z427</f>
        <v>34.780851669999997</v>
      </c>
      <c r="X247" s="5">
        <f>[1]Results!AA427</f>
        <v>35.256059569999998</v>
      </c>
      <c r="Y247" s="5">
        <f>[1]Results!AB427</f>
        <v>35.741056260000001</v>
      </c>
      <c r="Z247" s="5">
        <f>[1]Results!AC427</f>
        <v>36.234440220000003</v>
      </c>
      <c r="AA247" s="5">
        <f>[1]Results!AD427</f>
        <v>36.736105350000003</v>
      </c>
      <c r="AB247" s="5">
        <f>[1]Results!AE427</f>
        <v>37.186976510000001</v>
      </c>
      <c r="AC247" s="5">
        <f>[1]Results!AF427</f>
        <v>37.652840150000003</v>
      </c>
      <c r="AD247" s="5">
        <f>[1]Results!AG427</f>
        <v>38.125171440000003</v>
      </c>
      <c r="AE247" s="5">
        <f>[1]Results!AH427</f>
        <v>38.603413750000001</v>
      </c>
      <c r="AF247" s="5">
        <f>[1]Results!AI427</f>
        <v>39.088421279999999</v>
      </c>
      <c r="AG247" s="5">
        <f>[1]Results!AJ427</f>
        <v>39.581094669999999</v>
      </c>
      <c r="AH247" s="5">
        <f>[1]Results!AK427</f>
        <v>40.082111329999996</v>
      </c>
      <c r="AI247" s="5">
        <f>[1]Results!AL427</f>
        <v>40.591904800000002</v>
      </c>
      <c r="AJ247" s="5">
        <f>[1]Results!AM427</f>
        <v>41.110705830000001</v>
      </c>
      <c r="AK247" s="5">
        <f>[1]Results!AN427</f>
        <v>41.63859626</v>
      </c>
      <c r="AL247" s="5">
        <f>[1]Results!AO427</f>
        <v>42.175559499999999</v>
      </c>
      <c r="AM247" s="5">
        <f>[1]Results!AP427</f>
        <v>42.707177549999997</v>
      </c>
      <c r="AN247" s="5">
        <f>[1]Results!AQ427</f>
        <v>43.241588360000002</v>
      </c>
      <c r="AO247" s="5">
        <f>[1]Results!AR427</f>
        <v>43.781027950000002</v>
      </c>
      <c r="AP247" s="5">
        <f>[1]Results!AS427</f>
        <v>44.326505830000002</v>
      </c>
      <c r="AQ247" s="5">
        <f>[1]Results!AT427</f>
        <v>44.878725410000001</v>
      </c>
      <c r="AR247" s="5">
        <f>[1]Results!AU427</f>
        <v>45.438246909999997</v>
      </c>
      <c r="AS247" s="5">
        <f>[1]Results!AV427</f>
        <v>46.00550913</v>
      </c>
      <c r="AT247" s="5">
        <f>[1]Results!AW427</f>
        <v>46.580835880000002</v>
      </c>
      <c r="AU247" s="5">
        <f>[1]Results!AX427</f>
        <v>47.164449439999999</v>
      </c>
      <c r="AV247" s="5">
        <f>[1]Results!AY427</f>
        <v>47.756491279999999</v>
      </c>
      <c r="AW247" s="5">
        <f>[1]Results!AZ427</f>
        <v>48.358352050000001</v>
      </c>
      <c r="AX247" s="5">
        <f>[1]Results!BA427</f>
        <v>48.969339869999999</v>
      </c>
      <c r="AY247" s="5">
        <f>[1]Results!BB427</f>
        <v>49.589280049999999</v>
      </c>
      <c r="AZ247" s="5">
        <f>[1]Results!BC427</f>
        <v>50.218076879999998</v>
      </c>
      <c r="BA247" s="5">
        <f>[1]Results!BD427</f>
        <v>50.855660739999998</v>
      </c>
      <c r="BB247" s="5">
        <f>[1]Results!BE427</f>
        <v>55.493589890000003</v>
      </c>
      <c r="BC247" s="5">
        <f>[1]Results!BF427</f>
        <v>56.373474880000003</v>
      </c>
      <c r="BD247" s="5">
        <f>[1]Results!BG427</f>
        <v>57.26841727</v>
      </c>
      <c r="BE247" s="5">
        <f>[1]Results!BH427</f>
        <v>58.178734579999997</v>
      </c>
      <c r="BF247" s="5">
        <f>[1]Results!BI427</f>
        <v>59.104750869999997</v>
      </c>
    </row>
    <row r="248" spans="1:58" x14ac:dyDescent="0.35">
      <c r="B248" t="s">
        <v>10</v>
      </c>
      <c r="C248" s="5">
        <f>[1]Results!F463</f>
        <v>22.503358890000001</v>
      </c>
      <c r="D248" s="5">
        <f>[1]Results!G463</f>
        <v>22.774689129999999</v>
      </c>
      <c r="E248" s="5">
        <f>[1]Results!H463</f>
        <v>23.068699509999998</v>
      </c>
      <c r="F248" s="5">
        <f>[1]Results!I463</f>
        <v>23.389413189999999</v>
      </c>
      <c r="G248" s="5">
        <f>[1]Results!J463</f>
        <v>23.73931249</v>
      </c>
      <c r="H248" s="5">
        <f>[1]Results!K463</f>
        <v>24.117521010000001</v>
      </c>
      <c r="I248" s="5">
        <f>[1]Results!L463</f>
        <v>24.506353659999998</v>
      </c>
      <c r="J248" s="5">
        <f>[1]Results!M463</f>
        <v>24.90974654</v>
      </c>
      <c r="K248" s="5">
        <f>[1]Results!N463</f>
        <v>25.32621091</v>
      </c>
      <c r="L248" s="5">
        <f>[1]Results!O463</f>
        <v>25.753605199999999</v>
      </c>
      <c r="M248" s="5">
        <f>[1]Results!P463</f>
        <v>26.216011760000001</v>
      </c>
      <c r="N248" s="5">
        <f>[1]Results!Q463</f>
        <v>26.672396259999999</v>
      </c>
      <c r="O248" s="5">
        <f>[1]Results!R463</f>
        <v>27.13121065</v>
      </c>
      <c r="P248" s="5">
        <f>[1]Results!S463</f>
        <v>27.593303129999999</v>
      </c>
      <c r="Q248" s="5">
        <f>[1]Results!T463</f>
        <v>28.05837249</v>
      </c>
      <c r="R248" s="5">
        <f>[1]Results!U463</f>
        <v>28.526130469999998</v>
      </c>
      <c r="S248" s="5">
        <f>[1]Results!V463</f>
        <v>28.996476489999999</v>
      </c>
      <c r="T248" s="5">
        <f>[1]Results!W463</f>
        <v>29.46948819</v>
      </c>
      <c r="U248" s="5">
        <f>[1]Results!X463</f>
        <v>29.945383440000001</v>
      </c>
      <c r="V248" s="5">
        <f>[1]Results!Y463</f>
        <v>30.424483169999998</v>
      </c>
      <c r="W248" s="5">
        <f>[1]Results!Z463</f>
        <v>30.887701979999999</v>
      </c>
      <c r="X248" s="5">
        <f>[1]Results!AA463</f>
        <v>31.365087460000002</v>
      </c>
      <c r="Y248" s="5">
        <f>[1]Results!AB463</f>
        <v>31.849861130000001</v>
      </c>
      <c r="Z248" s="5">
        <f>[1]Results!AC463</f>
        <v>32.341159419999997</v>
      </c>
      <c r="AA248" s="5">
        <f>[1]Results!AD463</f>
        <v>32.839138179999999</v>
      </c>
      <c r="AB248" s="5">
        <f>[1]Results!AE463</f>
        <v>33.287692159999999</v>
      </c>
      <c r="AC248" s="5">
        <f>[1]Results!AF463</f>
        <v>33.746018800000002</v>
      </c>
      <c r="AD248" s="5">
        <f>[1]Results!AG463</f>
        <v>34.206947800000002</v>
      </c>
      <c r="AE248" s="5">
        <f>[1]Results!AH463</f>
        <v>34.67062919</v>
      </c>
      <c r="AF248" s="5">
        <f>[1]Results!AI463</f>
        <v>35.13837796</v>
      </c>
      <c r="AG248" s="5">
        <f>[1]Results!AJ463</f>
        <v>35.611491440000002</v>
      </c>
      <c r="AH248" s="5">
        <f>[1]Results!AK463</f>
        <v>36.091023159999999</v>
      </c>
      <c r="AI248" s="5">
        <f>[1]Results!AL463</f>
        <v>36.57776294</v>
      </c>
      <c r="AJ248" s="5">
        <f>[1]Results!AM463</f>
        <v>37.07226627</v>
      </c>
      <c r="AK248" s="5">
        <f>[1]Results!AN463</f>
        <v>37.574895519999998</v>
      </c>
      <c r="AL248" s="5">
        <f>[1]Results!AO463</f>
        <v>38.085862310000003</v>
      </c>
      <c r="AM248" s="5">
        <f>[1]Results!AP463</f>
        <v>38.59161065</v>
      </c>
      <c r="AN248" s="5">
        <f>[1]Results!AQ463</f>
        <v>39.099129990000002</v>
      </c>
      <c r="AO248" s="5">
        <f>[1]Results!AR463</f>
        <v>39.61035244</v>
      </c>
      <c r="AP248" s="5">
        <f>[1]Results!AS463</f>
        <v>40.126269399999998</v>
      </c>
      <c r="AQ248" s="5">
        <f>[1]Results!AT463</f>
        <v>40.647653920000003</v>
      </c>
      <c r="AR248" s="5">
        <f>[1]Results!AU463</f>
        <v>41.175165419999999</v>
      </c>
      <c r="AS248" s="5">
        <f>[1]Results!AV463</f>
        <v>41.7093536</v>
      </c>
      <c r="AT248" s="5">
        <f>[1]Results!AW463</f>
        <v>42.250657519999997</v>
      </c>
      <c r="AU248" s="5">
        <f>[1]Results!AX463</f>
        <v>42.799413770000001</v>
      </c>
      <c r="AV248" s="5">
        <f>[1]Results!AY463</f>
        <v>43.355873610000003</v>
      </c>
      <c r="AW248" s="5">
        <f>[1]Results!AZ463</f>
        <v>43.921469680000001</v>
      </c>
      <c r="AX248" s="5">
        <f>[1]Results!BA463</f>
        <v>44.495740179999999</v>
      </c>
      <c r="AY248" s="5">
        <f>[1]Results!BB463</f>
        <v>45.078645389999998</v>
      </c>
      <c r="AZ248" s="5">
        <f>[1]Results!BC463</f>
        <v>45.670144180000001</v>
      </c>
      <c r="BA248" s="5">
        <f>[1]Results!BD463</f>
        <v>46.270179079999998</v>
      </c>
      <c r="BB248" s="5">
        <f>[1]Results!BE463</f>
        <v>51.382038950000002</v>
      </c>
      <c r="BC248" s="5">
        <f>[1]Results!BF463</f>
        <v>52.22979488</v>
      </c>
      <c r="BD248" s="5">
        <f>[1]Results!BG463</f>
        <v>53.09019361</v>
      </c>
      <c r="BE248" s="5">
        <f>[1]Results!BH463</f>
        <v>53.963593869999997</v>
      </c>
      <c r="BF248" s="5">
        <f>[1]Results!BI463</f>
        <v>54.850373390000001</v>
      </c>
    </row>
    <row r="249" spans="1:58" x14ac:dyDescent="0.35">
      <c r="B249" t="s">
        <v>25</v>
      </c>
      <c r="C249" s="5">
        <f>[1]Results!F414</f>
        <v>64.301440170000006</v>
      </c>
      <c r="D249" s="5">
        <f>[1]Results!G414</f>
        <v>64.244438380000005</v>
      </c>
      <c r="E249" s="5">
        <f>[1]Results!H414</f>
        <v>63.979054079999997</v>
      </c>
      <c r="F249" s="5">
        <f>[1]Results!I414</f>
        <v>63.707653299999997</v>
      </c>
      <c r="G249" s="5">
        <f>[1]Results!J414</f>
        <v>63.482470319999997</v>
      </c>
      <c r="H249" s="5">
        <f>[1]Results!K414</f>
        <v>63.336263119999998</v>
      </c>
      <c r="I249" s="5">
        <f>[1]Results!L414</f>
        <v>63.253989830000002</v>
      </c>
      <c r="J249" s="5">
        <f>[1]Results!M414</f>
        <v>63.23066687</v>
      </c>
      <c r="K249" s="5">
        <f>[1]Results!N414</f>
        <v>63.252706629999999</v>
      </c>
      <c r="L249" s="5">
        <f>[1]Results!O414</f>
        <v>63.306551339999999</v>
      </c>
      <c r="M249" s="5">
        <f>[1]Results!P414</f>
        <v>63.411263269999999</v>
      </c>
      <c r="N249" s="5">
        <f>[1]Results!Q414</f>
        <v>63.516182149999999</v>
      </c>
      <c r="O249" s="5">
        <f>[1]Results!R414</f>
        <v>63.624458740000001</v>
      </c>
      <c r="P249" s="5">
        <f>[1]Results!S414</f>
        <v>63.736656259999997</v>
      </c>
      <c r="Q249" s="5">
        <f>[1]Results!T414</f>
        <v>63.85238107</v>
      </c>
      <c r="R249" s="5">
        <f>[1]Results!U414</f>
        <v>63.97097728</v>
      </c>
      <c r="S249" s="5">
        <f>[1]Results!V414</f>
        <v>64.091795730000001</v>
      </c>
      <c r="T249" s="5">
        <f>[1]Results!W414</f>
        <v>64.214279070000003</v>
      </c>
      <c r="U249" s="5">
        <f>[1]Results!X414</f>
        <v>64.337974360000004</v>
      </c>
      <c r="V249" s="5">
        <f>[1]Results!Y414</f>
        <v>64.462521850000002</v>
      </c>
      <c r="W249" s="5">
        <f>[1]Results!Z414</f>
        <v>64.568139939999995</v>
      </c>
      <c r="X249" s="5">
        <f>[1]Results!AA414</f>
        <v>64.683684330000006</v>
      </c>
      <c r="Y249" s="5">
        <f>[1]Results!AB414</f>
        <v>64.803931129999995</v>
      </c>
      <c r="Z249" s="5">
        <f>[1]Results!AC414</f>
        <v>64.926449739999995</v>
      </c>
      <c r="AA249" s="5">
        <f>[1]Results!AD414</f>
        <v>65.05013744</v>
      </c>
      <c r="AB249" s="5">
        <f>[1]Results!AE414</f>
        <v>65.121098500000002</v>
      </c>
      <c r="AC249" s="5">
        <f>[1]Results!AF414</f>
        <v>65.193554039999995</v>
      </c>
      <c r="AD249" s="5">
        <f>[1]Results!AG414</f>
        <v>65.265840990000001</v>
      </c>
      <c r="AE249" s="5">
        <f>[1]Results!AH414</f>
        <v>65.337382349999999</v>
      </c>
      <c r="AF249" s="5">
        <f>[1]Results!AI414</f>
        <v>65.407923609999997</v>
      </c>
      <c r="AG249" s="5">
        <f>[1]Results!AJ414</f>
        <v>65.477597790000004</v>
      </c>
      <c r="AH249" s="5">
        <f>[1]Results!AK414</f>
        <v>65.546740810000003</v>
      </c>
      <c r="AI249" s="5">
        <f>[1]Results!AL414</f>
        <v>65.615739189999999</v>
      </c>
      <c r="AJ249" s="5">
        <f>[1]Results!AM414</f>
        <v>65.684963769999996</v>
      </c>
      <c r="AK249" s="5">
        <f>[1]Results!AN414</f>
        <v>65.754747510000001</v>
      </c>
      <c r="AL249" s="5">
        <f>[1]Results!AO414</f>
        <v>65.825383799999997</v>
      </c>
      <c r="AM249" s="5">
        <f>[1]Results!AP414</f>
        <v>65.885649060000006</v>
      </c>
      <c r="AN249" s="5">
        <f>[1]Results!AQ414</f>
        <v>65.941299139999998</v>
      </c>
      <c r="AO249" s="5">
        <f>[1]Results!AR414</f>
        <v>65.995160060000003</v>
      </c>
      <c r="AP249" s="5">
        <f>[1]Results!AS414</f>
        <v>66.048713269999993</v>
      </c>
      <c r="AQ249" s="5">
        <f>[1]Results!AT414</f>
        <v>66.102832719999995</v>
      </c>
      <c r="AR249" s="5">
        <f>[1]Results!AU414</f>
        <v>66.158104600000001</v>
      </c>
      <c r="AS249" s="5">
        <f>[1]Results!AV414</f>
        <v>66.214954680000005</v>
      </c>
      <c r="AT249" s="5">
        <f>[1]Results!AW414</f>
        <v>66.273685200000003</v>
      </c>
      <c r="AU249" s="5">
        <f>[1]Results!AX414</f>
        <v>66.334419530000005</v>
      </c>
      <c r="AV249" s="5">
        <f>[1]Results!AY414</f>
        <v>66.396860660000002</v>
      </c>
      <c r="AW249" s="5">
        <f>[1]Results!AZ414</f>
        <v>66.460017010000001</v>
      </c>
      <c r="AX249" s="5">
        <f>[1]Results!BA414</f>
        <v>66.519689</v>
      </c>
      <c r="AY249" s="5">
        <f>[1]Results!BB414</f>
        <v>66.572029330000007</v>
      </c>
      <c r="AZ249" s="5">
        <f>[1]Results!BC414</f>
        <v>66.623568579999997</v>
      </c>
      <c r="BA249" s="5">
        <f>[1]Results!BD414</f>
        <v>66.679880870000005</v>
      </c>
      <c r="BB249" s="5">
        <f>[1]Results!BE414</f>
        <v>66.181774820000001</v>
      </c>
      <c r="BC249" s="5">
        <f>[1]Results!BF414</f>
        <v>66.315964530000002</v>
      </c>
      <c r="BD249" s="5">
        <f>[1]Results!BG414</f>
        <v>66.452371409999998</v>
      </c>
      <c r="BE249" s="5">
        <f>[1]Results!BH414</f>
        <v>66.591310300000004</v>
      </c>
      <c r="BF249" s="5">
        <f>[1]Results!BI414</f>
        <v>66.732995119999998</v>
      </c>
    </row>
    <row r="250" spans="1:58" x14ac:dyDescent="0.35">
      <c r="B250" t="s">
        <v>47</v>
      </c>
      <c r="C250" s="5">
        <f>[1]Results!F415</f>
        <v>42.52087745</v>
      </c>
      <c r="D250" s="5">
        <f>[1]Results!G415</f>
        <v>42.741900170000001</v>
      </c>
      <c r="E250" s="5">
        <f>[1]Results!H415</f>
        <v>42.617083289999997</v>
      </c>
      <c r="F250" s="5">
        <f>[1]Results!I415</f>
        <v>42.393360130000005</v>
      </c>
      <c r="G250" s="5">
        <f>[1]Results!J415</f>
        <v>42.152352630000003</v>
      </c>
      <c r="H250" s="5">
        <f>[1]Results!K415</f>
        <v>41.945862579999996</v>
      </c>
      <c r="I250" s="5">
        <f>[1]Results!L415</f>
        <v>41.773744960000002</v>
      </c>
      <c r="J250" s="5">
        <f>[1]Results!M415</f>
        <v>41.639066759999999</v>
      </c>
      <c r="K250" s="5">
        <f>[1]Results!N415</f>
        <v>41.533635450000006</v>
      </c>
      <c r="L250" s="5">
        <f>[1]Results!O415</f>
        <v>41.447631289999997</v>
      </c>
      <c r="M250" s="5">
        <f>[1]Results!P415</f>
        <v>41.398385929999996</v>
      </c>
      <c r="N250" s="5">
        <f>[1]Results!Q415</f>
        <v>41.341999119999997</v>
      </c>
      <c r="O250" s="5">
        <f>[1]Results!R415</f>
        <v>41.283367030000001</v>
      </c>
      <c r="P250" s="5">
        <f>[1]Results!S415</f>
        <v>41.224530810000005</v>
      </c>
      <c r="Q250" s="5">
        <f>[1]Results!T415</f>
        <v>41.166291810000004</v>
      </c>
      <c r="R250" s="5">
        <f>[1]Results!U415</f>
        <v>41.108941479999999</v>
      </c>
      <c r="S250" s="5">
        <f>[1]Results!V415</f>
        <v>41.052575959999999</v>
      </c>
      <c r="T250" s="5">
        <f>[1]Results!W415</f>
        <v>40.997223759999997</v>
      </c>
      <c r="U250" s="5">
        <f>[1]Results!X415</f>
        <v>40.942892860000001</v>
      </c>
      <c r="V250" s="5">
        <f>[1]Results!Y415</f>
        <v>40.889585369999999</v>
      </c>
      <c r="W250" s="5">
        <f>[1]Results!Z415</f>
        <v>40.82096422</v>
      </c>
      <c r="X250" s="5">
        <f>[1]Results!AA415</f>
        <v>40.762714219999999</v>
      </c>
      <c r="Y250" s="5">
        <f>[1]Results!AB415</f>
        <v>40.70969925</v>
      </c>
      <c r="Z250" s="5">
        <f>[1]Results!AC415</f>
        <v>40.659505270000004</v>
      </c>
      <c r="AA250" s="5">
        <f>[1]Results!AD415</f>
        <v>40.611042869999999</v>
      </c>
      <c r="AB250" s="5">
        <f>[1]Results!AE415</f>
        <v>40.519311159999994</v>
      </c>
      <c r="AC250" s="5">
        <f>[1]Results!AF415</f>
        <v>40.433223229999996</v>
      </c>
      <c r="AD250" s="5">
        <f>[1]Results!AG415</f>
        <v>40.350662530000001</v>
      </c>
      <c r="AE250" s="5">
        <f>[1]Results!AH415</f>
        <v>40.270438090000006</v>
      </c>
      <c r="AF250" s="5">
        <f>[1]Results!AI415</f>
        <v>40.191665890000003</v>
      </c>
      <c r="AG250" s="5">
        <f>[1]Results!AJ415</f>
        <v>40.113902039999999</v>
      </c>
      <c r="AH250" s="5">
        <f>[1]Results!AK415</f>
        <v>40.036985469999998</v>
      </c>
      <c r="AI250" s="5">
        <f>[1]Results!AL415</f>
        <v>39.960889539999997</v>
      </c>
      <c r="AJ250" s="5">
        <f>[1]Results!AM415</f>
        <v>39.885647130000002</v>
      </c>
      <c r="AK250" s="5">
        <f>[1]Results!AN415</f>
        <v>39.811314840000001</v>
      </c>
      <c r="AL250" s="5">
        <f>[1]Results!AO415</f>
        <v>39.737957469999998</v>
      </c>
      <c r="AM250" s="5">
        <f>[1]Results!AP415</f>
        <v>39.656156590000002</v>
      </c>
      <c r="AN250" s="5">
        <f>[1]Results!AQ415</f>
        <v>39.571362289999996</v>
      </c>
      <c r="AO250" s="5">
        <f>[1]Results!AR415</f>
        <v>39.486074219999999</v>
      </c>
      <c r="AP250" s="5">
        <f>[1]Results!AS415</f>
        <v>39.401411899999999</v>
      </c>
      <c r="AQ250" s="5">
        <f>[1]Results!AT415</f>
        <v>39.31787705</v>
      </c>
      <c r="AR250" s="5">
        <f>[1]Results!AU415</f>
        <v>39.235701409999997</v>
      </c>
      <c r="AS250" s="5">
        <f>[1]Results!AV415</f>
        <v>39.154994359999996</v>
      </c>
      <c r="AT250" s="5">
        <f>[1]Results!AW415</f>
        <v>39.07579003</v>
      </c>
      <c r="AU250" s="5">
        <f>[1]Results!AX415</f>
        <v>38.997994200000001</v>
      </c>
      <c r="AV250" s="5">
        <f>[1]Results!AY415</f>
        <v>38.921139270000005</v>
      </c>
      <c r="AW250" s="5">
        <f>[1]Results!AZ415</f>
        <v>38.843935180000003</v>
      </c>
      <c r="AX250" s="5">
        <f>[1]Results!BA415</f>
        <v>38.762097600000004</v>
      </c>
      <c r="AY250" s="5">
        <f>[1]Results!BB415</f>
        <v>38.671724359999999</v>
      </c>
      <c r="AZ250" s="5">
        <f>[1]Results!BC415</f>
        <v>38.57931834</v>
      </c>
      <c r="BA250" s="5">
        <f>[1]Results!BD415</f>
        <v>38.490446509999998</v>
      </c>
      <c r="BB250" s="5">
        <f>[1]Results!BE415</f>
        <v>36.670255640000001</v>
      </c>
      <c r="BC250" s="5">
        <f>[1]Results!BF415</f>
        <v>36.60359107</v>
      </c>
      <c r="BD250" s="5">
        <f>[1]Results!BG415</f>
        <v>36.537648270000005</v>
      </c>
      <c r="BE250" s="5">
        <f>[1]Results!BH415</f>
        <v>36.472608630000003</v>
      </c>
      <c r="BF250" s="5">
        <f>[1]Results!BI415</f>
        <v>36.408537789999997</v>
      </c>
    </row>
    <row r="251" spans="1:58" x14ac:dyDescent="0.35">
      <c r="B251" t="s">
        <v>48</v>
      </c>
      <c r="C251" s="5">
        <f>[1]Results!F423</f>
        <v>21.78056273</v>
      </c>
      <c r="D251" s="5">
        <f>[1]Results!G423</f>
        <v>21.5025382</v>
      </c>
      <c r="E251" s="5">
        <f>[1]Results!H423</f>
        <v>21.361970790000001</v>
      </c>
      <c r="F251" s="5">
        <f>[1]Results!I423</f>
        <v>21.314293170000003</v>
      </c>
      <c r="G251" s="5">
        <f>[1]Results!J423</f>
        <v>21.330117690000002</v>
      </c>
      <c r="H251" s="5">
        <f>[1]Results!K423</f>
        <v>21.390400539999998</v>
      </c>
      <c r="I251" s="5">
        <f>[1]Results!L423</f>
        <v>21.48024487</v>
      </c>
      <c r="J251" s="5">
        <f>[1]Results!M423</f>
        <v>21.591600109999998</v>
      </c>
      <c r="K251" s="5">
        <f>[1]Results!N423</f>
        <v>21.71907118</v>
      </c>
      <c r="L251" s="5">
        <f>[1]Results!O423</f>
        <v>21.858920050000002</v>
      </c>
      <c r="M251" s="5">
        <f>[1]Results!P423</f>
        <v>22.012877339999999</v>
      </c>
      <c r="N251" s="5">
        <f>[1]Results!Q423</f>
        <v>22.174183030000002</v>
      </c>
      <c r="O251" s="5">
        <f>[1]Results!R423</f>
        <v>22.341091710000001</v>
      </c>
      <c r="P251" s="5">
        <f>[1]Results!S423</f>
        <v>22.51212546</v>
      </c>
      <c r="Q251" s="5">
        <f>[1]Results!T423</f>
        <v>22.686089260000003</v>
      </c>
      <c r="R251" s="5">
        <f>[1]Results!U423</f>
        <v>22.862035809999998</v>
      </c>
      <c r="S251" s="5">
        <f>[1]Results!V423</f>
        <v>23.039219769999999</v>
      </c>
      <c r="T251" s="5">
        <f>[1]Results!W423</f>
        <v>23.217055300000002</v>
      </c>
      <c r="U251" s="5">
        <f>[1]Results!X423</f>
        <v>23.3950815</v>
      </c>
      <c r="V251" s="5">
        <f>[1]Results!Y423</f>
        <v>23.572936469999998</v>
      </c>
      <c r="W251" s="5">
        <f>[1]Results!Z423</f>
        <v>23.747175719999998</v>
      </c>
      <c r="X251" s="5">
        <f>[1]Results!AA423</f>
        <v>23.920970109999999</v>
      </c>
      <c r="Y251" s="5">
        <f>[1]Results!AB423</f>
        <v>24.094231879999999</v>
      </c>
      <c r="Z251" s="5">
        <f>[1]Results!AC423</f>
        <v>24.266944479999999</v>
      </c>
      <c r="AA251" s="5">
        <f>[1]Results!AD423</f>
        <v>24.439094570000002</v>
      </c>
      <c r="AB251" s="5">
        <f>[1]Results!AE423</f>
        <v>24.601787350000002</v>
      </c>
      <c r="AC251" s="5">
        <f>[1]Results!AF423</f>
        <v>24.760330809999999</v>
      </c>
      <c r="AD251" s="5">
        <f>[1]Results!AG423</f>
        <v>24.91517846</v>
      </c>
      <c r="AE251" s="5">
        <f>[1]Results!AH423</f>
        <v>25.066944260000003</v>
      </c>
      <c r="AF251" s="5">
        <f>[1]Results!AI423</f>
        <v>25.216257719999998</v>
      </c>
      <c r="AG251" s="5">
        <f>[1]Results!AJ423</f>
        <v>25.363695750000002</v>
      </c>
      <c r="AH251" s="5">
        <f>[1]Results!AK423</f>
        <v>25.509755329999997</v>
      </c>
      <c r="AI251" s="5">
        <f>[1]Results!AL423</f>
        <v>25.654849640000002</v>
      </c>
      <c r="AJ251" s="5">
        <f>[1]Results!AM423</f>
        <v>25.799316640000001</v>
      </c>
      <c r="AK251" s="5">
        <f>[1]Results!AN423</f>
        <v>25.943432670000004</v>
      </c>
      <c r="AL251" s="5">
        <f>[1]Results!AO423</f>
        <v>26.087426319999999</v>
      </c>
      <c r="AM251" s="5">
        <f>[1]Results!AP423</f>
        <v>26.22949247</v>
      </c>
      <c r="AN251" s="5">
        <f>[1]Results!AQ423</f>
        <v>26.369936840000001</v>
      </c>
      <c r="AO251" s="5">
        <f>[1]Results!AR423</f>
        <v>26.509085850000002</v>
      </c>
      <c r="AP251" s="5">
        <f>[1]Results!AS423</f>
        <v>26.647301370000001</v>
      </c>
      <c r="AQ251" s="5">
        <f>[1]Results!AT423</f>
        <v>26.784955679999999</v>
      </c>
      <c r="AR251" s="5">
        <f>[1]Results!AU423</f>
        <v>26.922403190000001</v>
      </c>
      <c r="AS251" s="5">
        <f>[1]Results!AV423</f>
        <v>27.059960320000002</v>
      </c>
      <c r="AT251" s="5">
        <f>[1]Results!AW423</f>
        <v>27.197895160000002</v>
      </c>
      <c r="AU251" s="5">
        <f>[1]Results!AX423</f>
        <v>27.336425329999997</v>
      </c>
      <c r="AV251" s="5">
        <f>[1]Results!AY423</f>
        <v>27.47572139</v>
      </c>
      <c r="AW251" s="5">
        <f>[1]Results!AZ423</f>
        <v>27.616081829999999</v>
      </c>
      <c r="AX251" s="5">
        <f>[1]Results!BA423</f>
        <v>27.757591399999999</v>
      </c>
      <c r="AY251" s="5">
        <f>[1]Results!BB423</f>
        <v>27.90030496</v>
      </c>
      <c r="AZ251" s="5">
        <f>[1]Results!BC423</f>
        <v>28.044250229999999</v>
      </c>
      <c r="BA251" s="5">
        <f>[1]Results!BD423</f>
        <v>28.189434350000003</v>
      </c>
      <c r="BB251" s="5">
        <f>[1]Results!BE423</f>
        <v>29.511519180000001</v>
      </c>
      <c r="BC251" s="5">
        <f>[1]Results!BF423</f>
        <v>29.712373460000002</v>
      </c>
      <c r="BD251" s="5">
        <f>[1]Results!BG423</f>
        <v>29.91472314</v>
      </c>
      <c r="BE251" s="5">
        <f>[1]Results!BH423</f>
        <v>30.11870167</v>
      </c>
      <c r="BF251" s="5">
        <f>[1]Results!BI423</f>
        <v>30.324457339999999</v>
      </c>
    </row>
    <row r="253" spans="1:58" x14ac:dyDescent="0.35">
      <c r="A253" s="12" t="s">
        <v>43</v>
      </c>
      <c r="C253" s="2">
        <v>42005</v>
      </c>
      <c r="D253" s="2">
        <v>42370</v>
      </c>
      <c r="E253" s="2">
        <v>42736</v>
      </c>
      <c r="F253" s="2">
        <v>43101</v>
      </c>
      <c r="G253" s="2">
        <v>43466</v>
      </c>
      <c r="H253" s="2">
        <v>43831</v>
      </c>
      <c r="I253" s="2">
        <v>44197</v>
      </c>
      <c r="J253" s="2">
        <v>44562</v>
      </c>
      <c r="K253" s="2">
        <v>44927</v>
      </c>
      <c r="L253" s="2">
        <v>45292</v>
      </c>
      <c r="M253" s="2">
        <v>45658</v>
      </c>
      <c r="N253" s="2">
        <v>46023</v>
      </c>
      <c r="O253" s="2">
        <v>46388</v>
      </c>
      <c r="P253" s="2">
        <v>46753</v>
      </c>
      <c r="Q253" s="2">
        <v>47119</v>
      </c>
      <c r="R253" s="2">
        <v>47484</v>
      </c>
      <c r="S253" s="2">
        <v>47849</v>
      </c>
      <c r="T253" s="2">
        <v>48214</v>
      </c>
      <c r="U253" s="2">
        <v>48580</v>
      </c>
      <c r="V253" s="2">
        <v>48945</v>
      </c>
      <c r="W253" s="2">
        <v>49310</v>
      </c>
      <c r="X253" s="2">
        <v>49675</v>
      </c>
      <c r="Y253" s="2">
        <v>50041</v>
      </c>
      <c r="Z253" s="2">
        <v>50406</v>
      </c>
      <c r="AA253" s="2">
        <v>50771</v>
      </c>
      <c r="AB253" s="2">
        <v>51136</v>
      </c>
      <c r="AC253" s="2">
        <v>51502</v>
      </c>
      <c r="AD253" s="2">
        <v>51867</v>
      </c>
      <c r="AE253" s="2">
        <v>52232</v>
      </c>
      <c r="AF253" s="2">
        <v>52597</v>
      </c>
      <c r="AG253" s="2">
        <v>52963</v>
      </c>
      <c r="AH253" s="2">
        <v>53328</v>
      </c>
      <c r="AI253" s="2">
        <v>53693</v>
      </c>
      <c r="AJ253" s="2">
        <v>54058</v>
      </c>
      <c r="AK253" s="2">
        <v>54424</v>
      </c>
      <c r="AL253" s="2">
        <v>54789</v>
      </c>
      <c r="AM253" s="2">
        <v>54790</v>
      </c>
      <c r="AN253" s="2">
        <v>54791</v>
      </c>
      <c r="AO253" s="2">
        <v>54792</v>
      </c>
      <c r="AP253" s="2">
        <v>54793</v>
      </c>
      <c r="AQ253" s="2">
        <v>54794</v>
      </c>
      <c r="AR253" s="2">
        <v>54795</v>
      </c>
      <c r="AS253" s="2">
        <v>54796</v>
      </c>
      <c r="AT253" s="2">
        <v>54797</v>
      </c>
      <c r="AU253" s="2">
        <v>54798</v>
      </c>
      <c r="AV253" s="2">
        <v>54799</v>
      </c>
      <c r="AW253" s="2">
        <v>54800</v>
      </c>
      <c r="AX253" s="2">
        <v>54801</v>
      </c>
      <c r="AY253" s="2">
        <v>54802</v>
      </c>
      <c r="AZ253" s="2">
        <v>54803</v>
      </c>
      <c r="BA253" s="2">
        <v>54804</v>
      </c>
      <c r="BB253" s="2">
        <v>54805</v>
      </c>
      <c r="BC253" s="2">
        <v>54806</v>
      </c>
      <c r="BD253" s="2">
        <v>54807</v>
      </c>
      <c r="BE253" s="2">
        <v>54808</v>
      </c>
      <c r="BF253" s="2">
        <v>54809</v>
      </c>
    </row>
    <row r="254" spans="1:58" x14ac:dyDescent="0.35">
      <c r="A254" t="s">
        <v>39</v>
      </c>
      <c r="B254" t="s">
        <v>26</v>
      </c>
      <c r="C254" s="9">
        <f t="shared" ref="C254:AL254" si="138">(C235/C136)/(C244/C125)-1</f>
        <v>-5.629691866997133E-3</v>
      </c>
      <c r="D254" s="9">
        <f t="shared" si="138"/>
        <v>-9.1335630893603081E-3</v>
      </c>
      <c r="E254" s="9">
        <f t="shared" si="138"/>
        <v>-1.1020407312168912E-2</v>
      </c>
      <c r="F254" s="9">
        <f t="shared" si="138"/>
        <v>-1.2437377029682173E-2</v>
      </c>
      <c r="G254" s="9">
        <f t="shared" si="138"/>
        <v>-1.3483185093211114E-2</v>
      </c>
      <c r="H254" s="9">
        <f t="shared" si="138"/>
        <v>-1.4189599783576923E-2</v>
      </c>
      <c r="I254" s="9">
        <f t="shared" si="138"/>
        <v>-1.4621673445015748E-2</v>
      </c>
      <c r="J254" s="9">
        <f t="shared" si="138"/>
        <v>-1.4846587228022456E-2</v>
      </c>
      <c r="K254" s="9">
        <f t="shared" si="138"/>
        <v>-1.4921628623135286E-2</v>
      </c>
      <c r="L254" s="9">
        <f t="shared" si="138"/>
        <v>-1.489323730388159E-2</v>
      </c>
      <c r="M254" s="9">
        <f t="shared" si="138"/>
        <v>-1.4801306539051096E-2</v>
      </c>
      <c r="N254" s="9">
        <f t="shared" si="138"/>
        <v>-1.4689062868997182E-2</v>
      </c>
      <c r="O254" s="9">
        <f t="shared" si="138"/>
        <v>-1.4576435714035996E-2</v>
      </c>
      <c r="P254" s="9">
        <f t="shared" si="138"/>
        <v>-1.4476825763254153E-2</v>
      </c>
      <c r="Q254" s="9">
        <f t="shared" si="138"/>
        <v>-1.4404073287332064E-2</v>
      </c>
      <c r="R254" s="9">
        <f t="shared" si="138"/>
        <v>-1.4368564014034635E-2</v>
      </c>
      <c r="S254" s="9">
        <f t="shared" si="138"/>
        <v>-1.4398279370456679E-2</v>
      </c>
      <c r="T254" s="9">
        <f t="shared" si="138"/>
        <v>-1.4486333397602302E-2</v>
      </c>
      <c r="U254" s="9">
        <f t="shared" si="138"/>
        <v>-1.4626821887862462E-2</v>
      </c>
      <c r="V254" s="9">
        <f t="shared" si="138"/>
        <v>-1.4816820447715484E-2</v>
      </c>
      <c r="W254" s="9">
        <f t="shared" si="138"/>
        <v>-1.5049735023638156E-2</v>
      </c>
      <c r="X254" s="9">
        <f t="shared" si="138"/>
        <v>-1.5327011905442944E-2</v>
      </c>
      <c r="Y254" s="9">
        <f t="shared" si="138"/>
        <v>-1.5638653120349399E-2</v>
      </c>
      <c r="Z254" s="9">
        <f t="shared" si="138"/>
        <v>-1.5978819579988812E-2</v>
      </c>
      <c r="AA254" s="9">
        <f t="shared" si="138"/>
        <v>-1.634228324292919E-2</v>
      </c>
      <c r="AB254" s="9">
        <f t="shared" si="138"/>
        <v>-1.6715964315209497E-2</v>
      </c>
      <c r="AC254" s="9">
        <f t="shared" si="138"/>
        <v>-1.7103472125899355E-2</v>
      </c>
      <c r="AD254" s="9">
        <f t="shared" si="138"/>
        <v>-1.7496671509180661E-2</v>
      </c>
      <c r="AE254" s="9">
        <f t="shared" si="138"/>
        <v>-1.789203258551253E-2</v>
      </c>
      <c r="AF254" s="9">
        <f t="shared" si="138"/>
        <v>-1.8285828203547738E-2</v>
      </c>
      <c r="AG254" s="9">
        <f t="shared" si="138"/>
        <v>-1.8675253403100722E-2</v>
      </c>
      <c r="AH254" s="9">
        <f t="shared" si="138"/>
        <v>-1.9054357894176754E-2</v>
      </c>
      <c r="AI254" s="9">
        <f t="shared" si="138"/>
        <v>-1.9423686494239645E-2</v>
      </c>
      <c r="AJ254" s="9">
        <f t="shared" si="138"/>
        <v>-1.9783466041274567E-2</v>
      </c>
      <c r="AK254" s="9">
        <f t="shared" si="138"/>
        <v>-2.0133290873262655E-2</v>
      </c>
      <c r="AL254" s="9">
        <f t="shared" si="138"/>
        <v>-2.0472872539818554E-2</v>
      </c>
      <c r="AM254" s="9">
        <f t="shared" ref="AM254:BC254" si="139">(AM235/AM136)/(AM244/AM125)-1</f>
        <v>-2.0767423043394184E-2</v>
      </c>
      <c r="AN254" s="9">
        <f t="shared" si="139"/>
        <v>-2.1036698910104179E-2</v>
      </c>
      <c r="AO254" s="9">
        <f t="shared" si="139"/>
        <v>-2.1291260099163156E-2</v>
      </c>
      <c r="AP254" s="9">
        <f t="shared" si="139"/>
        <v>-2.1533733602097316E-2</v>
      </c>
      <c r="AQ254" s="9">
        <f t="shared" si="139"/>
        <v>-2.1766030947127257E-2</v>
      </c>
      <c r="AR254" s="9">
        <f t="shared" si="139"/>
        <v>-2.1985093803491118E-2</v>
      </c>
      <c r="AS254" s="9">
        <f t="shared" si="139"/>
        <v>-2.2195213341567155E-2</v>
      </c>
      <c r="AT254" s="9">
        <f t="shared" si="139"/>
        <v>-2.2399641391105396E-2</v>
      </c>
      <c r="AU254" s="9">
        <f t="shared" si="139"/>
        <v>-2.2600314734622429E-2</v>
      </c>
      <c r="AV254" s="9">
        <f t="shared" si="139"/>
        <v>-2.2798848680226524E-2</v>
      </c>
      <c r="AW254" s="9">
        <f t="shared" si="139"/>
        <v>-2.2980997392594738E-2</v>
      </c>
      <c r="AX254" s="9">
        <f t="shared" si="139"/>
        <v>-2.3155983143918646E-2</v>
      </c>
      <c r="AY254" s="9">
        <f t="shared" si="139"/>
        <v>-2.333006090736045E-2</v>
      </c>
      <c r="AZ254" s="9">
        <f t="shared" si="139"/>
        <v>-2.3505221139961119E-2</v>
      </c>
      <c r="BA254" s="9">
        <f t="shared" si="139"/>
        <v>-2.3682508983834838E-2</v>
      </c>
      <c r="BB254" s="9">
        <f t="shared" si="139"/>
        <v>1.6773189553196399E-3</v>
      </c>
      <c r="BC254" s="9">
        <f t="shared" si="139"/>
        <v>1.7224712825913979E-3</v>
      </c>
      <c r="BD254" s="9">
        <f t="shared" ref="BD254:BF254" si="140">(BD235/BD136)/(BD244/BD125)-1</f>
        <v>1.7673669112274748E-3</v>
      </c>
      <c r="BE254" s="9">
        <f t="shared" si="140"/>
        <v>1.8128581843241953E-3</v>
      </c>
      <c r="BF254" s="9">
        <f t="shared" si="140"/>
        <v>1.8593316536263949E-3</v>
      </c>
    </row>
    <row r="255" spans="1:58" x14ac:dyDescent="0.35">
      <c r="B255" t="s">
        <v>7</v>
      </c>
      <c r="C255" s="9">
        <f t="shared" ref="C255:AL255" si="141">(C236/C137)/(C245/C126)-1</f>
        <v>3.9263909028353083E-4</v>
      </c>
      <c r="D255" s="9">
        <f t="shared" si="141"/>
        <v>-2.759609624779169E-3</v>
      </c>
      <c r="E255" s="9">
        <f t="shared" si="141"/>
        <v>-4.7085102153705538E-3</v>
      </c>
      <c r="F255" s="9">
        <f t="shared" si="141"/>
        <v>-6.2743762413831616E-3</v>
      </c>
      <c r="G255" s="9">
        <f t="shared" si="141"/>
        <v>-7.5364341122621248E-3</v>
      </c>
      <c r="H255" s="9">
        <f t="shared" si="141"/>
        <v>-8.4847497693065765E-3</v>
      </c>
      <c r="I255" s="9">
        <f t="shared" si="141"/>
        <v>-9.1801425650062107E-3</v>
      </c>
      <c r="J255" s="9">
        <f t="shared" si="141"/>
        <v>-9.675865787577842E-3</v>
      </c>
      <c r="K255" s="9">
        <f t="shared" si="141"/>
        <v>-1.0017580924027492E-2</v>
      </c>
      <c r="L255" s="9">
        <f t="shared" si="141"/>
        <v>-1.0240989595726058E-2</v>
      </c>
      <c r="M255" s="9">
        <f t="shared" si="141"/>
        <v>-1.0371129071428564E-2</v>
      </c>
      <c r="N255" s="9">
        <f t="shared" si="141"/>
        <v>-1.0430722047072738E-2</v>
      </c>
      <c r="O255" s="9">
        <f t="shared" si="141"/>
        <v>-1.0451117110869101E-2</v>
      </c>
      <c r="P255" s="9">
        <f t="shared" si="141"/>
        <v>-1.0443095187601448E-2</v>
      </c>
      <c r="Q255" s="9">
        <f t="shared" si="141"/>
        <v>-1.0417732866335405E-2</v>
      </c>
      <c r="R255" s="9">
        <f t="shared" si="141"/>
        <v>-1.0384100772907079E-2</v>
      </c>
      <c r="S255" s="9">
        <f t="shared" si="141"/>
        <v>-1.0347166428392396E-2</v>
      </c>
      <c r="T255" s="9">
        <f t="shared" si="141"/>
        <v>-1.032514418353081E-2</v>
      </c>
      <c r="U255" s="9">
        <f t="shared" si="141"/>
        <v>-1.0316180706001599E-2</v>
      </c>
      <c r="V255" s="9">
        <f t="shared" si="141"/>
        <v>-1.0321015935346067E-2</v>
      </c>
      <c r="W255" s="9">
        <f t="shared" si="141"/>
        <v>-1.0341472297873633E-2</v>
      </c>
      <c r="X255" s="9">
        <f t="shared" si="141"/>
        <v>-1.0374660079710551E-2</v>
      </c>
      <c r="Y255" s="9">
        <f t="shared" si="141"/>
        <v>-1.0420550967589981E-2</v>
      </c>
      <c r="Z255" s="9">
        <f t="shared" si="141"/>
        <v>-1.0477206762789182E-2</v>
      </c>
      <c r="AA255" s="9">
        <f t="shared" si="141"/>
        <v>-1.0543406695100788E-2</v>
      </c>
      <c r="AB255" s="9">
        <f t="shared" si="141"/>
        <v>-1.0622491943133472E-2</v>
      </c>
      <c r="AC255" s="9">
        <f t="shared" si="141"/>
        <v>-1.0708221310167798E-2</v>
      </c>
      <c r="AD255" s="9">
        <f t="shared" si="141"/>
        <v>-1.0796678982968322E-2</v>
      </c>
      <c r="AE255" s="9">
        <f t="shared" si="141"/>
        <v>-1.0885920349508749E-2</v>
      </c>
      <c r="AF255" s="9">
        <f t="shared" si="141"/>
        <v>-1.0974283672459895E-2</v>
      </c>
      <c r="AG255" s="9">
        <f t="shared" si="141"/>
        <v>-1.1060610912661861E-2</v>
      </c>
      <c r="AH255" s="9">
        <f t="shared" si="141"/>
        <v>-1.1144569241036906E-2</v>
      </c>
      <c r="AI255" s="9">
        <f t="shared" si="141"/>
        <v>-1.122310972202456E-2</v>
      </c>
      <c r="AJ255" s="9">
        <f t="shared" si="141"/>
        <v>-1.1296693596424823E-2</v>
      </c>
      <c r="AK255" s="9">
        <f t="shared" si="141"/>
        <v>-1.1365210120526048E-2</v>
      </c>
      <c r="AL255" s="9">
        <f t="shared" si="141"/>
        <v>-1.1428530122561287E-2</v>
      </c>
      <c r="AM255" s="9">
        <f t="shared" ref="AM255:BC255" si="142">(AM236/AM137)/(AM245/AM126)-1</f>
        <v>-1.1491752406995404E-2</v>
      </c>
      <c r="AN255" s="9">
        <f t="shared" si="142"/>
        <v>-1.1533482939463657E-2</v>
      </c>
      <c r="AO255" s="9">
        <f t="shared" si="142"/>
        <v>-1.1562094568269732E-2</v>
      </c>
      <c r="AP255" s="9">
        <f t="shared" si="142"/>
        <v>-1.1579809339058889E-2</v>
      </c>
      <c r="AQ255" s="9">
        <f t="shared" si="142"/>
        <v>-1.1588249318204014E-2</v>
      </c>
      <c r="AR255" s="9">
        <f t="shared" si="142"/>
        <v>-1.1589683181576049E-2</v>
      </c>
      <c r="AS255" s="9">
        <f t="shared" si="142"/>
        <v>-1.1582600085998207E-2</v>
      </c>
      <c r="AT255" s="9">
        <f t="shared" si="142"/>
        <v>-1.1569684120965928E-2</v>
      </c>
      <c r="AU255" s="9">
        <f t="shared" si="142"/>
        <v>-1.1552730351417462E-2</v>
      </c>
      <c r="AV255" s="9">
        <f t="shared" si="142"/>
        <v>-1.1533566206231916E-2</v>
      </c>
      <c r="AW255" s="9">
        <f t="shared" si="142"/>
        <v>-1.1517115637407871E-2</v>
      </c>
      <c r="AX255" s="9">
        <f t="shared" si="142"/>
        <v>-1.1494960232268703E-2</v>
      </c>
      <c r="AY255" s="9">
        <f t="shared" si="142"/>
        <v>-1.1471372461269502E-2</v>
      </c>
      <c r="AZ255" s="9">
        <f t="shared" si="142"/>
        <v>-1.1447617263490861E-2</v>
      </c>
      <c r="BA255" s="9">
        <f t="shared" si="142"/>
        <v>-1.1424402883191243E-2</v>
      </c>
      <c r="BB255" s="9">
        <f t="shared" si="142"/>
        <v>1.5159107040098263E-2</v>
      </c>
      <c r="BC255" s="9">
        <f t="shared" si="142"/>
        <v>1.5598909604015443E-2</v>
      </c>
      <c r="BD255" s="9">
        <f t="shared" ref="BD255:BF255" si="143">(BD236/BD137)/(BD245/BD126)-1</f>
        <v>1.6031975680400157E-2</v>
      </c>
      <c r="BE255" s="9">
        <f t="shared" si="143"/>
        <v>1.6460824759982229E-2</v>
      </c>
      <c r="BF255" s="9">
        <f t="shared" si="143"/>
        <v>1.6887081515647218E-2</v>
      </c>
    </row>
    <row r="256" spans="1:58" x14ac:dyDescent="0.35">
      <c r="B256" t="s">
        <v>30</v>
      </c>
      <c r="C256" s="9">
        <f t="shared" ref="C256:AL256" si="144">(C237/C138)/(C246/C127)-1</f>
        <v>-4.0355903168252105E-3</v>
      </c>
      <c r="D256" s="9">
        <f t="shared" si="144"/>
        <v>-8.7230708759472586E-3</v>
      </c>
      <c r="E256" s="9">
        <f t="shared" si="144"/>
        <v>-1.0960142210934887E-2</v>
      </c>
      <c r="F256" s="9">
        <f t="shared" si="144"/>
        <v>-1.2561699364826651E-2</v>
      </c>
      <c r="G256" s="9">
        <f t="shared" si="144"/>
        <v>-1.3679425392815414E-2</v>
      </c>
      <c r="H256" s="9">
        <f t="shared" si="144"/>
        <v>-1.4345330446711713E-2</v>
      </c>
      <c r="I256" s="9">
        <f t="shared" si="144"/>
        <v>-1.4631035906774836E-2</v>
      </c>
      <c r="J256" s="9">
        <f t="shared" si="144"/>
        <v>-1.4618018622057249E-2</v>
      </c>
      <c r="K256" s="9">
        <f t="shared" si="144"/>
        <v>-1.4380042176627583E-2</v>
      </c>
      <c r="L256" s="9">
        <f t="shared" si="144"/>
        <v>-1.39797127039335E-2</v>
      </c>
      <c r="M256" s="9">
        <f t="shared" si="144"/>
        <v>-1.3466657658354975E-2</v>
      </c>
      <c r="N256" s="9">
        <f t="shared" si="144"/>
        <v>-1.2901507034306925E-2</v>
      </c>
      <c r="O256" s="9">
        <f t="shared" si="144"/>
        <v>-1.2318836467689276E-2</v>
      </c>
      <c r="P256" s="9">
        <f t="shared" si="144"/>
        <v>-1.1738843557502765E-2</v>
      </c>
      <c r="Q256" s="9">
        <f t="shared" si="144"/>
        <v>-1.1183226665928081E-2</v>
      </c>
      <c r="R256" s="9">
        <f t="shared" si="144"/>
        <v>-1.0669146842778421E-2</v>
      </c>
      <c r="S256" s="9">
        <f t="shared" si="144"/>
        <v>-1.0223612333984833E-2</v>
      </c>
      <c r="T256" s="9">
        <f t="shared" si="144"/>
        <v>-9.8552965403765347E-3</v>
      </c>
      <c r="U256" s="9">
        <f t="shared" si="144"/>
        <v>-9.5588785375063656E-3</v>
      </c>
      <c r="V256" s="9">
        <f t="shared" si="144"/>
        <v>-9.3335702171828405E-3</v>
      </c>
      <c r="W256" s="9">
        <f t="shared" si="144"/>
        <v>-9.1773551855769409E-3</v>
      </c>
      <c r="X256" s="9">
        <f t="shared" si="144"/>
        <v>-9.0846764243427414E-3</v>
      </c>
      <c r="Y256" s="9">
        <f t="shared" si="144"/>
        <v>-9.0508084709224335E-3</v>
      </c>
      <c r="Z256" s="9">
        <f t="shared" si="144"/>
        <v>-9.0693628626264955E-3</v>
      </c>
      <c r="AA256" s="9">
        <f t="shared" si="144"/>
        <v>-9.134534835507413E-3</v>
      </c>
      <c r="AB256" s="9">
        <f t="shared" si="144"/>
        <v>-9.2413564200714005E-3</v>
      </c>
      <c r="AC256" s="9">
        <f t="shared" si="144"/>
        <v>-9.3766109348949467E-3</v>
      </c>
      <c r="AD256" s="9">
        <f t="shared" si="144"/>
        <v>-9.5359146739191214E-3</v>
      </c>
      <c r="AE256" s="9">
        <f t="shared" si="144"/>
        <v>-9.7154959723572132E-3</v>
      </c>
      <c r="AF256" s="9">
        <f t="shared" si="144"/>
        <v>-9.9107865118022165E-3</v>
      </c>
      <c r="AG256" s="9">
        <f t="shared" si="144"/>
        <v>-1.011822940679119E-2</v>
      </c>
      <c r="AH256" s="9">
        <f t="shared" si="144"/>
        <v>-1.0332402042913857E-2</v>
      </c>
      <c r="AI256" s="9">
        <f t="shared" si="144"/>
        <v>-1.0551259316576078E-2</v>
      </c>
      <c r="AJ256" s="9">
        <f t="shared" si="144"/>
        <v>-1.0774988867800595E-2</v>
      </c>
      <c r="AK256" s="9">
        <f t="shared" si="144"/>
        <v>-1.1002695450988309E-2</v>
      </c>
      <c r="AL256" s="9">
        <f t="shared" si="144"/>
        <v>-1.1233570888103506E-2</v>
      </c>
      <c r="AM256" s="9">
        <f t="shared" ref="AM256:BC256" si="145">(AM237/AM138)/(AM246/AM127)-1</f>
        <v>-1.1444190172434698E-2</v>
      </c>
      <c r="AN256" s="9">
        <f t="shared" si="145"/>
        <v>-1.1634040052248662E-2</v>
      </c>
      <c r="AO256" s="9">
        <f t="shared" si="145"/>
        <v>-1.1818190106121396E-2</v>
      </c>
      <c r="AP256" s="9">
        <f t="shared" si="145"/>
        <v>-1.1999740122929592E-2</v>
      </c>
      <c r="AQ256" s="9">
        <f t="shared" si="145"/>
        <v>-1.218080540903943E-2</v>
      </c>
      <c r="AR256" s="9">
        <f t="shared" si="145"/>
        <v>-1.2359999635821128E-2</v>
      </c>
      <c r="AS256" s="9">
        <f t="shared" si="145"/>
        <v>-1.2539321155936589E-2</v>
      </c>
      <c r="AT256" s="9">
        <f t="shared" si="145"/>
        <v>-1.2722702317953916E-2</v>
      </c>
      <c r="AU256" s="9">
        <f t="shared" si="145"/>
        <v>-1.2912072220975457E-2</v>
      </c>
      <c r="AV256" s="9">
        <f t="shared" si="145"/>
        <v>-1.310886094464303E-2</v>
      </c>
      <c r="AW256" s="9">
        <f t="shared" si="145"/>
        <v>-1.3302932904129872E-2</v>
      </c>
      <c r="AX256" s="9">
        <f t="shared" si="145"/>
        <v>-1.3495374066683108E-2</v>
      </c>
      <c r="AY256" s="9">
        <f t="shared" si="145"/>
        <v>-1.3693901639966977E-2</v>
      </c>
      <c r="AZ256" s="9">
        <f t="shared" si="145"/>
        <v>-1.3900522484578959E-2</v>
      </c>
      <c r="BA256" s="9">
        <f t="shared" si="145"/>
        <v>-1.4116095182834409E-2</v>
      </c>
      <c r="BB256" s="9">
        <f t="shared" si="145"/>
        <v>1.6425488298359436E-3</v>
      </c>
      <c r="BC256" s="9">
        <f t="shared" si="145"/>
        <v>1.6519665940082362E-3</v>
      </c>
      <c r="BD256" s="9">
        <f t="shared" ref="BD256:BF256" si="146">(BD237/BD138)/(BD246/BD127)-1</f>
        <v>1.6577395388683858E-3</v>
      </c>
      <c r="BE256" s="9">
        <f t="shared" si="146"/>
        <v>1.6609277976322723E-3</v>
      </c>
      <c r="BF256" s="9">
        <f t="shared" si="146"/>
        <v>1.6621310827849012E-3</v>
      </c>
    </row>
    <row r="257" spans="1:58" x14ac:dyDescent="0.35">
      <c r="B257" t="s">
        <v>28</v>
      </c>
      <c r="C257" s="9">
        <f t="shared" ref="C257:AL257" si="147">(C238/C139)/(C247/C128)-1</f>
        <v>6.0691032657982369E-3</v>
      </c>
      <c r="D257" s="9">
        <f t="shared" si="147"/>
        <v>3.835716362968089E-3</v>
      </c>
      <c r="E257" s="9">
        <f t="shared" si="147"/>
        <v>3.2059289978714212E-3</v>
      </c>
      <c r="F257" s="9">
        <f t="shared" si="147"/>
        <v>2.8844893769965907E-3</v>
      </c>
      <c r="G257" s="9">
        <f t="shared" si="147"/>
        <v>2.6777492336000908E-3</v>
      </c>
      <c r="H257" s="9">
        <f t="shared" si="147"/>
        <v>2.5542487175085338E-3</v>
      </c>
      <c r="I257" s="9">
        <f t="shared" si="147"/>
        <v>2.5071879501423755E-3</v>
      </c>
      <c r="J257" s="9">
        <f t="shared" si="147"/>
        <v>2.5164636087255943E-3</v>
      </c>
      <c r="K257" s="9">
        <f t="shared" si="147"/>
        <v>2.5722487397934479E-3</v>
      </c>
      <c r="L257" s="9">
        <f t="shared" si="147"/>
        <v>2.665448636143708E-3</v>
      </c>
      <c r="M257" s="9">
        <f t="shared" si="147"/>
        <v>2.7897321250252016E-3</v>
      </c>
      <c r="N257" s="9">
        <f t="shared" si="147"/>
        <v>2.9584573943790549E-3</v>
      </c>
      <c r="O257" s="9">
        <f t="shared" si="147"/>
        <v>3.1345675936900186E-3</v>
      </c>
      <c r="P257" s="9">
        <f t="shared" si="147"/>
        <v>3.319674883258239E-3</v>
      </c>
      <c r="Q257" s="9">
        <f t="shared" si="147"/>
        <v>3.5114024386859732E-3</v>
      </c>
      <c r="R257" s="9">
        <f t="shared" si="147"/>
        <v>3.7071680100297932E-3</v>
      </c>
      <c r="S257" s="9">
        <f t="shared" si="147"/>
        <v>3.9268468468092177E-3</v>
      </c>
      <c r="T257" s="9">
        <f t="shared" si="147"/>
        <v>4.1363302741319607E-3</v>
      </c>
      <c r="U257" s="9">
        <f t="shared" si="147"/>
        <v>4.3409693978406771E-3</v>
      </c>
      <c r="V257" s="9">
        <f t="shared" si="147"/>
        <v>4.541046254439296E-3</v>
      </c>
      <c r="W257" s="9">
        <f t="shared" si="147"/>
        <v>4.7349026771983382E-3</v>
      </c>
      <c r="X257" s="9">
        <f t="shared" si="147"/>
        <v>4.9252961392920458E-3</v>
      </c>
      <c r="Y257" s="9">
        <f t="shared" si="147"/>
        <v>5.1098974039240908E-3</v>
      </c>
      <c r="Z257" s="9">
        <f t="shared" si="147"/>
        <v>5.2893287365525232E-3</v>
      </c>
      <c r="AA257" s="9">
        <f t="shared" si="147"/>
        <v>5.4636269418897321E-3</v>
      </c>
      <c r="AB257" s="9">
        <f t="shared" si="147"/>
        <v>5.6287579171119262E-3</v>
      </c>
      <c r="AC257" s="9">
        <f t="shared" si="147"/>
        <v>5.7859323847209154E-3</v>
      </c>
      <c r="AD257" s="9">
        <f t="shared" si="147"/>
        <v>5.9419156336384393E-3</v>
      </c>
      <c r="AE257" s="9">
        <f t="shared" si="147"/>
        <v>6.0957494415696534E-3</v>
      </c>
      <c r="AF257" s="9">
        <f t="shared" si="147"/>
        <v>6.2473768093374016E-3</v>
      </c>
      <c r="AG257" s="9">
        <f t="shared" si="147"/>
        <v>6.3968850553173251E-3</v>
      </c>
      <c r="AH257" s="9">
        <f t="shared" si="147"/>
        <v>6.540294751378628E-3</v>
      </c>
      <c r="AI257" s="9">
        <f t="shared" si="147"/>
        <v>6.6836400996519441E-3</v>
      </c>
      <c r="AJ257" s="9">
        <f t="shared" si="147"/>
        <v>6.8258087200243622E-3</v>
      </c>
      <c r="AK257" s="9">
        <f t="shared" si="147"/>
        <v>6.9666914167898497E-3</v>
      </c>
      <c r="AL257" s="9">
        <f t="shared" si="147"/>
        <v>7.1063493215834939E-3</v>
      </c>
      <c r="AM257" s="9">
        <f t="shared" ref="AM257:BC257" si="148">(AM238/AM139)/(AM247/AM128)-1</f>
        <v>7.2101581455366048E-3</v>
      </c>
      <c r="AN257" s="9">
        <f t="shared" si="148"/>
        <v>7.3291537556472441E-3</v>
      </c>
      <c r="AO257" s="9">
        <f t="shared" si="148"/>
        <v>7.4522229870384038E-3</v>
      </c>
      <c r="AP257" s="9">
        <f t="shared" si="148"/>
        <v>7.5772712465189684E-3</v>
      </c>
      <c r="AQ257" s="9">
        <f t="shared" si="148"/>
        <v>7.703573524952656E-3</v>
      </c>
      <c r="AR257" s="9">
        <f t="shared" si="148"/>
        <v>7.8255273953695692E-3</v>
      </c>
      <c r="AS257" s="9">
        <f t="shared" si="148"/>
        <v>7.9499849009827539E-3</v>
      </c>
      <c r="AT257" s="9">
        <f t="shared" si="148"/>
        <v>8.074950069472342E-3</v>
      </c>
      <c r="AU257" s="9">
        <f t="shared" si="148"/>
        <v>8.1997079032762876E-3</v>
      </c>
      <c r="AV257" s="9">
        <f t="shared" si="148"/>
        <v>8.3237856142601707E-3</v>
      </c>
      <c r="AW257" s="9">
        <f t="shared" si="148"/>
        <v>8.4307062962125645E-3</v>
      </c>
      <c r="AX257" s="9">
        <f t="shared" si="148"/>
        <v>8.5432192647216798E-3</v>
      </c>
      <c r="AY257" s="9">
        <f t="shared" si="148"/>
        <v>8.6560991811766019E-3</v>
      </c>
      <c r="AZ257" s="9">
        <f t="shared" si="148"/>
        <v>8.768097379513895E-3</v>
      </c>
      <c r="BA257" s="9">
        <f t="shared" si="148"/>
        <v>8.8787036141899645E-3</v>
      </c>
      <c r="BB257" s="9">
        <f t="shared" si="148"/>
        <v>1.3127601447533443E-3</v>
      </c>
      <c r="BC257" s="9">
        <f t="shared" si="148"/>
        <v>1.3568681449920295E-3</v>
      </c>
      <c r="BD257" s="9">
        <f t="shared" ref="BD257:BF257" si="149">(BD238/BD139)/(BD247/BD128)-1</f>
        <v>1.4005014999880494E-3</v>
      </c>
      <c r="BE257" s="9">
        <f t="shared" si="149"/>
        <v>1.4438554644697899E-3</v>
      </c>
      <c r="BF257" s="9">
        <f t="shared" si="149"/>
        <v>1.4870524614551961E-3</v>
      </c>
    </row>
    <row r="258" spans="1:58" x14ac:dyDescent="0.35">
      <c r="B258" t="s">
        <v>10</v>
      </c>
      <c r="C258" s="9">
        <f t="shared" ref="C258:AL258" si="150">(C239/C140)/(C248/C129)-1</f>
        <v>-1.0169392717485071E-4</v>
      </c>
      <c r="D258" s="9">
        <f t="shared" si="150"/>
        <v>-3.5217543404016949E-3</v>
      </c>
      <c r="E258" s="9">
        <f t="shared" si="150"/>
        <v>-6.4496993195060082E-3</v>
      </c>
      <c r="F258" s="9">
        <f t="shared" si="150"/>
        <v>-8.8496740776586869E-3</v>
      </c>
      <c r="G258" s="9">
        <f t="shared" si="150"/>
        <v>-1.0634558696931529E-2</v>
      </c>
      <c r="H258" s="9">
        <f t="shared" si="150"/>
        <v>-1.1838101261004819E-2</v>
      </c>
      <c r="I258" s="9">
        <f t="shared" si="150"/>
        <v>-1.2562402051850996E-2</v>
      </c>
      <c r="J258" s="9">
        <f t="shared" si="150"/>
        <v>-1.2925108137316954E-2</v>
      </c>
      <c r="K258" s="9">
        <f t="shared" si="150"/>
        <v>-1.3021678424733674E-2</v>
      </c>
      <c r="L258" s="9">
        <f t="shared" si="150"/>
        <v>-1.2925859519898886E-2</v>
      </c>
      <c r="M258" s="9">
        <f t="shared" si="150"/>
        <v>-1.2692115519904124E-2</v>
      </c>
      <c r="N258" s="9">
        <f t="shared" si="150"/>
        <v>-1.2366552812786202E-2</v>
      </c>
      <c r="O258" s="9">
        <f t="shared" si="150"/>
        <v>-1.2001252058301826E-2</v>
      </c>
      <c r="P258" s="9">
        <f t="shared" si="150"/>
        <v>-1.1623804379728875E-2</v>
      </c>
      <c r="Q258" s="9">
        <f t="shared" si="150"/>
        <v>-1.1256272243791221E-2</v>
      </c>
      <c r="R258" s="9">
        <f t="shared" si="150"/>
        <v>-1.0915184564663893E-2</v>
      </c>
      <c r="S258" s="9">
        <f t="shared" si="150"/>
        <v>-1.0612720860873393E-2</v>
      </c>
      <c r="T258" s="9">
        <f t="shared" si="150"/>
        <v>-1.0367759827755396E-2</v>
      </c>
      <c r="U258" s="9">
        <f t="shared" si="150"/>
        <v>-1.0181616724552645E-2</v>
      </c>
      <c r="V258" s="9">
        <f t="shared" si="150"/>
        <v>-1.0053127749123147E-2</v>
      </c>
      <c r="W258" s="9">
        <f t="shared" si="150"/>
        <v>-9.9801529068090922E-3</v>
      </c>
      <c r="X258" s="9">
        <f t="shared" si="150"/>
        <v>-9.9574028217980226E-3</v>
      </c>
      <c r="Y258" s="9">
        <f t="shared" si="150"/>
        <v>-9.9768250773614175E-3</v>
      </c>
      <c r="Z258" s="9">
        <f t="shared" si="150"/>
        <v>-1.0032763823944801E-2</v>
      </c>
      <c r="AA258" s="9">
        <f t="shared" si="150"/>
        <v>-1.0119706499252312E-2</v>
      </c>
      <c r="AB258" s="9">
        <f t="shared" si="150"/>
        <v>-1.0235868531962455E-2</v>
      </c>
      <c r="AC258" s="9">
        <f t="shared" si="150"/>
        <v>-1.0375805682754091E-2</v>
      </c>
      <c r="AD258" s="9">
        <f t="shared" si="150"/>
        <v>-1.0525084995949174E-2</v>
      </c>
      <c r="AE258" s="9">
        <f t="shared" si="150"/>
        <v>-1.0678333844863497E-2</v>
      </c>
      <c r="AF258" s="9">
        <f t="shared" si="150"/>
        <v>-1.0831183813444056E-2</v>
      </c>
      <c r="AG258" s="9">
        <f t="shared" si="150"/>
        <v>-1.098059411092478E-2</v>
      </c>
      <c r="AH258" s="9">
        <f t="shared" si="150"/>
        <v>-1.1124362594276627E-2</v>
      </c>
      <c r="AI258" s="9">
        <f t="shared" si="150"/>
        <v>-1.1258867332567757E-2</v>
      </c>
      <c r="AJ258" s="9">
        <f t="shared" si="150"/>
        <v>-1.1383367284606316E-2</v>
      </c>
      <c r="AK258" s="9">
        <f t="shared" si="150"/>
        <v>-1.1497316786478806E-2</v>
      </c>
      <c r="AL258" s="9">
        <f t="shared" si="150"/>
        <v>-1.1600400731927807E-2</v>
      </c>
      <c r="AM258" s="9">
        <f t="shared" ref="AM258:BC258" si="151">(AM239/AM140)/(AM248/AM129)-1</f>
        <v>-1.169284485279376E-2</v>
      </c>
      <c r="AN258" s="9">
        <f t="shared" si="151"/>
        <v>-1.175827775550653E-2</v>
      </c>
      <c r="AO258" s="9">
        <f t="shared" si="151"/>
        <v>-1.1800290123896717E-2</v>
      </c>
      <c r="AP258" s="9">
        <f t="shared" si="151"/>
        <v>-1.1822147934617777E-2</v>
      </c>
      <c r="AQ258" s="9">
        <f t="shared" si="151"/>
        <v>-1.1827459471978718E-2</v>
      </c>
      <c r="AR258" s="9">
        <f t="shared" si="151"/>
        <v>-1.1819728471543223E-2</v>
      </c>
      <c r="AS258" s="9">
        <f t="shared" si="151"/>
        <v>-1.1799735757290208E-2</v>
      </c>
      <c r="AT258" s="9">
        <f t="shared" si="151"/>
        <v>-1.1771040517124298E-2</v>
      </c>
      <c r="AU258" s="9">
        <f t="shared" si="151"/>
        <v>-1.1736790885128023E-2</v>
      </c>
      <c r="AV258" s="9">
        <f t="shared" si="151"/>
        <v>-1.1699815712644002E-2</v>
      </c>
      <c r="AW258" s="9">
        <f t="shared" si="151"/>
        <v>-1.1662295279805668E-2</v>
      </c>
      <c r="AX258" s="9">
        <f t="shared" si="151"/>
        <v>-1.1618500357953532E-2</v>
      </c>
      <c r="AY258" s="9">
        <f t="shared" si="151"/>
        <v>-1.1572544334110701E-2</v>
      </c>
      <c r="AZ258" s="9">
        <f t="shared" si="151"/>
        <v>-1.1527827667898949E-2</v>
      </c>
      <c r="BA258" s="9">
        <f t="shared" si="151"/>
        <v>-1.1486862035932188E-2</v>
      </c>
      <c r="BB258" s="9">
        <f t="shared" si="151"/>
        <v>1.3385524583131581E-3</v>
      </c>
      <c r="BC258" s="9">
        <f t="shared" si="151"/>
        <v>1.407900504426296E-3</v>
      </c>
      <c r="BD258" s="9">
        <f t="shared" ref="BD258:BF258" si="152">(BD239/BD140)/(BD248/BD129)-1</f>
        <v>1.4798966020035387E-3</v>
      </c>
      <c r="BE258" s="9">
        <f t="shared" si="152"/>
        <v>1.55543731404717E-3</v>
      </c>
      <c r="BF258" s="9">
        <f t="shared" si="152"/>
        <v>1.6347815718924519E-3</v>
      </c>
    </row>
    <row r="259" spans="1:58" x14ac:dyDescent="0.35">
      <c r="B259" t="s">
        <v>25</v>
      </c>
      <c r="C259" s="9">
        <f t="shared" ref="C259:AL259" si="153">(C240/C59)/(C249/C58)-1</f>
        <v>5.6845320887455308E-3</v>
      </c>
      <c r="D259" s="9">
        <f t="shared" si="153"/>
        <v>1.2159434183638185E-2</v>
      </c>
      <c r="E259" s="9">
        <f t="shared" si="153"/>
        <v>1.8123142677860749E-2</v>
      </c>
      <c r="F259" s="9">
        <f t="shared" si="153"/>
        <v>2.3251140420937233E-2</v>
      </c>
      <c r="G259" s="9">
        <f t="shared" si="153"/>
        <v>2.7650392861712225E-2</v>
      </c>
      <c r="H259" s="9">
        <f t="shared" si="153"/>
        <v>3.0918543206276183E-2</v>
      </c>
      <c r="I259" s="9">
        <f t="shared" si="153"/>
        <v>3.3444654571878729E-2</v>
      </c>
      <c r="J259" s="9">
        <f t="shared" si="153"/>
        <v>3.5405367234484508E-2</v>
      </c>
      <c r="K259" s="9">
        <f t="shared" si="153"/>
        <v>3.6945962528835974E-2</v>
      </c>
      <c r="L259" s="9">
        <f t="shared" si="153"/>
        <v>3.8184135367755445E-2</v>
      </c>
      <c r="M259" s="9">
        <f t="shared" si="153"/>
        <v>3.9194545040278195E-2</v>
      </c>
      <c r="N259" s="9">
        <f t="shared" si="153"/>
        <v>4.0081033898226703E-2</v>
      </c>
      <c r="O259" s="9">
        <f t="shared" si="153"/>
        <v>4.0882251941176451E-2</v>
      </c>
      <c r="P259" s="9">
        <f t="shared" si="153"/>
        <v>4.1622124309104169E-2</v>
      </c>
      <c r="Q259" s="9">
        <f t="shared" si="153"/>
        <v>4.2311865344351718E-2</v>
      </c>
      <c r="R259" s="9">
        <f t="shared" si="153"/>
        <v>4.2955941950723497E-2</v>
      </c>
      <c r="S259" s="9">
        <f t="shared" si="153"/>
        <v>4.3579707558419223E-2</v>
      </c>
      <c r="T259" s="9">
        <f t="shared" si="153"/>
        <v>4.4192905355697087E-2</v>
      </c>
      <c r="U259" s="9">
        <f t="shared" si="153"/>
        <v>4.4800202435743675E-2</v>
      </c>
      <c r="V259" s="9">
        <f t="shared" si="153"/>
        <v>4.5405825927086196E-2</v>
      </c>
      <c r="W259" s="9">
        <f t="shared" si="153"/>
        <v>4.6022696612733505E-2</v>
      </c>
      <c r="X259" s="9">
        <f t="shared" si="153"/>
        <v>4.6638195103092084E-2</v>
      </c>
      <c r="Y259" s="9">
        <f t="shared" si="153"/>
        <v>4.7260537336279329E-2</v>
      </c>
      <c r="Z259" s="9">
        <f t="shared" si="153"/>
        <v>4.7894647206297769E-2</v>
      </c>
      <c r="AA259" s="9">
        <f t="shared" si="153"/>
        <v>4.8543195723182997E-2</v>
      </c>
      <c r="AB259" s="9">
        <f t="shared" si="153"/>
        <v>4.9232060476392725E-2</v>
      </c>
      <c r="AC259" s="9">
        <f t="shared" si="153"/>
        <v>4.9918717784109168E-2</v>
      </c>
      <c r="AD259" s="9">
        <f t="shared" si="153"/>
        <v>5.0604830138204937E-2</v>
      </c>
      <c r="AE259" s="9">
        <f t="shared" si="153"/>
        <v>5.1289810160447757E-2</v>
      </c>
      <c r="AF259" s="9">
        <f t="shared" si="153"/>
        <v>5.1974584121192269E-2</v>
      </c>
      <c r="AG259" s="9">
        <f t="shared" si="153"/>
        <v>5.2659326525971384E-2</v>
      </c>
      <c r="AH259" s="9">
        <f t="shared" si="153"/>
        <v>5.3339888498515453E-2</v>
      </c>
      <c r="AI259" s="9">
        <f t="shared" si="153"/>
        <v>5.4014671607919951E-2</v>
      </c>
      <c r="AJ259" s="9">
        <f t="shared" si="153"/>
        <v>5.4682688361587628E-2</v>
      </c>
      <c r="AK259" s="9">
        <f t="shared" si="153"/>
        <v>5.5342970492015864E-2</v>
      </c>
      <c r="AL259" s="9">
        <f t="shared" si="153"/>
        <v>5.5994284029348584E-2</v>
      </c>
      <c r="AM259" s="9">
        <f t="shared" ref="AM259:BC259" si="154">(AM240/AM59)/(AM249/AM58)-1</f>
        <v>5.6613329081846908E-2</v>
      </c>
      <c r="AN259" s="9">
        <f t="shared" si="154"/>
        <v>5.7191286707538591E-2</v>
      </c>
      <c r="AO259" s="9">
        <f t="shared" si="154"/>
        <v>5.7730168322850606E-2</v>
      </c>
      <c r="AP259" s="9">
        <f t="shared" si="154"/>
        <v>5.8235032583123569E-2</v>
      </c>
      <c r="AQ259" s="9">
        <f t="shared" si="154"/>
        <v>5.8711165398078746E-2</v>
      </c>
      <c r="AR259" s="9">
        <f t="shared" si="154"/>
        <v>5.9159052490183495E-2</v>
      </c>
      <c r="AS259" s="9">
        <f t="shared" si="154"/>
        <v>5.9582184961836093E-2</v>
      </c>
      <c r="AT259" s="9">
        <f t="shared" si="154"/>
        <v>5.9984888485386634E-2</v>
      </c>
      <c r="AU259" s="9">
        <f t="shared" si="154"/>
        <v>6.037153757416247E-2</v>
      </c>
      <c r="AV259" s="9">
        <f t="shared" si="154"/>
        <v>6.0751903528152518E-2</v>
      </c>
      <c r="AW259" s="9">
        <f t="shared" si="154"/>
        <v>6.1146671011281351E-2</v>
      </c>
      <c r="AX259" s="9">
        <f t="shared" si="154"/>
        <v>6.1617624983679953E-2</v>
      </c>
      <c r="AY259" s="9">
        <f t="shared" si="154"/>
        <v>6.2226809861882115E-2</v>
      </c>
      <c r="AZ259" s="9">
        <f t="shared" si="154"/>
        <v>6.2871921623286919E-2</v>
      </c>
      <c r="BA259" s="9">
        <f t="shared" si="154"/>
        <v>6.3465687746960153E-2</v>
      </c>
      <c r="BB259" s="9">
        <f t="shared" si="154"/>
        <v>-2.7084014241802401E-2</v>
      </c>
      <c r="BC259" s="9">
        <f t="shared" si="154"/>
        <v>-2.7558168482025747E-2</v>
      </c>
      <c r="BD259" s="9">
        <f t="shared" ref="BD259:BF259" si="155">(BD240/BD59)/(BD249/BD58)-1</f>
        <v>-2.8016455654708561E-2</v>
      </c>
      <c r="BE259" s="9">
        <f t="shared" si="155"/>
        <v>-2.846402495120226E-2</v>
      </c>
      <c r="BF259" s="9">
        <f t="shared" si="155"/>
        <v>-2.8902146350103797E-2</v>
      </c>
    </row>
    <row r="260" spans="1:58" x14ac:dyDescent="0.35">
      <c r="B260" t="s">
        <v>47</v>
      </c>
      <c r="C260" s="9">
        <f t="shared" ref="C260:AL260" si="156">(C241/C59)/(C250/C58)-1</f>
        <v>5.6845320887455308E-3</v>
      </c>
      <c r="D260" s="9">
        <f t="shared" si="156"/>
        <v>1.2470366459652826E-2</v>
      </c>
      <c r="E260" s="9">
        <f t="shared" si="156"/>
        <v>1.9062495242479605E-2</v>
      </c>
      <c r="F260" s="9">
        <f t="shared" si="156"/>
        <v>2.504127166797887E-2</v>
      </c>
      <c r="G260" s="9">
        <f t="shared" si="156"/>
        <v>3.0498101579077286E-2</v>
      </c>
      <c r="H260" s="9">
        <f t="shared" si="156"/>
        <v>3.4718803344748306E-2</v>
      </c>
      <c r="I260" s="9">
        <f t="shared" si="156"/>
        <v>3.8173599576603934E-2</v>
      </c>
      <c r="J260" s="9">
        <f t="shared" si="156"/>
        <v>4.1033428566287222E-2</v>
      </c>
      <c r="K260" s="9">
        <f t="shared" si="156"/>
        <v>4.3438464133130905E-2</v>
      </c>
      <c r="L260" s="9">
        <f t="shared" si="156"/>
        <v>4.5504672760263265E-2</v>
      </c>
      <c r="M260" s="9">
        <f t="shared" si="156"/>
        <v>4.7300353175615539E-2</v>
      </c>
      <c r="N260" s="9">
        <f t="shared" si="156"/>
        <v>4.8939870384194117E-2</v>
      </c>
      <c r="O260" s="9">
        <f t="shared" si="156"/>
        <v>5.0463049608811872E-2</v>
      </c>
      <c r="P260" s="9">
        <f t="shared" si="156"/>
        <v>5.1895645579885352E-2</v>
      </c>
      <c r="Q260" s="9">
        <f t="shared" si="156"/>
        <v>5.3248660031727679E-2</v>
      </c>
      <c r="R260" s="9">
        <f t="shared" si="156"/>
        <v>5.4525316465083407E-2</v>
      </c>
      <c r="S260" s="9">
        <f t="shared" si="156"/>
        <v>5.5755212722861103E-2</v>
      </c>
      <c r="T260" s="9">
        <f t="shared" si="156"/>
        <v>5.6951579434995958E-2</v>
      </c>
      <c r="U260" s="9">
        <f t="shared" si="156"/>
        <v>5.8122210681004205E-2</v>
      </c>
      <c r="V260" s="9">
        <f t="shared" si="156"/>
        <v>5.9274765728461132E-2</v>
      </c>
      <c r="W260" s="9">
        <f t="shared" si="156"/>
        <v>6.043150751259363E-2</v>
      </c>
      <c r="X260" s="9">
        <f t="shared" si="156"/>
        <v>6.1573052539645401E-2</v>
      </c>
      <c r="Y260" s="9">
        <f t="shared" si="156"/>
        <v>6.2712913194249431E-2</v>
      </c>
      <c r="Z260" s="9">
        <f t="shared" si="156"/>
        <v>6.3859916746907608E-2</v>
      </c>
      <c r="AA260" s="9">
        <f t="shared" si="156"/>
        <v>6.5019750636801543E-2</v>
      </c>
      <c r="AB260" s="9">
        <f t="shared" si="156"/>
        <v>6.6240278681834797E-2</v>
      </c>
      <c r="AC260" s="9">
        <f t="shared" si="156"/>
        <v>6.7455822476831573E-2</v>
      </c>
      <c r="AD260" s="9">
        <f t="shared" si="156"/>
        <v>6.8670410360575085E-2</v>
      </c>
      <c r="AE260" s="9">
        <f t="shared" si="156"/>
        <v>6.9883777330134178E-2</v>
      </c>
      <c r="AF260" s="9">
        <f t="shared" si="156"/>
        <v>7.1098470406430581E-2</v>
      </c>
      <c r="AG260" s="9">
        <f t="shared" si="156"/>
        <v>7.2316119565643655E-2</v>
      </c>
      <c r="AH260" s="9">
        <f t="shared" si="156"/>
        <v>7.3533045607795611E-2</v>
      </c>
      <c r="AI260" s="9">
        <f t="shared" si="156"/>
        <v>7.4748290937189488E-2</v>
      </c>
      <c r="AJ260" s="9">
        <f t="shared" si="156"/>
        <v>7.5961423348316348E-2</v>
      </c>
      <c r="AK260" s="9">
        <f t="shared" si="156"/>
        <v>7.7171892082181781E-2</v>
      </c>
      <c r="AL260" s="9">
        <f t="shared" si="156"/>
        <v>7.8378641941086125E-2</v>
      </c>
      <c r="AM260" s="9">
        <f t="shared" ref="AM260:BC260" si="157">(AM241/AM59)/(AM250/AM58)-1</f>
        <v>7.9559585857280402E-2</v>
      </c>
      <c r="AN260" s="9">
        <f t="shared" si="157"/>
        <v>8.0701179049698535E-2</v>
      </c>
      <c r="AO260" s="9">
        <f t="shared" si="157"/>
        <v>8.1803815899348153E-2</v>
      </c>
      <c r="AP260" s="9">
        <f t="shared" si="157"/>
        <v>8.2872192349123575E-2</v>
      </c>
      <c r="AQ260" s="9">
        <f t="shared" si="157"/>
        <v>8.3911751355118191E-2</v>
      </c>
      <c r="AR260" s="9">
        <f t="shared" si="157"/>
        <v>8.4922714070443606E-2</v>
      </c>
      <c r="AS260" s="9">
        <f t="shared" si="157"/>
        <v>8.5909193380336424E-2</v>
      </c>
      <c r="AT260" s="9">
        <f t="shared" si="157"/>
        <v>8.6876917118267949E-2</v>
      </c>
      <c r="AU260" s="9">
        <f t="shared" si="157"/>
        <v>8.783237065834526E-2</v>
      </c>
      <c r="AV260" s="9">
        <f t="shared" si="157"/>
        <v>8.8792164291815023E-2</v>
      </c>
      <c r="AW260" s="9">
        <f t="shared" si="157"/>
        <v>8.9800210253901724E-2</v>
      </c>
      <c r="AX260" s="9">
        <f t="shared" si="157"/>
        <v>9.0967204152707426E-2</v>
      </c>
      <c r="AY260" s="9">
        <f t="shared" si="157"/>
        <v>9.2404119486338532E-2</v>
      </c>
      <c r="AZ260" s="9">
        <f t="shared" si="157"/>
        <v>9.3931605614121727E-2</v>
      </c>
      <c r="BA260" s="9">
        <f t="shared" si="157"/>
        <v>9.5394820805428271E-2</v>
      </c>
      <c r="BB260" s="9">
        <f t="shared" si="157"/>
        <v>-5.0104351290258475E-2</v>
      </c>
      <c r="BC260" s="9">
        <f t="shared" si="157"/>
        <v>-5.1237477600364012E-2</v>
      </c>
      <c r="BD260" s="9">
        <f t="shared" ref="BD260:BF260" si="158">(BD241/BD59)/(BD250/BD58)-1</f>
        <v>-5.2356795709070703E-2</v>
      </c>
      <c r="BE260" s="9">
        <f t="shared" si="158"/>
        <v>-5.3472512495467694E-2</v>
      </c>
      <c r="BF260" s="9">
        <f t="shared" si="158"/>
        <v>-5.4587788113607316E-2</v>
      </c>
    </row>
    <row r="261" spans="1:58" x14ac:dyDescent="0.35">
      <c r="B261" t="s">
        <v>48</v>
      </c>
      <c r="C261" s="9">
        <f t="shared" ref="C261:AL261" si="159">(C242/C59)/(C251/C58)-1</f>
        <v>5.6845320887455308E-3</v>
      </c>
      <c r="D261" s="9">
        <f t="shared" si="159"/>
        <v>1.1541375227924977E-2</v>
      </c>
      <c r="E261" s="9">
        <f t="shared" si="159"/>
        <v>1.6249136441330636E-2</v>
      </c>
      <c r="F261" s="9">
        <f t="shared" si="159"/>
        <v>1.9690633955603332E-2</v>
      </c>
      <c r="G261" s="9">
        <f t="shared" si="159"/>
        <v>2.2022781060105023E-2</v>
      </c>
      <c r="H261" s="9">
        <f t="shared" si="159"/>
        <v>2.3466359726191044E-2</v>
      </c>
      <c r="I261" s="9">
        <f t="shared" si="159"/>
        <v>2.424802976079321E-2</v>
      </c>
      <c r="J261" s="9">
        <f t="shared" si="159"/>
        <v>2.4551738030053283E-2</v>
      </c>
      <c r="K261" s="9">
        <f t="shared" si="159"/>
        <v>2.4530275294491366E-2</v>
      </c>
      <c r="L261" s="9">
        <f t="shared" si="159"/>
        <v>2.4303351962386754E-2</v>
      </c>
      <c r="M261" s="9">
        <f t="shared" si="159"/>
        <v>2.3950405991436163E-2</v>
      </c>
      <c r="N261" s="9">
        <f t="shared" si="159"/>
        <v>2.3564438463274273E-2</v>
      </c>
      <c r="O261" s="9">
        <f t="shared" si="159"/>
        <v>2.3178211237825153E-2</v>
      </c>
      <c r="P261" s="9">
        <f t="shared" si="159"/>
        <v>2.2809102618936983E-2</v>
      </c>
      <c r="Q261" s="9">
        <f t="shared" si="159"/>
        <v>2.2465902630962375E-2</v>
      </c>
      <c r="R261" s="9">
        <f t="shared" si="159"/>
        <v>2.2152687865844012E-2</v>
      </c>
      <c r="S261" s="9">
        <f t="shared" si="159"/>
        <v>2.1884708526139329E-2</v>
      </c>
      <c r="T261" s="9">
        <f t="shared" si="159"/>
        <v>2.1663338237510654E-2</v>
      </c>
      <c r="U261" s="9">
        <f t="shared" si="159"/>
        <v>2.1485833718296377E-2</v>
      </c>
      <c r="V261" s="9">
        <f t="shared" si="159"/>
        <v>2.1348781177173315E-2</v>
      </c>
      <c r="W261" s="9">
        <f t="shared" si="159"/>
        <v>2.1254211653289445E-2</v>
      </c>
      <c r="X261" s="9">
        <f t="shared" si="159"/>
        <v>2.1188335720167428E-2</v>
      </c>
      <c r="Y261" s="9">
        <f t="shared" si="159"/>
        <v>2.1152148965469797E-2</v>
      </c>
      <c r="Z261" s="9">
        <f t="shared" si="159"/>
        <v>2.1144679898408958E-2</v>
      </c>
      <c r="AA261" s="9">
        <f t="shared" si="159"/>
        <v>2.1163700299148269E-2</v>
      </c>
      <c r="AB261" s="9">
        <f t="shared" si="159"/>
        <v>2.1219408938870199E-2</v>
      </c>
      <c r="AC261" s="9">
        <f t="shared" si="159"/>
        <v>2.128090699353824E-2</v>
      </c>
      <c r="AD261" s="9">
        <f t="shared" si="159"/>
        <v>2.1347237938662555E-2</v>
      </c>
      <c r="AE261" s="9">
        <f t="shared" si="159"/>
        <v>2.1418311026458081E-2</v>
      </c>
      <c r="AF261" s="9">
        <f t="shared" si="159"/>
        <v>2.1493421665233159E-2</v>
      </c>
      <c r="AG261" s="9">
        <f t="shared" si="159"/>
        <v>2.1571164998329895E-2</v>
      </c>
      <c r="AH261" s="9">
        <f t="shared" si="159"/>
        <v>2.1647184812893405E-2</v>
      </c>
      <c r="AI261" s="9">
        <f t="shared" si="159"/>
        <v>2.1719262635832459E-2</v>
      </c>
      <c r="AJ261" s="9">
        <f t="shared" si="159"/>
        <v>2.1785843577041053E-2</v>
      </c>
      <c r="AK261" s="9">
        <f t="shared" si="159"/>
        <v>2.1845550119857338E-2</v>
      </c>
      <c r="AL261" s="9">
        <f t="shared" si="159"/>
        <v>2.1897066016714151E-2</v>
      </c>
      <c r="AM261" s="9">
        <f t="shared" ref="AM261:BC261" si="160">(AM242/AM59)/(AM251/AM58)-1</f>
        <v>2.1921069867083087E-2</v>
      </c>
      <c r="AN261" s="9">
        <f t="shared" si="160"/>
        <v>2.1911776470433741E-2</v>
      </c>
      <c r="AO261" s="9">
        <f t="shared" si="160"/>
        <v>2.1871751668736117E-2</v>
      </c>
      <c r="AP261" s="9">
        <f t="shared" si="160"/>
        <v>2.1805869775697317E-2</v>
      </c>
      <c r="AQ261" s="9">
        <f t="shared" si="160"/>
        <v>2.1718998501427667E-2</v>
      </c>
      <c r="AR261" s="9">
        <f t="shared" si="160"/>
        <v>2.1612057674845975E-2</v>
      </c>
      <c r="AS261" s="9">
        <f t="shared" si="160"/>
        <v>2.1487751195052418E-2</v>
      </c>
      <c r="AT261" s="9">
        <f t="shared" si="160"/>
        <v>2.134854374041506E-2</v>
      </c>
      <c r="AU261" s="9">
        <f t="shared" si="160"/>
        <v>2.1196063955493782E-2</v>
      </c>
      <c r="AV261" s="9">
        <f t="shared" si="160"/>
        <v>2.1031057663597919E-2</v>
      </c>
      <c r="AW261" s="9">
        <f t="shared" si="160"/>
        <v>2.0843479998541969E-2</v>
      </c>
      <c r="AX261" s="9">
        <f t="shared" si="160"/>
        <v>2.0632395542311111E-2</v>
      </c>
      <c r="AY261" s="9">
        <f t="shared" si="160"/>
        <v>2.0399001839642938E-2</v>
      </c>
      <c r="AZ261" s="9">
        <f t="shared" si="160"/>
        <v>2.0144395810824056E-2</v>
      </c>
      <c r="BA261" s="9">
        <f t="shared" si="160"/>
        <v>1.9868977974873081E-2</v>
      </c>
      <c r="BB261" s="9">
        <f t="shared" si="160"/>
        <v>1.5204652272835517E-3</v>
      </c>
      <c r="BC261" s="9">
        <f t="shared" si="160"/>
        <v>1.613104185054004E-3</v>
      </c>
      <c r="BD261" s="9">
        <f t="shared" ref="BD261:BF261" si="161">(BD242/BD59)/(BD251/BD58)-1</f>
        <v>1.7126773717413002E-3</v>
      </c>
      <c r="BE261" s="9">
        <f t="shared" si="161"/>
        <v>1.8203076413527697E-3</v>
      </c>
      <c r="BF261" s="9">
        <f t="shared" si="161"/>
        <v>1.9368770365537635E-3</v>
      </c>
    </row>
    <row r="263" spans="1:58" x14ac:dyDescent="0.35">
      <c r="A263" s="12" t="s">
        <v>21</v>
      </c>
      <c r="B263" t="s">
        <v>26</v>
      </c>
      <c r="C263" s="6">
        <f>[1]Results!F1600</f>
        <v>467592.15759999998</v>
      </c>
      <c r="D263" s="6">
        <f>[1]Results!G1600</f>
        <v>470182.75429999997</v>
      </c>
      <c r="E263" s="6">
        <f>[1]Results!H1600</f>
        <v>474335.2795</v>
      </c>
      <c r="F263" s="6">
        <f>[1]Results!I1600</f>
        <v>479418.70659999998</v>
      </c>
      <c r="G263" s="6">
        <f>[1]Results!J1600</f>
        <v>485111.41960000002</v>
      </c>
      <c r="H263" s="6">
        <f>[1]Results!K1600</f>
        <v>491258.27059999999</v>
      </c>
      <c r="I263" s="6">
        <f>[1]Results!L1600</f>
        <v>497588.15600000002</v>
      </c>
      <c r="J263" s="6">
        <f>[1]Results!M1600</f>
        <v>504115.06229999999</v>
      </c>
      <c r="K263" s="6">
        <f>[1]Results!N1600</f>
        <v>510855.6666</v>
      </c>
      <c r="L263" s="6">
        <f>[1]Results!O1600</f>
        <v>517817.72</v>
      </c>
      <c r="M263" s="6">
        <f>[1]Results!P1600</f>
        <v>525336.33499999996</v>
      </c>
      <c r="N263" s="6">
        <f>[1]Results!Q1600</f>
        <v>532971.15529999998</v>
      </c>
      <c r="O263" s="6">
        <f>[1]Results!R1600</f>
        <v>540750.11529999995</v>
      </c>
      <c r="P263" s="6">
        <f>[1]Results!S1600</f>
        <v>548696.76890000002</v>
      </c>
      <c r="Q263" s="6">
        <f>[1]Results!T1600</f>
        <v>556822.89309999999</v>
      </c>
      <c r="R263" s="6">
        <f>[1]Results!U1600</f>
        <v>565135.6433</v>
      </c>
      <c r="S263" s="6">
        <f>[1]Results!V1600</f>
        <v>573617.28899999999</v>
      </c>
      <c r="T263" s="6">
        <f>[1]Results!W1600</f>
        <v>582283.95440000005</v>
      </c>
      <c r="U263" s="6">
        <f>[1]Results!X1600</f>
        <v>591146.87600000005</v>
      </c>
      <c r="V263" s="6">
        <f>[1]Results!Y1600</f>
        <v>600213.80229999998</v>
      </c>
      <c r="W263" s="6">
        <f>[1]Results!Z1600</f>
        <v>609243.93810000003</v>
      </c>
      <c r="X263" s="6">
        <f>[1]Results!AA1600</f>
        <v>618545.90049999999</v>
      </c>
      <c r="Y263" s="6">
        <f>[1]Results!AB1600</f>
        <v>628107.15159999998</v>
      </c>
      <c r="Z263" s="6">
        <f>[1]Results!AC1600</f>
        <v>637914.14549999998</v>
      </c>
      <c r="AA263" s="6">
        <f>[1]Results!AD1600</f>
        <v>647959.64919999999</v>
      </c>
      <c r="AB263" s="6">
        <f>[1]Results!AE1600</f>
        <v>657527.43969999999</v>
      </c>
      <c r="AC263" s="6">
        <f>[1]Results!AF1600</f>
        <v>667162.11950000003</v>
      </c>
      <c r="AD263" s="6">
        <f>[1]Results!AG1600</f>
        <v>676886.60959999997</v>
      </c>
      <c r="AE263" s="6">
        <f>[1]Results!AH1600</f>
        <v>686706.58169999998</v>
      </c>
      <c r="AF263" s="6">
        <f>[1]Results!AI1600</f>
        <v>696630.05110000004</v>
      </c>
      <c r="AG263" s="6">
        <f>[1]Results!AJ1600</f>
        <v>706665.14139999996</v>
      </c>
      <c r="AH263" s="6">
        <f>[1]Results!AK1600</f>
        <v>716823.45490000001</v>
      </c>
      <c r="AI263" s="6">
        <f>[1]Results!AL1600</f>
        <v>727106.31649999996</v>
      </c>
      <c r="AJ263" s="6">
        <f>[1]Results!AM1600</f>
        <v>737513.46270000003</v>
      </c>
      <c r="AK263" s="6">
        <f>[1]Results!AN1600</f>
        <v>748043.17299999995</v>
      </c>
      <c r="AL263" s="6">
        <f>[1]Results!AO1600</f>
        <v>758692.58860000002</v>
      </c>
      <c r="AM263" s="6">
        <f>[1]Results!AP1600</f>
        <v>769333.152</v>
      </c>
      <c r="AN263" s="6">
        <f>[1]Results!AQ1600</f>
        <v>779978.82779999997</v>
      </c>
      <c r="AO263" s="6">
        <f>[1]Results!AR1600</f>
        <v>790643.64099999995</v>
      </c>
      <c r="AP263" s="6">
        <f>[1]Results!AS1600</f>
        <v>801337.96409999998</v>
      </c>
      <c r="AQ263" s="6">
        <f>[1]Results!AT1600</f>
        <v>812070.17969999998</v>
      </c>
      <c r="AR263" s="6">
        <f>[1]Results!AU1600</f>
        <v>822855.06920000003</v>
      </c>
      <c r="AS263" s="6">
        <f>[1]Results!AV1600</f>
        <v>833695.63639999996</v>
      </c>
      <c r="AT263" s="6">
        <f>[1]Results!AW1600</f>
        <v>844595.25780000002</v>
      </c>
      <c r="AU263" s="6">
        <f>[1]Results!AX1600</f>
        <v>855557.23820000002</v>
      </c>
      <c r="AV263" s="6">
        <f>[1]Results!AY1600</f>
        <v>866584.48950000003</v>
      </c>
      <c r="AW263" s="6">
        <f>[1]Results!AZ1600</f>
        <v>877721.02830000001</v>
      </c>
      <c r="AX263" s="6">
        <f>[1]Results!BA1600</f>
        <v>888955.34039999999</v>
      </c>
      <c r="AY263" s="6">
        <f>[1]Results!BB1600</f>
        <v>900281.49210000003</v>
      </c>
      <c r="AZ263" s="6">
        <f>[1]Results!BC1600</f>
        <v>911697.60019999999</v>
      </c>
      <c r="BA263" s="6">
        <f>[1]Results!BD1600</f>
        <v>923203.86899999995</v>
      </c>
      <c r="BB263" s="6">
        <f>[1]Results!BE1600</f>
        <v>1177882.68</v>
      </c>
      <c r="BC263" s="6">
        <f>[1]Results!BF1600</f>
        <v>1199509.7779999999</v>
      </c>
      <c r="BD263" s="6">
        <f>[1]Results!BG1600</f>
        <v>1221370.1200000001</v>
      </c>
      <c r="BE263" s="6">
        <f>[1]Results!BH1600</f>
        <v>1243459.7209999999</v>
      </c>
      <c r="BF263" s="6">
        <f>[1]Results!BI1600</f>
        <v>1265775.415</v>
      </c>
    </row>
    <row r="264" spans="1:58" x14ac:dyDescent="0.35">
      <c r="A264" t="s">
        <v>39</v>
      </c>
      <c r="B264" t="s">
        <v>7</v>
      </c>
      <c r="C264" s="6">
        <f>[1]Results!F1601</f>
        <v>4377.1868919999997</v>
      </c>
      <c r="D264" s="6">
        <f>[1]Results!G1601</f>
        <v>4379.4777679999997</v>
      </c>
      <c r="E264" s="6">
        <f>[1]Results!H1601</f>
        <v>4395.009376</v>
      </c>
      <c r="F264" s="6">
        <f>[1]Results!I1601</f>
        <v>4421.2197050000004</v>
      </c>
      <c r="G264" s="6">
        <f>[1]Results!J1601</f>
        <v>4456.459793</v>
      </c>
      <c r="H264" s="6">
        <f>[1]Results!K1601</f>
        <v>4499.4914980000003</v>
      </c>
      <c r="I264" s="6">
        <f>[1]Results!L1601</f>
        <v>4547.4449860000004</v>
      </c>
      <c r="J264" s="6">
        <f>[1]Results!M1601</f>
        <v>4599.8352670000004</v>
      </c>
      <c r="K264" s="6">
        <f>[1]Results!N1601</f>
        <v>4656.22336</v>
      </c>
      <c r="L264" s="6">
        <f>[1]Results!O1601</f>
        <v>4716.1466870000004</v>
      </c>
      <c r="M264" s="6">
        <f>[1]Results!P1601</f>
        <v>4782.2861439999997</v>
      </c>
      <c r="N264" s="6">
        <f>[1]Results!Q1601</f>
        <v>4850.2270280000002</v>
      </c>
      <c r="O264" s="6">
        <f>[1]Results!R1601</f>
        <v>4919.8254829999996</v>
      </c>
      <c r="P264" s="6">
        <f>[1]Results!S1601</f>
        <v>4991.0326789999999</v>
      </c>
      <c r="Q264" s="6">
        <f>[1]Results!T1601</f>
        <v>5063.7624919999998</v>
      </c>
      <c r="R264" s="6">
        <f>[1]Results!U1601</f>
        <v>5137.9403389999998</v>
      </c>
      <c r="S264" s="6">
        <f>[1]Results!V1601</f>
        <v>5213.2440269999997</v>
      </c>
      <c r="T264" s="6">
        <f>[1]Results!W1601</f>
        <v>5289.7862169999999</v>
      </c>
      <c r="U264" s="6">
        <f>[1]Results!X1601</f>
        <v>5367.629664</v>
      </c>
      <c r="V264" s="6">
        <f>[1]Results!Y1601</f>
        <v>5446.8101479999996</v>
      </c>
      <c r="W264" s="6">
        <f>[1]Results!Z1601</f>
        <v>5525.057871</v>
      </c>
      <c r="X264" s="6">
        <f>[1]Results!AA1601</f>
        <v>5605.1345149999997</v>
      </c>
      <c r="Y264" s="6">
        <f>[1]Results!AB1601</f>
        <v>5687.0303029999995</v>
      </c>
      <c r="Z264" s="6">
        <f>[1]Results!AC1601</f>
        <v>5770.6559109999998</v>
      </c>
      <c r="AA264" s="6">
        <f>[1]Results!AD1601</f>
        <v>5855.9594500000003</v>
      </c>
      <c r="AB264" s="6">
        <f>[1]Results!AE1601</f>
        <v>5936.2942309999999</v>
      </c>
      <c r="AC264" s="6">
        <f>[1]Results!AF1601</f>
        <v>6016.4740330000004</v>
      </c>
      <c r="AD264" s="6">
        <f>[1]Results!AG1601</f>
        <v>6096.9192229999999</v>
      </c>
      <c r="AE264" s="6">
        <f>[1]Results!AH1601</f>
        <v>6177.8409330000004</v>
      </c>
      <c r="AF264" s="6">
        <f>[1]Results!AI1601</f>
        <v>6259.4571599999999</v>
      </c>
      <c r="AG264" s="6">
        <f>[1]Results!AJ1601</f>
        <v>6341.9677739999997</v>
      </c>
      <c r="AH264" s="6">
        <f>[1]Results!AK1601</f>
        <v>6425.5948779999999</v>
      </c>
      <c r="AI264" s="6">
        <f>[1]Results!AL1601</f>
        <v>6510.4224679999998</v>
      </c>
      <c r="AJ264" s="6">
        <f>[1]Results!AM1601</f>
        <v>6596.5076660000004</v>
      </c>
      <c r="AK264" s="6">
        <f>[1]Results!AN1601</f>
        <v>6683.8832300000004</v>
      </c>
      <c r="AL264" s="6">
        <f>[1]Results!AO1601</f>
        <v>6772.5628839999999</v>
      </c>
      <c r="AM264" s="6">
        <f>[1]Results!AP1601</f>
        <v>6861.5120530000004</v>
      </c>
      <c r="AN264" s="6">
        <f>[1]Results!AQ1601</f>
        <v>6950.7549740000004</v>
      </c>
      <c r="AO264" s="6">
        <f>[1]Results!AR1601</f>
        <v>7040.442454</v>
      </c>
      <c r="AP264" s="6">
        <f>[1]Results!AS1601</f>
        <v>7130.73279</v>
      </c>
      <c r="AQ264" s="6">
        <f>[1]Results!AT1601</f>
        <v>7221.7736400000003</v>
      </c>
      <c r="AR264" s="6">
        <f>[1]Results!AU1601</f>
        <v>7313.7860280000004</v>
      </c>
      <c r="AS264" s="6">
        <f>[1]Results!AV1601</f>
        <v>7406.8415089999999</v>
      </c>
      <c r="AT264" s="6">
        <f>[1]Results!AW1601</f>
        <v>7501.0108440000004</v>
      </c>
      <c r="AU264" s="6">
        <f>[1]Results!AX1601</f>
        <v>7596.3552820000004</v>
      </c>
      <c r="AV264" s="6">
        <f>[1]Results!AY1601</f>
        <v>7692.9226630000003</v>
      </c>
      <c r="AW264" s="6">
        <f>[1]Results!AZ1601</f>
        <v>7791.1970309999997</v>
      </c>
      <c r="AX264" s="6">
        <f>[1]Results!BA1601</f>
        <v>7891.0439800000004</v>
      </c>
      <c r="AY264" s="6">
        <f>[1]Results!BB1601</f>
        <v>7992.3928800000003</v>
      </c>
      <c r="AZ264" s="6">
        <f>[1]Results!BC1601</f>
        <v>8095.2121930000003</v>
      </c>
      <c r="BA264" s="6">
        <f>[1]Results!BD1601</f>
        <v>8199.4860850000005</v>
      </c>
      <c r="BB264" s="6">
        <f>[1]Results!BE1601</f>
        <v>10315.183279999999</v>
      </c>
      <c r="BC264" s="6">
        <f>[1]Results!BF1601</f>
        <v>10501.124680000001</v>
      </c>
      <c r="BD264" s="6">
        <f>[1]Results!BG1601</f>
        <v>10690.10708</v>
      </c>
      <c r="BE264" s="6">
        <f>[1]Results!BH1601</f>
        <v>10882.175730000001</v>
      </c>
      <c r="BF264" s="6">
        <f>[1]Results!BI1601</f>
        <v>11077.383040000001</v>
      </c>
    </row>
    <row r="265" spans="1:58" x14ac:dyDescent="0.35">
      <c r="B265" t="s">
        <v>30</v>
      </c>
      <c r="C265" s="6">
        <f>[1]Results!F1604</f>
        <v>232025.78890000001</v>
      </c>
      <c r="D265" s="6">
        <f>[1]Results!G1604</f>
        <v>233285.99840000001</v>
      </c>
      <c r="E265" s="6">
        <f>[1]Results!H1604</f>
        <v>235405.86110000001</v>
      </c>
      <c r="F265" s="6">
        <f>[1]Results!I1604</f>
        <v>237999.73749999999</v>
      </c>
      <c r="G265" s="6">
        <f>[1]Results!J1604</f>
        <v>240872.80600000001</v>
      </c>
      <c r="H265" s="6">
        <f>[1]Results!K1604</f>
        <v>243933.40729999999</v>
      </c>
      <c r="I265" s="6">
        <f>[1]Results!L1604</f>
        <v>247056.51809999999</v>
      </c>
      <c r="J265" s="6">
        <f>[1]Results!M1604</f>
        <v>250246.4662</v>
      </c>
      <c r="K265" s="6">
        <f>[1]Results!N1604</f>
        <v>253516.43220000001</v>
      </c>
      <c r="L265" s="6">
        <f>[1]Results!O1604</f>
        <v>256878.02919999999</v>
      </c>
      <c r="M265" s="6">
        <f>[1]Results!P1604</f>
        <v>260485.4491</v>
      </c>
      <c r="N265" s="6">
        <f>[1]Results!Q1604</f>
        <v>264160.25709999999</v>
      </c>
      <c r="O265" s="6">
        <f>[1]Results!R1604</f>
        <v>267914.89860000001</v>
      </c>
      <c r="P265" s="6">
        <f>[1]Results!S1604</f>
        <v>271762.17219999997</v>
      </c>
      <c r="Q265" s="6">
        <f>[1]Results!T1604</f>
        <v>275710.7071</v>
      </c>
      <c r="R265" s="6">
        <f>[1]Results!U1604</f>
        <v>279766.93589999998</v>
      </c>
      <c r="S265" s="6">
        <f>[1]Results!V1604</f>
        <v>283923.27779999998</v>
      </c>
      <c r="T265" s="6">
        <f>[1]Results!W1604</f>
        <v>288190.60350000003</v>
      </c>
      <c r="U265" s="6">
        <f>[1]Results!X1604</f>
        <v>292576.56949999998</v>
      </c>
      <c r="V265" s="6">
        <f>[1]Results!Y1604</f>
        <v>297086.72499999998</v>
      </c>
      <c r="W265" s="6">
        <f>[1]Results!Z1604</f>
        <v>301618.20280000003</v>
      </c>
      <c r="X265" s="6">
        <f>[1]Results!AA1604</f>
        <v>306298.8971</v>
      </c>
      <c r="Y265" s="6">
        <f>[1]Results!AB1604</f>
        <v>311129.16639999999</v>
      </c>
      <c r="Z265" s="6">
        <f>[1]Results!AC1604</f>
        <v>316105.65759999998</v>
      </c>
      <c r="AA265" s="6">
        <f>[1]Results!AD1604</f>
        <v>321226.00260000001</v>
      </c>
      <c r="AB265" s="6">
        <f>[1]Results!AE1604</f>
        <v>326179.61859999999</v>
      </c>
      <c r="AC265" s="6">
        <f>[1]Results!AF1604</f>
        <v>331180.815</v>
      </c>
      <c r="AD265" s="6">
        <f>[1]Results!AG1604</f>
        <v>336241.74050000001</v>
      </c>
      <c r="AE265" s="6">
        <f>[1]Results!AH1604</f>
        <v>341364.99890000001</v>
      </c>
      <c r="AF265" s="6">
        <f>[1]Results!AI1604</f>
        <v>346552.3701</v>
      </c>
      <c r="AG265" s="6">
        <f>[1]Results!AJ1604</f>
        <v>351805.07</v>
      </c>
      <c r="AH265" s="6">
        <f>[1]Results!AK1604</f>
        <v>357126.38439999998</v>
      </c>
      <c r="AI265" s="6">
        <f>[1]Results!AL1604</f>
        <v>362514.29930000001</v>
      </c>
      <c r="AJ265" s="6">
        <f>[1]Results!AM1604</f>
        <v>367966.342</v>
      </c>
      <c r="AK265" s="6">
        <f>[1]Results!AN1604</f>
        <v>373479.49920000002</v>
      </c>
      <c r="AL265" s="6">
        <f>[1]Results!AO1604</f>
        <v>379050.29800000001</v>
      </c>
      <c r="AM265" s="6">
        <f>[1]Results!AP1604</f>
        <v>384626.20929999999</v>
      </c>
      <c r="AN265" s="6">
        <f>[1]Results!AQ1604</f>
        <v>390202.48479999998</v>
      </c>
      <c r="AO265" s="6">
        <f>[1]Results!AR1604</f>
        <v>395779.61780000001</v>
      </c>
      <c r="AP265" s="6">
        <f>[1]Results!AS1604</f>
        <v>401358.68810000003</v>
      </c>
      <c r="AQ265" s="6">
        <f>[1]Results!AT1604</f>
        <v>406940.72320000001</v>
      </c>
      <c r="AR265" s="6">
        <f>[1]Results!AU1604</f>
        <v>412530.81880000001</v>
      </c>
      <c r="AS265" s="6">
        <f>[1]Results!AV1604</f>
        <v>418127.98340000003</v>
      </c>
      <c r="AT265" s="6">
        <f>[1]Results!AW1604</f>
        <v>423731.90490000002</v>
      </c>
      <c r="AU265" s="6">
        <f>[1]Results!AX1604</f>
        <v>429342.60580000002</v>
      </c>
      <c r="AV265" s="6">
        <f>[1]Results!AY1604</f>
        <v>434960.23629999999</v>
      </c>
      <c r="AW265" s="6">
        <f>[1]Results!AZ1604</f>
        <v>440606.0428</v>
      </c>
      <c r="AX265" s="6">
        <f>[1]Results!BA1604</f>
        <v>446273.58390000003</v>
      </c>
      <c r="AY265" s="6">
        <f>[1]Results!BB1604</f>
        <v>451959.48609999998</v>
      </c>
      <c r="AZ265" s="6">
        <f>[1]Results!BC1604</f>
        <v>457662.53749999998</v>
      </c>
      <c r="BA265" s="6">
        <f>[1]Results!BD1604</f>
        <v>463382.77539999998</v>
      </c>
      <c r="BB265" s="6">
        <f>[1]Results!BE1604</f>
        <v>617742.98450000002</v>
      </c>
      <c r="BC265" s="6">
        <f>[1]Results!BF1604</f>
        <v>629611.85600000003</v>
      </c>
      <c r="BD265" s="6">
        <f>[1]Results!BG1604</f>
        <v>641570.32310000004</v>
      </c>
      <c r="BE265" s="6">
        <f>[1]Results!BH1604</f>
        <v>653612.58900000004</v>
      </c>
      <c r="BF265" s="6">
        <f>[1]Results!BI1604</f>
        <v>665733.37950000004</v>
      </c>
    </row>
    <row r="266" spans="1:58" x14ac:dyDescent="0.35">
      <c r="B266" t="s">
        <v>28</v>
      </c>
      <c r="C266" s="6">
        <f>[1]Results!F1616</f>
        <v>7840.6203820000001</v>
      </c>
      <c r="D266" s="6">
        <f>[1]Results!G1616</f>
        <v>7861.6121640000001</v>
      </c>
      <c r="E266" s="6">
        <f>[1]Results!H1616</f>
        <v>7927.6210719999999</v>
      </c>
      <c r="F266" s="6">
        <f>[1]Results!I1616</f>
        <v>8013.4765230000003</v>
      </c>
      <c r="G266" s="6">
        <f>[1]Results!J1616</f>
        <v>8110.1633499999998</v>
      </c>
      <c r="H266" s="6">
        <f>[1]Results!K1616</f>
        <v>8214.1571669999994</v>
      </c>
      <c r="I266" s="6">
        <f>[1]Results!L1616</f>
        <v>8319.5987289999994</v>
      </c>
      <c r="J266" s="6">
        <f>[1]Results!M1616</f>
        <v>8427.4421390000007</v>
      </c>
      <c r="K266" s="6">
        <f>[1]Results!N1616</f>
        <v>8537.9226249999992</v>
      </c>
      <c r="L266" s="6">
        <f>[1]Results!O1616</f>
        <v>8650.9078300000001</v>
      </c>
      <c r="M266" s="6">
        <f>[1]Results!P1616</f>
        <v>8773.1546749999998</v>
      </c>
      <c r="N266" s="6">
        <f>[1]Results!Q1616</f>
        <v>8893.4997700000004</v>
      </c>
      <c r="O266" s="6">
        <f>[1]Results!R1616</f>
        <v>9013.8367330000001</v>
      </c>
      <c r="P266" s="6">
        <f>[1]Results!S1616</f>
        <v>9135.0022129999998</v>
      </c>
      <c r="Q266" s="6">
        <f>[1]Results!T1616</f>
        <v>9257.2943579999992</v>
      </c>
      <c r="R266" s="6">
        <f>[1]Results!U1616</f>
        <v>9380.8575149999997</v>
      </c>
      <c r="S266" s="6">
        <f>[1]Results!V1616</f>
        <v>9505.0175529999997</v>
      </c>
      <c r="T266" s="6">
        <f>[1]Results!W1616</f>
        <v>9630.3922559999992</v>
      </c>
      <c r="U266" s="6">
        <f>[1]Results!X1616</f>
        <v>9757.3210679999993</v>
      </c>
      <c r="V266" s="6">
        <f>[1]Results!Y1616</f>
        <v>9886.0255359999992</v>
      </c>
      <c r="W266" s="6">
        <f>[1]Results!Z1616</f>
        <v>10011.55624</v>
      </c>
      <c r="X266" s="6">
        <f>[1]Results!AA1616</f>
        <v>10141.48043</v>
      </c>
      <c r="Y266" s="6">
        <f>[1]Results!AB1616</f>
        <v>10274.758540000001</v>
      </c>
      <c r="Z266" s="6">
        <f>[1]Results!AC1616</f>
        <v>10410.944820000001</v>
      </c>
      <c r="AA266" s="6">
        <f>[1]Results!AD1616</f>
        <v>10549.9295</v>
      </c>
      <c r="AB266" s="6">
        <f>[1]Results!AE1616</f>
        <v>10677.002829999999</v>
      </c>
      <c r="AC266" s="6">
        <f>[1]Results!AF1616</f>
        <v>10806.751829999999</v>
      </c>
      <c r="AD266" s="6">
        <f>[1]Results!AG1616</f>
        <v>10938.65789</v>
      </c>
      <c r="AE266" s="6">
        <f>[1]Results!AH1616</f>
        <v>11072.511640000001</v>
      </c>
      <c r="AF266" s="6">
        <f>[1]Results!AI1616</f>
        <v>11208.402669999999</v>
      </c>
      <c r="AG266" s="6">
        <f>[1]Results!AJ1616</f>
        <v>11346.49813</v>
      </c>
      <c r="AH266" s="6">
        <f>[1]Results!AK1616</f>
        <v>11487.13096</v>
      </c>
      <c r="AI266" s="6">
        <f>[1]Results!AL1616</f>
        <v>11630.305490000001</v>
      </c>
      <c r="AJ266" s="6">
        <f>[1]Results!AM1616</f>
        <v>11776.04493</v>
      </c>
      <c r="AK266" s="6">
        <f>[1]Results!AN1616</f>
        <v>11924.3621</v>
      </c>
      <c r="AL266" s="6">
        <f>[1]Results!AO1616</f>
        <v>12075.25289</v>
      </c>
      <c r="AM266" s="6">
        <f>[1]Results!AP1616</f>
        <v>12226.75116</v>
      </c>
      <c r="AN266" s="6">
        <f>[1]Results!AQ1616</f>
        <v>12379.396049999999</v>
      </c>
      <c r="AO266" s="6">
        <f>[1]Results!AR1616</f>
        <v>12533.52852</v>
      </c>
      <c r="AP266" s="6">
        <f>[1]Results!AS1616</f>
        <v>12689.35583</v>
      </c>
      <c r="AQ266" s="6">
        <f>[1]Results!AT1616</f>
        <v>12847.02817</v>
      </c>
      <c r="AR266" s="6">
        <f>[1]Results!AU1616</f>
        <v>13006.920550000001</v>
      </c>
      <c r="AS266" s="6">
        <f>[1]Results!AV1616</f>
        <v>13168.982480000001</v>
      </c>
      <c r="AT266" s="6">
        <f>[1]Results!AW1616</f>
        <v>13333.23208</v>
      </c>
      <c r="AU266" s="6">
        <f>[1]Results!AX1616</f>
        <v>13499.70621</v>
      </c>
      <c r="AV266" s="6">
        <f>[1]Results!AY1616</f>
        <v>13668.439280000001</v>
      </c>
      <c r="AW266" s="6">
        <f>[1]Results!AZ1616</f>
        <v>13840.643389999999</v>
      </c>
      <c r="AX266" s="6">
        <f>[1]Results!BA1616</f>
        <v>14015.70341</v>
      </c>
      <c r="AY266" s="6">
        <f>[1]Results!BB1616</f>
        <v>14193.37175</v>
      </c>
      <c r="AZ266" s="6">
        <f>[1]Results!BC1616</f>
        <v>14373.560589999999</v>
      </c>
      <c r="BA266" s="6">
        <f>[1]Results!BD1616</f>
        <v>14556.240320000001</v>
      </c>
      <c r="BB266" s="6">
        <f>[1]Results!BE1616</f>
        <v>18304.411169999999</v>
      </c>
      <c r="BC266" s="6">
        <f>[1]Results!BF1616</f>
        <v>18627.571029999999</v>
      </c>
      <c r="BD266" s="6">
        <f>[1]Results!BG1616</f>
        <v>18956.537619999999</v>
      </c>
      <c r="BE266" s="6">
        <f>[1]Results!BH1616</f>
        <v>19291.396369999999</v>
      </c>
      <c r="BF266" s="6">
        <f>[1]Results!BI1616</f>
        <v>19632.235570000001</v>
      </c>
    </row>
    <row r="267" spans="1:58" x14ac:dyDescent="0.35">
      <c r="B267" t="s">
        <v>10</v>
      </c>
      <c r="C267" s="6">
        <f>[1]Results!F1621</f>
        <v>217526.9258</v>
      </c>
      <c r="D267" s="6">
        <f>[1]Results!G1621</f>
        <v>218831.79310000001</v>
      </c>
      <c r="E267" s="6">
        <f>[1]Results!H1621</f>
        <v>220774.13680000001</v>
      </c>
      <c r="F267" s="6">
        <f>[1]Results!I1621</f>
        <v>223137.0784</v>
      </c>
      <c r="G267" s="6">
        <f>[1]Results!J1621</f>
        <v>225803.54810000001</v>
      </c>
      <c r="H267" s="6">
        <f>[1]Results!K1621</f>
        <v>228714.58790000001</v>
      </c>
      <c r="I267" s="6">
        <f>[1]Results!L1621</f>
        <v>231734.95420000001</v>
      </c>
      <c r="J267" s="6">
        <f>[1]Results!M1621</f>
        <v>234873.96220000001</v>
      </c>
      <c r="K267" s="6">
        <f>[1]Results!N1621</f>
        <v>238135.8138</v>
      </c>
      <c r="L267" s="6">
        <f>[1]Results!O1621</f>
        <v>241517.9601</v>
      </c>
      <c r="M267" s="6">
        <f>[1]Results!P1621</f>
        <v>245188.90839999999</v>
      </c>
      <c r="N267" s="6">
        <f>[1]Results!Q1621</f>
        <v>248907.97750000001</v>
      </c>
      <c r="O267" s="6">
        <f>[1]Results!R1621</f>
        <v>252689.06479999999</v>
      </c>
      <c r="P267" s="6">
        <f>[1]Results!S1621</f>
        <v>256542.05489999999</v>
      </c>
      <c r="Q267" s="6">
        <f>[1]Results!T1621</f>
        <v>260469.91279999999</v>
      </c>
      <c r="R267" s="6">
        <f>[1]Results!U1621</f>
        <v>264473.36320000002</v>
      </c>
      <c r="S267" s="6">
        <f>[1]Results!V1621</f>
        <v>268543.64520000003</v>
      </c>
      <c r="T267" s="6">
        <f>[1]Results!W1621</f>
        <v>272685.16310000001</v>
      </c>
      <c r="U267" s="6">
        <f>[1]Results!X1621</f>
        <v>276901.00760000001</v>
      </c>
      <c r="V267" s="6">
        <f>[1]Results!Y1621</f>
        <v>281193.04940000002</v>
      </c>
      <c r="W267" s="6">
        <f>[1]Results!Z1621</f>
        <v>285433.14640000003</v>
      </c>
      <c r="X267" s="6">
        <f>[1]Results!AA1621</f>
        <v>289788.22149999999</v>
      </c>
      <c r="Y267" s="6">
        <f>[1]Results!AB1621</f>
        <v>294246.45880000002</v>
      </c>
      <c r="Z267" s="6">
        <f>[1]Results!AC1621</f>
        <v>298798.35639999999</v>
      </c>
      <c r="AA267" s="6">
        <f>[1]Results!AD1621</f>
        <v>303439.24920000002</v>
      </c>
      <c r="AB267" s="6">
        <f>[1]Results!AE1621</f>
        <v>307792.30440000002</v>
      </c>
      <c r="AC267" s="6">
        <f>[1]Results!AF1621</f>
        <v>312162.18190000003</v>
      </c>
      <c r="AD267" s="6">
        <f>[1]Results!AG1621</f>
        <v>316559.14549999998</v>
      </c>
      <c r="AE267" s="6">
        <f>[1]Results!AH1621</f>
        <v>320986.13660000003</v>
      </c>
      <c r="AF267" s="6">
        <f>[1]Results!AI1621</f>
        <v>325448.9436</v>
      </c>
      <c r="AG267" s="6">
        <f>[1]Results!AJ1621</f>
        <v>329953.9474</v>
      </c>
      <c r="AH267" s="6">
        <f>[1]Results!AK1621</f>
        <v>334508.68369999999</v>
      </c>
      <c r="AI267" s="6">
        <f>[1]Results!AL1621</f>
        <v>339116.30420000001</v>
      </c>
      <c r="AJ267" s="6">
        <f>[1]Results!AM1621</f>
        <v>343778.85210000002</v>
      </c>
      <c r="AK267" s="6">
        <f>[1]Results!AN1621</f>
        <v>348497.50579999998</v>
      </c>
      <c r="AL267" s="6">
        <f>[1]Results!AO1621</f>
        <v>353272.8198</v>
      </c>
      <c r="AM267" s="6">
        <f>[1]Results!AP1621</f>
        <v>358032.83039999998</v>
      </c>
      <c r="AN267" s="6">
        <f>[1]Results!AQ1621</f>
        <v>362795.48070000001</v>
      </c>
      <c r="AO267" s="6">
        <f>[1]Results!AR1621</f>
        <v>367573.57049999997</v>
      </c>
      <c r="AP267" s="6">
        <f>[1]Results!AS1621</f>
        <v>372375.86790000001</v>
      </c>
      <c r="AQ267" s="6">
        <f>[1]Results!AT1621</f>
        <v>377209.32610000001</v>
      </c>
      <c r="AR267" s="6">
        <f>[1]Results!AU1621</f>
        <v>382082.85920000001</v>
      </c>
      <c r="AS267" s="6">
        <f>[1]Results!AV1621</f>
        <v>387000.43209999998</v>
      </c>
      <c r="AT267" s="6">
        <f>[1]Results!AW1621</f>
        <v>391965.62920000002</v>
      </c>
      <c r="AU267" s="6">
        <f>[1]Results!AX1621</f>
        <v>396981.61910000001</v>
      </c>
      <c r="AV267" s="6">
        <f>[1]Results!AY1621</f>
        <v>402051.06790000002</v>
      </c>
      <c r="AW267" s="6">
        <f>[1]Results!AZ1621</f>
        <v>407194.5356</v>
      </c>
      <c r="AX267" s="6">
        <f>[1]Results!BA1621</f>
        <v>412407.88439999998</v>
      </c>
      <c r="AY267" s="6">
        <f>[1]Results!BB1621</f>
        <v>417688.98969999998</v>
      </c>
      <c r="AZ267" s="6">
        <f>[1]Results!BC1621</f>
        <v>423037.35849999997</v>
      </c>
      <c r="BA267" s="6">
        <f>[1]Results!BD1621</f>
        <v>428453.23609999998</v>
      </c>
      <c r="BB267" s="6">
        <f>[1]Results!BE1621</f>
        <v>520690.10560000001</v>
      </c>
      <c r="BC267" s="6">
        <f>[1]Results!BF1621</f>
        <v>529771.0233</v>
      </c>
      <c r="BD267" s="6">
        <f>[1]Results!BG1621</f>
        <v>538983.70779999997</v>
      </c>
      <c r="BE267" s="6">
        <f>[1]Results!BH1621</f>
        <v>548329.81590000005</v>
      </c>
      <c r="BF267" s="6">
        <f>[1]Results!BI1621</f>
        <v>557811.28489999997</v>
      </c>
    </row>
    <row r="268" spans="1:58" x14ac:dyDescent="0.35">
      <c r="B268" t="s">
        <v>31</v>
      </c>
      <c r="C268" s="6">
        <f>[1]Results!F1624</f>
        <v>2211.2217230000001</v>
      </c>
      <c r="D268" s="6">
        <f>[1]Results!G1624</f>
        <v>2207.630901</v>
      </c>
      <c r="E268" s="6">
        <f>[1]Results!H1624</f>
        <v>2208.8743250000002</v>
      </c>
      <c r="F268" s="6">
        <f>[1]Results!I1624</f>
        <v>2213.3401869999998</v>
      </c>
      <c r="G268" s="6">
        <f>[1]Results!J1624</f>
        <v>2220.9987339999998</v>
      </c>
      <c r="H268" s="6">
        <f>[1]Results!K1624</f>
        <v>2231.8068079999998</v>
      </c>
      <c r="I268" s="6">
        <f>[1]Results!L1624</f>
        <v>2244.7299579999999</v>
      </c>
      <c r="J268" s="6">
        <f>[1]Results!M1624</f>
        <v>2259.7796760000001</v>
      </c>
      <c r="K268" s="6">
        <f>[1]Results!N1624</f>
        <v>2276.7748409999999</v>
      </c>
      <c r="L268" s="6">
        <f>[1]Results!O1624</f>
        <v>2295.4539850000001</v>
      </c>
      <c r="M268" s="6">
        <f>[1]Results!P1624</f>
        <v>2317.010601</v>
      </c>
      <c r="N268" s="6">
        <f>[1]Results!Q1624</f>
        <v>2339.1069539999999</v>
      </c>
      <c r="O268" s="6">
        <f>[1]Results!R1624</f>
        <v>2361.8609529999999</v>
      </c>
      <c r="P268" s="6">
        <f>[1]Results!S1624</f>
        <v>2385.3268360000002</v>
      </c>
      <c r="Q268" s="6">
        <f>[1]Results!T1624</f>
        <v>2409.4738320000001</v>
      </c>
      <c r="R268" s="6">
        <f>[1]Results!U1624</f>
        <v>2434.2468050000002</v>
      </c>
      <c r="S268" s="6">
        <f>[1]Results!V1624</f>
        <v>2459.4240570000002</v>
      </c>
      <c r="T268" s="6">
        <f>[1]Results!W1624</f>
        <v>2485.0518780000002</v>
      </c>
      <c r="U268" s="6">
        <f>[1]Results!X1624</f>
        <v>2511.142613</v>
      </c>
      <c r="V268" s="6">
        <f>[1]Results!Y1624</f>
        <v>2537.692583</v>
      </c>
      <c r="W268" s="6">
        <f>[1]Results!Z1624</f>
        <v>2563.6564069999999</v>
      </c>
      <c r="X268" s="6">
        <f>[1]Results!AA1624</f>
        <v>2590.4366679999998</v>
      </c>
      <c r="Y268" s="6">
        <f>[1]Results!AB1624</f>
        <v>2617.8856569999998</v>
      </c>
      <c r="Z268" s="6">
        <f>[1]Results!AC1624</f>
        <v>2645.897759</v>
      </c>
      <c r="AA268" s="6">
        <f>[1]Results!AD1624</f>
        <v>2674.4328599999999</v>
      </c>
      <c r="AB268" s="6">
        <f>[1]Results!AE1624</f>
        <v>2700.5150490000001</v>
      </c>
      <c r="AC268" s="6">
        <f>[1]Results!AF1624</f>
        <v>2726.8097229999998</v>
      </c>
      <c r="AD268" s="6">
        <f>[1]Results!AG1624</f>
        <v>2753.3392050000002</v>
      </c>
      <c r="AE268" s="6">
        <f>[1]Results!AH1624</f>
        <v>2780.0688949999999</v>
      </c>
      <c r="AF268" s="6">
        <f>[1]Results!AI1624</f>
        <v>2807.0155209999998</v>
      </c>
      <c r="AG268" s="6">
        <f>[1]Results!AJ1624</f>
        <v>2834.2181609999998</v>
      </c>
      <c r="AH268" s="6">
        <f>[1]Results!AK1624</f>
        <v>2861.7571939999998</v>
      </c>
      <c r="AI268" s="6">
        <f>[1]Results!AL1624</f>
        <v>2889.6509930000002</v>
      </c>
      <c r="AJ268" s="6">
        <f>[1]Results!AM1624</f>
        <v>2917.920427</v>
      </c>
      <c r="AK268" s="6">
        <f>[1]Results!AN1624</f>
        <v>2946.5844910000001</v>
      </c>
      <c r="AL268" s="6">
        <f>[1]Results!AO1624</f>
        <v>2975.6577969999998</v>
      </c>
      <c r="AM268" s="6">
        <f>[1]Results!AP1624</f>
        <v>3004.7861149999999</v>
      </c>
      <c r="AN268" s="6">
        <f>[1]Results!AQ1624</f>
        <v>3034.0477019999998</v>
      </c>
      <c r="AO268" s="6">
        <f>[1]Results!AR1624</f>
        <v>3063.5096319999998</v>
      </c>
      <c r="AP268" s="6">
        <f>[1]Results!AS1624</f>
        <v>3093.2148619999998</v>
      </c>
      <c r="AQ268" s="6">
        <f>[1]Results!AT1624</f>
        <v>3123.1936559999999</v>
      </c>
      <c r="AR268" s="6">
        <f>[1]Results!AU1624</f>
        <v>3153.523443</v>
      </c>
      <c r="AS268" s="6">
        <f>[1]Results!AV1624</f>
        <v>3184.1971079999998</v>
      </c>
      <c r="AT268" s="6">
        <f>[1]Results!AW1624</f>
        <v>3215.217075</v>
      </c>
      <c r="AU268" s="6">
        <f>[1]Results!AX1624</f>
        <v>3246.5893179999998</v>
      </c>
      <c r="AV268" s="6">
        <f>[1]Results!AY1624</f>
        <v>3278.3190399999999</v>
      </c>
      <c r="AW268" s="6">
        <f>[1]Results!AZ1624</f>
        <v>3310.6541149999998</v>
      </c>
      <c r="AX268" s="6">
        <f>[1]Results!BA1624</f>
        <v>3343.48648</v>
      </c>
      <c r="AY268" s="6">
        <f>[1]Results!BB1624</f>
        <v>3376.7605330000001</v>
      </c>
      <c r="AZ268" s="6">
        <f>[1]Results!BC1624</f>
        <v>3410.4510479999999</v>
      </c>
      <c r="BA268" s="6">
        <f>[1]Results!BD1624</f>
        <v>3444.5436289999998</v>
      </c>
      <c r="BB268" s="6">
        <f>[1]Results!BE1624</f>
        <v>4426.5473080000002</v>
      </c>
      <c r="BC268" s="6">
        <f>[1]Results!BF1624</f>
        <v>4495.1861529999996</v>
      </c>
      <c r="BD268" s="6">
        <f>[1]Results!BG1624</f>
        <v>4564.88544</v>
      </c>
      <c r="BE268" s="6">
        <f>[1]Results!BH1624</f>
        <v>4635.66716</v>
      </c>
      <c r="BF268" s="6">
        <f>[1]Results!BI1624</f>
        <v>4707.5559839999996</v>
      </c>
    </row>
    <row r="269" spans="1:58" x14ac:dyDescent="0.35">
      <c r="B269" t="s">
        <v>33</v>
      </c>
      <c r="C269" s="6">
        <f>[1]Results!F1629</f>
        <v>3610.413861</v>
      </c>
      <c r="D269" s="6">
        <f>[1]Results!G1629</f>
        <v>3616.2419460000001</v>
      </c>
      <c r="E269" s="6">
        <f>[1]Results!H1629</f>
        <v>3623.776832</v>
      </c>
      <c r="F269" s="6">
        <f>[1]Results!I1629</f>
        <v>3633.854257</v>
      </c>
      <c r="G269" s="6">
        <f>[1]Results!J1629</f>
        <v>3647.443636</v>
      </c>
      <c r="H269" s="6">
        <f>[1]Results!K1629</f>
        <v>3664.819966</v>
      </c>
      <c r="I269" s="6">
        <f>[1]Results!L1629</f>
        <v>3684.9101019999998</v>
      </c>
      <c r="J269" s="6">
        <f>[1]Results!M1629</f>
        <v>3707.5767900000001</v>
      </c>
      <c r="K269" s="6">
        <f>[1]Results!N1629</f>
        <v>3732.4997279999998</v>
      </c>
      <c r="L269" s="6">
        <f>[1]Results!O1629</f>
        <v>3759.2222230000002</v>
      </c>
      <c r="M269" s="6">
        <f>[1]Results!P1629</f>
        <v>3789.5260990000002</v>
      </c>
      <c r="N269" s="6">
        <f>[1]Results!Q1629</f>
        <v>3820.0869659999998</v>
      </c>
      <c r="O269" s="6">
        <f>[1]Results!R1629</f>
        <v>3850.6287729999999</v>
      </c>
      <c r="P269" s="6">
        <f>[1]Results!S1629</f>
        <v>3881.1800539999999</v>
      </c>
      <c r="Q269" s="6">
        <f>[1]Results!T1629</f>
        <v>3911.7425109999999</v>
      </c>
      <c r="R269" s="6">
        <f>[1]Results!U1629</f>
        <v>3942.2995729999998</v>
      </c>
      <c r="S269" s="6">
        <f>[1]Results!V1629</f>
        <v>3972.6804499999998</v>
      </c>
      <c r="T269" s="6">
        <f>[1]Results!W1629</f>
        <v>4002.9573869999999</v>
      </c>
      <c r="U269" s="6">
        <f>[1]Results!X1629</f>
        <v>4033.2055930000001</v>
      </c>
      <c r="V269" s="6">
        <f>[1]Results!Y1629</f>
        <v>4063.4995859999999</v>
      </c>
      <c r="W269" s="6">
        <f>[1]Results!Z1629</f>
        <v>4092.3184059999999</v>
      </c>
      <c r="X269" s="6">
        <f>[1]Results!AA1629</f>
        <v>4121.7303400000001</v>
      </c>
      <c r="Y269" s="6">
        <f>[1]Results!AB1629</f>
        <v>4151.8518119999999</v>
      </c>
      <c r="Z269" s="6">
        <f>[1]Results!AC1629</f>
        <v>4182.6330209999996</v>
      </c>
      <c r="AA269" s="6">
        <f>[1]Results!AD1629</f>
        <v>4214.0755380000001</v>
      </c>
      <c r="AB269" s="6">
        <f>[1]Results!AE1629</f>
        <v>4241.7045680000001</v>
      </c>
      <c r="AC269" s="6">
        <f>[1]Results!AF1629</f>
        <v>4269.0869549999998</v>
      </c>
      <c r="AD269" s="6">
        <f>[1]Results!AG1629</f>
        <v>4296.8073329999997</v>
      </c>
      <c r="AE269" s="6">
        <f>[1]Results!AH1629</f>
        <v>4325.0247319999999</v>
      </c>
      <c r="AF269" s="6">
        <f>[1]Results!AI1629</f>
        <v>4353.8621380000004</v>
      </c>
      <c r="AG269" s="6">
        <f>[1]Results!AJ1629</f>
        <v>4383.4398250000004</v>
      </c>
      <c r="AH269" s="6">
        <f>[1]Results!AK1629</f>
        <v>4413.9037660000004</v>
      </c>
      <c r="AI269" s="6">
        <f>[1]Results!AL1629</f>
        <v>4445.334081</v>
      </c>
      <c r="AJ269" s="6">
        <f>[1]Results!AM1629</f>
        <v>4477.7954749999999</v>
      </c>
      <c r="AK269" s="6">
        <f>[1]Results!AN1629</f>
        <v>4511.3381520000003</v>
      </c>
      <c r="AL269" s="6">
        <f>[1]Results!AO1629</f>
        <v>4545.9971859999996</v>
      </c>
      <c r="AM269" s="6">
        <f>[1]Results!AP1629</f>
        <v>4581.0629950000002</v>
      </c>
      <c r="AN269" s="6">
        <f>[1]Results!AQ1629</f>
        <v>4616.6635850000002</v>
      </c>
      <c r="AO269" s="6">
        <f>[1]Results!AR1629</f>
        <v>4652.9720770000004</v>
      </c>
      <c r="AP269" s="6">
        <f>[1]Results!AS1629</f>
        <v>4690.1047189999999</v>
      </c>
      <c r="AQ269" s="6">
        <f>[1]Results!AT1629</f>
        <v>4728.1348719999996</v>
      </c>
      <c r="AR269" s="6">
        <f>[1]Results!AU1629</f>
        <v>4767.1611670000002</v>
      </c>
      <c r="AS269" s="6">
        <f>[1]Results!AV1629</f>
        <v>4807.1998169999997</v>
      </c>
      <c r="AT269" s="6">
        <f>[1]Results!AW1629</f>
        <v>4848.2636110000003</v>
      </c>
      <c r="AU269" s="6">
        <f>[1]Results!AX1629</f>
        <v>4890.3625519999996</v>
      </c>
      <c r="AV269" s="6">
        <f>[1]Results!AY1629</f>
        <v>4933.504312</v>
      </c>
      <c r="AW269" s="6">
        <f>[1]Results!AZ1629</f>
        <v>4977.955395</v>
      </c>
      <c r="AX269" s="6">
        <f>[1]Results!BA1629</f>
        <v>5023.638191</v>
      </c>
      <c r="AY269" s="6">
        <f>[1]Results!BB1629</f>
        <v>5070.4910760000002</v>
      </c>
      <c r="AZ269" s="6">
        <f>[1]Results!BC1629</f>
        <v>5118.4803110000003</v>
      </c>
      <c r="BA269" s="6">
        <f>[1]Results!BD1629</f>
        <v>5167.5873920000004</v>
      </c>
      <c r="BB269" s="6">
        <f>[1]Results!BE1629</f>
        <v>6403.448018</v>
      </c>
      <c r="BC269" s="6">
        <f>[1]Results!BF1629</f>
        <v>6503.0164150000001</v>
      </c>
      <c r="BD269" s="6">
        <f>[1]Results!BG1629</f>
        <v>6604.5586430000003</v>
      </c>
      <c r="BE269" s="6">
        <f>[1]Results!BH1629</f>
        <v>6708.0768269999999</v>
      </c>
      <c r="BF269" s="6">
        <f>[1]Results!BI1629</f>
        <v>6813.5759399999997</v>
      </c>
    </row>
    <row r="271" spans="1:58" x14ac:dyDescent="0.35">
      <c r="A271" s="12" t="s">
        <v>21</v>
      </c>
      <c r="B271" t="s">
        <v>26</v>
      </c>
      <c r="C271" s="6">
        <f>[1]Results!F1639</f>
        <v>473222.20490000001</v>
      </c>
      <c r="D271" s="6">
        <f>[1]Results!G1639</f>
        <v>479535.71830000001</v>
      </c>
      <c r="E271" s="6">
        <f>[1]Results!H1639</f>
        <v>486404.21629999997</v>
      </c>
      <c r="F271" s="6">
        <f>[1]Results!I1639</f>
        <v>493756.32169999997</v>
      </c>
      <c r="G271" s="6">
        <f>[1]Results!J1639</f>
        <v>501524.69660000002</v>
      </c>
      <c r="H271" s="6">
        <f>[1]Results!K1639</f>
        <v>509663.84759999998</v>
      </c>
      <c r="I271" s="6">
        <f>[1]Results!L1639</f>
        <v>517948.18290000001</v>
      </c>
      <c r="J271" s="6">
        <f>[1]Results!M1639</f>
        <v>526410.65700000001</v>
      </c>
      <c r="K271" s="6">
        <f>[1]Results!N1639</f>
        <v>535078.52879999997</v>
      </c>
      <c r="L271" s="6">
        <f>[1]Results!O1639</f>
        <v>543968.31129999994</v>
      </c>
      <c r="M271" s="6">
        <f>[1]Results!P1639</f>
        <v>553440.23620000004</v>
      </c>
      <c r="N271" s="6">
        <f>[1]Results!Q1639</f>
        <v>563065.29280000005</v>
      </c>
      <c r="O271" s="6">
        <f>[1]Results!R1639</f>
        <v>572866.74789999996</v>
      </c>
      <c r="P271" s="6">
        <f>[1]Results!S1639</f>
        <v>582865.13520000002</v>
      </c>
      <c r="Q271" s="6">
        <f>[1]Results!T1639</f>
        <v>593069.48049999995</v>
      </c>
      <c r="R271" s="6">
        <f>[1]Results!U1639</f>
        <v>603483.72750000004</v>
      </c>
      <c r="S271" s="6">
        <f>[1]Results!V1639</f>
        <v>614110.22360000003</v>
      </c>
      <c r="T271" s="6">
        <f>[1]Results!W1639</f>
        <v>624950.97450000001</v>
      </c>
      <c r="U271" s="6">
        <f>[1]Results!X1639</f>
        <v>636007.82849999995</v>
      </c>
      <c r="V271" s="6">
        <f>[1]Results!Y1639</f>
        <v>647282.27870000002</v>
      </c>
      <c r="W271" s="6">
        <f>[1]Results!Z1639</f>
        <v>658510.55299999996</v>
      </c>
      <c r="X271" s="6">
        <f>[1]Results!AA1639</f>
        <v>670018.11320000002</v>
      </c>
      <c r="Y271" s="6">
        <f>[1]Results!AB1639</f>
        <v>681788.45440000005</v>
      </c>
      <c r="Z271" s="6">
        <f>[1]Results!AC1639</f>
        <v>693804.71589999995</v>
      </c>
      <c r="AA271" s="6">
        <f>[1]Results!AD1639</f>
        <v>706056.9031</v>
      </c>
      <c r="AB271" s="6">
        <f>[1]Results!AE1639</f>
        <v>717765.83059999999</v>
      </c>
      <c r="AC271" s="6">
        <f>[1]Results!AF1639</f>
        <v>729504.46369999996</v>
      </c>
      <c r="AD271" s="6">
        <f>[1]Results!AG1639</f>
        <v>741298.69660000002</v>
      </c>
      <c r="AE271" s="6">
        <f>[1]Results!AH1639</f>
        <v>753155.01020000002</v>
      </c>
      <c r="AF271" s="6">
        <f>[1]Results!AI1639</f>
        <v>765081.60789999994</v>
      </c>
      <c r="AG271" s="6">
        <f>[1]Results!AJ1639</f>
        <v>777086.35900000005</v>
      </c>
      <c r="AH271" s="6">
        <f>[1]Results!AK1639</f>
        <v>789174.86990000005</v>
      </c>
      <c r="AI271" s="6">
        <f>[1]Results!AL1639</f>
        <v>801349.80099999998</v>
      </c>
      <c r="AJ271" s="6">
        <f>[1]Results!AM1639</f>
        <v>813611.05660000001</v>
      </c>
      <c r="AK271" s="6">
        <f>[1]Results!AN1639</f>
        <v>825956.42429999996</v>
      </c>
      <c r="AL271" s="6">
        <f>[1]Results!AO1639</f>
        <v>838382.36230000004</v>
      </c>
      <c r="AM271" s="6">
        <f>[1]Results!AP1639</f>
        <v>850694.96970000002</v>
      </c>
      <c r="AN271" s="6">
        <f>[1]Results!AQ1639</f>
        <v>862930.71730000002</v>
      </c>
      <c r="AO271" s="6">
        <f>[1]Results!AR1639</f>
        <v>875116.26699999999</v>
      </c>
      <c r="AP271" s="6">
        <f>[1]Results!AS1639</f>
        <v>887268.72750000004</v>
      </c>
      <c r="AQ271" s="6">
        <f>[1]Results!AT1639</f>
        <v>899400.95719999995</v>
      </c>
      <c r="AR271" s="6">
        <f>[1]Results!AU1639</f>
        <v>911523.86569999997</v>
      </c>
      <c r="AS271" s="6">
        <f>[1]Results!AV1639</f>
        <v>923647.12959999999</v>
      </c>
      <c r="AT271" s="6">
        <f>[1]Results!AW1639</f>
        <v>935779.36769999994</v>
      </c>
      <c r="AU271" s="6">
        <f>[1]Results!AX1639</f>
        <v>947928.24879999994</v>
      </c>
      <c r="AV271" s="6">
        <f>[1]Results!AY1639</f>
        <v>960100.68870000006</v>
      </c>
      <c r="AW271" s="6">
        <f>[1]Results!AZ1639</f>
        <v>972320.42839999998</v>
      </c>
      <c r="AX271" s="6">
        <f>[1]Results!BA1639</f>
        <v>984590.03740000003</v>
      </c>
      <c r="AY271" s="6">
        <f>[1]Results!BB1639</f>
        <v>996913.12540000002</v>
      </c>
      <c r="AZ271" s="6">
        <f>[1]Results!BC1639</f>
        <v>1009294.171</v>
      </c>
      <c r="BA271" s="6">
        <f>[1]Results!BD1639</f>
        <v>1021738.414</v>
      </c>
      <c r="BB271" s="6">
        <f>[1]Results!BE1639</f>
        <v>1178106.1470000001</v>
      </c>
      <c r="BC271" s="6">
        <f>[1]Results!BF1639</f>
        <v>1199473.1200000001</v>
      </c>
      <c r="BD271" s="6">
        <f>[1]Results!BG1639</f>
        <v>1221043.7919999999</v>
      </c>
      <c r="BE271" s="6">
        <f>[1]Results!BH1639</f>
        <v>1242814.6680000001</v>
      </c>
      <c r="BF271" s="6">
        <f>[1]Results!BI1639</f>
        <v>1264783.2679999999</v>
      </c>
    </row>
    <row r="272" spans="1:58" x14ac:dyDescent="0.35">
      <c r="A272" t="s">
        <v>38</v>
      </c>
      <c r="B272" t="s">
        <v>7</v>
      </c>
      <c r="C272" s="6">
        <f>[1]Results!F1640</f>
        <v>4444.0176270000002</v>
      </c>
      <c r="D272" s="6">
        <f>[1]Results!G1640</f>
        <v>4488.0620580000004</v>
      </c>
      <c r="E272" s="6">
        <f>[1]Results!H1640</f>
        <v>4532.6467709999997</v>
      </c>
      <c r="F272" s="6">
        <f>[1]Results!I1640</f>
        <v>4582.237263</v>
      </c>
      <c r="G272" s="6">
        <f>[1]Results!J1640</f>
        <v>4637.9010760000001</v>
      </c>
      <c r="H272" s="6">
        <f>[1]Results!K1640</f>
        <v>4699.4452179999998</v>
      </c>
      <c r="I272" s="6">
        <f>[1]Results!L1640</f>
        <v>4764.3885300000002</v>
      </c>
      <c r="J272" s="6">
        <f>[1]Results!M1640</f>
        <v>4832.4695460000003</v>
      </c>
      <c r="K272" s="6">
        <f>[1]Results!N1640</f>
        <v>4903.4569199999996</v>
      </c>
      <c r="L272" s="6">
        <f>[1]Results!O1640</f>
        <v>4977.110111</v>
      </c>
      <c r="M272" s="6">
        <f>[1]Results!P1640</f>
        <v>5056.5187219999998</v>
      </c>
      <c r="N272" s="6">
        <f>[1]Results!Q1640</f>
        <v>5137.5110089999998</v>
      </c>
      <c r="O272" s="6">
        <f>[1]Results!R1640</f>
        <v>5219.9802669999999</v>
      </c>
      <c r="P272" s="6">
        <f>[1]Results!S1640</f>
        <v>5303.930257</v>
      </c>
      <c r="Q272" s="6">
        <f>[1]Results!T1640</f>
        <v>5389.3211119999996</v>
      </c>
      <c r="R272" s="6">
        <f>[1]Results!U1640</f>
        <v>5476.1104580000001</v>
      </c>
      <c r="S272" s="6">
        <f>[1]Results!V1640</f>
        <v>5564.2748149999998</v>
      </c>
      <c r="T272" s="6">
        <f>[1]Results!W1640</f>
        <v>5653.8114859999996</v>
      </c>
      <c r="U272" s="6">
        <f>[1]Results!X1640</f>
        <v>5744.7326750000002</v>
      </c>
      <c r="V272" s="6">
        <f>[1]Results!Y1640</f>
        <v>5837.0585549999996</v>
      </c>
      <c r="W272" s="6">
        <f>[1]Results!Z1640</f>
        <v>5928.3355849999998</v>
      </c>
      <c r="X272" s="6">
        <f>[1]Results!AA1640</f>
        <v>6021.5515100000002</v>
      </c>
      <c r="Y272" s="6">
        <f>[1]Results!AB1640</f>
        <v>6116.6896909999996</v>
      </c>
      <c r="Z272" s="6">
        <f>[1]Results!AC1640</f>
        <v>6213.6633680000004</v>
      </c>
      <c r="AA272" s="6">
        <f>[1]Results!AD1640</f>
        <v>6312.4292189999996</v>
      </c>
      <c r="AB272" s="6">
        <f>[1]Results!AE1640</f>
        <v>6405.7649460000002</v>
      </c>
      <c r="AC272" s="6">
        <f>[1]Results!AF1640</f>
        <v>6498.8306700000003</v>
      </c>
      <c r="AD272" s="6">
        <f>[1]Results!AG1640</f>
        <v>6592.1205049999999</v>
      </c>
      <c r="AE272" s="6">
        <f>[1]Results!AH1640</f>
        <v>6685.8917449999999</v>
      </c>
      <c r="AF272" s="6">
        <f>[1]Results!AI1640</f>
        <v>6780.4005070000003</v>
      </c>
      <c r="AG272" s="6">
        <f>[1]Results!AJ1640</f>
        <v>6875.8779530000002</v>
      </c>
      <c r="AH272" s="6">
        <f>[1]Results!AK1640</f>
        <v>6972.5078370000001</v>
      </c>
      <c r="AI272" s="6">
        <f>[1]Results!AL1640</f>
        <v>7070.421722</v>
      </c>
      <c r="AJ272" s="6">
        <f>[1]Results!AM1640</f>
        <v>7169.7052460000004</v>
      </c>
      <c r="AK272" s="6">
        <f>[1]Results!AN1640</f>
        <v>7270.4089199999999</v>
      </c>
      <c r="AL272" s="6">
        <f>[1]Results!AO1640</f>
        <v>7372.5594659999997</v>
      </c>
      <c r="AM272" s="6">
        <f>[1]Results!AP1640</f>
        <v>7474.4116629999999</v>
      </c>
      <c r="AN272" s="6">
        <f>[1]Results!AQ1640</f>
        <v>7576.3010400000003</v>
      </c>
      <c r="AO272" s="6">
        <f>[1]Results!AR1640</f>
        <v>7678.5395360000002</v>
      </c>
      <c r="AP272" s="6">
        <f>[1]Results!AS1640</f>
        <v>7781.3699770000003</v>
      </c>
      <c r="AQ272" s="6">
        <f>[1]Results!AT1640</f>
        <v>7884.9984279999999</v>
      </c>
      <c r="AR272" s="6">
        <f>[1]Results!AU1640</f>
        <v>7989.6052280000004</v>
      </c>
      <c r="AS272" s="6">
        <f>[1]Results!AV1640</f>
        <v>8095.3451059999998</v>
      </c>
      <c r="AT272" s="6">
        <f>[1]Results!AW1640</f>
        <v>8202.3458310000005</v>
      </c>
      <c r="AU272" s="6">
        <f>[1]Results!AX1640</f>
        <v>8310.7088939999994</v>
      </c>
      <c r="AV272" s="6">
        <f>[1]Results!AY1640</f>
        <v>8420.5122250000004</v>
      </c>
      <c r="AW272" s="6">
        <f>[1]Results!AZ1640</f>
        <v>8531.9724769999993</v>
      </c>
      <c r="AX272" s="6">
        <f>[1]Results!BA1640</f>
        <v>8645.1093629999996</v>
      </c>
      <c r="AY272" s="6">
        <f>[1]Results!BB1640</f>
        <v>8759.9395220000006</v>
      </c>
      <c r="AZ272" s="6">
        <f>[1]Results!BC1640</f>
        <v>8876.4714640000002</v>
      </c>
      <c r="BA272" s="6">
        <f>[1]Results!BD1640</f>
        <v>8994.7104490000002</v>
      </c>
      <c r="BB272" s="6">
        <f>[1]Results!BE1640</f>
        <v>10203.664870000001</v>
      </c>
      <c r="BC272" s="6">
        <f>[1]Results!BF1640</f>
        <v>10378.79773</v>
      </c>
      <c r="BD272" s="6">
        <f>[1]Results!BG1640</f>
        <v>10556.48702</v>
      </c>
      <c r="BE272" s="6">
        <f>[1]Results!BH1640</f>
        <v>10736.797769999999</v>
      </c>
      <c r="BF272" s="6">
        <f>[1]Results!BI1640</f>
        <v>10919.79932</v>
      </c>
    </row>
    <row r="273" spans="1:58" x14ac:dyDescent="0.35">
      <c r="B273" t="s">
        <v>30</v>
      </c>
      <c r="C273" s="6">
        <f>[1]Results!F1643</f>
        <v>235100.95439999999</v>
      </c>
      <c r="D273" s="6">
        <f>[1]Results!G1643</f>
        <v>238344.52280000001</v>
      </c>
      <c r="E273" s="6">
        <f>[1]Results!H1643</f>
        <v>241920.5943</v>
      </c>
      <c r="F273" s="6">
        <f>[1]Results!I1643</f>
        <v>245745.02069999999</v>
      </c>
      <c r="G273" s="6">
        <f>[1]Results!J1643</f>
        <v>249762.5914</v>
      </c>
      <c r="H273" s="6">
        <f>[1]Results!K1643</f>
        <v>253946.9259</v>
      </c>
      <c r="I273" s="6">
        <f>[1]Results!L1643</f>
        <v>258201.81140000001</v>
      </c>
      <c r="J273" s="6">
        <f>[1]Results!M1643</f>
        <v>262543.01459999999</v>
      </c>
      <c r="K273" s="6">
        <f>[1]Results!N1643</f>
        <v>266988.00469999999</v>
      </c>
      <c r="L273" s="6">
        <f>[1]Results!O1643</f>
        <v>271550.33149999997</v>
      </c>
      <c r="M273" s="6">
        <f>[1]Results!P1643</f>
        <v>276394.68900000001</v>
      </c>
      <c r="N273" s="6">
        <f>[1]Results!Q1643</f>
        <v>281345.98479999998</v>
      </c>
      <c r="O273" s="6">
        <f>[1]Results!R1643</f>
        <v>286411.80940000003</v>
      </c>
      <c r="P273" s="6">
        <f>[1]Results!S1643</f>
        <v>291601.40600000002</v>
      </c>
      <c r="Q273" s="6">
        <f>[1]Results!T1643</f>
        <v>296920.24190000002</v>
      </c>
      <c r="R273" s="6">
        <f>[1]Results!U1643</f>
        <v>302371.5025</v>
      </c>
      <c r="S273" s="6">
        <f>[1]Results!V1643</f>
        <v>307957.24560000002</v>
      </c>
      <c r="T273" s="6">
        <f>[1]Results!W1643</f>
        <v>313678.9595</v>
      </c>
      <c r="U273" s="6">
        <f>[1]Results!X1643</f>
        <v>319537.72529999999</v>
      </c>
      <c r="V273" s="6">
        <f>[1]Results!Y1643</f>
        <v>325534.18520000001</v>
      </c>
      <c r="W273" s="6">
        <f>[1]Results!Z1643</f>
        <v>331551.12569999998</v>
      </c>
      <c r="X273" s="6">
        <f>[1]Results!AA1643</f>
        <v>337724.21909999999</v>
      </c>
      <c r="Y273" s="6">
        <f>[1]Results!AB1643</f>
        <v>344050.01890000002</v>
      </c>
      <c r="Z273" s="6">
        <f>[1]Results!AC1643</f>
        <v>350521.8898</v>
      </c>
      <c r="AA273" s="6">
        <f>[1]Results!AD1643</f>
        <v>357134.49540000001</v>
      </c>
      <c r="AB273" s="6">
        <f>[1]Results!AE1643</f>
        <v>363540.1017</v>
      </c>
      <c r="AC273" s="6">
        <f>[1]Results!AF1643</f>
        <v>369966.99890000001</v>
      </c>
      <c r="AD273" s="6">
        <f>[1]Results!AG1643</f>
        <v>376427.0282</v>
      </c>
      <c r="AE273" s="6">
        <f>[1]Results!AH1643</f>
        <v>382921.5368</v>
      </c>
      <c r="AF273" s="6">
        <f>[1]Results!AI1643</f>
        <v>389450.804</v>
      </c>
      <c r="AG273" s="6">
        <f>[1]Results!AJ1643</f>
        <v>396014.40879999998</v>
      </c>
      <c r="AH273" s="6">
        <f>[1]Results!AK1643</f>
        <v>402610.96629999997</v>
      </c>
      <c r="AI273" s="6">
        <f>[1]Results!AL1643</f>
        <v>409237.97979999997</v>
      </c>
      <c r="AJ273" s="6">
        <f>[1]Results!AM1643</f>
        <v>415891.91729999997</v>
      </c>
      <c r="AK273" s="6">
        <f>[1]Results!AN1643</f>
        <v>422568.46039999998</v>
      </c>
      <c r="AL273" s="6">
        <f>[1]Results!AO1643</f>
        <v>429262.83840000001</v>
      </c>
      <c r="AM273" s="6">
        <f>[1]Results!AP1643</f>
        <v>435885.40120000002</v>
      </c>
      <c r="AN273" s="6">
        <f>[1]Results!AQ1643</f>
        <v>442443.24699999997</v>
      </c>
      <c r="AO273" s="6">
        <f>[1]Results!AR1643</f>
        <v>448942.93089999998</v>
      </c>
      <c r="AP273" s="6">
        <f>[1]Results!AS1643</f>
        <v>455388.5551</v>
      </c>
      <c r="AQ273" s="6">
        <f>[1]Results!AT1643</f>
        <v>461783.05949999997</v>
      </c>
      <c r="AR273" s="6">
        <f>[1]Results!AU1643</f>
        <v>468128.98590000003</v>
      </c>
      <c r="AS273" s="6">
        <f>[1]Results!AV1643</f>
        <v>474428.79379999998</v>
      </c>
      <c r="AT273" s="6">
        <f>[1]Results!AW1643</f>
        <v>480684.96189999999</v>
      </c>
      <c r="AU273" s="6">
        <f>[1]Results!AX1643</f>
        <v>486900.03259999998</v>
      </c>
      <c r="AV273" s="6">
        <f>[1]Results!AY1643</f>
        <v>493076.67239999998</v>
      </c>
      <c r="AW273" s="6">
        <f>[1]Results!AZ1643</f>
        <v>499225.49550000002</v>
      </c>
      <c r="AX273" s="6">
        <f>[1]Results!BA1643</f>
        <v>505348.59840000002</v>
      </c>
      <c r="AY273" s="6">
        <f>[1]Results!BB1643</f>
        <v>511448.57010000001</v>
      </c>
      <c r="AZ273" s="6">
        <f>[1]Results!BC1643</f>
        <v>517528.63699999999</v>
      </c>
      <c r="BA273" s="6">
        <f>[1]Results!BD1643</f>
        <v>523592.67509999999</v>
      </c>
      <c r="BB273" s="6">
        <f>[1]Results!BE1643</f>
        <v>617696.26529999997</v>
      </c>
      <c r="BC273" s="6">
        <f>[1]Results!BF1643</f>
        <v>629357.23699999996</v>
      </c>
      <c r="BD273" s="6">
        <f>[1]Results!BG1643</f>
        <v>641083.97759999998</v>
      </c>
      <c r="BE273" s="6">
        <f>[1]Results!BH1643</f>
        <v>652870.74470000004</v>
      </c>
      <c r="BF273" s="6">
        <f>[1]Results!BI1643</f>
        <v>664712.53189999994</v>
      </c>
    </row>
    <row r="274" spans="1:58" x14ac:dyDescent="0.35">
      <c r="B274" t="s">
        <v>28</v>
      </c>
      <c r="C274" s="6">
        <f>[1]Results!F1655</f>
        <v>8024.163904</v>
      </c>
      <c r="D274" s="6">
        <f>[1]Results!G1655</f>
        <v>8132.0422669999998</v>
      </c>
      <c r="E274" s="6">
        <f>[1]Results!H1655</f>
        <v>8248.5171609999998</v>
      </c>
      <c r="F274" s="6">
        <f>[1]Results!I1655</f>
        <v>8372.0966559999997</v>
      </c>
      <c r="G274" s="6">
        <f>[1]Results!J1655</f>
        <v>8501.6821049999999</v>
      </c>
      <c r="H274" s="6">
        <f>[1]Results!K1655</f>
        <v>8636.3994610000009</v>
      </c>
      <c r="I274" s="6">
        <f>[1]Results!L1655</f>
        <v>8771.289761</v>
      </c>
      <c r="J274" s="6">
        <f>[1]Results!M1655</f>
        <v>8907.7087530000008</v>
      </c>
      <c r="K274" s="6">
        <f>[1]Results!N1655</f>
        <v>9046.1770890000007</v>
      </c>
      <c r="L274" s="6">
        <f>[1]Results!O1655</f>
        <v>9186.8322270000008</v>
      </c>
      <c r="M274" s="6">
        <f>[1]Results!P1655</f>
        <v>9337.1962409999996</v>
      </c>
      <c r="N274" s="6">
        <f>[1]Results!Q1655</f>
        <v>9486.3876639999999</v>
      </c>
      <c r="O274" s="6">
        <f>[1]Results!R1655</f>
        <v>9636.1222099999995</v>
      </c>
      <c r="P274" s="6">
        <f>[1]Results!S1655</f>
        <v>9787.2138709999999</v>
      </c>
      <c r="Q274" s="6">
        <f>[1]Results!T1655</f>
        <v>9939.9767800000009</v>
      </c>
      <c r="R274" s="6">
        <f>[1]Results!U1655</f>
        <v>10094.56666</v>
      </c>
      <c r="S274" s="6">
        <f>[1]Results!V1655</f>
        <v>10251.10511</v>
      </c>
      <c r="T274" s="6">
        <f>[1]Results!W1655</f>
        <v>10409.7155</v>
      </c>
      <c r="U274" s="6">
        <f>[1]Results!X1655</f>
        <v>10570.527190000001</v>
      </c>
      <c r="V274" s="6">
        <f>[1]Results!Y1655</f>
        <v>10733.67078</v>
      </c>
      <c r="W274" s="6">
        <f>[1]Results!Z1655</f>
        <v>10893.636490000001</v>
      </c>
      <c r="X274" s="6">
        <f>[1]Results!AA1655</f>
        <v>11058.68102</v>
      </c>
      <c r="Y274" s="6">
        <f>[1]Results!AB1655</f>
        <v>11227.617469999999</v>
      </c>
      <c r="Z274" s="6">
        <f>[1]Results!AC1655</f>
        <v>11399.929700000001</v>
      </c>
      <c r="AA274" s="6">
        <f>[1]Results!AD1655</f>
        <v>11575.47306</v>
      </c>
      <c r="AB274" s="6">
        <f>[1]Results!AE1655</f>
        <v>11737.84527</v>
      </c>
      <c r="AC274" s="6">
        <f>[1]Results!AF1655</f>
        <v>11902.896059999999</v>
      </c>
      <c r="AD274" s="6">
        <f>[1]Results!AG1655</f>
        <v>12070.222540000001</v>
      </c>
      <c r="AE274" s="6">
        <f>[1]Results!AH1655</f>
        <v>12239.661</v>
      </c>
      <c r="AF274" s="6">
        <f>[1]Results!AI1655</f>
        <v>12411.33244</v>
      </c>
      <c r="AG274" s="6">
        <f>[1]Results!AJ1655</f>
        <v>12585.427439999999</v>
      </c>
      <c r="AH274" s="6">
        <f>[1]Results!AK1655</f>
        <v>12762.11657</v>
      </c>
      <c r="AI274" s="6">
        <f>[1]Results!AL1655</f>
        <v>12941.522800000001</v>
      </c>
      <c r="AJ274" s="6">
        <f>[1]Results!AM1655</f>
        <v>13123.72055</v>
      </c>
      <c r="AK274" s="6">
        <f>[1]Results!AN1655</f>
        <v>13308.745269999999</v>
      </c>
      <c r="AL274" s="6">
        <f>[1]Results!AO1655</f>
        <v>13496.605729999999</v>
      </c>
      <c r="AM274" s="6">
        <f>[1]Results!AP1655</f>
        <v>13683.2808</v>
      </c>
      <c r="AN274" s="6">
        <f>[1]Results!AQ1655</f>
        <v>13870.48345</v>
      </c>
      <c r="AO274" s="6">
        <f>[1]Results!AR1655</f>
        <v>14059.033009999999</v>
      </c>
      <c r="AP274" s="6">
        <f>[1]Results!AS1655</f>
        <v>14249.329400000001</v>
      </c>
      <c r="AQ274" s="6">
        <f>[1]Results!AT1655</f>
        <v>14441.620199999999</v>
      </c>
      <c r="AR274" s="6">
        <f>[1]Results!AU1655</f>
        <v>14636.091119999999</v>
      </c>
      <c r="AS274" s="6">
        <f>[1]Results!AV1655</f>
        <v>14832.89234</v>
      </c>
      <c r="AT274" s="6">
        <f>[1]Results!AW1655</f>
        <v>15032.145490000001</v>
      </c>
      <c r="AU274" s="6">
        <f>[1]Results!AX1655</f>
        <v>15233.94686</v>
      </c>
      <c r="AV274" s="6">
        <f>[1]Results!AY1655</f>
        <v>15438.37138</v>
      </c>
      <c r="AW274" s="6">
        <f>[1]Results!AZ1655</f>
        <v>15645.845020000001</v>
      </c>
      <c r="AX274" s="6">
        <f>[1]Results!BA1655</f>
        <v>15856.25864</v>
      </c>
      <c r="AY274" s="6">
        <f>[1]Results!BB1655</f>
        <v>16069.578310000001</v>
      </c>
      <c r="AZ274" s="6">
        <f>[1]Results!BC1655</f>
        <v>16285.801589999999</v>
      </c>
      <c r="BA274" s="6">
        <f>[1]Results!BD1655</f>
        <v>16504.938399999999</v>
      </c>
      <c r="BB274" s="6">
        <f>[1]Results!BE1655</f>
        <v>18375.041580000001</v>
      </c>
      <c r="BC274" s="6">
        <f>[1]Results!BF1655</f>
        <v>18700.720560000002</v>
      </c>
      <c r="BD274" s="6">
        <f>[1]Results!BG1655</f>
        <v>19032.156940000001</v>
      </c>
      <c r="BE274" s="6">
        <f>[1]Results!BH1655</f>
        <v>19369.446889999999</v>
      </c>
      <c r="BF274" s="6">
        <f>[1]Results!BI1655</f>
        <v>19712.689709999999</v>
      </c>
    </row>
    <row r="275" spans="1:58" x14ac:dyDescent="0.35">
      <c r="B275" t="s">
        <v>10</v>
      </c>
      <c r="C275" s="6">
        <f>[1]Results!F1660</f>
        <v>219751.9693</v>
      </c>
      <c r="D275" s="6">
        <f>[1]Results!G1660</f>
        <v>222616.73800000001</v>
      </c>
      <c r="E275" s="6">
        <f>[1]Results!H1660</f>
        <v>225704.5876</v>
      </c>
      <c r="F275" s="6">
        <f>[1]Results!I1660</f>
        <v>229017.53779999999</v>
      </c>
      <c r="G275" s="6">
        <f>[1]Results!J1660</f>
        <v>232539.38320000001</v>
      </c>
      <c r="H275" s="6">
        <f>[1]Results!K1660</f>
        <v>236250.1574</v>
      </c>
      <c r="I275" s="6">
        <f>[1]Results!L1660</f>
        <v>240029.6177</v>
      </c>
      <c r="J275" s="6">
        <f>[1]Results!M1660</f>
        <v>243893.4762</v>
      </c>
      <c r="K275" s="6">
        <f>[1]Results!N1660</f>
        <v>247851.334</v>
      </c>
      <c r="L275" s="6">
        <f>[1]Results!O1660</f>
        <v>251906.64929999999</v>
      </c>
      <c r="M275" s="6">
        <f>[1]Results!P1660</f>
        <v>256240.83590000001</v>
      </c>
      <c r="N275" s="6">
        <f>[1]Results!Q1660</f>
        <v>260620.41329999999</v>
      </c>
      <c r="O275" s="6">
        <f>[1]Results!R1660</f>
        <v>265059.50229999999</v>
      </c>
      <c r="P275" s="6">
        <f>[1]Results!S1660</f>
        <v>269568.36979999999</v>
      </c>
      <c r="Q275" s="6">
        <f>[1]Results!T1660</f>
        <v>274150.20850000001</v>
      </c>
      <c r="R275" s="6">
        <f>[1]Results!U1660</f>
        <v>278805.63020000001</v>
      </c>
      <c r="S275" s="6">
        <f>[1]Results!V1660</f>
        <v>283534.80050000001</v>
      </c>
      <c r="T275" s="6">
        <f>[1]Results!W1660</f>
        <v>288338.07860000001</v>
      </c>
      <c r="U275" s="6">
        <f>[1]Results!X1660</f>
        <v>293216.03639999998</v>
      </c>
      <c r="V275" s="6">
        <f>[1]Results!Y1660</f>
        <v>298169.30599999998</v>
      </c>
      <c r="W275" s="6">
        <f>[1]Results!Z1660</f>
        <v>303062.07120000001</v>
      </c>
      <c r="X275" s="6">
        <f>[1]Results!AA1660</f>
        <v>308069.12119999999</v>
      </c>
      <c r="Y275" s="6">
        <f>[1]Results!AB1660</f>
        <v>313178.66509999998</v>
      </c>
      <c r="Z275" s="6">
        <f>[1]Results!AC1660</f>
        <v>318381.2634</v>
      </c>
      <c r="AA275" s="6">
        <f>[1]Results!AD1660</f>
        <v>323672.50170000002</v>
      </c>
      <c r="AB275" s="6">
        <f>[1]Results!AE1660</f>
        <v>328652.71090000001</v>
      </c>
      <c r="AC275" s="6">
        <f>[1]Results!AF1660</f>
        <v>333638.8848</v>
      </c>
      <c r="AD275" s="6">
        <f>[1]Results!AG1660</f>
        <v>338644.32659999997</v>
      </c>
      <c r="AE275" s="6">
        <f>[1]Results!AH1660</f>
        <v>343673.94630000001</v>
      </c>
      <c r="AF275" s="6">
        <f>[1]Results!AI1660</f>
        <v>348735.15130000003</v>
      </c>
      <c r="AG275" s="6">
        <f>[1]Results!AJ1660</f>
        <v>353835.6507</v>
      </c>
      <c r="AH275" s="6">
        <f>[1]Results!AK1660</f>
        <v>358981.92959999997</v>
      </c>
      <c r="AI275" s="6">
        <f>[1]Results!AL1660</f>
        <v>364178.7622</v>
      </c>
      <c r="AJ275" s="6">
        <f>[1]Results!AM1660</f>
        <v>369429.32459999999</v>
      </c>
      <c r="AK275" s="6">
        <f>[1]Results!AN1660</f>
        <v>374735.56359999999</v>
      </c>
      <c r="AL275" s="6">
        <f>[1]Results!AO1660</f>
        <v>380098.62219999998</v>
      </c>
      <c r="AM275" s="6">
        <f>[1]Results!AP1660</f>
        <v>385421.92330000002</v>
      </c>
      <c r="AN275" s="6">
        <f>[1]Results!AQ1660</f>
        <v>390732.23220000003</v>
      </c>
      <c r="AO275" s="6">
        <f>[1]Results!AR1660</f>
        <v>396048.0834</v>
      </c>
      <c r="AP275" s="6">
        <f>[1]Results!AS1660</f>
        <v>401381.58510000003</v>
      </c>
      <c r="AQ275" s="6">
        <f>[1]Results!AT1660</f>
        <v>406742.04129999998</v>
      </c>
      <c r="AR275" s="6">
        <f>[1]Results!AU1660</f>
        <v>412137.337</v>
      </c>
      <c r="AS275" s="6">
        <f>[1]Results!AV1660</f>
        <v>417574.29220000003</v>
      </c>
      <c r="AT275" s="6">
        <f>[1]Results!AW1660</f>
        <v>423058.72210000001</v>
      </c>
      <c r="AU275" s="6">
        <f>[1]Results!AX1660</f>
        <v>428595.49560000002</v>
      </c>
      <c r="AV275" s="6">
        <f>[1]Results!AY1660</f>
        <v>434188.66690000001</v>
      </c>
      <c r="AW275" s="6">
        <f>[1]Results!AZ1660</f>
        <v>439850.54830000002</v>
      </c>
      <c r="AX275" s="6">
        <f>[1]Results!BA1660</f>
        <v>445581.87420000002</v>
      </c>
      <c r="AY275" s="6">
        <f>[1]Results!BB1660</f>
        <v>451383.82030000002</v>
      </c>
      <c r="AZ275" s="6">
        <f>[1]Results!BC1660</f>
        <v>457257.57049999997</v>
      </c>
      <c r="BA275" s="6">
        <f>[1]Results!BD1660</f>
        <v>463204.34370000003</v>
      </c>
      <c r="BB275" s="6">
        <f>[1]Results!BE1660</f>
        <v>521119.83889999997</v>
      </c>
      <c r="BC275" s="6">
        <f>[1]Results!BF1660</f>
        <v>530169.70979999995</v>
      </c>
      <c r="BD275" s="6">
        <f>[1]Results!BG1660</f>
        <v>539346.7709</v>
      </c>
      <c r="BE275" s="6">
        <f>[1]Results!BH1660</f>
        <v>548653.06019999995</v>
      </c>
      <c r="BF275" s="6">
        <f>[1]Results!BI1660</f>
        <v>558090.89249999996</v>
      </c>
    </row>
    <row r="276" spans="1:58" x14ac:dyDescent="0.35">
      <c r="B276" t="s">
        <v>31</v>
      </c>
      <c r="C276" s="6">
        <f>[1]Results!F1663</f>
        <v>2252.4374440000001</v>
      </c>
      <c r="D276" s="6">
        <f>[1]Results!G1663</f>
        <v>2272.7715090000002</v>
      </c>
      <c r="E276" s="6">
        <f>[1]Results!H1663</f>
        <v>2289.945013</v>
      </c>
      <c r="F276" s="6">
        <f>[1]Results!I1663</f>
        <v>2307.390758</v>
      </c>
      <c r="G276" s="6">
        <f>[1]Results!J1663</f>
        <v>2326.783179</v>
      </c>
      <c r="H276" s="6">
        <f>[1]Results!K1663</f>
        <v>2348.7159959999999</v>
      </c>
      <c r="I276" s="6">
        <f>[1]Results!L1663</f>
        <v>2372.2729730000001</v>
      </c>
      <c r="J276" s="6">
        <f>[1]Results!M1663</f>
        <v>2397.4970330000001</v>
      </c>
      <c r="K276" s="6">
        <f>[1]Results!N1663</f>
        <v>2424.2398400000002</v>
      </c>
      <c r="L276" s="6">
        <f>[1]Results!O1663</f>
        <v>2452.285535</v>
      </c>
      <c r="M276" s="6">
        <f>[1]Results!P1663</f>
        <v>2483.0136819999998</v>
      </c>
      <c r="N276" s="6">
        <f>[1]Results!Q1663</f>
        <v>2514.1315129999998</v>
      </c>
      <c r="O276" s="6">
        <f>[1]Results!R1663</f>
        <v>2545.7482500000001</v>
      </c>
      <c r="P276" s="6">
        <f>[1]Results!S1663</f>
        <v>2577.9376149999998</v>
      </c>
      <c r="Q276" s="6">
        <f>[1]Results!T1663</f>
        <v>2610.6974580000001</v>
      </c>
      <c r="R276" s="6">
        <f>[1]Results!U1663</f>
        <v>2644.001902</v>
      </c>
      <c r="S276" s="6">
        <f>[1]Results!V1663</f>
        <v>2677.82503</v>
      </c>
      <c r="T276" s="6">
        <f>[1]Results!W1663</f>
        <v>2712.1478360000001</v>
      </c>
      <c r="U276" s="6">
        <f>[1]Results!X1663</f>
        <v>2746.958815</v>
      </c>
      <c r="V276" s="6">
        <f>[1]Results!Y1663</f>
        <v>2782.2527209999998</v>
      </c>
      <c r="W276" s="6">
        <f>[1]Results!Z1663</f>
        <v>2816.8592480000002</v>
      </c>
      <c r="X276" s="6">
        <f>[1]Results!AA1663</f>
        <v>2852.365346</v>
      </c>
      <c r="Y276" s="6">
        <f>[1]Results!AB1663</f>
        <v>2888.6056910000002</v>
      </c>
      <c r="Z276" s="6">
        <f>[1]Results!AC1663</f>
        <v>2925.4671760000001</v>
      </c>
      <c r="AA276" s="6">
        <f>[1]Results!AD1663</f>
        <v>2962.9107410000001</v>
      </c>
      <c r="AB276" s="6">
        <f>[1]Results!AE1663</f>
        <v>2997.5465340000001</v>
      </c>
      <c r="AC276" s="6">
        <f>[1]Results!AF1663</f>
        <v>3032.3524779999998</v>
      </c>
      <c r="AD276" s="6">
        <f>[1]Results!AG1663</f>
        <v>3067.383906</v>
      </c>
      <c r="AE276" s="6">
        <f>[1]Results!AH1663</f>
        <v>3102.6169920000002</v>
      </c>
      <c r="AF276" s="6">
        <f>[1]Results!AI1663</f>
        <v>3138.076838</v>
      </c>
      <c r="AG276" s="6">
        <f>[1]Results!AJ1663</f>
        <v>3173.8103460000002</v>
      </c>
      <c r="AH276" s="6">
        <f>[1]Results!AK1663</f>
        <v>3209.8672769999998</v>
      </c>
      <c r="AI276" s="6">
        <f>[1]Results!AL1663</f>
        <v>3246.2920439999998</v>
      </c>
      <c r="AJ276" s="6">
        <f>[1]Results!AM1663</f>
        <v>3283.1212230000001</v>
      </c>
      <c r="AK276" s="6">
        <f>[1]Results!AN1663</f>
        <v>3320.383628</v>
      </c>
      <c r="AL276" s="6">
        <f>[1]Results!AO1663</f>
        <v>3358.1014190000001</v>
      </c>
      <c r="AM276" s="6">
        <f>[1]Results!AP1663</f>
        <v>3395.473954</v>
      </c>
      <c r="AN276" s="6">
        <f>[1]Results!AQ1663</f>
        <v>3432.7992290000002</v>
      </c>
      <c r="AO276" s="6">
        <f>[1]Results!AR1663</f>
        <v>3470.25324</v>
      </c>
      <c r="AP276" s="6">
        <f>[1]Results!AS1663</f>
        <v>3507.9270849999998</v>
      </c>
      <c r="AQ276" s="6">
        <f>[1]Results!AT1663</f>
        <v>3545.8782630000001</v>
      </c>
      <c r="AR276" s="6">
        <f>[1]Results!AU1663</f>
        <v>3584.1513799999998</v>
      </c>
      <c r="AS276" s="6">
        <f>[1]Results!AV1663</f>
        <v>3622.7845419999999</v>
      </c>
      <c r="AT276" s="6">
        <f>[1]Results!AW1663</f>
        <v>3661.81079</v>
      </c>
      <c r="AU276" s="6">
        <f>[1]Results!AX1663</f>
        <v>3701.2580699999999</v>
      </c>
      <c r="AV276" s="6">
        <f>[1]Results!AY1663</f>
        <v>3741.1482540000002</v>
      </c>
      <c r="AW276" s="6">
        <f>[1]Results!AZ1663</f>
        <v>3781.5656979999999</v>
      </c>
      <c r="AX276" s="6">
        <f>[1]Results!BA1663</f>
        <v>3822.4931539999998</v>
      </c>
      <c r="AY276" s="6">
        <f>[1]Results!BB1663</f>
        <v>3863.9172490000001</v>
      </c>
      <c r="AZ276" s="6">
        <f>[1]Results!BC1663</f>
        <v>3905.8592899999999</v>
      </c>
      <c r="BA276" s="6">
        <f>[1]Results!BD1663</f>
        <v>3948.3491370000002</v>
      </c>
      <c r="BB276" s="6">
        <f>[1]Results!BE1663</f>
        <v>4416.6468480000003</v>
      </c>
      <c r="BC276" s="6">
        <f>[1]Results!BF1663</f>
        <v>4483.9938819999998</v>
      </c>
      <c r="BD276" s="6">
        <f>[1]Results!BG1663</f>
        <v>4552.3246609999997</v>
      </c>
      <c r="BE276" s="6">
        <f>[1]Results!BH1663</f>
        <v>4621.6617919999999</v>
      </c>
      <c r="BF276" s="6">
        <f>[1]Results!BI1663</f>
        <v>4692.0295589999996</v>
      </c>
    </row>
    <row r="277" spans="1:58" x14ac:dyDescent="0.35">
      <c r="B277" t="s">
        <v>33</v>
      </c>
      <c r="C277" s="6">
        <f>[1]Results!F1668</f>
        <v>3648.6622240000002</v>
      </c>
      <c r="D277" s="6">
        <f>[1]Results!G1668</f>
        <v>3681.5817390000002</v>
      </c>
      <c r="E277" s="6">
        <f>[1]Results!H1668</f>
        <v>3707.9254639999999</v>
      </c>
      <c r="F277" s="6">
        <f>[1]Results!I1668</f>
        <v>3732.038556</v>
      </c>
      <c r="G277" s="6">
        <f>[1]Results!J1668</f>
        <v>3756.3557129999999</v>
      </c>
      <c r="H277" s="6">
        <f>[1]Results!K1668</f>
        <v>3782.2036349999998</v>
      </c>
      <c r="I277" s="6">
        <f>[1]Results!L1668</f>
        <v>3808.8024740000001</v>
      </c>
      <c r="J277" s="6">
        <f>[1]Results!M1668</f>
        <v>3836.4908099999998</v>
      </c>
      <c r="K277" s="6">
        <f>[1]Results!N1668</f>
        <v>3865.316276</v>
      </c>
      <c r="L277" s="6">
        <f>[1]Results!O1668</f>
        <v>3895.1027290000002</v>
      </c>
      <c r="M277" s="6">
        <f>[1]Results!P1668</f>
        <v>3927.9826330000001</v>
      </c>
      <c r="N277" s="6">
        <f>[1]Results!Q1668</f>
        <v>3960.8645299999998</v>
      </c>
      <c r="O277" s="6">
        <f>[1]Results!R1668</f>
        <v>3993.5854949999998</v>
      </c>
      <c r="P277" s="6">
        <f>[1]Results!S1668</f>
        <v>4026.2777000000001</v>
      </c>
      <c r="Q277" s="6">
        <f>[1]Results!T1668</f>
        <v>4059.0346530000002</v>
      </c>
      <c r="R277" s="6">
        <f>[1]Results!U1668</f>
        <v>4091.9158010000001</v>
      </c>
      <c r="S277" s="6">
        <f>[1]Results!V1668</f>
        <v>4124.9726110000001</v>
      </c>
      <c r="T277" s="6">
        <f>[1]Results!W1668</f>
        <v>4158.2616159999998</v>
      </c>
      <c r="U277" s="6">
        <f>[1]Results!X1668</f>
        <v>4191.8481039999997</v>
      </c>
      <c r="V277" s="6">
        <f>[1]Results!Y1668</f>
        <v>4225.8053950000003</v>
      </c>
      <c r="W277" s="6">
        <f>[1]Results!Z1668</f>
        <v>4258.524821</v>
      </c>
      <c r="X277" s="6">
        <f>[1]Results!AA1668</f>
        <v>4292.1751039999999</v>
      </c>
      <c r="Y277" s="6">
        <f>[1]Results!AB1668</f>
        <v>4326.8575769999998</v>
      </c>
      <c r="Z277" s="6">
        <f>[1]Results!AC1668</f>
        <v>4362.5024270000004</v>
      </c>
      <c r="AA277" s="6">
        <f>[1]Results!AD1668</f>
        <v>4399.0929820000001</v>
      </c>
      <c r="AB277" s="6">
        <f>[1]Results!AE1668</f>
        <v>4431.8611410000003</v>
      </c>
      <c r="AC277" s="6">
        <f>[1]Results!AF1668</f>
        <v>4464.5008779999998</v>
      </c>
      <c r="AD277" s="6">
        <f>[1]Results!AG1668</f>
        <v>4497.6148830000002</v>
      </c>
      <c r="AE277" s="6">
        <f>[1]Results!AH1668</f>
        <v>4531.3573939999997</v>
      </c>
      <c r="AF277" s="6">
        <f>[1]Results!AI1668</f>
        <v>4565.8428080000003</v>
      </c>
      <c r="AG277" s="6">
        <f>[1]Results!AJ1668</f>
        <v>4601.1838100000004</v>
      </c>
      <c r="AH277" s="6">
        <f>[1]Results!AK1668</f>
        <v>4637.482403</v>
      </c>
      <c r="AI277" s="6">
        <f>[1]Results!AL1668</f>
        <v>4674.8224790000004</v>
      </c>
      <c r="AJ277" s="6">
        <f>[1]Results!AM1668</f>
        <v>4713.2676549999996</v>
      </c>
      <c r="AK277" s="6">
        <f>[1]Results!AN1668</f>
        <v>4752.8624550000004</v>
      </c>
      <c r="AL277" s="6">
        <f>[1]Results!AO1668</f>
        <v>4793.6351439999999</v>
      </c>
      <c r="AM277" s="6">
        <f>[1]Results!AP1668</f>
        <v>4834.4787999999999</v>
      </c>
      <c r="AN277" s="6">
        <f>[1]Results!AQ1668</f>
        <v>4875.6543830000001</v>
      </c>
      <c r="AO277" s="6">
        <f>[1]Results!AR1668</f>
        <v>4917.4268840000004</v>
      </c>
      <c r="AP277" s="6">
        <f>[1]Results!AS1668</f>
        <v>4959.9607480000004</v>
      </c>
      <c r="AQ277" s="6">
        <f>[1]Results!AT1668</f>
        <v>5003.359477</v>
      </c>
      <c r="AR277" s="6">
        <f>[1]Results!AU1668</f>
        <v>5047.6950770000003</v>
      </c>
      <c r="AS277" s="6">
        <f>[1]Results!AV1668</f>
        <v>5093.0216630000004</v>
      </c>
      <c r="AT277" s="6">
        <f>[1]Results!AW1668</f>
        <v>5139.3815370000002</v>
      </c>
      <c r="AU277" s="6">
        <f>[1]Results!AX1668</f>
        <v>5186.8068869999997</v>
      </c>
      <c r="AV277" s="6">
        <f>[1]Results!AY1668</f>
        <v>5235.317481</v>
      </c>
      <c r="AW277" s="6">
        <f>[1]Results!AZ1668</f>
        <v>5285.0014799999999</v>
      </c>
      <c r="AX277" s="6">
        <f>[1]Results!BA1668</f>
        <v>5335.7036420000004</v>
      </c>
      <c r="AY277" s="6">
        <f>[1]Results!BB1668</f>
        <v>5387.2999010000003</v>
      </c>
      <c r="AZ277" s="6">
        <f>[1]Results!BC1668</f>
        <v>5439.8312340000002</v>
      </c>
      <c r="BA277" s="6">
        <f>[1]Results!BD1668</f>
        <v>5493.3968619999996</v>
      </c>
      <c r="BB277" s="6">
        <f>[1]Results!BE1668</f>
        <v>6294.689676</v>
      </c>
      <c r="BC277" s="6">
        <f>[1]Results!BF1668</f>
        <v>6382.6613719999996</v>
      </c>
      <c r="BD277" s="6">
        <f>[1]Results!BG1668</f>
        <v>6472.0753290000002</v>
      </c>
      <c r="BE277" s="6">
        <f>[1]Results!BH1668</f>
        <v>6562.95615</v>
      </c>
      <c r="BF277" s="6">
        <f>[1]Results!BI1668</f>
        <v>6655.3246710000003</v>
      </c>
    </row>
    <row r="279" spans="1:58" x14ac:dyDescent="0.35">
      <c r="A279" s="12" t="s">
        <v>21</v>
      </c>
      <c r="B279" t="s">
        <v>26</v>
      </c>
      <c r="C279" s="4">
        <f>C263/C271-1</f>
        <v>-1.189725934603969E-2</v>
      </c>
      <c r="D279" s="4">
        <f t="shared" ref="D279:AK279" si="162">D263/D271-1</f>
        <v>-1.9504207180139121E-2</v>
      </c>
      <c r="E279" s="4">
        <f t="shared" si="162"/>
        <v>-2.4812566165249295E-2</v>
      </c>
      <c r="F279" s="4">
        <f t="shared" si="162"/>
        <v>-2.9037836013188989E-2</v>
      </c>
      <c r="G279" s="4">
        <f t="shared" si="162"/>
        <v>-3.2726757248986882E-2</v>
      </c>
      <c r="H279" s="4">
        <f t="shared" si="162"/>
        <v>-3.6113169664027778E-2</v>
      </c>
      <c r="I279" s="4">
        <f t="shared" si="162"/>
        <v>-3.9309003433517065E-2</v>
      </c>
      <c r="J279" s="4">
        <f t="shared" si="162"/>
        <v>-4.2353995694277891E-2</v>
      </c>
      <c r="K279" s="4">
        <f t="shared" si="162"/>
        <v>-4.5269733125572476E-2</v>
      </c>
      <c r="L279" s="4">
        <f t="shared" si="162"/>
        <v>-4.8073740246934782E-2</v>
      </c>
      <c r="M279" s="4">
        <f t="shared" si="162"/>
        <v>-5.0780372227659965E-2</v>
      </c>
      <c r="N279" s="4">
        <f t="shared" si="162"/>
        <v>-5.3446976549288872E-2</v>
      </c>
      <c r="O279" s="4">
        <f t="shared" si="162"/>
        <v>-5.6063007178776436E-2</v>
      </c>
      <c r="P279" s="4">
        <f t="shared" si="162"/>
        <v>-5.8621393246099274E-2</v>
      </c>
      <c r="Q279" s="4">
        <f t="shared" si="162"/>
        <v>-6.1116932487305653E-2</v>
      </c>
      <c r="R279" s="4">
        <f t="shared" si="162"/>
        <v>-6.3544520676408811E-2</v>
      </c>
      <c r="S279" s="4">
        <f t="shared" si="162"/>
        <v>-6.5937567954209908E-2</v>
      </c>
      <c r="T279" s="4">
        <f t="shared" si="162"/>
        <v>-6.8272587516382766E-2</v>
      </c>
      <c r="U279" s="4">
        <f t="shared" si="162"/>
        <v>-7.0535220621108952E-2</v>
      </c>
      <c r="V279" s="4">
        <f t="shared" si="162"/>
        <v>-7.2717078697924875E-2</v>
      </c>
      <c r="W279" s="4">
        <f t="shared" si="162"/>
        <v>-7.481522456330314E-2</v>
      </c>
      <c r="X279" s="4">
        <f t="shared" si="162"/>
        <v>-7.6822121202319793E-2</v>
      </c>
      <c r="Y279" s="4">
        <f t="shared" si="162"/>
        <v>-7.8736010346848184E-2</v>
      </c>
      <c r="Z279" s="4">
        <f t="shared" si="162"/>
        <v>-8.0556630877752111E-2</v>
      </c>
      <c r="AA279" s="4">
        <f t="shared" si="162"/>
        <v>-8.2284095863831008E-2</v>
      </c>
      <c r="AB279" s="4">
        <f t="shared" si="162"/>
        <v>-8.3924851716116189E-2</v>
      </c>
      <c r="AC279" s="4">
        <f t="shared" si="162"/>
        <v>-8.5458482164459393E-2</v>
      </c>
      <c r="AD279" s="4">
        <f t="shared" si="162"/>
        <v>-8.6890867737160482E-2</v>
      </c>
      <c r="AE279" s="4">
        <f t="shared" si="162"/>
        <v>-8.8226762884249688E-2</v>
      </c>
      <c r="AF279" s="4">
        <f t="shared" si="162"/>
        <v>-8.9469614866165892E-2</v>
      </c>
      <c r="AG279" s="4">
        <f t="shared" si="162"/>
        <v>-9.0622125564811418E-2</v>
      </c>
      <c r="AH279" s="4">
        <f t="shared" si="162"/>
        <v>-9.1679826309177814E-2</v>
      </c>
      <c r="AI279" s="4">
        <f>AI263/AI271-1</f>
        <v>-9.2648035111947302E-2</v>
      </c>
      <c r="AJ279" s="4">
        <f t="shared" si="162"/>
        <v>-9.3530678181789062E-2</v>
      </c>
      <c r="AK279" s="4">
        <f t="shared" si="162"/>
        <v>-9.4330946533930815E-2</v>
      </c>
      <c r="AL279" s="4">
        <f>AL263/AL271-1</f>
        <v>-9.5051825137853374E-2</v>
      </c>
      <c r="AM279" s="4">
        <f t="shared" ref="AM279:BC279" si="163">AM263/AM271-1</f>
        <v>-9.5641587875725298E-2</v>
      </c>
      <c r="AN279" s="4">
        <f t="shared" si="163"/>
        <v>-9.6128099089514252E-2</v>
      </c>
      <c r="AO279" s="4">
        <f t="shared" si="163"/>
        <v>-9.6527317780964128E-2</v>
      </c>
      <c r="AP279" s="4">
        <f t="shared" si="163"/>
        <v>-9.6848633042800447E-2</v>
      </c>
      <c r="AQ279" s="4">
        <f t="shared" si="163"/>
        <v>-9.7098826503227986E-2</v>
      </c>
      <c r="AR279" s="4">
        <f t="shared" si="163"/>
        <v>-9.7275342793035069E-2</v>
      </c>
      <c r="AS279" s="4">
        <f t="shared" si="163"/>
        <v>-9.7387292524749092E-2</v>
      </c>
      <c r="AT279" s="4">
        <f t="shared" si="163"/>
        <v>-9.7441889666916137E-2</v>
      </c>
      <c r="AU279" s="4">
        <f t="shared" si="163"/>
        <v>-9.7445150217787213E-2</v>
      </c>
      <c r="AV279" s="4">
        <f t="shared" si="163"/>
        <v>-9.7402491530990676E-2</v>
      </c>
      <c r="AW279" s="4">
        <f t="shared" si="163"/>
        <v>-9.7292412395024841E-2</v>
      </c>
      <c r="AX279" s="4">
        <f t="shared" si="163"/>
        <v>-9.7131489622362954E-2</v>
      </c>
      <c r="AY279" s="4">
        <f t="shared" si="163"/>
        <v>-9.6930846668537574E-2</v>
      </c>
      <c r="AZ279" s="4">
        <f t="shared" si="163"/>
        <v>-9.6697844497905083E-2</v>
      </c>
      <c r="BA279" s="4">
        <f t="shared" si="163"/>
        <v>-9.6438132940747101E-2</v>
      </c>
      <c r="BB279" s="4">
        <f t="shared" si="163"/>
        <v>-1.8968324761670097E-4</v>
      </c>
      <c r="BC279" s="4">
        <f t="shared" si="163"/>
        <v>3.056175197979627E-5</v>
      </c>
      <c r="BD279" s="4">
        <f t="shared" ref="BD279:BF279" si="164">BD263/BD271-1</f>
        <v>2.6725331404020558E-4</v>
      </c>
      <c r="BE279" s="4">
        <f t="shared" si="164"/>
        <v>5.1902589871888338E-4</v>
      </c>
      <c r="BF279" s="4">
        <f t="shared" si="164"/>
        <v>7.8444032673608E-4</v>
      </c>
    </row>
    <row r="280" spans="1:58" x14ac:dyDescent="0.35">
      <c r="A280" t="s">
        <v>88</v>
      </c>
      <c r="B280" t="s">
        <v>7</v>
      </c>
      <c r="C280" s="4">
        <f>(C264-C272)/C$271</f>
        <v>-1.412248502035591E-4</v>
      </c>
      <c r="D280" s="4">
        <f t="shared" ref="D280:AL280" si="165">(D264-D272)/D$271</f>
        <v>-2.2643629213886797E-4</v>
      </c>
      <c r="E280" s="4">
        <f t="shared" si="165"/>
        <v>-2.8296916512563495E-4</v>
      </c>
      <c r="F280" s="4">
        <f t="shared" si="165"/>
        <v>-3.2610733457673433E-4</v>
      </c>
      <c r="G280" s="4">
        <f t="shared" si="165"/>
        <v>-3.6177935848433771E-4</v>
      </c>
      <c r="H280" s="4">
        <f t="shared" si="165"/>
        <v>-3.9232470763146893E-4</v>
      </c>
      <c r="I280" s="4">
        <f t="shared" si="165"/>
        <v>-4.1885182951184314E-4</v>
      </c>
      <c r="J280" s="4">
        <f t="shared" si="165"/>
        <v>-4.4192547378462337E-4</v>
      </c>
      <c r="K280" s="4">
        <f t="shared" si="165"/>
        <v>-4.6205098259962117E-4</v>
      </c>
      <c r="L280" s="4">
        <f t="shared" si="165"/>
        <v>-4.7974012195000374E-4</v>
      </c>
      <c r="M280" s="4">
        <f t="shared" si="165"/>
        <v>-4.955053139665455E-4</v>
      </c>
      <c r="N280" s="4">
        <f t="shared" si="165"/>
        <v>-5.1021432980072248E-4</v>
      </c>
      <c r="O280" s="4">
        <f t="shared" si="165"/>
        <v>-5.2395218451812729E-4</v>
      </c>
      <c r="P280" s="4">
        <f t="shared" si="165"/>
        <v>-5.3682671874452517E-4</v>
      </c>
      <c r="Q280" s="4">
        <f t="shared" si="165"/>
        <v>-5.4893841397053614E-4</v>
      </c>
      <c r="R280" s="4">
        <f t="shared" si="165"/>
        <v>-5.6036327673806305E-4</v>
      </c>
      <c r="S280" s="4">
        <f t="shared" si="165"/>
        <v>-5.7160876746556737E-4</v>
      </c>
      <c r="T280" s="4">
        <f t="shared" si="165"/>
        <v>-5.824861210773258E-4</v>
      </c>
      <c r="U280" s="4">
        <f t="shared" si="165"/>
        <v>-5.9292196432453217E-4</v>
      </c>
      <c r="V280" s="4">
        <f t="shared" si="165"/>
        <v>-6.029029680586558E-4</v>
      </c>
      <c r="W280" s="4">
        <f t="shared" si="165"/>
        <v>-6.1240888572365799E-4</v>
      </c>
      <c r="X280" s="4">
        <f t="shared" si="165"/>
        <v>-6.2150110093471501E-4</v>
      </c>
      <c r="Y280" s="4">
        <f t="shared" si="165"/>
        <v>-6.3019457901808667E-4</v>
      </c>
      <c r="Z280" s="4">
        <f t="shared" si="165"/>
        <v>-6.3851894754755824E-4</v>
      </c>
      <c r="AA280" s="4">
        <f t="shared" si="165"/>
        <v>-6.4650563856231968E-4</v>
      </c>
      <c r="AB280" s="4">
        <f t="shared" si="165"/>
        <v>-6.5407225446711091E-4</v>
      </c>
      <c r="AC280" s="4">
        <f t="shared" si="165"/>
        <v>-6.6121135784902242E-4</v>
      </c>
      <c r="AD280" s="4">
        <f t="shared" si="165"/>
        <v>-6.6801855213190447E-4</v>
      </c>
      <c r="AE280" s="4">
        <f t="shared" si="165"/>
        <v>-6.7456341008086346E-4</v>
      </c>
      <c r="AF280" s="4">
        <f t="shared" si="165"/>
        <v>-6.8089905916035337E-4</v>
      </c>
      <c r="AG280" s="4">
        <f t="shared" si="165"/>
        <v>-6.8706672407307099E-4</v>
      </c>
      <c r="AH280" s="4">
        <f t="shared" si="165"/>
        <v>-6.9301872102098499E-4</v>
      </c>
      <c r="AI280" s="4">
        <f t="shared" si="165"/>
        <v>-6.9881998261081535E-4</v>
      </c>
      <c r="AJ280" s="4">
        <f t="shared" si="165"/>
        <v>-7.0451055863883646E-4</v>
      </c>
      <c r="AK280" s="4">
        <f t="shared" si="165"/>
        <v>-7.101169901270293E-4</v>
      </c>
      <c r="AL280" s="4">
        <f t="shared" si="165"/>
        <v>-7.1565983372310238E-4</v>
      </c>
      <c r="AM280" s="4">
        <f t="shared" ref="AM280:BC280" si="166">(AM264-AM272)/AM$271</f>
        <v>-7.2046930078373478E-4</v>
      </c>
      <c r="AN280" s="4">
        <f t="shared" si="166"/>
        <v>-7.249087944826598E-4</v>
      </c>
      <c r="AO280" s="4">
        <f t="shared" si="166"/>
        <v>-7.2915692012842019E-4</v>
      </c>
      <c r="AP280" s="4">
        <f t="shared" si="166"/>
        <v>-7.3330341398739345E-4</v>
      </c>
      <c r="AQ280" s="4">
        <f t="shared" si="166"/>
        <v>-7.3740725167197941E-4</v>
      </c>
      <c r="AR280" s="4">
        <f t="shared" si="166"/>
        <v>-7.4141690133478638E-4</v>
      </c>
      <c r="AS280" s="4">
        <f t="shared" si="166"/>
        <v>-7.4541843409199713E-4</v>
      </c>
      <c r="AT280" s="4">
        <f t="shared" si="166"/>
        <v>-7.4946617889617767E-4</v>
      </c>
      <c r="AU280" s="4">
        <f t="shared" si="166"/>
        <v>-7.5359460265511928E-4</v>
      </c>
      <c r="AV280" s="4">
        <f t="shared" si="166"/>
        <v>-7.5782630984795379E-4</v>
      </c>
      <c r="AW280" s="4">
        <f t="shared" si="166"/>
        <v>-7.6186350133461791E-4</v>
      </c>
      <c r="AX280" s="4">
        <f t="shared" si="166"/>
        <v>-7.658673705365274E-4</v>
      </c>
      <c r="AY280" s="4">
        <f t="shared" si="166"/>
        <v>-7.6992329867462718E-4</v>
      </c>
      <c r="AZ280" s="4">
        <f t="shared" si="166"/>
        <v>-7.7406497872264035E-4</v>
      </c>
      <c r="BA280" s="4">
        <f t="shared" si="166"/>
        <v>-7.7830524242186293E-4</v>
      </c>
      <c r="BB280" s="4">
        <f t="shared" si="166"/>
        <v>9.4659051125381113E-5</v>
      </c>
      <c r="BC280" s="4">
        <f t="shared" si="166"/>
        <v>1.0198390273222677E-4</v>
      </c>
      <c r="BD280" s="4">
        <f t="shared" ref="BD280:BF280" si="167">(BD264-BD272)/BD$271</f>
        <v>1.0943101375679349E-4</v>
      </c>
      <c r="BE280" s="4">
        <f t="shared" si="167"/>
        <v>1.1697477004672881E-4</v>
      </c>
      <c r="BF280" s="4">
        <f t="shared" si="167"/>
        <v>1.2459345722464171E-4</v>
      </c>
    </row>
    <row r="281" spans="1:58" x14ac:dyDescent="0.35">
      <c r="B281" t="s">
        <v>30</v>
      </c>
      <c r="C281" s="4">
        <f t="shared" ref="C281:AL281" si="168">(C265-C273)/C$271</f>
        <v>-6.4983541941989152E-3</v>
      </c>
      <c r="D281" s="4">
        <f t="shared" si="168"/>
        <v>-1.0548795860156043E-2</v>
      </c>
      <c r="E281" s="4">
        <f t="shared" si="168"/>
        <v>-1.3393661036815293E-2</v>
      </c>
      <c r="F281" s="4">
        <f t="shared" si="168"/>
        <v>-1.568644867843523E-2</v>
      </c>
      <c r="G281" s="4">
        <f t="shared" si="168"/>
        <v>-1.7725518723737347E-2</v>
      </c>
      <c r="H281" s="4">
        <f t="shared" si="168"/>
        <v>-1.9647300170795971E-2</v>
      </c>
      <c r="I281" s="4">
        <f t="shared" si="168"/>
        <v>-2.1518162758284713E-2</v>
      </c>
      <c r="J281" s="4">
        <f t="shared" si="168"/>
        <v>-2.3359231498233136E-2</v>
      </c>
      <c r="K281" s="4">
        <f t="shared" si="168"/>
        <v>-2.5176813822472298E-2</v>
      </c>
      <c r="L281" s="4">
        <f t="shared" si="168"/>
        <v>-2.6972715129187311E-2</v>
      </c>
      <c r="M281" s="4">
        <f t="shared" si="168"/>
        <v>-2.8746084688809646E-2</v>
      </c>
      <c r="N281" s="4">
        <f t="shared" si="168"/>
        <v>-3.0521731528752444E-2</v>
      </c>
      <c r="O281" s="4">
        <f t="shared" si="168"/>
        <v>-3.2288330345242602E-2</v>
      </c>
      <c r="P281" s="4">
        <f t="shared" si="168"/>
        <v>-3.4037434394137429E-2</v>
      </c>
      <c r="Q281" s="4">
        <f t="shared" si="168"/>
        <v>-3.5762310315005368E-2</v>
      </c>
      <c r="R281" s="4">
        <f t="shared" si="168"/>
        <v>-3.7456795552122023E-2</v>
      </c>
      <c r="S281" s="4">
        <f t="shared" si="168"/>
        <v>-3.9136244401061365E-2</v>
      </c>
      <c r="T281" s="4">
        <f t="shared" si="168"/>
        <v>-4.0784568774202258E-2</v>
      </c>
      <c r="U281" s="4">
        <f t="shared" si="168"/>
        <v>-4.2391232610433205E-2</v>
      </c>
      <c r="V281" s="4">
        <f t="shared" si="168"/>
        <v>-4.3949079306070039E-2</v>
      </c>
      <c r="W281" s="4">
        <f t="shared" si="168"/>
        <v>-4.545549462135947E-2</v>
      </c>
      <c r="X281" s="4">
        <f t="shared" si="168"/>
        <v>-4.6902197688228085E-2</v>
      </c>
      <c r="Y281" s="4">
        <f t="shared" si="168"/>
        <v>-4.8286022280872518E-2</v>
      </c>
      <c r="Z281" s="4">
        <f t="shared" si="168"/>
        <v>-4.9605071011019963E-2</v>
      </c>
      <c r="AA281" s="4">
        <f t="shared" si="168"/>
        <v>-5.0857788716944574E-2</v>
      </c>
      <c r="AB281" s="4">
        <f t="shared" si="168"/>
        <v>-5.2051075026473978E-2</v>
      </c>
      <c r="AC281" s="4">
        <f t="shared" si="168"/>
        <v>-5.3167849999544846E-2</v>
      </c>
      <c r="AD281" s="4">
        <f t="shared" si="168"/>
        <v>-5.4209305755307038E-2</v>
      </c>
      <c r="AE281" s="4">
        <f t="shared" si="168"/>
        <v>-5.517660685675406E-2</v>
      </c>
      <c r="AF281" s="4">
        <f t="shared" si="168"/>
        <v>-5.6070402761017678E-2</v>
      </c>
      <c r="AG281" s="4">
        <f t="shared" si="168"/>
        <v>-5.689115281458694E-2</v>
      </c>
      <c r="AH281" s="4">
        <f t="shared" si="168"/>
        <v>-5.7635618713712401E-2</v>
      </c>
      <c r="AI281" s="4">
        <f t="shared" si="168"/>
        <v>-5.8306223376724794E-2</v>
      </c>
      <c r="AJ281" s="4">
        <f t="shared" si="168"/>
        <v>-5.8904773861206114E-2</v>
      </c>
      <c r="AK281" s="4">
        <f t="shared" si="168"/>
        <v>-5.9432870495078449E-2</v>
      </c>
      <c r="AL281" s="4">
        <f t="shared" si="168"/>
        <v>-5.9892171708202449E-2</v>
      </c>
      <c r="AM281" s="4">
        <f t="shared" ref="AM281:BC281" si="169">(AM265-AM273)/AM$271</f>
        <v>-6.0255665926973491E-2</v>
      </c>
      <c r="AN281" s="4">
        <f t="shared" si="169"/>
        <v>-6.0538767658491366E-2</v>
      </c>
      <c r="AO281" s="4">
        <f t="shared" si="169"/>
        <v>-6.0749999862589651E-2</v>
      </c>
      <c r="AP281" s="4">
        <f t="shared" si="169"/>
        <v>-6.0894591824774941E-2</v>
      </c>
      <c r="AQ281" s="4">
        <f t="shared" si="169"/>
        <v>-6.0976515380564207E-2</v>
      </c>
      <c r="AR281" s="4">
        <f t="shared" si="169"/>
        <v>-6.0994746481271449E-2</v>
      </c>
      <c r="AS281" s="4">
        <f t="shared" si="169"/>
        <v>-6.0954891316970711E-2</v>
      </c>
      <c r="AT281" s="4">
        <f t="shared" si="169"/>
        <v>-6.0861629317583398E-2</v>
      </c>
      <c r="AU281" s="4">
        <f t="shared" si="169"/>
        <v>-6.0719180879842939E-2</v>
      </c>
      <c r="AV281" s="4">
        <f t="shared" si="169"/>
        <v>-6.0531605470141962E-2</v>
      </c>
      <c r="AW281" s="4">
        <f t="shared" si="169"/>
        <v>-6.0288204369480493E-2</v>
      </c>
      <c r="AX281" s="4">
        <f t="shared" si="169"/>
        <v>-5.9999606187361963E-2</v>
      </c>
      <c r="AY281" s="4">
        <f t="shared" si="169"/>
        <v>-5.9673287956892647E-2</v>
      </c>
      <c r="AZ281" s="4">
        <f t="shared" si="169"/>
        <v>-5.9314817443843149E-2</v>
      </c>
      <c r="BA281" s="4">
        <f t="shared" si="169"/>
        <v>-5.8928879324683991E-2</v>
      </c>
      <c r="BB281" s="4">
        <f t="shared" si="169"/>
        <v>3.9656188976705569E-5</v>
      </c>
      <c r="BC281" s="4">
        <f t="shared" si="169"/>
        <v>2.122757031854655E-4</v>
      </c>
      <c r="BD281" s="4">
        <f t="shared" ref="BD281:BF281" si="170">(BD265-BD273)/BD$271</f>
        <v>3.9830307740515013E-4</v>
      </c>
      <c r="BE281" s="4">
        <f t="shared" si="170"/>
        <v>5.9690661777737962E-4</v>
      </c>
      <c r="BF281" s="4">
        <f t="shared" si="170"/>
        <v>8.0713243591082643E-4</v>
      </c>
    </row>
    <row r="282" spans="1:58" x14ac:dyDescent="0.35">
      <c r="B282" t="s">
        <v>28</v>
      </c>
      <c r="C282" s="4">
        <f t="shared" ref="C282:AL282" si="171">(C266-C274)/C$271</f>
        <v>-3.8785906514844507E-4</v>
      </c>
      <c r="D282" s="4">
        <f t="shared" si="171"/>
        <v>-5.6394152235145331E-4</v>
      </c>
      <c r="E282" s="4">
        <f t="shared" si="171"/>
        <v>-6.5973130628061924E-4</v>
      </c>
      <c r="F282" s="4">
        <f t="shared" si="171"/>
        <v>-7.2630995744069169E-4</v>
      </c>
      <c r="G282" s="4">
        <f t="shared" si="171"/>
        <v>-7.8065697991391804E-4</v>
      </c>
      <c r="H282" s="4">
        <f t="shared" si="171"/>
        <v>-8.2847213116711072E-4</v>
      </c>
      <c r="I282" s="4">
        <f t="shared" si="171"/>
        <v>-8.7207764581965607E-4</v>
      </c>
      <c r="J282" s="4">
        <f t="shared" si="171"/>
        <v>-9.1234211848412509E-4</v>
      </c>
      <c r="K282" s="4">
        <f t="shared" si="171"/>
        <v>-9.4986891950204805E-4</v>
      </c>
      <c r="L282" s="4">
        <f t="shared" si="171"/>
        <v>-9.8521253144181228E-4</v>
      </c>
      <c r="M282" s="4">
        <f t="shared" si="171"/>
        <v>-1.019155328988709E-3</v>
      </c>
      <c r="N282" s="4">
        <f t="shared" si="171"/>
        <v>-1.0529647299901902E-3</v>
      </c>
      <c r="O282" s="4">
        <f t="shared" si="171"/>
        <v>-1.0862656617462217E-3</v>
      </c>
      <c r="P282" s="4">
        <f t="shared" si="171"/>
        <v>-1.1189752459223781E-3</v>
      </c>
      <c r="Q282" s="4">
        <f t="shared" si="171"/>
        <v>-1.1511002411124774E-3</v>
      </c>
      <c r="R282" s="4">
        <f t="shared" si="171"/>
        <v>-1.1826485329714225E-3</v>
      </c>
      <c r="S282" s="4">
        <f t="shared" si="171"/>
        <v>-1.2149082173332519E-3</v>
      </c>
      <c r="T282" s="4">
        <f t="shared" si="171"/>
        <v>-1.2470150072547827E-3</v>
      </c>
      <c r="U282" s="4">
        <f t="shared" si="171"/>
        <v>-1.2786102396222336E-3</v>
      </c>
      <c r="V282" s="4">
        <f t="shared" si="171"/>
        <v>-1.3095449572671904E-3</v>
      </c>
      <c r="W282" s="4">
        <f t="shared" si="171"/>
        <v>-1.339508146044853E-3</v>
      </c>
      <c r="X282" s="4">
        <f t="shared" si="171"/>
        <v>-1.3689190962606357E-3</v>
      </c>
      <c r="Y282" s="4">
        <f t="shared" si="171"/>
        <v>-1.3975873657739641E-3</v>
      </c>
      <c r="Z282" s="4">
        <f t="shared" si="171"/>
        <v>-1.4254513659756462E-3</v>
      </c>
      <c r="AA282" s="4">
        <f t="shared" si="171"/>
        <v>-1.4524942047833085E-3</v>
      </c>
      <c r="AB282" s="4">
        <f t="shared" si="171"/>
        <v>-1.4779784642481703E-3</v>
      </c>
      <c r="AC282" s="4">
        <f t="shared" si="171"/>
        <v>-1.5025874200144389E-3</v>
      </c>
      <c r="AD282" s="4">
        <f t="shared" si="171"/>
        <v>-1.5264624842724972E-3</v>
      </c>
      <c r="AE282" s="4">
        <f t="shared" si="171"/>
        <v>-1.5496801378112898E-3</v>
      </c>
      <c r="AF282" s="4">
        <f t="shared" si="171"/>
        <v>-1.5722894885707797E-3</v>
      </c>
      <c r="AG282" s="4">
        <f t="shared" si="171"/>
        <v>-1.5943264164285755E-3</v>
      </c>
      <c r="AH282" s="4">
        <f t="shared" si="171"/>
        <v>-1.6155932716934575E-3</v>
      </c>
      <c r="AI282" s="4">
        <f t="shared" si="171"/>
        <v>-1.6362608543282087E-3</v>
      </c>
      <c r="AJ282" s="4">
        <f t="shared" si="171"/>
        <v>-1.656412617635511E-3</v>
      </c>
      <c r="AK282" s="4">
        <f t="shared" si="171"/>
        <v>-1.6760971030321209E-3</v>
      </c>
      <c r="AL282" s="4">
        <f t="shared" si="171"/>
        <v>-1.6953515530797796E-3</v>
      </c>
      <c r="AM282" s="4">
        <f t="shared" ref="AM282:BC282" si="172">(AM266-AM274)/AM$271</f>
        <v>-1.7121643972029714E-3</v>
      </c>
      <c r="AN282" s="4">
        <f t="shared" si="172"/>
        <v>-1.7279340856765678E-3</v>
      </c>
      <c r="AO282" s="4">
        <f t="shared" si="172"/>
        <v>-1.7432020721424887E-3</v>
      </c>
      <c r="AP282" s="4">
        <f t="shared" si="172"/>
        <v>-1.7581748591494228E-3</v>
      </c>
      <c r="AQ282" s="4">
        <f t="shared" si="172"/>
        <v>-1.7729490025941901E-3</v>
      </c>
      <c r="AR282" s="4">
        <f t="shared" si="172"/>
        <v>-1.7873043496769944E-3</v>
      </c>
      <c r="AS282" s="4">
        <f t="shared" si="172"/>
        <v>-1.8014562127428278E-3</v>
      </c>
      <c r="AT282" s="4">
        <f t="shared" si="172"/>
        <v>-1.8155063775082644E-3</v>
      </c>
      <c r="AU282" s="4">
        <f t="shared" si="172"/>
        <v>-1.82950624395402E-3</v>
      </c>
      <c r="AV282" s="4">
        <f t="shared" si="172"/>
        <v>-1.8434859185410351E-3</v>
      </c>
      <c r="AW282" s="4">
        <f t="shared" si="172"/>
        <v>-1.8565912813027568E-3</v>
      </c>
      <c r="AX282" s="4">
        <f t="shared" si="172"/>
        <v>-1.8693620289520106E-3</v>
      </c>
      <c r="AY282" s="4">
        <f t="shared" si="172"/>
        <v>-1.8820161077197114E-3</v>
      </c>
      <c r="AZ282" s="4">
        <f t="shared" si="172"/>
        <v>-1.8946319665210868E-3</v>
      </c>
      <c r="BA282" s="4">
        <f t="shared" si="172"/>
        <v>-1.9072377560622853E-3</v>
      </c>
      <c r="BB282" s="4">
        <f t="shared" si="172"/>
        <v>-5.9952501037244454E-5</v>
      </c>
      <c r="BC282" s="4">
        <f t="shared" si="172"/>
        <v>-6.0984718023528869E-5</v>
      </c>
      <c r="BD282" s="4">
        <f t="shared" ref="BD282:BF282" si="173">(BD266-BD274)/BD$271</f>
        <v>-6.1930063848194579E-5</v>
      </c>
      <c r="BE282" s="4">
        <f t="shared" si="173"/>
        <v>-6.2801415214710579E-5</v>
      </c>
      <c r="BF282" s="4">
        <f t="shared" si="173"/>
        <v>-6.36110091234999E-5</v>
      </c>
    </row>
    <row r="283" spans="1:58" x14ac:dyDescent="0.35">
      <c r="B283" t="s">
        <v>10</v>
      </c>
      <c r="C283" s="4">
        <f t="shared" ref="C283:AL283" si="174">(C267-C275)/C$271</f>
        <v>-4.7019000312341422E-3</v>
      </c>
      <c r="D283" s="4">
        <f t="shared" si="174"/>
        <v>-7.8929363456344687E-3</v>
      </c>
      <c r="E283" s="4">
        <f t="shared" si="174"/>
        <v>-1.0136529731393267E-2</v>
      </c>
      <c r="F283" s="4">
        <f t="shared" si="174"/>
        <v>-1.1909638705492635E-2</v>
      </c>
      <c r="G283" s="4">
        <f t="shared" si="174"/>
        <v>-1.3430714670014112E-2</v>
      </c>
      <c r="H283" s="4">
        <f t="shared" si="174"/>
        <v>-1.4785371839664272E-2</v>
      </c>
      <c r="I283" s="4">
        <f t="shared" si="174"/>
        <v>-1.6014465874864246E-2</v>
      </c>
      <c r="J283" s="4">
        <f t="shared" si="174"/>
        <v>-1.7133988227749721E-2</v>
      </c>
      <c r="K283" s="4">
        <f t="shared" si="174"/>
        <v>-1.8157185678499606E-2</v>
      </c>
      <c r="L283" s="4">
        <f t="shared" si="174"/>
        <v>-1.9097967628247749E-2</v>
      </c>
      <c r="M283" s="4">
        <f t="shared" si="174"/>
        <v>-1.9969504884365E-2</v>
      </c>
      <c r="N283" s="4">
        <f t="shared" si="174"/>
        <v>-2.0801203607767417E-2</v>
      </c>
      <c r="O283" s="4">
        <f t="shared" si="174"/>
        <v>-2.15939178619587E-2</v>
      </c>
      <c r="P283" s="4">
        <f t="shared" si="174"/>
        <v>-2.2348763227243374E-2</v>
      </c>
      <c r="Q283" s="4">
        <f t="shared" si="174"/>
        <v>-2.3066935915276823E-2</v>
      </c>
      <c r="R283" s="4">
        <f t="shared" si="174"/>
        <v>-2.3749218656438406E-2</v>
      </c>
      <c r="S283" s="4">
        <f t="shared" si="174"/>
        <v>-2.441118014958249E-2</v>
      </c>
      <c r="T283" s="4">
        <f t="shared" si="174"/>
        <v>-2.5046629477653536E-2</v>
      </c>
      <c r="U283" s="4">
        <f t="shared" si="174"/>
        <v>-2.5652245253770446E-2</v>
      </c>
      <c r="V283" s="4">
        <f t="shared" si="174"/>
        <v>-2.6226975708488469E-2</v>
      </c>
      <c r="W283" s="4">
        <f t="shared" si="174"/>
        <v>-2.6770907041181433E-2</v>
      </c>
      <c r="X283" s="4">
        <f t="shared" si="174"/>
        <v>-2.7284187307549956E-2</v>
      </c>
      <c r="Y283" s="4">
        <f t="shared" si="174"/>
        <v>-2.7768446616863039E-2</v>
      </c>
      <c r="Z283" s="4">
        <f t="shared" si="174"/>
        <v>-2.8225387563987885E-2</v>
      </c>
      <c r="AA283" s="4">
        <f t="shared" si="174"/>
        <v>-2.865668816658299E-2</v>
      </c>
      <c r="AB283" s="4">
        <f t="shared" si="174"/>
        <v>-2.9062969579594228E-2</v>
      </c>
      <c r="AC283" s="4">
        <f t="shared" si="174"/>
        <v>-2.9440125412079746E-2</v>
      </c>
      <c r="AD283" s="4">
        <f t="shared" si="174"/>
        <v>-2.9792553529764274E-2</v>
      </c>
      <c r="AE283" s="4">
        <f t="shared" si="174"/>
        <v>-3.0123692191830795E-2</v>
      </c>
      <c r="AF283" s="4">
        <f t="shared" si="174"/>
        <v>-3.0436240342930389E-2</v>
      </c>
      <c r="AG283" s="4">
        <f t="shared" si="174"/>
        <v>-3.0732367160237323E-2</v>
      </c>
      <c r="AH283" s="4">
        <f t="shared" si="174"/>
        <v>-3.1011182481141469E-2</v>
      </c>
      <c r="AI283" s="4">
        <f t="shared" si="174"/>
        <v>-3.1275303205572251E-2</v>
      </c>
      <c r="AJ283" s="4">
        <f t="shared" si="174"/>
        <v>-3.1526700985592251E-2</v>
      </c>
      <c r="AK283" s="4">
        <f t="shared" si="174"/>
        <v>-3.1766879012094164E-2</v>
      </c>
      <c r="AL283" s="4">
        <f t="shared" si="174"/>
        <v>-3.199709775192152E-2</v>
      </c>
      <c r="AM283" s="4">
        <f t="shared" ref="AM283:BC283" si="175">(AM267-AM275)/AM$271</f>
        <v>-3.2196138305201086E-2</v>
      </c>
      <c r="AN283" s="4">
        <f t="shared" si="175"/>
        <v>-3.2374269382147547E-2</v>
      </c>
      <c r="AO283" s="4">
        <f t="shared" si="175"/>
        <v>-3.2537976922328231E-2</v>
      </c>
      <c r="AP283" s="4">
        <f t="shared" si="175"/>
        <v>-3.2691017164244655E-2</v>
      </c>
      <c r="AQ283" s="4">
        <f t="shared" si="175"/>
        <v>-3.2835983732929008E-2</v>
      </c>
      <c r="AR283" s="4">
        <f t="shared" si="175"/>
        <v>-3.2971685033084473E-2</v>
      </c>
      <c r="AS283" s="4">
        <f t="shared" si="175"/>
        <v>-3.3101234356935148E-2</v>
      </c>
      <c r="AT283" s="4">
        <f t="shared" si="175"/>
        <v>-3.3226948544956676E-2</v>
      </c>
      <c r="AU283" s="4">
        <f t="shared" si="175"/>
        <v>-3.3350495187816812E-2</v>
      </c>
      <c r="AV283" s="4">
        <f t="shared" si="175"/>
        <v>-3.3473154824537298E-2</v>
      </c>
      <c r="AW283" s="4">
        <f t="shared" si="175"/>
        <v>-3.3585649078398012E-2</v>
      </c>
      <c r="AX283" s="4">
        <f t="shared" si="175"/>
        <v>-3.3693200763642052E-2</v>
      </c>
      <c r="AY283" s="4">
        <f t="shared" si="175"/>
        <v>-3.3799164382032162E-2</v>
      </c>
      <c r="AZ283" s="4">
        <f t="shared" si="175"/>
        <v>-3.3905092274628824E-2</v>
      </c>
      <c r="BA283" s="4">
        <f t="shared" si="175"/>
        <v>-3.4011746180661898E-2</v>
      </c>
      <c r="BB283" s="4">
        <f t="shared" si="175"/>
        <v>-3.6476619793068907E-4</v>
      </c>
      <c r="BC283" s="4">
        <f t="shared" si="175"/>
        <v>-3.3238468903742707E-4</v>
      </c>
      <c r="BD283" s="4">
        <f t="shared" ref="BD283:BF283" si="176">(BD267-BD275)/BD$271</f>
        <v>-2.9733831200710003E-4</v>
      </c>
      <c r="BE283" s="4">
        <f t="shared" si="176"/>
        <v>-2.6009050932757728E-4</v>
      </c>
      <c r="BF283" s="4">
        <f t="shared" si="176"/>
        <v>-2.21071551999681E-4</v>
      </c>
    </row>
    <row r="284" spans="1:58" x14ac:dyDescent="0.35">
      <c r="B284" t="s">
        <v>31</v>
      </c>
      <c r="C284" s="4">
        <f t="shared" ref="C284:AL284" si="177">(C268-C276)/C$271</f>
        <v>-8.7095915139294062E-5</v>
      </c>
      <c r="D284" s="4">
        <f t="shared" si="177"/>
        <v>-1.358409926812748E-4</v>
      </c>
      <c r="E284" s="4">
        <f t="shared" si="177"/>
        <v>-1.6667348942139463E-4</v>
      </c>
      <c r="F284" s="4">
        <f t="shared" si="177"/>
        <v>-1.904797303175475E-4</v>
      </c>
      <c r="G284" s="4">
        <f t="shared" si="177"/>
        <v>-2.1092569462111753E-4</v>
      </c>
      <c r="H284" s="4">
        <f t="shared" si="177"/>
        <v>-2.2938489467229007E-4</v>
      </c>
      <c r="I284" s="4">
        <f t="shared" si="177"/>
        <v>-2.46246669475477E-4</v>
      </c>
      <c r="J284" s="4">
        <f t="shared" si="177"/>
        <v>-2.6161582249274257E-4</v>
      </c>
      <c r="K284" s="4">
        <f t="shared" si="177"/>
        <v>-2.755950595339984E-4</v>
      </c>
      <c r="L284" s="4">
        <f t="shared" si="177"/>
        <v>-2.8831008487460746E-4</v>
      </c>
      <c r="M284" s="4">
        <f t="shared" si="177"/>
        <v>-2.9994761880668591E-4</v>
      </c>
      <c r="N284" s="4">
        <f t="shared" si="177"/>
        <v>-3.1084238584417316E-4</v>
      </c>
      <c r="O284" s="4">
        <f t="shared" si="177"/>
        <v>-3.2099488698565502E-4</v>
      </c>
      <c r="P284" s="4">
        <f t="shared" si="177"/>
        <v>-3.3045513853544972E-4</v>
      </c>
      <c r="Q284" s="4">
        <f t="shared" si="177"/>
        <v>-3.3929182434131339E-4</v>
      </c>
      <c r="R284" s="4">
        <f t="shared" si="177"/>
        <v>-3.4757374133174079E-4</v>
      </c>
      <c r="S284" s="4">
        <f t="shared" si="177"/>
        <v>-3.5563806725070091E-4</v>
      </c>
      <c r="T284" s="4">
        <f t="shared" si="177"/>
        <v>-3.6338203677767025E-4</v>
      </c>
      <c r="U284" s="4">
        <f t="shared" si="177"/>
        <v>-3.7077562796068633E-4</v>
      </c>
      <c r="V284" s="4">
        <f t="shared" si="177"/>
        <v>-3.778260985163594E-4</v>
      </c>
      <c r="W284" s="4">
        <f t="shared" si="177"/>
        <v>-3.8450840285926335E-4</v>
      </c>
      <c r="X284" s="4">
        <f t="shared" si="177"/>
        <v>-3.9092775678709849E-4</v>
      </c>
      <c r="Y284" s="4">
        <f t="shared" si="177"/>
        <v>-3.9707336234997469E-4</v>
      </c>
      <c r="Z284" s="4">
        <f t="shared" si="177"/>
        <v>-4.0295116275960177E-4</v>
      </c>
      <c r="AA284" s="4">
        <f t="shared" si="177"/>
        <v>-4.0857596566709392E-4</v>
      </c>
      <c r="AB284" s="4">
        <f t="shared" si="177"/>
        <v>-4.1382784236427536E-4</v>
      </c>
      <c r="AC284" s="4">
        <f t="shared" si="177"/>
        <v>-4.1883603213379482E-4</v>
      </c>
      <c r="AD284" s="4">
        <f t="shared" si="177"/>
        <v>-4.2364124264669564E-4</v>
      </c>
      <c r="AE284" s="4">
        <f t="shared" si="177"/>
        <v>-4.2826256564946412E-4</v>
      </c>
      <c r="AF284" s="4">
        <f t="shared" si="177"/>
        <v>-4.327137309034248E-4</v>
      </c>
      <c r="AG284" s="4">
        <f t="shared" si="177"/>
        <v>-4.3700700838064822E-4</v>
      </c>
      <c r="AH284" s="4">
        <f t="shared" si="177"/>
        <v>-4.4110639641136909E-4</v>
      </c>
      <c r="AI284" s="4">
        <f t="shared" si="177"/>
        <v>-4.4505040190307555E-4</v>
      </c>
      <c r="AJ284" s="4">
        <f t="shared" si="177"/>
        <v>-4.4886410163369461E-4</v>
      </c>
      <c r="AK284" s="4">
        <f t="shared" si="177"/>
        <v>-4.5256520320281502E-4</v>
      </c>
      <c r="AL284" s="4">
        <f t="shared" si="177"/>
        <v>-4.5616849685483919E-4</v>
      </c>
      <c r="AM284" s="4">
        <f t="shared" ref="AM284:BC284" si="178">(AM268-AM276)/AM$271</f>
        <v>-4.5925725778980136E-4</v>
      </c>
      <c r="AN284" s="4">
        <f t="shared" si="178"/>
        <v>-4.6208985148615746E-4</v>
      </c>
      <c r="AO284" s="4">
        <f t="shared" si="178"/>
        <v>-4.6478807826800487E-4</v>
      </c>
      <c r="AP284" s="4">
        <f t="shared" si="178"/>
        <v>-4.6740317802984886E-4</v>
      </c>
      <c r="AQ284" s="4">
        <f t="shared" si="178"/>
        <v>-4.6996237175007553E-4</v>
      </c>
      <c r="AR284" s="4">
        <f t="shared" si="178"/>
        <v>-4.7242639847866328E-4</v>
      </c>
      <c r="AS284" s="4">
        <f t="shared" si="178"/>
        <v>-4.7484306500247261E-4</v>
      </c>
      <c r="AT284" s="4">
        <f t="shared" si="178"/>
        <v>-4.7724253217685045E-4</v>
      </c>
      <c r="AU284" s="4">
        <f t="shared" si="178"/>
        <v>-4.7964469101493038E-4</v>
      </c>
      <c r="AV284" s="4">
        <f t="shared" si="178"/>
        <v>-4.8206320383613354E-4</v>
      </c>
      <c r="AW284" s="4">
        <f t="shared" si="178"/>
        <v>-4.843172777670708E-4</v>
      </c>
      <c r="AX284" s="4">
        <f t="shared" si="178"/>
        <v>-4.8650367747464648E-4</v>
      </c>
      <c r="AY284" s="4">
        <f t="shared" si="178"/>
        <v>-4.8866516408291229E-4</v>
      </c>
      <c r="AZ284" s="4">
        <f t="shared" si="178"/>
        <v>-4.908462331741733E-4</v>
      </c>
      <c r="BA284" s="4">
        <f t="shared" si="178"/>
        <v>-4.9308658762045956E-4</v>
      </c>
      <c r="BB284" s="4">
        <f t="shared" si="178"/>
        <v>8.4037079555275743E-6</v>
      </c>
      <c r="BC284" s="4">
        <f t="shared" si="178"/>
        <v>9.3309894264240709E-6</v>
      </c>
      <c r="BD284" s="4">
        <f t="shared" ref="BD284:BF284" si="179">(BD268-BD276)/BD$271</f>
        <v>1.0286919340891557E-5</v>
      </c>
      <c r="BE284" s="4">
        <f t="shared" si="179"/>
        <v>1.1269072019030989E-5</v>
      </c>
      <c r="BF284" s="4">
        <f t="shared" si="179"/>
        <v>1.227595699028493E-5</v>
      </c>
    </row>
    <row r="285" spans="1:58" x14ac:dyDescent="0.35">
      <c r="B285" t="s">
        <v>33</v>
      </c>
      <c r="C285" s="4">
        <f t="shared" ref="C285:AL285" si="180">(C269-C277)/C$271</f>
        <v>-8.0825376755265928E-5</v>
      </c>
      <c r="D285" s="4">
        <f t="shared" si="180"/>
        <v>-1.3625636319987991E-4</v>
      </c>
      <c r="E285" s="4">
        <f t="shared" si="180"/>
        <v>-1.7300144443669764E-4</v>
      </c>
      <c r="F285" s="4">
        <f t="shared" si="180"/>
        <v>-1.9885173046889219E-4</v>
      </c>
      <c r="G285" s="4">
        <f t="shared" si="180"/>
        <v>-2.1716194185121998E-4</v>
      </c>
      <c r="H285" s="4">
        <f t="shared" si="180"/>
        <v>-2.3031586319641447E-4</v>
      </c>
      <c r="I285" s="4">
        <f t="shared" si="180"/>
        <v>-2.3919839105588693E-4</v>
      </c>
      <c r="J285" s="4">
        <f t="shared" si="180"/>
        <v>-2.4489249654381466E-4</v>
      </c>
      <c r="K285" s="4">
        <f t="shared" si="180"/>
        <v>-2.4821879565577561E-4</v>
      </c>
      <c r="L285" s="4">
        <f t="shared" si="180"/>
        <v>-2.4979489278569668E-4</v>
      </c>
      <c r="M285" s="4">
        <f t="shared" si="180"/>
        <v>-2.5017431864127247E-4</v>
      </c>
      <c r="N285" s="4">
        <f t="shared" si="180"/>
        <v>-2.5001996358174389E-4</v>
      </c>
      <c r="O285" s="4">
        <f t="shared" si="180"/>
        <v>-2.4954620341300477E-4</v>
      </c>
      <c r="P285" s="4">
        <f t="shared" si="180"/>
        <v>-2.489386261715799E-4</v>
      </c>
      <c r="Q285" s="4">
        <f t="shared" si="180"/>
        <v>-2.4835562584643952E-4</v>
      </c>
      <c r="R285" s="4">
        <f t="shared" si="180"/>
        <v>-2.479208985796561E-4</v>
      </c>
      <c r="S285" s="4">
        <f t="shared" si="180"/>
        <v>-2.4798831732069585E-4</v>
      </c>
      <c r="T285" s="4">
        <f t="shared" si="180"/>
        <v>-2.4850625942979444E-4</v>
      </c>
      <c r="U285" s="4">
        <f t="shared" si="180"/>
        <v>-2.4943484009332372E-4</v>
      </c>
      <c r="V285" s="4">
        <f t="shared" si="180"/>
        <v>-2.5074965643424527E-4</v>
      </c>
      <c r="W285" s="4">
        <f t="shared" si="180"/>
        <v>-2.5239749650602809E-4</v>
      </c>
      <c r="X285" s="4">
        <f t="shared" si="180"/>
        <v>-2.5438829285667715E-4</v>
      </c>
      <c r="Y285" s="4">
        <f t="shared" si="180"/>
        <v>-2.5668631357803154E-4</v>
      </c>
      <c r="Z285" s="4">
        <f t="shared" si="180"/>
        <v>-2.5925076880844636E-4</v>
      </c>
      <c r="AA285" s="4">
        <f t="shared" si="180"/>
        <v>-2.620432477717674E-4</v>
      </c>
      <c r="AB285" s="4">
        <f t="shared" si="180"/>
        <v>-2.6492842775901321E-4</v>
      </c>
      <c r="AC285" s="4">
        <f t="shared" si="180"/>
        <v>-2.6787214160263413E-4</v>
      </c>
      <c r="AD285" s="4">
        <f t="shared" si="180"/>
        <v>-2.7088615010523203E-4</v>
      </c>
      <c r="AE285" s="4">
        <f t="shared" si="180"/>
        <v>-2.7395776328329575E-4</v>
      </c>
      <c r="AF285" s="4">
        <f t="shared" si="180"/>
        <v>-2.7706935810657582E-4</v>
      </c>
      <c r="AG285" s="4">
        <f t="shared" si="180"/>
        <v>-2.8020564571511165E-4</v>
      </c>
      <c r="AH285" s="4">
        <f t="shared" si="180"/>
        <v>-2.833068379741112E-4</v>
      </c>
      <c r="AI285" s="4">
        <f t="shared" si="180"/>
        <v>-2.8637730703074126E-4</v>
      </c>
      <c r="AJ285" s="4">
        <f t="shared" si="180"/>
        <v>-2.8941615049335077E-4</v>
      </c>
      <c r="AK285" s="4">
        <f t="shared" si="180"/>
        <v>-2.924177303962404E-4</v>
      </c>
      <c r="AL285" s="4">
        <f t="shared" si="180"/>
        <v>-2.9537591573448136E-4</v>
      </c>
      <c r="AM285" s="4">
        <f t="shared" ref="AM285:BC285" si="181">(AM269-AM277)/AM$271</f>
        <v>-2.978926807212313E-4</v>
      </c>
      <c r="AN285" s="4">
        <f t="shared" si="181"/>
        <v>-3.0012930680037552E-4</v>
      </c>
      <c r="AO285" s="4">
        <f t="shared" si="181"/>
        <v>-3.0219391065210318E-4</v>
      </c>
      <c r="AP285" s="4">
        <f t="shared" si="181"/>
        <v>-3.0414238734679226E-4</v>
      </c>
      <c r="AQ285" s="4">
        <f t="shared" si="181"/>
        <v>-3.0600879707402693E-4</v>
      </c>
      <c r="AR285" s="4">
        <f t="shared" si="181"/>
        <v>-3.0776364783884796E-4</v>
      </c>
      <c r="AS285" s="4">
        <f t="shared" si="181"/>
        <v>-3.094491790644988E-4</v>
      </c>
      <c r="AT285" s="4">
        <f t="shared" si="181"/>
        <v>-3.1109675640265765E-4</v>
      </c>
      <c r="AU285" s="4">
        <f t="shared" si="181"/>
        <v>-3.1272866419507439E-4</v>
      </c>
      <c r="AV285" s="4">
        <f t="shared" si="181"/>
        <v>-3.1435574680053867E-4</v>
      </c>
      <c r="AW285" s="4">
        <f t="shared" si="181"/>
        <v>-3.1578693199448563E-4</v>
      </c>
      <c r="AX285" s="4">
        <f t="shared" si="181"/>
        <v>-3.1694963299046719E-4</v>
      </c>
      <c r="AY285" s="4">
        <f t="shared" si="181"/>
        <v>-3.1778980226876251E-4</v>
      </c>
      <c r="AZ285" s="4">
        <f t="shared" si="181"/>
        <v>-3.1839173576283337E-4</v>
      </c>
      <c r="BA285" s="4">
        <f t="shared" si="181"/>
        <v>-3.1887757721126383E-4</v>
      </c>
      <c r="BB285" s="4">
        <f t="shared" si="181"/>
        <v>9.2316250345479334E-5</v>
      </c>
      <c r="BC285" s="4">
        <f t="shared" si="181"/>
        <v>1.0033992508310688E-4</v>
      </c>
      <c r="BD285" s="4">
        <f t="shared" ref="BD285:BF285" si="182">(BD269-BD277)/BD$271</f>
        <v>1.085000512414055E-4</v>
      </c>
      <c r="BE285" s="4">
        <f t="shared" si="182"/>
        <v>1.1676775366156194E-4</v>
      </c>
      <c r="BF285" s="4">
        <f t="shared" si="182"/>
        <v>1.2512125437130579E-4</v>
      </c>
    </row>
    <row r="287" spans="1:58" x14ac:dyDescent="0.35">
      <c r="A287" s="12" t="s">
        <v>21</v>
      </c>
      <c r="C287" s="7" t="s">
        <v>15</v>
      </c>
      <c r="D287" s="7" t="s">
        <v>16</v>
      </c>
      <c r="E287" s="7" t="s">
        <v>17</v>
      </c>
    </row>
    <row r="288" spans="1:58" x14ac:dyDescent="0.35">
      <c r="A288" t="s">
        <v>88</v>
      </c>
      <c r="B288" t="s">
        <v>26</v>
      </c>
      <c r="C288" s="4">
        <f>R279</f>
        <v>-6.3544520676408811E-2</v>
      </c>
      <c r="D288" s="4">
        <f>AB279</f>
        <v>-8.3924851716116189E-2</v>
      </c>
      <c r="E288" s="4">
        <f>AL279</f>
        <v>-9.5051825137853374E-2</v>
      </c>
    </row>
    <row r="289" spans="1:58" x14ac:dyDescent="0.35">
      <c r="B289" t="s">
        <v>7</v>
      </c>
      <c r="C289" s="4">
        <f t="shared" ref="C289:C294" si="183">R280</f>
        <v>-5.6036327673806305E-4</v>
      </c>
      <c r="D289" s="4">
        <f t="shared" ref="D289:D294" si="184">AB280</f>
        <v>-6.5407225446711091E-4</v>
      </c>
      <c r="E289" s="4">
        <f t="shared" ref="E289:E294" si="185">AL280</f>
        <v>-7.1565983372310238E-4</v>
      </c>
    </row>
    <row r="290" spans="1:58" x14ac:dyDescent="0.35">
      <c r="B290" t="s">
        <v>30</v>
      </c>
      <c r="C290" s="4">
        <f t="shared" si="183"/>
        <v>-3.7456795552122023E-2</v>
      </c>
      <c r="D290" s="4">
        <f t="shared" si="184"/>
        <v>-5.2051075026473978E-2</v>
      </c>
      <c r="E290" s="4">
        <f t="shared" si="185"/>
        <v>-5.9892171708202449E-2</v>
      </c>
    </row>
    <row r="291" spans="1:58" x14ac:dyDescent="0.35">
      <c r="B291" t="s">
        <v>28</v>
      </c>
      <c r="C291" s="4">
        <f t="shared" si="183"/>
        <v>-1.1826485329714225E-3</v>
      </c>
      <c r="D291" s="4">
        <f t="shared" si="184"/>
        <v>-1.4779784642481703E-3</v>
      </c>
      <c r="E291" s="4">
        <f t="shared" si="185"/>
        <v>-1.6953515530797796E-3</v>
      </c>
    </row>
    <row r="292" spans="1:58" x14ac:dyDescent="0.35">
      <c r="B292" t="s">
        <v>10</v>
      </c>
      <c r="C292" s="4">
        <f t="shared" si="183"/>
        <v>-2.3749218656438406E-2</v>
      </c>
      <c r="D292" s="4">
        <f t="shared" si="184"/>
        <v>-2.9062969579594228E-2</v>
      </c>
      <c r="E292" s="4">
        <f t="shared" si="185"/>
        <v>-3.199709775192152E-2</v>
      </c>
    </row>
    <row r="293" spans="1:58" x14ac:dyDescent="0.35">
      <c r="B293" t="s">
        <v>31</v>
      </c>
      <c r="C293" s="4">
        <f t="shared" si="183"/>
        <v>-3.4757374133174079E-4</v>
      </c>
      <c r="D293" s="4">
        <f t="shared" si="184"/>
        <v>-4.1382784236427536E-4</v>
      </c>
      <c r="E293" s="4">
        <f t="shared" si="185"/>
        <v>-4.5616849685483919E-4</v>
      </c>
    </row>
    <row r="294" spans="1:58" x14ac:dyDescent="0.35">
      <c r="B294" t="s">
        <v>33</v>
      </c>
      <c r="C294" s="4">
        <f t="shared" si="183"/>
        <v>-2.479208985796561E-4</v>
      </c>
      <c r="D294" s="4">
        <f t="shared" si="184"/>
        <v>-2.6492842775901321E-4</v>
      </c>
      <c r="E294" s="4">
        <f t="shared" si="185"/>
        <v>-2.9537591573448136E-4</v>
      </c>
    </row>
    <row r="295" spans="1:58" x14ac:dyDescent="0.35">
      <c r="C295" s="4"/>
      <c r="D295" s="4"/>
      <c r="E295" s="4"/>
    </row>
    <row r="296" spans="1:58" x14ac:dyDescent="0.35">
      <c r="A296" s="12" t="s">
        <v>89</v>
      </c>
      <c r="C296" s="2">
        <v>42005</v>
      </c>
      <c r="D296" s="2">
        <v>42370</v>
      </c>
      <c r="E296" s="2">
        <v>42736</v>
      </c>
      <c r="F296" s="2">
        <v>43101</v>
      </c>
      <c r="G296" s="2">
        <v>43466</v>
      </c>
      <c r="H296" s="2">
        <v>43831</v>
      </c>
      <c r="I296" s="2">
        <v>44197</v>
      </c>
      <c r="J296" s="2">
        <v>44562</v>
      </c>
      <c r="K296" s="2">
        <v>44927</v>
      </c>
      <c r="L296" s="2">
        <v>45292</v>
      </c>
      <c r="M296" s="2">
        <v>45658</v>
      </c>
      <c r="N296" s="2">
        <v>46023</v>
      </c>
      <c r="O296" s="2">
        <v>46388</v>
      </c>
      <c r="P296" s="2">
        <v>46753</v>
      </c>
      <c r="Q296" s="2">
        <v>47119</v>
      </c>
      <c r="R296" s="2">
        <v>47484</v>
      </c>
      <c r="S296" s="2">
        <v>47849</v>
      </c>
      <c r="T296" s="2">
        <v>48214</v>
      </c>
      <c r="U296" s="2">
        <v>48580</v>
      </c>
      <c r="V296" s="2">
        <v>48945</v>
      </c>
      <c r="W296" s="2">
        <v>49310</v>
      </c>
      <c r="X296" s="2">
        <v>49675</v>
      </c>
      <c r="Y296" s="2">
        <v>50041</v>
      </c>
      <c r="Z296" s="2">
        <v>50406</v>
      </c>
      <c r="AA296" s="2">
        <v>50771</v>
      </c>
      <c r="AB296" s="2">
        <v>51136</v>
      </c>
      <c r="AC296" s="2">
        <v>51502</v>
      </c>
      <c r="AD296" s="2">
        <v>51867</v>
      </c>
      <c r="AE296" s="2">
        <v>52232</v>
      </c>
      <c r="AF296" s="2">
        <v>52597</v>
      </c>
      <c r="AG296" s="2">
        <v>52963</v>
      </c>
      <c r="AH296" s="2">
        <v>53328</v>
      </c>
      <c r="AI296" s="2">
        <v>53693</v>
      </c>
      <c r="AJ296" s="2">
        <v>54058</v>
      </c>
      <c r="AK296" s="2">
        <v>54424</v>
      </c>
      <c r="AL296" s="2">
        <v>54789</v>
      </c>
      <c r="AM296" s="2">
        <v>54790</v>
      </c>
      <c r="AN296" s="2">
        <v>54791</v>
      </c>
      <c r="AO296" s="2">
        <v>54792</v>
      </c>
      <c r="AP296" s="2">
        <v>54793</v>
      </c>
      <c r="AQ296" s="2">
        <v>54794</v>
      </c>
      <c r="AR296" s="2">
        <v>54795</v>
      </c>
      <c r="AS296" s="2">
        <v>54796</v>
      </c>
      <c r="AT296" s="2">
        <v>54797</v>
      </c>
      <c r="AU296" s="2">
        <v>54798</v>
      </c>
      <c r="AV296" s="2">
        <v>54799</v>
      </c>
      <c r="AW296" s="2">
        <v>54800</v>
      </c>
      <c r="AX296" s="2">
        <v>54801</v>
      </c>
      <c r="AY296" s="2">
        <v>54802</v>
      </c>
      <c r="AZ296" s="2">
        <v>54803</v>
      </c>
      <c r="BA296" s="2">
        <v>54804</v>
      </c>
      <c r="BB296" s="2">
        <v>54805</v>
      </c>
      <c r="BC296" s="2">
        <v>54806</v>
      </c>
      <c r="BD296" s="2">
        <v>54807</v>
      </c>
      <c r="BE296" s="2">
        <v>54808</v>
      </c>
      <c r="BF296" s="2">
        <v>54809</v>
      </c>
    </row>
    <row r="297" spans="1:58" x14ac:dyDescent="0.35">
      <c r="A297" t="s">
        <v>39</v>
      </c>
      <c r="B297" t="s">
        <v>56</v>
      </c>
      <c r="C297" s="6">
        <f>[1]Results!F3</f>
        <v>32317.940999999999</v>
      </c>
      <c r="D297" s="6">
        <f>[1]Results!G3</f>
        <v>31906.269199999999</v>
      </c>
      <c r="E297" s="6">
        <f>[1]Results!H3</f>
        <v>31677.008519999999</v>
      </c>
      <c r="F297" s="6">
        <f>[1]Results!I3</f>
        <v>31575.1152</v>
      </c>
      <c r="G297" s="6">
        <f>[1]Results!J3</f>
        <v>31564.669170000001</v>
      </c>
      <c r="H297" s="6">
        <f>[1]Results!K3</f>
        <v>31622.528129999999</v>
      </c>
      <c r="I297" s="6">
        <f>[1]Results!L3</f>
        <v>31729.578140000001</v>
      </c>
      <c r="J297" s="6">
        <f>[1]Results!M3</f>
        <v>31875.450390000002</v>
      </c>
      <c r="K297" s="6">
        <f>[1]Results!N3</f>
        <v>32052.675739999999</v>
      </c>
      <c r="L297" s="6">
        <f>[1]Results!O3</f>
        <v>32255.603149999999</v>
      </c>
      <c r="M297" s="6">
        <f>[1]Results!P3</f>
        <v>32486.445540000001</v>
      </c>
      <c r="N297" s="6">
        <f>[1]Results!Q3</f>
        <v>32734.26872</v>
      </c>
      <c r="O297" s="6">
        <f>[1]Results!R3</f>
        <v>32995.833859999999</v>
      </c>
      <c r="P297" s="6">
        <f>[1]Results!S3</f>
        <v>33268.344879999997</v>
      </c>
      <c r="Q297" s="6">
        <f>[1]Results!T3</f>
        <v>33549.465129999997</v>
      </c>
      <c r="R297" s="6">
        <f>[1]Results!U3</f>
        <v>33837.258159999998</v>
      </c>
      <c r="S297" s="6">
        <f>[1]Results!V3</f>
        <v>34129.922019999998</v>
      </c>
      <c r="T297" s="6">
        <f>[1]Results!W3</f>
        <v>34426.029580000002</v>
      </c>
      <c r="U297" s="6">
        <f>[1]Results!X3</f>
        <v>34724.40193</v>
      </c>
      <c r="V297" s="6">
        <f>[1]Results!Y3</f>
        <v>35024.046009999998</v>
      </c>
      <c r="W297" s="6">
        <f>[1]Results!Z3</f>
        <v>35319.307840000001</v>
      </c>
      <c r="X297" s="6">
        <f>[1]Results!AA3</f>
        <v>35614.674769999998</v>
      </c>
      <c r="Y297" s="6">
        <f>[1]Results!AB3</f>
        <v>35909.640520000001</v>
      </c>
      <c r="Z297" s="6">
        <f>[1]Results!AC3</f>
        <v>36203.855049999998</v>
      </c>
      <c r="AA297" s="6">
        <f>[1]Results!AD3</f>
        <v>36497.020839999997</v>
      </c>
      <c r="AB297" s="6">
        <f>[1]Results!AE3</f>
        <v>36775.32359</v>
      </c>
      <c r="AC297" s="6">
        <f>[1]Results!AF3</f>
        <v>37046.884859999998</v>
      </c>
      <c r="AD297" s="6">
        <f>[1]Results!AG3</f>
        <v>37312.249790000002</v>
      </c>
      <c r="AE297" s="6">
        <f>[1]Results!AH3</f>
        <v>37572.220580000001</v>
      </c>
      <c r="AF297" s="6">
        <f>[1]Results!AI3</f>
        <v>37827.653729999998</v>
      </c>
      <c r="AG297" s="6">
        <f>[1]Results!AJ3</f>
        <v>38079.358059999999</v>
      </c>
      <c r="AH297" s="6">
        <f>[1]Results!AK3</f>
        <v>38328.08915</v>
      </c>
      <c r="AI297" s="6">
        <f>[1]Results!AL3</f>
        <v>38574.472950000003</v>
      </c>
      <c r="AJ297" s="6">
        <f>[1]Results!AM3</f>
        <v>38819.030789999997</v>
      </c>
      <c r="AK297" s="6">
        <f>[1]Results!AN3</f>
        <v>39062.201670000002</v>
      </c>
      <c r="AL297" s="6">
        <f>[1]Results!AO3</f>
        <v>39304.36204</v>
      </c>
      <c r="AM297" s="6">
        <f>[1]Results!AP3</f>
        <v>39543.119489999997</v>
      </c>
      <c r="AN297" s="6">
        <f>[1]Results!AQ3</f>
        <v>39779.128040000003</v>
      </c>
      <c r="AO297" s="6">
        <f>[1]Results!AR3</f>
        <v>40012.967550000001</v>
      </c>
      <c r="AP297" s="6">
        <f>[1]Results!AS3</f>
        <v>40245.218959999998</v>
      </c>
      <c r="AQ297" s="6">
        <f>[1]Results!AT3</f>
        <v>40476.44915</v>
      </c>
      <c r="AR297" s="6">
        <f>[1]Results!AU3</f>
        <v>40707.233639999999</v>
      </c>
      <c r="AS297" s="6">
        <f>[1]Results!AV3</f>
        <v>40938.048390000004</v>
      </c>
      <c r="AT297" s="6">
        <f>[1]Results!AW3</f>
        <v>41169.282090000001</v>
      </c>
      <c r="AU297" s="6">
        <f>[1]Results!AX3</f>
        <v>41401.244120000003</v>
      </c>
      <c r="AV297" s="6">
        <f>[1]Results!AY3</f>
        <v>41634.174010000002</v>
      </c>
      <c r="AW297" s="6">
        <f>[1]Results!AZ3</f>
        <v>41868.682070000003</v>
      </c>
      <c r="AX297" s="6">
        <f>[1]Results!BA3</f>
        <v>42104.938560000002</v>
      </c>
      <c r="AY297" s="6">
        <f>[1]Results!BB3</f>
        <v>42343.030220000001</v>
      </c>
      <c r="AZ297" s="6">
        <f>[1]Results!BC3</f>
        <v>42582.990279999998</v>
      </c>
      <c r="BA297" s="6">
        <f>[1]Results!BD3</f>
        <v>42824.816870000002</v>
      </c>
      <c r="BB297" s="6">
        <f>[1]Results!BE3</f>
        <v>46008.79161</v>
      </c>
      <c r="BC297" s="6">
        <f>[1]Results!BF3</f>
        <v>46338.604979999996</v>
      </c>
      <c r="BD297" s="6">
        <f>[1]Results!BG3</f>
        <v>46669.607629999999</v>
      </c>
      <c r="BE297" s="6">
        <f>[1]Results!BH3</f>
        <v>47001.910230000001</v>
      </c>
      <c r="BF297" s="6">
        <f>[1]Results!BI3</f>
        <v>47335.641969999997</v>
      </c>
    </row>
    <row r="298" spans="1:58" x14ac:dyDescent="0.35">
      <c r="B298" t="s">
        <v>53</v>
      </c>
      <c r="C298" s="6">
        <f>[1]Results!F4</f>
        <v>32271.24</v>
      </c>
      <c r="D298" s="6">
        <f>[1]Results!G4</f>
        <v>31842.04335</v>
      </c>
      <c r="E298" s="6">
        <f>[1]Results!H4</f>
        <v>31594.523740000001</v>
      </c>
      <c r="F298" s="6">
        <f>[1]Results!I4</f>
        <v>31474.004509999999</v>
      </c>
      <c r="G298" s="6">
        <f>[1]Results!J4</f>
        <v>31444.780739999998</v>
      </c>
      <c r="H298" s="6">
        <f>[1]Results!K4</f>
        <v>31483.827700000002</v>
      </c>
      <c r="I298" s="6">
        <f>[1]Results!L4</f>
        <v>31572.12905</v>
      </c>
      <c r="J298" s="6">
        <f>[1]Results!M4</f>
        <v>31699.3462</v>
      </c>
      <c r="K298" s="6">
        <f>[1]Results!N4</f>
        <v>31858.02274</v>
      </c>
      <c r="L298" s="6">
        <f>[1]Results!O4</f>
        <v>32042.510490000001</v>
      </c>
      <c r="M298" s="6">
        <f>[1]Results!P4</f>
        <v>32254.953259999998</v>
      </c>
      <c r="N298" s="6">
        <f>[1]Results!Q4</f>
        <v>32484.478859999999</v>
      </c>
      <c r="O298" s="6">
        <f>[1]Results!R4</f>
        <v>32727.84114</v>
      </c>
      <c r="P298" s="6">
        <f>[1]Results!S4</f>
        <v>32982.234490000003</v>
      </c>
      <c r="Q298" s="6">
        <f>[1]Results!T4</f>
        <v>33245.309480000004</v>
      </c>
      <c r="R298" s="6">
        <f>[1]Results!U4</f>
        <v>33515.113579999997</v>
      </c>
      <c r="S298" s="6">
        <f>[1]Results!V4</f>
        <v>33789.827570000001</v>
      </c>
      <c r="T298" s="6">
        <f>[1]Results!W4</f>
        <v>34068.002869999997</v>
      </c>
      <c r="U298" s="6">
        <f>[1]Results!X4</f>
        <v>34348.435649999999</v>
      </c>
      <c r="V298" s="6">
        <f>[1]Results!Y4</f>
        <v>34630.104679999997</v>
      </c>
      <c r="W298" s="6">
        <f>[1]Results!Z4</f>
        <v>34907.378709999997</v>
      </c>
      <c r="X298" s="6">
        <f>[1]Results!AA4</f>
        <v>35184.654490000001</v>
      </c>
      <c r="Y298" s="6">
        <f>[1]Results!AB4</f>
        <v>35461.385750000001</v>
      </c>
      <c r="Z298" s="6">
        <f>[1]Results!AC4</f>
        <v>35737.177909999999</v>
      </c>
      <c r="AA298" s="6">
        <f>[1]Results!AD4</f>
        <v>36011.685389999999</v>
      </c>
      <c r="AB298" s="6">
        <f>[1]Results!AE4</f>
        <v>36271.209569999999</v>
      </c>
      <c r="AC298" s="6">
        <f>[1]Results!AF4</f>
        <v>36523.724499999997</v>
      </c>
      <c r="AD298" s="6">
        <f>[1]Results!AG4</f>
        <v>36769.711000000003</v>
      </c>
      <c r="AE298" s="6">
        <f>[1]Results!AH4</f>
        <v>37009.898520000002</v>
      </c>
      <c r="AF298" s="6">
        <f>[1]Results!AI4</f>
        <v>37245.064509999997</v>
      </c>
      <c r="AG298" s="6">
        <f>[1]Results!AJ4</f>
        <v>37475.933360000003</v>
      </c>
      <c r="AH298" s="6">
        <f>[1]Results!AK4</f>
        <v>37703.170639999997</v>
      </c>
      <c r="AI298" s="6">
        <f>[1]Results!AL4</f>
        <v>37927.307500000003</v>
      </c>
      <c r="AJ298" s="6">
        <f>[1]Results!AM4</f>
        <v>38148.765140000003</v>
      </c>
      <c r="AK298" s="6">
        <f>[1]Results!AN4</f>
        <v>38367.876490000002</v>
      </c>
      <c r="AL298" s="6">
        <f>[1]Results!AO4</f>
        <v>38584.905339999998</v>
      </c>
      <c r="AM298" s="6">
        <f>[1]Results!AP4</f>
        <v>38797.385219999996</v>
      </c>
      <c r="AN298" s="6">
        <f>[1]Results!AQ4</f>
        <v>39005.84117</v>
      </c>
      <c r="AO298" s="6">
        <f>[1]Results!AR4</f>
        <v>39210.715709999997</v>
      </c>
      <c r="AP298" s="6">
        <f>[1]Results!AS4</f>
        <v>39412.442089999997</v>
      </c>
      <c r="AQ298" s="6">
        <f>[1]Results!AT4</f>
        <v>39611.428460000003</v>
      </c>
      <c r="AR298" s="6">
        <f>[1]Results!AU4</f>
        <v>39808.079230000003</v>
      </c>
      <c r="AS298" s="6">
        <f>[1]Results!AV4</f>
        <v>40002.688130000002</v>
      </c>
      <c r="AT298" s="6">
        <f>[1]Results!AW4</f>
        <v>40195.449540000001</v>
      </c>
      <c r="AU298" s="6">
        <f>[1]Results!AX4</f>
        <v>40386.465550000001</v>
      </c>
      <c r="AV298" s="6">
        <f>[1]Results!AY4</f>
        <v>40575.75447</v>
      </c>
      <c r="AW298" s="6">
        <f>[1]Results!AZ4</f>
        <v>40763.679179999999</v>
      </c>
      <c r="AX298" s="6">
        <f>[1]Results!BA4</f>
        <v>40950.154900000001</v>
      </c>
      <c r="AY298" s="6">
        <f>[1]Results!BB4</f>
        <v>41134.996870000003</v>
      </c>
      <c r="AZ298" s="6">
        <f>[1]Results!BC4</f>
        <v>41317.948729999996</v>
      </c>
      <c r="BA298" s="6">
        <f>[1]Results!BD4</f>
        <v>41498.699359999999</v>
      </c>
      <c r="BB298" s="6">
        <f>[1]Results!BE4</f>
        <v>45733.742980000003</v>
      </c>
      <c r="BC298" s="6">
        <f>[1]Results!BF4</f>
        <v>46096.605170000003</v>
      </c>
      <c r="BD298" s="6">
        <f>[1]Results!BG4</f>
        <v>46464.389629999998</v>
      </c>
      <c r="BE298" s="6">
        <f>[1]Results!BH4</f>
        <v>46837.523480000003</v>
      </c>
      <c r="BF298" s="6">
        <f>[1]Results!BI4</f>
        <v>47216.482490000002</v>
      </c>
    </row>
    <row r="299" spans="1:58" x14ac:dyDescent="0.35">
      <c r="B299" t="s">
        <v>54</v>
      </c>
      <c r="C299" s="6">
        <f>[1]Results!F20</f>
        <v>1.9359999999999999</v>
      </c>
      <c r="D299" s="6">
        <f>[1]Results!G20</f>
        <v>1.989926342</v>
      </c>
      <c r="E299" s="6">
        <f>[1]Results!H20</f>
        <v>2.0529391449999999</v>
      </c>
      <c r="F299" s="6">
        <f>[1]Results!I20</f>
        <v>2.121064837</v>
      </c>
      <c r="G299" s="6">
        <f>[1]Results!J20</f>
        <v>2.1918145629999999</v>
      </c>
      <c r="H299" s="6">
        <f>[1]Results!K20</f>
        <v>2.2636868639999999</v>
      </c>
      <c r="I299" s="6">
        <f>[1]Results!L20</f>
        <v>2.3354603379999999</v>
      </c>
      <c r="J299" s="6">
        <f>[1]Results!M20</f>
        <v>2.4065946230000002</v>
      </c>
      <c r="K299" s="6">
        <f>[1]Results!N20</f>
        <v>2.4767576729999998</v>
      </c>
      <c r="L299" s="6">
        <f>[1]Results!O20</f>
        <v>2.5457413560000002</v>
      </c>
      <c r="M299" s="6">
        <f>[1]Results!P20</f>
        <v>2.6139682369999999</v>
      </c>
      <c r="N299" s="6">
        <f>[1]Results!Q20</f>
        <v>2.6807549960000001</v>
      </c>
      <c r="O299" s="6">
        <f>[1]Results!R20</f>
        <v>2.7460306120000002</v>
      </c>
      <c r="P299" s="6">
        <f>[1]Results!S20</f>
        <v>2.8097442930000001</v>
      </c>
      <c r="Q299" s="6">
        <f>[1]Results!T20</f>
        <v>2.8718683999999999</v>
      </c>
      <c r="R299" s="6">
        <f>[1]Results!U20</f>
        <v>2.9323950060000001</v>
      </c>
      <c r="S299" s="6">
        <f>[1]Results!V20</f>
        <v>2.991315116</v>
      </c>
      <c r="T299" s="6">
        <f>[1]Results!W20</f>
        <v>3.0486395370000001</v>
      </c>
      <c r="U299" s="6">
        <f>[1]Results!X20</f>
        <v>3.104389496</v>
      </c>
      <c r="V299" s="6">
        <f>[1]Results!Y20</f>
        <v>3.1585923600000001</v>
      </c>
      <c r="W299" s="6">
        <f>[1]Results!Z20</f>
        <v>3.2108798169999999</v>
      </c>
      <c r="X299" s="6">
        <f>[1]Results!AA20</f>
        <v>3.261712224</v>
      </c>
      <c r="Y299" s="6">
        <f>[1]Results!AB20</f>
        <v>3.311134639</v>
      </c>
      <c r="Z299" s="6">
        <f>[1]Results!AC20</f>
        <v>3.3591984780000002</v>
      </c>
      <c r="AA299" s="6">
        <f>[1]Results!AD20</f>
        <v>3.4059534789999999</v>
      </c>
      <c r="AB299" s="6">
        <f>[1]Results!AE20</f>
        <v>3.450322211</v>
      </c>
      <c r="AC299" s="6">
        <f>[1]Results!AF20</f>
        <v>3.4930257669999998</v>
      </c>
      <c r="AD299" s="6">
        <f>[1]Results!AG20</f>
        <v>3.534162786</v>
      </c>
      <c r="AE299" s="6">
        <f>[1]Results!AH20</f>
        <v>3.5738497809999998</v>
      </c>
      <c r="AF299" s="6">
        <f>[1]Results!AI20</f>
        <v>3.6122047770000001</v>
      </c>
      <c r="AG299" s="6">
        <f>[1]Results!AJ20</f>
        <v>3.6493390520000002</v>
      </c>
      <c r="AH299" s="6">
        <f>[1]Results!AK20</f>
        <v>3.6853567219999999</v>
      </c>
      <c r="AI299" s="6">
        <f>[1]Results!AL20</f>
        <v>3.7203484549999999</v>
      </c>
      <c r="AJ299" s="6">
        <f>[1]Results!AM20</f>
        <v>3.7543934870000002</v>
      </c>
      <c r="AK299" s="6">
        <f>[1]Results!AN20</f>
        <v>3.7875614409999998</v>
      </c>
      <c r="AL299" s="6">
        <f>[1]Results!AO20</f>
        <v>3.8199139550000001</v>
      </c>
      <c r="AM299" s="6">
        <f>[1]Results!AP20</f>
        <v>3.8512811710000001</v>
      </c>
      <c r="AN299" s="6">
        <f>[1]Results!AQ20</f>
        <v>3.8817390349999998</v>
      </c>
      <c r="AO299" s="6">
        <f>[1]Results!AR20</f>
        <v>3.911355253</v>
      </c>
      <c r="AP299" s="6">
        <f>[1]Results!AS20</f>
        <v>3.9401954099999998</v>
      </c>
      <c r="AQ299" s="6">
        <f>[1]Results!AT20</f>
        <v>3.9683217179999999</v>
      </c>
      <c r="AR299" s="6">
        <f>[1]Results!AU20</f>
        <v>3.995794852</v>
      </c>
      <c r="AS299" s="6">
        <f>[1]Results!AV20</f>
        <v>4.0226650429999999</v>
      </c>
      <c r="AT299" s="6">
        <f>[1]Results!AW20</f>
        <v>4.0489729570000002</v>
      </c>
      <c r="AU299" s="6">
        <f>[1]Results!AX20</f>
        <v>4.0747502310000003</v>
      </c>
      <c r="AV299" s="6">
        <f>[1]Results!AY20</f>
        <v>4.1000201599999997</v>
      </c>
      <c r="AW299" s="6">
        <f>[1]Results!AZ20</f>
        <v>4.124833647</v>
      </c>
      <c r="AX299" s="6">
        <f>[1]Results!BA20</f>
        <v>4.1492031789999997</v>
      </c>
      <c r="AY299" s="6">
        <f>[1]Results!BB20</f>
        <v>4.1731315059999998</v>
      </c>
      <c r="AZ299" s="6">
        <f>[1]Results!BC20</f>
        <v>4.196613986</v>
      </c>
      <c r="BA299" s="6">
        <f>[1]Results!BD20</f>
        <v>4.2196399910000002</v>
      </c>
      <c r="BB299" s="6">
        <f>[1]Results!BE20</f>
        <v>4.6286853649999999</v>
      </c>
      <c r="BC299" s="6">
        <f>[1]Results!BF20</f>
        <v>4.6688759529999997</v>
      </c>
      <c r="BD299" s="6">
        <f>[1]Results!BG20</f>
        <v>4.7093404809999999</v>
      </c>
      <c r="BE299" s="6">
        <f>[1]Results!BH20</f>
        <v>4.7501298930000004</v>
      </c>
      <c r="BF299" s="6">
        <f>[1]Results!BI20</f>
        <v>4.7912988260000002</v>
      </c>
    </row>
    <row r="300" spans="1:58" x14ac:dyDescent="0.35">
      <c r="B300" t="s">
        <v>55</v>
      </c>
      <c r="C300" s="6">
        <f>[1]Results!F12</f>
        <v>44.765000000000001</v>
      </c>
      <c r="D300" s="6">
        <f>[1]Results!G12</f>
        <v>62.235921310000002</v>
      </c>
      <c r="E300" s="6">
        <f>[1]Results!H12</f>
        <v>80.431830959999999</v>
      </c>
      <c r="F300" s="6">
        <f>[1]Results!I12</f>
        <v>98.989627519999999</v>
      </c>
      <c r="G300" s="6">
        <f>[1]Results!J12</f>
        <v>117.6966221</v>
      </c>
      <c r="H300" s="6">
        <f>[1]Results!K12</f>
        <v>136.43674179999999</v>
      </c>
      <c r="I300" s="6">
        <f>[1]Results!L12</f>
        <v>155.11362579999999</v>
      </c>
      <c r="J300" s="6">
        <f>[1]Results!M12</f>
        <v>173.69759959999999</v>
      </c>
      <c r="K300" s="6">
        <f>[1]Results!N12</f>
        <v>192.17624380000001</v>
      </c>
      <c r="L300" s="6">
        <f>[1]Results!O12</f>
        <v>210.5469272</v>
      </c>
      <c r="M300" s="6">
        <f>[1]Results!P12</f>
        <v>228.87831370000001</v>
      </c>
      <c r="N300" s="6">
        <f>[1]Results!Q12</f>
        <v>247.1091059</v>
      </c>
      <c r="O300" s="6">
        <f>[1]Results!R12</f>
        <v>265.24668910000003</v>
      </c>
      <c r="P300" s="6">
        <f>[1]Results!S12</f>
        <v>283.30065409999997</v>
      </c>
      <c r="Q300" s="6">
        <f>[1]Results!T12</f>
        <v>301.28378939999999</v>
      </c>
      <c r="R300" s="6">
        <f>[1]Results!U12</f>
        <v>319.21219819999999</v>
      </c>
      <c r="S300" s="6">
        <f>[1]Results!V12</f>
        <v>337.10314779999999</v>
      </c>
      <c r="T300" s="6">
        <f>[1]Results!W12</f>
        <v>354.97808379999998</v>
      </c>
      <c r="U300" s="6">
        <f>[1]Results!X12</f>
        <v>372.86190310000001</v>
      </c>
      <c r="V300" s="6">
        <f>[1]Results!Y12</f>
        <v>390.78275339999999</v>
      </c>
      <c r="W300" s="6">
        <f>[1]Results!Z12</f>
        <v>408.71827189999999</v>
      </c>
      <c r="X300" s="6">
        <f>[1]Results!AA12</f>
        <v>426.75858260000001</v>
      </c>
      <c r="Y300" s="6">
        <f>[1]Results!AB12</f>
        <v>444.94366109999999</v>
      </c>
      <c r="Z300" s="6">
        <f>[1]Results!AC12</f>
        <v>463.3179647</v>
      </c>
      <c r="AA300" s="6">
        <f>[1]Results!AD12</f>
        <v>481.92952659999997</v>
      </c>
      <c r="AB300" s="6">
        <f>[1]Results!AE12</f>
        <v>500.6637283</v>
      </c>
      <c r="AC300" s="6">
        <f>[1]Results!AF12</f>
        <v>519.66736119999996</v>
      </c>
      <c r="AD300" s="6">
        <f>[1]Results!AG12</f>
        <v>539.00466059999997</v>
      </c>
      <c r="AE300" s="6">
        <f>[1]Results!AH12</f>
        <v>558.74824120000005</v>
      </c>
      <c r="AF300" s="6">
        <f>[1]Results!AI12</f>
        <v>578.97704880000003</v>
      </c>
      <c r="AG300" s="6">
        <f>[1]Results!AJ12</f>
        <v>599.77539579999996</v>
      </c>
      <c r="AH300" s="6">
        <f>[1]Results!AK12</f>
        <v>621.23319179999999</v>
      </c>
      <c r="AI300" s="6">
        <f>[1]Results!AL12</f>
        <v>643.44514049999998</v>
      </c>
      <c r="AJ300" s="6">
        <f>[1]Results!AM12</f>
        <v>666.51129330000003</v>
      </c>
      <c r="AK300" s="6">
        <f>[1]Results!AN12</f>
        <v>690.53765150000004</v>
      </c>
      <c r="AL300" s="6">
        <f>[1]Results!AO12</f>
        <v>715.63682449999999</v>
      </c>
      <c r="AM300" s="6">
        <f>[1]Results!AP12</f>
        <v>741.88302910000004</v>
      </c>
      <c r="AN300" s="6">
        <f>[1]Results!AQ12</f>
        <v>769.40517299999999</v>
      </c>
      <c r="AO300" s="6">
        <f>[1]Results!AR12</f>
        <v>798.34052050000003</v>
      </c>
      <c r="AP300" s="6">
        <f>[1]Results!AS12</f>
        <v>828.83671860000004</v>
      </c>
      <c r="AQ300" s="6">
        <f>[1]Results!AT12</f>
        <v>861.05241679999995</v>
      </c>
      <c r="AR300" s="6">
        <f>[1]Results!AU12</f>
        <v>895.15865770000005</v>
      </c>
      <c r="AS300" s="6">
        <f>[1]Results!AV12</f>
        <v>931.33763680000004</v>
      </c>
      <c r="AT300" s="6">
        <f>[1]Results!AW12</f>
        <v>969.78362579999998</v>
      </c>
      <c r="AU300" s="6">
        <f>[1]Results!AX12</f>
        <v>1010.7038700000001</v>
      </c>
      <c r="AV300" s="6">
        <f>[1]Results!AY12</f>
        <v>1054.3195780000001</v>
      </c>
      <c r="AW300" s="6">
        <f>[1]Results!AZ12</f>
        <v>1100.878113</v>
      </c>
      <c r="AX300" s="6">
        <f>[1]Results!BA12</f>
        <v>1150.634515</v>
      </c>
      <c r="AY300" s="6">
        <f>[1]Results!BB12</f>
        <v>1203.8602760000001</v>
      </c>
      <c r="AZ300" s="6">
        <f>[1]Results!BC12</f>
        <v>1260.845</v>
      </c>
      <c r="BA300" s="6">
        <f>[1]Results!BD12</f>
        <v>1321.897929</v>
      </c>
      <c r="BB300" s="6">
        <f>[1]Results!BE12</f>
        <v>270.4199448</v>
      </c>
      <c r="BC300" s="6">
        <f>[1]Results!BF12</f>
        <v>237.33092400000001</v>
      </c>
      <c r="BD300" s="6">
        <f>[1]Results!BG12</f>
        <v>200.5086518</v>
      </c>
      <c r="BE300" s="6">
        <f>[1]Results!BH12</f>
        <v>159.6366142</v>
      </c>
      <c r="BF300" s="6">
        <f>[1]Results!BI12</f>
        <v>114.3681741</v>
      </c>
    </row>
    <row r="302" spans="1:58" x14ac:dyDescent="0.35">
      <c r="A302" s="12" t="s">
        <v>89</v>
      </c>
      <c r="C302" s="2">
        <v>42005</v>
      </c>
      <c r="D302" s="2">
        <v>42370</v>
      </c>
      <c r="E302" s="2">
        <v>42736</v>
      </c>
      <c r="F302" s="2">
        <v>43101</v>
      </c>
      <c r="G302" s="2">
        <v>43466</v>
      </c>
      <c r="H302" s="2">
        <v>43831</v>
      </c>
      <c r="I302" s="2">
        <v>44197</v>
      </c>
      <c r="J302" s="2">
        <v>44562</v>
      </c>
      <c r="K302" s="2">
        <v>44927</v>
      </c>
      <c r="L302" s="2">
        <v>45292</v>
      </c>
      <c r="M302" s="2">
        <v>45658</v>
      </c>
      <c r="N302" s="2">
        <v>46023</v>
      </c>
      <c r="O302" s="2">
        <v>46388</v>
      </c>
      <c r="P302" s="2">
        <v>46753</v>
      </c>
      <c r="Q302" s="2">
        <v>47119</v>
      </c>
      <c r="R302" s="2">
        <v>47484</v>
      </c>
      <c r="S302" s="2">
        <v>47849</v>
      </c>
      <c r="T302" s="2">
        <v>48214</v>
      </c>
      <c r="U302" s="2">
        <v>48580</v>
      </c>
      <c r="V302" s="2">
        <v>48945</v>
      </c>
      <c r="W302" s="2">
        <v>49310</v>
      </c>
      <c r="X302" s="2">
        <v>49675</v>
      </c>
      <c r="Y302" s="2">
        <v>50041</v>
      </c>
      <c r="Z302" s="2">
        <v>50406</v>
      </c>
      <c r="AA302" s="2">
        <v>50771</v>
      </c>
      <c r="AB302" s="2">
        <v>51136</v>
      </c>
      <c r="AC302" s="2">
        <v>51502</v>
      </c>
      <c r="AD302" s="2">
        <v>51867</v>
      </c>
      <c r="AE302" s="2">
        <v>52232</v>
      </c>
      <c r="AF302" s="2">
        <v>52597</v>
      </c>
      <c r="AG302" s="2">
        <v>52963</v>
      </c>
      <c r="AH302" s="2">
        <v>53328</v>
      </c>
      <c r="AI302" s="2">
        <v>53693</v>
      </c>
      <c r="AJ302" s="2">
        <v>54058</v>
      </c>
      <c r="AK302" s="2">
        <v>54424</v>
      </c>
      <c r="AL302" s="2">
        <v>54789</v>
      </c>
      <c r="AM302" s="2">
        <v>54790</v>
      </c>
      <c r="AN302" s="2">
        <v>54791</v>
      </c>
      <c r="AO302" s="2">
        <v>54792</v>
      </c>
      <c r="AP302" s="2">
        <v>54793</v>
      </c>
      <c r="AQ302" s="2">
        <v>54794</v>
      </c>
      <c r="AR302" s="2">
        <v>54795</v>
      </c>
      <c r="AS302" s="2">
        <v>54796</v>
      </c>
      <c r="AT302" s="2">
        <v>54797</v>
      </c>
      <c r="AU302" s="2">
        <v>54798</v>
      </c>
      <c r="AV302" s="2">
        <v>54799</v>
      </c>
      <c r="AW302" s="2">
        <v>54800</v>
      </c>
      <c r="AX302" s="2">
        <v>54801</v>
      </c>
      <c r="AY302" s="2">
        <v>54802</v>
      </c>
      <c r="AZ302" s="2">
        <v>54803</v>
      </c>
      <c r="BA302" s="2">
        <v>54804</v>
      </c>
      <c r="BB302" s="2">
        <v>54805</v>
      </c>
      <c r="BC302" s="2">
        <v>54806</v>
      </c>
      <c r="BD302" s="2">
        <v>54807</v>
      </c>
      <c r="BE302" s="2">
        <v>54808</v>
      </c>
      <c r="BF302" s="2">
        <v>54809</v>
      </c>
    </row>
    <row r="303" spans="1:58" x14ac:dyDescent="0.35">
      <c r="A303" t="s">
        <v>38</v>
      </c>
      <c r="B303" t="s">
        <v>56</v>
      </c>
      <c r="C303" s="6">
        <f>[1]Results!F28</f>
        <v>32317.940999999999</v>
      </c>
      <c r="D303" s="6">
        <f>[1]Results!G28</f>
        <v>31939.281370000001</v>
      </c>
      <c r="E303" s="6">
        <f>[1]Results!H28</f>
        <v>31767.455880000001</v>
      </c>
      <c r="F303" s="6">
        <f>[1]Results!I28</f>
        <v>31736.000919999999</v>
      </c>
      <c r="G303" s="6">
        <f>[1]Results!J28</f>
        <v>31800.97495</v>
      </c>
      <c r="H303" s="6">
        <f>[1]Results!K28</f>
        <v>31933.821240000001</v>
      </c>
      <c r="I303" s="6">
        <f>[1]Results!L28</f>
        <v>32112.091710000001</v>
      </c>
      <c r="J303" s="6">
        <f>[1]Results!M28</f>
        <v>32323.605950000001</v>
      </c>
      <c r="K303" s="6">
        <f>[1]Results!N28</f>
        <v>32560.151430000002</v>
      </c>
      <c r="L303" s="6">
        <f>[1]Results!O28</f>
        <v>32815.996420000003</v>
      </c>
      <c r="M303" s="6">
        <f>[1]Results!P28</f>
        <v>33093.72565</v>
      </c>
      <c r="N303" s="6">
        <f>[1]Results!Q28</f>
        <v>33382.973189999997</v>
      </c>
      <c r="O303" s="6">
        <f>[1]Results!R28</f>
        <v>33680.999819999997</v>
      </c>
      <c r="P303" s="6">
        <f>[1]Results!S28</f>
        <v>33985.469550000002</v>
      </c>
      <c r="Q303" s="6">
        <f>[1]Results!T28</f>
        <v>34294.477429999999</v>
      </c>
      <c r="R303" s="6">
        <f>[1]Results!U28</f>
        <v>34606.498870000003</v>
      </c>
      <c r="S303" s="6">
        <f>[1]Results!V28</f>
        <v>34920.321929999998</v>
      </c>
      <c r="T303" s="6">
        <f>[1]Results!W28</f>
        <v>35234.98373</v>
      </c>
      <c r="U303" s="6">
        <f>[1]Results!X28</f>
        <v>35549.718569999997</v>
      </c>
      <c r="V303" s="6">
        <f>[1]Results!Y28</f>
        <v>35863.918810000003</v>
      </c>
      <c r="W303" s="6">
        <f>[1]Results!Z28</f>
        <v>36172.23345</v>
      </c>
      <c r="X303" s="6">
        <f>[1]Results!AA28</f>
        <v>36479.502630000003</v>
      </c>
      <c r="Y303" s="6">
        <f>[1]Results!AB28</f>
        <v>36785.560649999999</v>
      </c>
      <c r="Z303" s="6">
        <f>[1]Results!AC28</f>
        <v>37090.35901</v>
      </c>
      <c r="AA303" s="6">
        <f>[1]Results!AD28</f>
        <v>37393.860939999999</v>
      </c>
      <c r="AB303" s="6">
        <f>[1]Results!AE28</f>
        <v>37682.300179999998</v>
      </c>
      <c r="AC303" s="6">
        <f>[1]Results!AF28</f>
        <v>37963.857730000003</v>
      </c>
      <c r="AD303" s="6">
        <f>[1]Results!AG28</f>
        <v>38239.223639999997</v>
      </c>
      <c r="AE303" s="6">
        <f>[1]Results!AH28</f>
        <v>38509.34448</v>
      </c>
      <c r="AF303" s="6">
        <f>[1]Results!AI28</f>
        <v>38775.19846</v>
      </c>
      <c r="AG303" s="6">
        <f>[1]Results!AJ28</f>
        <v>39037.689019999998</v>
      </c>
      <c r="AH303" s="6">
        <f>[1]Results!AK28</f>
        <v>39297.60138</v>
      </c>
      <c r="AI303" s="6">
        <f>[1]Results!AL28</f>
        <v>39555.59562</v>
      </c>
      <c r="AJ303" s="6">
        <f>[1]Results!AM28</f>
        <v>39812.219230000002</v>
      </c>
      <c r="AK303" s="6">
        <f>[1]Results!AN28</f>
        <v>40067.927439999999</v>
      </c>
      <c r="AL303" s="6">
        <f>[1]Results!AO28</f>
        <v>40323.104209999998</v>
      </c>
      <c r="AM303" s="6">
        <f>[1]Results!AP28</f>
        <v>40574.969539999998</v>
      </c>
      <c r="AN303" s="6">
        <f>[1]Results!AQ28</f>
        <v>40824.0268</v>
      </c>
      <c r="AO303" s="6">
        <f>[1]Results!AR28</f>
        <v>41070.813580000002</v>
      </c>
      <c r="AP303" s="6">
        <f>[1]Results!AS28</f>
        <v>41315.9251</v>
      </c>
      <c r="AQ303" s="6">
        <f>[1]Results!AT28</f>
        <v>41559.975079999997</v>
      </c>
      <c r="AR303" s="6">
        <f>[1]Results!AU28</f>
        <v>41803.551679999997</v>
      </c>
      <c r="AS303" s="6">
        <f>[1]Results!AV28</f>
        <v>42047.185859999998</v>
      </c>
      <c r="AT303" s="6">
        <f>[1]Results!AW28</f>
        <v>42291.335079999997</v>
      </c>
      <c r="AU303" s="6">
        <f>[1]Results!AX28</f>
        <v>42536.379719999997</v>
      </c>
      <c r="AV303" s="6">
        <f>[1]Results!AY28</f>
        <v>42782.628239999998</v>
      </c>
      <c r="AW303" s="6">
        <f>[1]Results!AZ28</f>
        <v>43030.591079999998</v>
      </c>
      <c r="AX303" s="6">
        <f>[1]Results!BA28</f>
        <v>43280.445979999997</v>
      </c>
      <c r="AY303" s="6">
        <f>[1]Results!BB28</f>
        <v>43532.325429999997</v>
      </c>
      <c r="AZ303" s="6">
        <f>[1]Results!BC28</f>
        <v>43786.320939999998</v>
      </c>
      <c r="BA303" s="6">
        <f>[1]Results!BD28</f>
        <v>44042.493300000002</v>
      </c>
      <c r="BB303" s="6">
        <f>[1]Results!BE28</f>
        <v>45939.1077</v>
      </c>
      <c r="BC303" s="6">
        <f>[1]Results!BF28</f>
        <v>46264.987730000001</v>
      </c>
      <c r="BD303" s="6">
        <f>[1]Results!BG28</f>
        <v>46592.00649</v>
      </c>
      <c r="BE303" s="6">
        <f>[1]Results!BH28</f>
        <v>46920.289089999998</v>
      </c>
      <c r="BF303" s="6">
        <f>[1]Results!BI28</f>
        <v>47249.974520000003</v>
      </c>
    </row>
    <row r="304" spans="1:58" x14ac:dyDescent="0.35">
      <c r="B304" t="s">
        <v>53</v>
      </c>
      <c r="C304" s="6">
        <f>[1]Results!F29</f>
        <v>32271.24</v>
      </c>
      <c r="D304" s="6">
        <f>[1]Results!G29</f>
        <v>31874.761320000001</v>
      </c>
      <c r="E304" s="6">
        <f>[1]Results!H29</f>
        <v>31684.176340000002</v>
      </c>
      <c r="F304" s="6">
        <f>[1]Results!I29</f>
        <v>31633.507590000001</v>
      </c>
      <c r="G304" s="6">
        <f>[1]Results!J29</f>
        <v>31679.119419999999</v>
      </c>
      <c r="H304" s="6">
        <f>[1]Results!K29</f>
        <v>31792.640299999999</v>
      </c>
      <c r="I304" s="6">
        <f>[1]Results!L29</f>
        <v>31951.767879999999</v>
      </c>
      <c r="J304" s="6">
        <f>[1]Results!M29</f>
        <v>32144.386190000001</v>
      </c>
      <c r="K304" s="6">
        <f>[1]Results!N29</f>
        <v>32362.319500000001</v>
      </c>
      <c r="L304" s="6">
        <f>[1]Results!O29</f>
        <v>32599.856250000001</v>
      </c>
      <c r="M304" s="6">
        <f>[1]Results!P29</f>
        <v>32859.527300000002</v>
      </c>
      <c r="N304" s="6">
        <f>[1]Results!Q29</f>
        <v>33131.036670000001</v>
      </c>
      <c r="O304" s="6">
        <f>[1]Results!R29</f>
        <v>33411.648289999997</v>
      </c>
      <c r="P304" s="6">
        <f>[1]Results!S29</f>
        <v>33699.027430000002</v>
      </c>
      <c r="Q304" s="6">
        <f>[1]Results!T29</f>
        <v>33991.267699999997</v>
      </c>
      <c r="R304" s="6">
        <f>[1]Results!U29</f>
        <v>34286.840470000003</v>
      </c>
      <c r="S304" s="6">
        <f>[1]Results!V29</f>
        <v>34584.527479999997</v>
      </c>
      <c r="T304" s="6">
        <f>[1]Results!W29</f>
        <v>34883.357620000002</v>
      </c>
      <c r="U304" s="6">
        <f>[1]Results!X29</f>
        <v>35182.555229999998</v>
      </c>
      <c r="V304" s="6">
        <f>[1]Results!Y29</f>
        <v>35481.501300000004</v>
      </c>
      <c r="W304" s="6">
        <f>[1]Results!Z29</f>
        <v>35774.879959999998</v>
      </c>
      <c r="X304" s="6">
        <f>[1]Results!AA29</f>
        <v>36067.46789</v>
      </c>
      <c r="Y304" s="6">
        <f>[1]Results!AB29</f>
        <v>36359.082419999999</v>
      </c>
      <c r="Z304" s="6">
        <f>[1]Results!AC29</f>
        <v>36649.656450000002</v>
      </c>
      <c r="AA304" s="6">
        <f>[1]Results!AD29</f>
        <v>36939.133880000001</v>
      </c>
      <c r="AB304" s="6">
        <f>[1]Results!AE29</f>
        <v>37213.866650000004</v>
      </c>
      <c r="AC304" s="6">
        <f>[1]Results!AF29</f>
        <v>37481.938439999998</v>
      </c>
      <c r="AD304" s="6">
        <f>[1]Results!AG29</f>
        <v>37744.01225</v>
      </c>
      <c r="AE304" s="6">
        <f>[1]Results!AH29</f>
        <v>38001.003340000003</v>
      </c>
      <c r="AF304" s="6">
        <f>[1]Results!AI29</f>
        <v>38253.85656</v>
      </c>
      <c r="AG304" s="6">
        <f>[1]Results!AJ29</f>
        <v>38503.441050000001</v>
      </c>
      <c r="AH304" s="6">
        <f>[1]Results!AK29</f>
        <v>38750.5072</v>
      </c>
      <c r="AI304" s="6">
        <f>[1]Results!AL29</f>
        <v>38995.679929999998</v>
      </c>
      <c r="AJ304" s="6">
        <f>[1]Results!AM29</f>
        <v>39239.471109999999</v>
      </c>
      <c r="AK304" s="6">
        <f>[1]Results!AN29</f>
        <v>39482.299700000003</v>
      </c>
      <c r="AL304" s="6">
        <f>[1]Results!AO29</f>
        <v>39724.512499999997</v>
      </c>
      <c r="AM304" s="6">
        <f>[1]Results!AP29</f>
        <v>39963.32548</v>
      </c>
      <c r="AN304" s="6">
        <f>[1]Results!AQ29</f>
        <v>40199.201959999999</v>
      </c>
      <c r="AO304" s="6">
        <f>[1]Results!AR29</f>
        <v>40432.636839999999</v>
      </c>
      <c r="AP304" s="6">
        <f>[1]Results!AS29</f>
        <v>40664.17942</v>
      </c>
      <c r="AQ304" s="6">
        <f>[1]Results!AT29</f>
        <v>40894.394439999996</v>
      </c>
      <c r="AR304" s="6">
        <f>[1]Results!AU29</f>
        <v>41123.818299999999</v>
      </c>
      <c r="AS304" s="6">
        <f>[1]Results!AV29</f>
        <v>41352.927530000001</v>
      </c>
      <c r="AT304" s="6">
        <f>[1]Results!AW29</f>
        <v>41582.122450000003</v>
      </c>
      <c r="AU304" s="6">
        <f>[1]Results!AX29</f>
        <v>41811.7235</v>
      </c>
      <c r="AV304" s="6">
        <f>[1]Results!AY29</f>
        <v>42041.976029999998</v>
      </c>
      <c r="AW304" s="6">
        <f>[1]Results!AZ29</f>
        <v>42273.320419999996</v>
      </c>
      <c r="AX304" s="6">
        <f>[1]Results!BA29</f>
        <v>42505.86376</v>
      </c>
      <c r="AY304" s="6">
        <f>[1]Results!BB29</f>
        <v>42739.663589999996</v>
      </c>
      <c r="AZ304" s="6">
        <f>[1]Results!BC29</f>
        <v>42974.731599999999</v>
      </c>
      <c r="BA304" s="6">
        <f>[1]Results!BD29</f>
        <v>43211.043579999998</v>
      </c>
      <c r="BB304" s="6">
        <f>[1]Results!BE29</f>
        <v>45601.084470000002</v>
      </c>
      <c r="BC304" s="6">
        <f>[1]Results!BF29</f>
        <v>45952.474289999998</v>
      </c>
      <c r="BD304" s="6">
        <f>[1]Results!BG29</f>
        <v>46307.97365</v>
      </c>
      <c r="BE304" s="6">
        <f>[1]Results!BH29</f>
        <v>46667.953820000002</v>
      </c>
      <c r="BF304" s="6">
        <f>[1]Results!BI29</f>
        <v>47032.82314</v>
      </c>
    </row>
    <row r="305" spans="1:58" x14ac:dyDescent="0.35">
      <c r="B305" t="s">
        <v>54</v>
      </c>
      <c r="C305" s="6">
        <f>[1]Results!F45</f>
        <v>1.9359999999999999</v>
      </c>
      <c r="D305" s="6">
        <f>[1]Results!G45</f>
        <v>1.992675011</v>
      </c>
      <c r="E305" s="6">
        <f>[1]Results!H45</f>
        <v>2.060513061</v>
      </c>
      <c r="F305" s="6">
        <f>[1]Results!I45</f>
        <v>2.1346197249999999</v>
      </c>
      <c r="G305" s="6">
        <f>[1]Results!J45</f>
        <v>2.2118520859999999</v>
      </c>
      <c r="H305" s="6">
        <f>[1]Results!K45</f>
        <v>2.2902607330000002</v>
      </c>
      <c r="I305" s="6">
        <f>[1]Results!L45</f>
        <v>2.3683424839999998</v>
      </c>
      <c r="J305" s="6">
        <f>[1]Results!M45</f>
        <v>2.4453980629999998</v>
      </c>
      <c r="K305" s="6">
        <f>[1]Results!N45</f>
        <v>2.5210237090000001</v>
      </c>
      <c r="L305" s="6">
        <f>[1]Results!O45</f>
        <v>2.5949944669999998</v>
      </c>
      <c r="M305" s="6">
        <f>[1]Results!P45</f>
        <v>2.6677545500000002</v>
      </c>
      <c r="N305" s="6">
        <f>[1]Results!Q45</f>
        <v>2.738659358</v>
      </c>
      <c r="O305" s="6">
        <f>[1]Results!R45</f>
        <v>2.8076723860000001</v>
      </c>
      <c r="P305" s="6">
        <f>[1]Results!S45</f>
        <v>2.8747752329999998</v>
      </c>
      <c r="Q305" s="6">
        <f>[1]Results!T45</f>
        <v>2.9399713740000002</v>
      </c>
      <c r="R305" s="6">
        <f>[1]Results!U45</f>
        <v>3.0032833370000001</v>
      </c>
      <c r="S305" s="6">
        <f>[1]Results!V45</f>
        <v>3.064748324</v>
      </c>
      <c r="T305" s="6">
        <f>[1]Results!W45</f>
        <v>3.1244140090000001</v>
      </c>
      <c r="U305" s="6">
        <f>[1]Results!X45</f>
        <v>3.182335159</v>
      </c>
      <c r="V305" s="6">
        <f>[1]Results!Y45</f>
        <v>3.2385712039999999</v>
      </c>
      <c r="W305" s="6">
        <f>[1]Results!Z45</f>
        <v>3.2927792280000001</v>
      </c>
      <c r="X305" s="6">
        <f>[1]Results!AA45</f>
        <v>3.3454508779999999</v>
      </c>
      <c r="Y305" s="6">
        <f>[1]Results!AB45</f>
        <v>3.3966616620000001</v>
      </c>
      <c r="Z305" s="6">
        <f>[1]Results!AC45</f>
        <v>3.4464908809999999</v>
      </c>
      <c r="AA305" s="6">
        <f>[1]Results!AD45</f>
        <v>3.495013368</v>
      </c>
      <c r="AB305" s="6">
        <f>[1]Results!AE45</f>
        <v>3.5411570380000001</v>
      </c>
      <c r="AC305" s="6">
        <f>[1]Results!AF45</f>
        <v>3.585653287</v>
      </c>
      <c r="AD305" s="6">
        <f>[1]Results!AG45</f>
        <v>3.6286172290000001</v>
      </c>
      <c r="AE305" s="6">
        <f>[1]Results!AH45</f>
        <v>3.670182311</v>
      </c>
      <c r="AF305" s="6">
        <f>[1]Results!AI45</f>
        <v>3.7104821129999999</v>
      </c>
      <c r="AG305" s="6">
        <f>[1]Results!AJ45</f>
        <v>3.7496416739999998</v>
      </c>
      <c r="AH305" s="6">
        <f>[1]Results!AK45</f>
        <v>3.7877739350000001</v>
      </c>
      <c r="AI305" s="6">
        <f>[1]Results!AL45</f>
        <v>3.824979135</v>
      </c>
      <c r="AJ305" s="6">
        <f>[1]Results!AM45</f>
        <v>3.8613458399999998</v>
      </c>
      <c r="AK305" s="6">
        <f>[1]Results!AN45</f>
        <v>3.8969526210000001</v>
      </c>
      <c r="AL305" s="6">
        <f>[1]Results!AO45</f>
        <v>3.9318698150000002</v>
      </c>
      <c r="AM305" s="6">
        <f>[1]Results!AP45</f>
        <v>3.9659026050000001</v>
      </c>
      <c r="AN305" s="6">
        <f>[1]Results!AQ45</f>
        <v>3.9991229640000001</v>
      </c>
      <c r="AO305" s="6">
        <f>[1]Results!AR45</f>
        <v>4.0316040490000002</v>
      </c>
      <c r="AP305" s="6">
        <f>[1]Results!AS45</f>
        <v>4.063422246</v>
      </c>
      <c r="AQ305" s="6">
        <f>[1]Results!AT45</f>
        <v>4.0946540599999999</v>
      </c>
      <c r="AR305" s="6">
        <f>[1]Results!AU45</f>
        <v>4.1253725240000003</v>
      </c>
      <c r="AS305" s="6">
        <f>[1]Results!AV45</f>
        <v>4.155644584</v>
      </c>
      <c r="AT305" s="6">
        <f>[1]Results!AW45</f>
        <v>4.1855297140000003</v>
      </c>
      <c r="AU305" s="6">
        <f>[1]Results!AX45</f>
        <v>4.2150795780000001</v>
      </c>
      <c r="AV305" s="6">
        <f>[1]Results!AY45</f>
        <v>4.244338398</v>
      </c>
      <c r="AW305" s="6">
        <f>[1]Results!AZ45</f>
        <v>4.2733656189999998</v>
      </c>
      <c r="AX305" s="6">
        <f>[1]Results!BA45</f>
        <v>4.3021918530000001</v>
      </c>
      <c r="AY305" s="6">
        <f>[1]Results!BB45</f>
        <v>4.3308423310000004</v>
      </c>
      <c r="AZ305" s="6">
        <f>[1]Results!BC45</f>
        <v>4.3593372380000002</v>
      </c>
      <c r="BA305" s="6">
        <f>[1]Results!BD45</f>
        <v>4.3876925529999999</v>
      </c>
      <c r="BB305" s="6">
        <f>[1]Results!BE45</f>
        <v>4.6165073259999998</v>
      </c>
      <c r="BC305" s="6">
        <f>[1]Results!BF45</f>
        <v>4.6556279380000003</v>
      </c>
      <c r="BD305" s="6">
        <f>[1]Results!BG45</f>
        <v>4.6949460810000003</v>
      </c>
      <c r="BE305" s="6">
        <f>[1]Results!BH45</f>
        <v>4.7345074699999996</v>
      </c>
      <c r="BF305" s="6">
        <f>[1]Results!BI45</f>
        <v>4.7743605000000002</v>
      </c>
    </row>
    <row r="306" spans="1:58" x14ac:dyDescent="0.35">
      <c r="B306" t="s">
        <v>55</v>
      </c>
      <c r="C306" s="6">
        <f>[1]Results!F37</f>
        <v>44.765000000000001</v>
      </c>
      <c r="D306" s="6">
        <f>[1]Results!G37</f>
        <v>62.527370980000001</v>
      </c>
      <c r="E306" s="6">
        <f>[1]Results!H37</f>
        <v>81.219025630000004</v>
      </c>
      <c r="F306" s="6">
        <f>[1]Results!I37</f>
        <v>100.3587052</v>
      </c>
      <c r="G306" s="6">
        <f>[1]Results!J37</f>
        <v>119.64367470000001</v>
      </c>
      <c r="H306" s="6">
        <f>[1]Results!K37</f>
        <v>138.89067969999999</v>
      </c>
      <c r="I306" s="6">
        <f>[1]Results!L37</f>
        <v>157.95549109999999</v>
      </c>
      <c r="J306" s="6">
        <f>[1]Results!M37</f>
        <v>176.77435120000001</v>
      </c>
      <c r="K306" s="6">
        <f>[1]Results!N37</f>
        <v>195.31090409999999</v>
      </c>
      <c r="L306" s="6">
        <f>[1]Results!O37</f>
        <v>213.54517619999999</v>
      </c>
      <c r="M306" s="6">
        <f>[1]Results!P37</f>
        <v>231.5305907</v>
      </c>
      <c r="N306" s="6">
        <f>[1]Results!Q37</f>
        <v>249.1978628</v>
      </c>
      <c r="O306" s="6">
        <f>[1]Results!R37</f>
        <v>266.5438633</v>
      </c>
      <c r="P306" s="6">
        <f>[1]Results!S37</f>
        <v>283.56735700000002</v>
      </c>
      <c r="Q306" s="6">
        <f>[1]Results!T37</f>
        <v>300.26977579999999</v>
      </c>
      <c r="R306" s="6">
        <f>[1]Results!U37</f>
        <v>316.6551351</v>
      </c>
      <c r="S306" s="6">
        <f>[1]Results!V37</f>
        <v>332.729714</v>
      </c>
      <c r="T306" s="6">
        <f>[1]Results!W37</f>
        <v>348.50171940000001</v>
      </c>
      <c r="U306" s="6">
        <f>[1]Results!X37</f>
        <v>363.98101880000002</v>
      </c>
      <c r="V306" s="6">
        <f>[1]Results!Y37</f>
        <v>379.17895659999999</v>
      </c>
      <c r="W306" s="6">
        <f>[1]Results!Z37</f>
        <v>394.06073880000002</v>
      </c>
      <c r="X306" s="6">
        <f>[1]Results!AA37</f>
        <v>408.68932030000002</v>
      </c>
      <c r="Y306" s="6">
        <f>[1]Results!AB37</f>
        <v>423.08158709999998</v>
      </c>
      <c r="Z306" s="6">
        <f>[1]Results!AC37</f>
        <v>437.25609639999999</v>
      </c>
      <c r="AA306" s="6">
        <f>[1]Results!AD37</f>
        <v>451.23207680000002</v>
      </c>
      <c r="AB306" s="6">
        <f>[1]Results!AE37</f>
        <v>464.89240619999998</v>
      </c>
      <c r="AC306" s="6">
        <f>[1]Results!AF37</f>
        <v>478.33366919999997</v>
      </c>
      <c r="AD306" s="6">
        <f>[1]Results!AG37</f>
        <v>491.58280869999999</v>
      </c>
      <c r="AE306" s="6">
        <f>[1]Results!AH37</f>
        <v>504.67099719999999</v>
      </c>
      <c r="AF306" s="6">
        <f>[1]Results!AI37</f>
        <v>517.63145340000005</v>
      </c>
      <c r="AG306" s="6">
        <f>[1]Results!AJ37</f>
        <v>530.49837190000005</v>
      </c>
      <c r="AH306" s="6">
        <f>[1]Results!AK37</f>
        <v>543.30644689999997</v>
      </c>
      <c r="AI306" s="6">
        <f>[1]Results!AL37</f>
        <v>556.09074899999996</v>
      </c>
      <c r="AJ306" s="6">
        <f>[1]Results!AM37</f>
        <v>568.88681129999998</v>
      </c>
      <c r="AK306" s="6">
        <f>[1]Results!AN37</f>
        <v>581.73082420000003</v>
      </c>
      <c r="AL306" s="6">
        <f>[1]Results!AO37</f>
        <v>594.65987849999999</v>
      </c>
      <c r="AM306" s="6">
        <f>[1]Results!AP37</f>
        <v>607.67820749999998</v>
      </c>
      <c r="AN306" s="6">
        <f>[1]Results!AQ37</f>
        <v>620.8257638</v>
      </c>
      <c r="AO306" s="6">
        <f>[1]Results!AR37</f>
        <v>634.14518090000001</v>
      </c>
      <c r="AP306" s="6">
        <f>[1]Results!AS37</f>
        <v>647.68230389999997</v>
      </c>
      <c r="AQ306" s="6">
        <f>[1]Results!AT37</f>
        <v>661.48602819999996</v>
      </c>
      <c r="AR306" s="6">
        <f>[1]Results!AU37</f>
        <v>675.6080528</v>
      </c>
      <c r="AS306" s="6">
        <f>[1]Results!AV37</f>
        <v>690.10274370000002</v>
      </c>
      <c r="AT306" s="6">
        <f>[1]Results!AW37</f>
        <v>705.02715569999998</v>
      </c>
      <c r="AU306" s="6">
        <f>[1]Results!AX37</f>
        <v>720.44120050000004</v>
      </c>
      <c r="AV306" s="6">
        <f>[1]Results!AY37</f>
        <v>736.40793440000004</v>
      </c>
      <c r="AW306" s="6">
        <f>[1]Results!AZ37</f>
        <v>752.99736380000002</v>
      </c>
      <c r="AX306" s="6">
        <f>[1]Results!BA37</f>
        <v>770.28008720000003</v>
      </c>
      <c r="AY306" s="6">
        <f>[1]Results!BB37</f>
        <v>788.33107399999994</v>
      </c>
      <c r="AZ306" s="6">
        <f>[1]Results!BC37</f>
        <v>807.23007240000004</v>
      </c>
      <c r="BA306" s="6">
        <f>[1]Results!BD37</f>
        <v>827.0621046</v>
      </c>
      <c r="BB306" s="6">
        <f>[1]Results!BE37</f>
        <v>333.40671650000002</v>
      </c>
      <c r="BC306" s="6">
        <f>[1]Results!BF37</f>
        <v>307.85780840000001</v>
      </c>
      <c r="BD306" s="6">
        <f>[1]Results!BG37</f>
        <v>279.3378955</v>
      </c>
      <c r="BE306" s="6">
        <f>[1]Results!BH37</f>
        <v>247.6007549</v>
      </c>
      <c r="BF306" s="6">
        <f>[1]Results!BI37</f>
        <v>212.3770069</v>
      </c>
    </row>
    <row r="308" spans="1:58" x14ac:dyDescent="0.35">
      <c r="A308" s="12" t="s">
        <v>90</v>
      </c>
      <c r="B308" s="5" t="str">
        <f>[1]Hybrid!A18</f>
        <v>auto_ca_cfut_2</v>
      </c>
      <c r="C308" s="5">
        <f>[1]Hybrid!B18</f>
        <v>7095.7005250000002</v>
      </c>
      <c r="D308" s="5">
        <f>[1]Hybrid!C18</f>
        <v>7135.2802979999997</v>
      </c>
      <c r="E308" s="5">
        <f>[1]Hybrid!D18</f>
        <v>7218.3159020000003</v>
      </c>
      <c r="F308" s="5">
        <f>[1]Hybrid!E18</f>
        <v>7331.2424170000004</v>
      </c>
      <c r="G308" s="5">
        <f>[1]Hybrid!F18</f>
        <v>7465.3516019999997</v>
      </c>
      <c r="H308" s="5">
        <f>[1]Hybrid!G18</f>
        <v>7615.1770210000004</v>
      </c>
      <c r="I308" s="5">
        <f>[1]Hybrid!H18</f>
        <v>7776.0798430000004</v>
      </c>
      <c r="J308" s="5">
        <f>[1]Hybrid!I18</f>
        <v>7945.7206660000002</v>
      </c>
      <c r="K308" s="5">
        <f>[1]Hybrid!J18</f>
        <v>8122.4404080000004</v>
      </c>
      <c r="L308" s="5">
        <f>[1]Hybrid!K18</f>
        <v>8304.9952840000005</v>
      </c>
      <c r="M308" s="5">
        <f>[1]Hybrid!L18</f>
        <v>8494.4561140000005</v>
      </c>
      <c r="N308" s="5">
        <f>[1]Hybrid!M18</f>
        <v>8687.8171259999999</v>
      </c>
      <c r="O308" s="5">
        <f>[1]Hybrid!N18</f>
        <v>8884.3384019999994</v>
      </c>
      <c r="P308" s="5">
        <f>[1]Hybrid!O18</f>
        <v>9083.3621239999993</v>
      </c>
      <c r="Q308" s="5">
        <f>[1]Hybrid!P18</f>
        <v>9284.3300450000006</v>
      </c>
      <c r="R308" s="5">
        <f>[1]Hybrid!Q18</f>
        <v>9486.7745840000007</v>
      </c>
      <c r="S308" s="5">
        <f>[1]Hybrid!R18</f>
        <v>9690.2392390000005</v>
      </c>
      <c r="T308" s="5">
        <f>[1]Hybrid!S18</f>
        <v>9894.3610669999998</v>
      </c>
      <c r="U308" s="5">
        <f>[1]Hybrid!T18</f>
        <v>10098.83683</v>
      </c>
      <c r="V308" s="5">
        <f>[1]Hybrid!U18</f>
        <v>10303.408020000001</v>
      </c>
      <c r="W308" s="5">
        <f>[1]Hybrid!V18</f>
        <v>10506.23964</v>
      </c>
      <c r="X308" s="5">
        <f>[1]Hybrid!W18</f>
        <v>10708.864030000001</v>
      </c>
      <c r="Y308" s="5">
        <f>[1]Hybrid!X18</f>
        <v>10911.155269999999</v>
      </c>
      <c r="Z308" s="5">
        <f>[1]Hybrid!Y18</f>
        <v>11113.0383</v>
      </c>
      <c r="AA308" s="5">
        <f>[1]Hybrid!Z18</f>
        <v>11314.45378</v>
      </c>
      <c r="AB308" s="5">
        <f>[1]Hybrid!AA18</f>
        <v>11510.6306</v>
      </c>
      <c r="AC308" s="5">
        <f>[1]Hybrid!AB18</f>
        <v>11704.35887</v>
      </c>
      <c r="AD308" s="5">
        <f>[1]Hybrid!AC18</f>
        <v>11895.823640000001</v>
      </c>
      <c r="AE308" s="5">
        <f>[1]Hybrid!AD18</f>
        <v>12085.31042</v>
      </c>
      <c r="AF308" s="5">
        <f>[1]Hybrid!AE18</f>
        <v>12273.133949999999</v>
      </c>
      <c r="AG308" s="5">
        <f>[1]Hybrid!AF18</f>
        <v>12459.600549999999</v>
      </c>
      <c r="AH308" s="5">
        <f>[1]Hybrid!AG18</f>
        <v>12645.004779999999</v>
      </c>
      <c r="AI308" s="5">
        <f>[1]Hybrid!AH18</f>
        <v>12829.60038</v>
      </c>
      <c r="AJ308" s="5">
        <f>[1]Hybrid!AI18</f>
        <v>13013.607319999999</v>
      </c>
      <c r="AK308" s="5">
        <f>[1]Hybrid!AJ18</f>
        <v>13197.218199999999</v>
      </c>
      <c r="AL308" s="5">
        <f>[1]Hybrid!AK18</f>
        <v>13380.60406</v>
      </c>
      <c r="AM308" s="5">
        <f>[1]Hybrid!AL18</f>
        <v>13562.8995</v>
      </c>
      <c r="AN308" s="5">
        <f>[1]Hybrid!AM18</f>
        <v>13744.365180000001</v>
      </c>
      <c r="AO308" s="5">
        <f>[1]Hybrid!AN18</f>
        <v>13925.233410000001</v>
      </c>
      <c r="AP308" s="5">
        <f>[1]Hybrid!AO18</f>
        <v>14105.73581</v>
      </c>
      <c r="AQ308" s="5">
        <f>[1]Hybrid!AP18</f>
        <v>14286.097110000001</v>
      </c>
      <c r="AR308" s="5">
        <f>[1]Hybrid!AQ18</f>
        <v>14466.54377</v>
      </c>
      <c r="AS308" s="5">
        <f>[1]Hybrid!AR18</f>
        <v>14647.26154</v>
      </c>
      <c r="AT308" s="5">
        <f>[1]Hybrid!AS18</f>
        <v>14828.39855</v>
      </c>
      <c r="AU308" s="5">
        <f>[1]Hybrid!AT18</f>
        <v>15010.06682</v>
      </c>
      <c r="AV308" s="5">
        <f>[1]Hybrid!AU18</f>
        <v>15192.34462</v>
      </c>
      <c r="AW308" s="5">
        <f>[1]Hybrid!AV18</f>
        <v>15375.451929999999</v>
      </c>
      <c r="AX308" s="5">
        <f>[1]Hybrid!AW18</f>
        <v>15559.428900000001</v>
      </c>
      <c r="AY308" s="5">
        <f>[1]Hybrid!AX18</f>
        <v>15744.27326</v>
      </c>
      <c r="AZ308" s="5">
        <f>[1]Hybrid!AY18</f>
        <v>15929.95011</v>
      </c>
      <c r="BA308" s="5">
        <f>[1]Hybrid!AZ18</f>
        <v>16116.397730000001</v>
      </c>
      <c r="BB308" s="5">
        <f>[1]Hybrid!BA18</f>
        <v>18081.43362</v>
      </c>
      <c r="BC308" s="5">
        <f>[1]Hybrid!BB18</f>
        <v>18357.057929999999</v>
      </c>
      <c r="BD308" s="5">
        <f>[1]Hybrid!BC18</f>
        <v>18637.218840000001</v>
      </c>
      <c r="BE308" s="5">
        <f>[1]Hybrid!BD18</f>
        <v>18922.18578</v>
      </c>
      <c r="BF308" s="5">
        <f>[1]Hybrid!BE18</f>
        <v>19212.253079999999</v>
      </c>
    </row>
    <row r="309" spans="1:58" x14ac:dyDescent="0.35">
      <c r="A309" t="s">
        <v>39</v>
      </c>
      <c r="B309" s="5" t="str">
        <f>[1]Hybrid!A20</f>
        <v>auto_cb_cfut_2</v>
      </c>
      <c r="C309" s="5">
        <f>[1]Hybrid!B20</f>
        <v>8251.256421</v>
      </c>
      <c r="D309" s="5">
        <f>[1]Hybrid!C20</f>
        <v>8176.7520350000004</v>
      </c>
      <c r="E309" s="5">
        <f>[1]Hybrid!D20</f>
        <v>8151.821774</v>
      </c>
      <c r="F309" s="5">
        <f>[1]Hybrid!E20</f>
        <v>8162.5380800000003</v>
      </c>
      <c r="G309" s="5">
        <f>[1]Hybrid!F20</f>
        <v>8199.7558239999998</v>
      </c>
      <c r="H309" s="5">
        <f>[1]Hybrid!G20</f>
        <v>8257.5320429999992</v>
      </c>
      <c r="I309" s="5">
        <f>[1]Hybrid!H20</f>
        <v>8330.8038020000004</v>
      </c>
      <c r="J309" s="5">
        <f>[1]Hybrid!I20</f>
        <v>8416.7724780000008</v>
      </c>
      <c r="K309" s="5">
        <f>[1]Hybrid!J20</f>
        <v>8513.3457839999992</v>
      </c>
      <c r="L309" s="5">
        <f>[1]Hybrid!K20</f>
        <v>8618.875027</v>
      </c>
      <c r="M309" s="5">
        <f>[1]Hybrid!L20</f>
        <v>8733.9290970000002</v>
      </c>
      <c r="N309" s="5">
        <f>[1]Hybrid!M20</f>
        <v>8855.2763630000009</v>
      </c>
      <c r="O309" s="5">
        <f>[1]Hybrid!N20</f>
        <v>8981.8571850000008</v>
      </c>
      <c r="P309" s="5">
        <f>[1]Hybrid!O20</f>
        <v>9112.7213699999993</v>
      </c>
      <c r="Q309" s="5">
        <f>[1]Hybrid!P20</f>
        <v>9247.0408860000007</v>
      </c>
      <c r="R309" s="5">
        <f>[1]Hybrid!Q20</f>
        <v>9384.0984669999998</v>
      </c>
      <c r="S309" s="5">
        <f>[1]Hybrid!R20</f>
        <v>9523.2119920000005</v>
      </c>
      <c r="T309" s="5">
        <f>[1]Hybrid!S20</f>
        <v>9663.8088810000008</v>
      </c>
      <c r="U309" s="5">
        <f>[1]Hybrid!T20</f>
        <v>9805.3921140000002</v>
      </c>
      <c r="V309" s="5">
        <f>[1]Hybrid!U20</f>
        <v>9947.5241310000001</v>
      </c>
      <c r="W309" s="5">
        <f>[1]Hybrid!V20</f>
        <v>10088.35059</v>
      </c>
      <c r="X309" s="5">
        <f>[1]Hybrid!W20</f>
        <v>10229.10413</v>
      </c>
      <c r="Y309" s="5">
        <f>[1]Hybrid!X20</f>
        <v>10369.51309</v>
      </c>
      <c r="Z309" s="5">
        <f>[1]Hybrid!Y20</f>
        <v>10509.362160000001</v>
      </c>
      <c r="AA309" s="5">
        <f>[1]Hybrid!Z20</f>
        <v>10648.459720000001</v>
      </c>
      <c r="AB309" s="5">
        <f>[1]Hybrid!AA20</f>
        <v>10782.41734</v>
      </c>
      <c r="AC309" s="5">
        <f>[1]Hybrid!AB20</f>
        <v>10913.642540000001</v>
      </c>
      <c r="AD309" s="5">
        <f>[1]Hybrid!AC20</f>
        <v>11042.208559999999</v>
      </c>
      <c r="AE309" s="5">
        <f>[1]Hybrid!AD20</f>
        <v>11168.27961</v>
      </c>
      <c r="AF309" s="5">
        <f>[1]Hybrid!AE20</f>
        <v>11292.046350000001</v>
      </c>
      <c r="AG309" s="5">
        <f>[1]Hybrid!AF20</f>
        <v>11413.692220000001</v>
      </c>
      <c r="AH309" s="5">
        <f>[1]Hybrid!AG20</f>
        <v>11533.390090000001</v>
      </c>
      <c r="AI309" s="5">
        <f>[1]Hybrid!AH20</f>
        <v>11651.27666</v>
      </c>
      <c r="AJ309" s="5">
        <f>[1]Hybrid!AI20</f>
        <v>11767.458769999999</v>
      </c>
      <c r="AK309" s="5">
        <f>[1]Hybrid!AJ20</f>
        <v>11882.01909</v>
      </c>
      <c r="AL309" s="5">
        <f>[1]Hybrid!AK20</f>
        <v>11995.021189999999</v>
      </c>
      <c r="AM309" s="5">
        <f>[1]Hybrid!AL20</f>
        <v>12105.64423</v>
      </c>
      <c r="AN309" s="5">
        <f>[1]Hybrid!AM20</f>
        <v>12214.03638</v>
      </c>
      <c r="AO309" s="5">
        <f>[1]Hybrid!AN20</f>
        <v>12320.320669999999</v>
      </c>
      <c r="AP309" s="5">
        <f>[1]Hybrid!AO20</f>
        <v>12424.618259999999</v>
      </c>
      <c r="AQ309" s="5">
        <f>[1]Hybrid!AP20</f>
        <v>12527.04284</v>
      </c>
      <c r="AR309" s="5">
        <f>[1]Hybrid!AQ20</f>
        <v>12627.707270000001</v>
      </c>
      <c r="AS309" s="5">
        <f>[1]Hybrid!AR20</f>
        <v>12726.688099999999</v>
      </c>
      <c r="AT309" s="5">
        <f>[1]Hybrid!AS20</f>
        <v>12824.02867</v>
      </c>
      <c r="AU309" s="5">
        <f>[1]Hybrid!AT20</f>
        <v>12919.740889999999</v>
      </c>
      <c r="AV309" s="5">
        <f>[1]Hybrid!AU20</f>
        <v>13013.807650000001</v>
      </c>
      <c r="AW309" s="5">
        <f>[1]Hybrid!AV20</f>
        <v>13106.32424</v>
      </c>
      <c r="AX309" s="5">
        <f>[1]Hybrid!AW20</f>
        <v>13197.2366</v>
      </c>
      <c r="AY309" s="5">
        <f>[1]Hybrid!AX20</f>
        <v>13286.45537</v>
      </c>
      <c r="AZ309" s="5">
        <f>[1]Hybrid!AY20</f>
        <v>13373.865019999999</v>
      </c>
      <c r="BA309" s="5">
        <f>[1]Hybrid!AZ20</f>
        <v>13459.32928</v>
      </c>
      <c r="BB309" s="5">
        <f>[1]Hybrid!BA20</f>
        <v>14944.95203</v>
      </c>
      <c r="BC309" s="5">
        <f>[1]Hybrid!BB20</f>
        <v>15091.13233</v>
      </c>
      <c r="BD309" s="5">
        <f>[1]Hybrid!BC20</f>
        <v>15237.753839999999</v>
      </c>
      <c r="BE309" s="5">
        <f>[1]Hybrid!BD20</f>
        <v>15384.92359</v>
      </c>
      <c r="BF309" s="5">
        <f>[1]Hybrid!BE20</f>
        <v>15532.76332</v>
      </c>
    </row>
    <row r="310" spans="1:58" x14ac:dyDescent="0.35">
      <c r="B310" s="5" t="str">
        <f>[1]Hybrid!A22</f>
        <v>auto_cc_cfut_2</v>
      </c>
      <c r="C310" s="5">
        <f>[1]Hybrid!B22</f>
        <v>6777.6024520000001</v>
      </c>
      <c r="D310" s="5">
        <f>[1]Hybrid!C22</f>
        <v>6642.705551</v>
      </c>
      <c r="E310" s="5">
        <f>[1]Hybrid!D22</f>
        <v>6547.9900109999999</v>
      </c>
      <c r="F310" s="5">
        <f>[1]Hybrid!E22</f>
        <v>6483.1612759999998</v>
      </c>
      <c r="G310" s="5">
        <f>[1]Hybrid!F22</f>
        <v>6441.3217279999999</v>
      </c>
      <c r="H310" s="5">
        <f>[1]Hybrid!G22</f>
        <v>6417.8556120000003</v>
      </c>
      <c r="I310" s="5">
        <f>[1]Hybrid!H22</f>
        <v>6408.8180279999997</v>
      </c>
      <c r="J310" s="5">
        <f>[1]Hybrid!I22</f>
        <v>6411.8730759999999</v>
      </c>
      <c r="K310" s="5">
        <f>[1]Hybrid!J22</f>
        <v>6425.2127129999999</v>
      </c>
      <c r="L310" s="5">
        <f>[1]Hybrid!K22</f>
        <v>6447.3690280000001</v>
      </c>
      <c r="M310" s="5">
        <f>[1]Hybrid!L22</f>
        <v>6478.4088179999999</v>
      </c>
      <c r="N310" s="5">
        <f>[1]Hybrid!M22</f>
        <v>6515.8468279999997</v>
      </c>
      <c r="O310" s="5">
        <f>[1]Hybrid!N22</f>
        <v>6558.7012720000002</v>
      </c>
      <c r="P310" s="5">
        <f>[1]Hybrid!O22</f>
        <v>6606.0888649999997</v>
      </c>
      <c r="Q310" s="5">
        <f>[1]Hybrid!P22</f>
        <v>6657.2307709999995</v>
      </c>
      <c r="R310" s="5">
        <f>[1]Hybrid!Q22</f>
        <v>6711.4426789999998</v>
      </c>
      <c r="S310" s="5">
        <f>[1]Hybrid!R22</f>
        <v>6768.0828119999996</v>
      </c>
      <c r="T310" s="5">
        <f>[1]Hybrid!S22</f>
        <v>6826.6001070000002</v>
      </c>
      <c r="U310" s="5">
        <f>[1]Hybrid!T22</f>
        <v>6886.509607</v>
      </c>
      <c r="V310" s="5">
        <f>[1]Hybrid!U22</f>
        <v>6947.3800700000002</v>
      </c>
      <c r="W310" s="5">
        <f>[1]Hybrid!V22</f>
        <v>7007.8640050000004</v>
      </c>
      <c r="X310" s="5">
        <f>[1]Hybrid!W22</f>
        <v>7068.6574140000002</v>
      </c>
      <c r="Y310" s="5">
        <f>[1]Hybrid!X22</f>
        <v>7129.4737569999998</v>
      </c>
      <c r="Z310" s="5">
        <f>[1]Hybrid!Y22</f>
        <v>7190.071919</v>
      </c>
      <c r="AA310" s="5">
        <f>[1]Hybrid!Z22</f>
        <v>7250.2342699999999</v>
      </c>
      <c r="AB310" s="5">
        <f>[1]Hybrid!AA22</f>
        <v>7307.0476360000002</v>
      </c>
      <c r="AC310" s="5">
        <f>[1]Hybrid!AB22</f>
        <v>7362.0075889999998</v>
      </c>
      <c r="AD310" s="5">
        <f>[1]Hybrid!AC22</f>
        <v>7415.1019850000002</v>
      </c>
      <c r="AE310" s="5">
        <f>[1]Hybrid!AD22</f>
        <v>7466.3795899999996</v>
      </c>
      <c r="AF310" s="5">
        <f>[1]Hybrid!AE22</f>
        <v>7515.907948</v>
      </c>
      <c r="AG310" s="5">
        <f>[1]Hybrid!AF22</f>
        <v>7563.7516439999999</v>
      </c>
      <c r="AH310" s="5">
        <f>[1]Hybrid!AG22</f>
        <v>7609.9699520000004</v>
      </c>
      <c r="AI310" s="5">
        <f>[1]Hybrid!AH22</f>
        <v>7654.6005500000001</v>
      </c>
      <c r="AJ310" s="5">
        <f>[1]Hybrid!AI22</f>
        <v>7697.6636449999996</v>
      </c>
      <c r="AK310" s="5">
        <f>[1]Hybrid!AJ22</f>
        <v>7739.165634</v>
      </c>
      <c r="AL310" s="5">
        <f>[1]Hybrid!AK22</f>
        <v>7779.1023420000001</v>
      </c>
      <c r="AM310" s="5">
        <f>[1]Hybrid!AL22</f>
        <v>7816.9263520000004</v>
      </c>
      <c r="AN310" s="5">
        <f>[1]Hybrid!AM22</f>
        <v>7852.6938469999996</v>
      </c>
      <c r="AO310" s="5">
        <f>[1]Hybrid!AN22</f>
        <v>7886.4465490000002</v>
      </c>
      <c r="AP310" s="5">
        <f>[1]Hybrid!AO22</f>
        <v>7918.2258929999998</v>
      </c>
      <c r="AQ310" s="5">
        <f>[1]Hybrid!AP22</f>
        <v>7948.0694579999999</v>
      </c>
      <c r="AR310" s="5">
        <f>[1]Hybrid!AQ22</f>
        <v>7976.0147180000004</v>
      </c>
      <c r="AS310" s="5">
        <f>[1]Hybrid!AR22</f>
        <v>8002.0776370000003</v>
      </c>
      <c r="AT310" s="5">
        <f>[1]Hybrid!AS22</f>
        <v>8026.2549349999999</v>
      </c>
      <c r="AU310" s="5">
        <f>[1]Hybrid!AT22</f>
        <v>8048.525541</v>
      </c>
      <c r="AV310" s="5">
        <f>[1]Hybrid!AU22</f>
        <v>8068.8523649999997</v>
      </c>
      <c r="AW310" s="5">
        <f>[1]Hybrid!AV22</f>
        <v>8087.264698</v>
      </c>
      <c r="AX310" s="5">
        <f>[1]Hybrid!AW22</f>
        <v>8103.7044230000001</v>
      </c>
      <c r="AY310" s="5">
        <f>[1]Hybrid!AX22</f>
        <v>8118.0944490000002</v>
      </c>
      <c r="AZ310" s="5">
        <f>[1]Hybrid!AY22</f>
        <v>8130.3447720000004</v>
      </c>
      <c r="BA310" s="5">
        <f>[1]Hybrid!AZ22</f>
        <v>8140.3561200000004</v>
      </c>
      <c r="BB310" s="5">
        <f>[1]Hybrid!BA22</f>
        <v>8944.8946360000009</v>
      </c>
      <c r="BC310" s="5">
        <f>[1]Hybrid!BB22</f>
        <v>8984.7352420000007</v>
      </c>
      <c r="BD310" s="5">
        <f>[1]Hybrid!BC22</f>
        <v>9023.4650409999995</v>
      </c>
      <c r="BE310" s="5">
        <f>[1]Hybrid!BD22</f>
        <v>9061.1200069999995</v>
      </c>
      <c r="BF310" s="5">
        <f>[1]Hybrid!BE22</f>
        <v>9097.7437040000004</v>
      </c>
    </row>
    <row r="311" spans="1:58" x14ac:dyDescent="0.35">
      <c r="B311" s="5" t="str">
        <f>[1]Hybrid!A24</f>
        <v>auto_cd_cfut_2</v>
      </c>
      <c r="C311" s="5">
        <f>[1]Hybrid!B24</f>
        <v>4159.6639080000004</v>
      </c>
      <c r="D311" s="5">
        <f>[1]Hybrid!C24</f>
        <v>4052.6021449999998</v>
      </c>
      <c r="E311" s="5">
        <f>[1]Hybrid!D24</f>
        <v>3968.7445269999998</v>
      </c>
      <c r="F311" s="5">
        <f>[1]Hybrid!E24</f>
        <v>3901.8298070000001</v>
      </c>
      <c r="G311" s="5">
        <f>[1]Hybrid!F24</f>
        <v>3847.6284230000001</v>
      </c>
      <c r="H311" s="5">
        <f>[1]Hybrid!G24</f>
        <v>3803.2739539999998</v>
      </c>
      <c r="I311" s="5">
        <f>[1]Hybrid!H24</f>
        <v>3766.3634069999998</v>
      </c>
      <c r="J311" s="5">
        <f>[1]Hybrid!I24</f>
        <v>3735.429353</v>
      </c>
      <c r="K311" s="5">
        <f>[1]Hybrid!J24</f>
        <v>3709.3372890000001</v>
      </c>
      <c r="L311" s="5">
        <f>[1]Hybrid!K24</f>
        <v>3687.1705830000001</v>
      </c>
      <c r="M311" s="5">
        <f>[1]Hybrid!L24</f>
        <v>3668.8161839999998</v>
      </c>
      <c r="N311" s="5">
        <f>[1]Hybrid!M24</f>
        <v>3652.892863</v>
      </c>
      <c r="O311" s="5">
        <f>[1]Hybrid!N24</f>
        <v>3638.8118129999998</v>
      </c>
      <c r="P311" s="5">
        <f>[1]Hybrid!O24</f>
        <v>3626.0559640000001</v>
      </c>
      <c r="Q311" s="5">
        <f>[1]Hybrid!P24</f>
        <v>3614.1792650000002</v>
      </c>
      <c r="R311" s="5">
        <f>[1]Hybrid!Q24</f>
        <v>3602.7989130000001</v>
      </c>
      <c r="S311" s="5">
        <f>[1]Hybrid!R24</f>
        <v>3591.5694210000001</v>
      </c>
      <c r="T311" s="5">
        <f>[1]Hybrid!S24</f>
        <v>3580.203685</v>
      </c>
      <c r="U311" s="5">
        <f>[1]Hybrid!T24</f>
        <v>3568.4588239999998</v>
      </c>
      <c r="V311" s="5">
        <f>[1]Hybrid!U24</f>
        <v>3556.128322</v>
      </c>
      <c r="W311" s="5">
        <f>[1]Hybrid!V24</f>
        <v>3542.6182349999999</v>
      </c>
      <c r="X311" s="5">
        <f>[1]Hybrid!W24</f>
        <v>3528.2454109999999</v>
      </c>
      <c r="Y311" s="5">
        <f>[1]Hybrid!X24</f>
        <v>3512.8950930000001</v>
      </c>
      <c r="Z311" s="5">
        <f>[1]Hybrid!Y24</f>
        <v>3496.4771860000001</v>
      </c>
      <c r="AA311" s="5">
        <f>[1]Hybrid!Z24</f>
        <v>3478.916663</v>
      </c>
      <c r="AB311" s="5">
        <f>[1]Hybrid!AA24</f>
        <v>3459.0627330000002</v>
      </c>
      <c r="AC311" s="5">
        <f>[1]Hybrid!AB24</f>
        <v>3437.5805559999999</v>
      </c>
      <c r="AD311" s="5">
        <f>[1]Hybrid!AC24</f>
        <v>3414.514975</v>
      </c>
      <c r="AE311" s="5">
        <f>[1]Hybrid!AD24</f>
        <v>3389.9322499999998</v>
      </c>
      <c r="AF311" s="5">
        <f>[1]Hybrid!AE24</f>
        <v>3363.9029930000002</v>
      </c>
      <c r="AG311" s="5">
        <f>[1]Hybrid!AF24</f>
        <v>3336.4941909999998</v>
      </c>
      <c r="AH311" s="5">
        <f>[1]Hybrid!AG24</f>
        <v>3307.7686490000001</v>
      </c>
      <c r="AI311" s="5">
        <f>[1]Hybrid!AH24</f>
        <v>3277.7795160000001</v>
      </c>
      <c r="AJ311" s="5">
        <f>[1]Hybrid!AI24</f>
        <v>3246.572592</v>
      </c>
      <c r="AK311" s="5">
        <f>[1]Hybrid!AJ24</f>
        <v>3214.1882970000001</v>
      </c>
      <c r="AL311" s="5">
        <f>[1]Hybrid!AK24</f>
        <v>3180.6633689999999</v>
      </c>
      <c r="AM311" s="5">
        <f>[1]Hybrid!AL24</f>
        <v>3145.855654</v>
      </c>
      <c r="AN311" s="5">
        <f>[1]Hybrid!AM24</f>
        <v>3109.8306670000002</v>
      </c>
      <c r="AO311" s="5">
        <f>[1]Hybrid!AN24</f>
        <v>3072.6493869999999</v>
      </c>
      <c r="AP311" s="5">
        <f>[1]Hybrid!AO24</f>
        <v>3034.372973</v>
      </c>
      <c r="AQ311" s="5">
        <f>[1]Hybrid!AP24</f>
        <v>2995.061627</v>
      </c>
      <c r="AR311" s="5">
        <f>[1]Hybrid!AQ24</f>
        <v>2954.775592</v>
      </c>
      <c r="AS311" s="5">
        <f>[1]Hybrid!AR24</f>
        <v>2913.568878</v>
      </c>
      <c r="AT311" s="5">
        <f>[1]Hybrid!AS24</f>
        <v>2871.490601</v>
      </c>
      <c r="AU311" s="5">
        <f>[1]Hybrid!AT24</f>
        <v>2828.5859599999999</v>
      </c>
      <c r="AV311" s="5">
        <f>[1]Hybrid!AU24</f>
        <v>2784.8971879999999</v>
      </c>
      <c r="AW311" s="5">
        <f>[1]Hybrid!AV24</f>
        <v>2740.485189</v>
      </c>
      <c r="AX311" s="5">
        <f>[1]Hybrid!AW24</f>
        <v>2695.3878169999998</v>
      </c>
      <c r="AY311" s="5">
        <f>[1]Hybrid!AX24</f>
        <v>2649.6400199999998</v>
      </c>
      <c r="AZ311" s="5">
        <f>[1]Hybrid!AY24</f>
        <v>2603.276136</v>
      </c>
      <c r="BA311" s="5">
        <f>[1]Hybrid!AZ24</f>
        <v>2556.3311159999998</v>
      </c>
      <c r="BB311" s="5">
        <f>[1]Hybrid!BA24</f>
        <v>2593.1708560000002</v>
      </c>
      <c r="BC311" s="5">
        <f>[1]Hybrid!BB24</f>
        <v>2544.777732</v>
      </c>
      <c r="BD311" s="5">
        <f>[1]Hybrid!BC24</f>
        <v>2495.8074900000001</v>
      </c>
      <c r="BE311" s="5">
        <f>[1]Hybrid!BD24</f>
        <v>2446.3127749999999</v>
      </c>
      <c r="BF311" s="5">
        <f>[1]Hybrid!BE24</f>
        <v>2396.3466669999998</v>
      </c>
    </row>
    <row r="312" spans="1:58" x14ac:dyDescent="0.35">
      <c r="B312" s="5" t="str">
        <f>[1]Hybrid!A26</f>
        <v>auto_ce_cfut_2</v>
      </c>
      <c r="C312" s="5">
        <f>[1]Hybrid!B26</f>
        <v>2503.7292430000002</v>
      </c>
      <c r="D312" s="5">
        <f>[1]Hybrid!C26</f>
        <v>2441.6506909999998</v>
      </c>
      <c r="E312" s="5">
        <f>[1]Hybrid!D26</f>
        <v>2392.6884559999999</v>
      </c>
      <c r="F312" s="5">
        <f>[1]Hybrid!E26</f>
        <v>2352.8307949999999</v>
      </c>
      <c r="G312" s="5">
        <f>[1]Hybrid!F26</f>
        <v>2319.3934800000002</v>
      </c>
      <c r="H312" s="5">
        <f>[1]Hybrid!G26</f>
        <v>2290.580473</v>
      </c>
      <c r="I312" s="5">
        <f>[1]Hybrid!H26</f>
        <v>2264.9258770000001</v>
      </c>
      <c r="J312" s="5">
        <f>[1]Hybrid!I26</f>
        <v>2241.5579550000002</v>
      </c>
      <c r="K312" s="5">
        <f>[1]Hybrid!J26</f>
        <v>2219.8262490000002</v>
      </c>
      <c r="L312" s="5">
        <f>[1]Hybrid!K26</f>
        <v>2199.2247860000002</v>
      </c>
      <c r="M312" s="5">
        <f>[1]Hybrid!L26</f>
        <v>2179.713616</v>
      </c>
      <c r="N312" s="5">
        <f>[1]Hybrid!M26</f>
        <v>2160.5429939999999</v>
      </c>
      <c r="O312" s="5">
        <f>[1]Hybrid!N26</f>
        <v>2141.4247409999998</v>
      </c>
      <c r="P312" s="5">
        <f>[1]Hybrid!O26</f>
        <v>2122.1187209999998</v>
      </c>
      <c r="Q312" s="5">
        <f>[1]Hybrid!P26</f>
        <v>2102.4304310000002</v>
      </c>
      <c r="R312" s="5">
        <f>[1]Hybrid!Q26</f>
        <v>2082.205125</v>
      </c>
      <c r="S312" s="5">
        <f>[1]Hybrid!R26</f>
        <v>2061.3131600000002</v>
      </c>
      <c r="T312" s="5">
        <f>[1]Hybrid!S26</f>
        <v>2039.660202</v>
      </c>
      <c r="U312" s="5">
        <f>[1]Hybrid!T26</f>
        <v>2017.1783370000001</v>
      </c>
      <c r="V312" s="5">
        <f>[1]Hybrid!U26</f>
        <v>1993.8208529999999</v>
      </c>
      <c r="W312" s="5">
        <f>[1]Hybrid!V26</f>
        <v>1969.352085</v>
      </c>
      <c r="X312" s="5">
        <f>[1]Hybrid!W26</f>
        <v>1943.992747</v>
      </c>
      <c r="Y312" s="5">
        <f>[1]Hybrid!X26</f>
        <v>1917.7455869999999</v>
      </c>
      <c r="Z312" s="5">
        <f>[1]Hybrid!Y26</f>
        <v>1890.6248129999999</v>
      </c>
      <c r="AA312" s="5">
        <f>[1]Hybrid!Z26</f>
        <v>1862.6513669999999</v>
      </c>
      <c r="AB312" s="5">
        <f>[1]Hybrid!AA26</f>
        <v>1833.3531869999999</v>
      </c>
      <c r="AC312" s="5">
        <f>[1]Hybrid!AB26</f>
        <v>1803.107094</v>
      </c>
      <c r="AD312" s="5">
        <f>[1]Hybrid!AC26</f>
        <v>1771.995883</v>
      </c>
      <c r="AE312" s="5">
        <f>[1]Hybrid!AD26</f>
        <v>1740.1078970000001</v>
      </c>
      <c r="AF312" s="5">
        <f>[1]Hybrid!AE26</f>
        <v>1707.52937</v>
      </c>
      <c r="AG312" s="5">
        <f>[1]Hybrid!AF26</f>
        <v>1674.3412699999999</v>
      </c>
      <c r="AH312" s="5">
        <f>[1]Hybrid!AG26</f>
        <v>1640.619389</v>
      </c>
      <c r="AI312" s="5">
        <f>[1]Hybrid!AH26</f>
        <v>1606.4324140000001</v>
      </c>
      <c r="AJ312" s="5">
        <f>[1]Hybrid!AI26</f>
        <v>1571.8433480000001</v>
      </c>
      <c r="AK312" s="5">
        <f>[1]Hybrid!AJ26</f>
        <v>1536.9106919999999</v>
      </c>
      <c r="AL312" s="5">
        <f>[1]Hybrid!AK26</f>
        <v>1501.689437</v>
      </c>
      <c r="AM312" s="5">
        <f>[1]Hybrid!AL26</f>
        <v>1466.1644879999999</v>
      </c>
      <c r="AN312" s="5">
        <f>[1]Hybrid!AM26</f>
        <v>1430.401091</v>
      </c>
      <c r="AO312" s="5">
        <f>[1]Hybrid!AN26</f>
        <v>1394.460787</v>
      </c>
      <c r="AP312" s="5">
        <f>[1]Hybrid!AO26</f>
        <v>1358.403243</v>
      </c>
      <c r="AQ312" s="5">
        <f>[1]Hybrid!AP26</f>
        <v>1322.2858590000001</v>
      </c>
      <c r="AR312" s="5">
        <f>[1]Hybrid!AQ26</f>
        <v>1286.1640829999999</v>
      </c>
      <c r="AS312" s="5">
        <f>[1]Hybrid!AR26</f>
        <v>1250.089299</v>
      </c>
      <c r="AT312" s="5">
        <f>[1]Hybrid!AS26</f>
        <v>1214.10951</v>
      </c>
      <c r="AU312" s="5">
        <f>[1]Hybrid!AT26</f>
        <v>1178.269832</v>
      </c>
      <c r="AV312" s="5">
        <f>[1]Hybrid!AU26</f>
        <v>1142.612926</v>
      </c>
      <c r="AW312" s="5">
        <f>[1]Hybrid!AV26</f>
        <v>1107.185608</v>
      </c>
      <c r="AX312" s="5">
        <f>[1]Hybrid!AW26</f>
        <v>1072.0256730000001</v>
      </c>
      <c r="AY312" s="5">
        <f>[1]Hybrid!AX26</f>
        <v>1037.168692</v>
      </c>
      <c r="AZ312" s="5">
        <f>[1]Hybrid!AY26</f>
        <v>1002.648851</v>
      </c>
      <c r="BA312" s="5">
        <f>[1]Hybrid!AZ26</f>
        <v>968.49932520000004</v>
      </c>
      <c r="BB312" s="5">
        <f>[1]Hybrid!BA26</f>
        <v>942.4006637</v>
      </c>
      <c r="BC312" s="5">
        <f>[1]Hybrid!BB26</f>
        <v>908.72411469999997</v>
      </c>
      <c r="BD312" s="5">
        <f>[1]Hybrid!BC26</f>
        <v>875.52158870000005</v>
      </c>
      <c r="BE312" s="5">
        <f>[1]Hybrid!BD26</f>
        <v>842.82576189999997</v>
      </c>
      <c r="BF312" s="5">
        <f>[1]Hybrid!BE26</f>
        <v>810.66726630000005</v>
      </c>
    </row>
    <row r="313" spans="1:58" x14ac:dyDescent="0.35">
      <c r="B313" s="5" t="str">
        <f>[1]Hybrid!A28</f>
        <v>auto_cf_cfut_2</v>
      </c>
      <c r="C313" s="5">
        <f>[1]Hybrid!B28</f>
        <v>1243.6668460000001</v>
      </c>
      <c r="D313" s="5">
        <f>[1]Hybrid!C28</f>
        <v>1210.2218459999999</v>
      </c>
      <c r="E313" s="5">
        <f>[1]Hybrid!D28</f>
        <v>1181.946179</v>
      </c>
      <c r="F313" s="5">
        <f>[1]Hybrid!E28</f>
        <v>1156.625061</v>
      </c>
      <c r="G313" s="5">
        <f>[1]Hybrid!F28</f>
        <v>1132.8417039999999</v>
      </c>
      <c r="H313" s="5">
        <f>[1]Hybrid!G28</f>
        <v>1109.7105449999999</v>
      </c>
      <c r="I313" s="5">
        <f>[1]Hybrid!H28</f>
        <v>1086.591578</v>
      </c>
      <c r="J313" s="5">
        <f>[1]Hybrid!I28</f>
        <v>1063.16913</v>
      </c>
      <c r="K313" s="5">
        <f>[1]Hybrid!J28</f>
        <v>1039.263739</v>
      </c>
      <c r="L313" s="5">
        <f>[1]Hybrid!K28</f>
        <v>1014.782482</v>
      </c>
      <c r="M313" s="5">
        <f>[1]Hybrid!L28</f>
        <v>989.81726660000004</v>
      </c>
      <c r="N313" s="5">
        <f>[1]Hybrid!M28</f>
        <v>964.21541190000005</v>
      </c>
      <c r="O313" s="5">
        <f>[1]Hybrid!N28</f>
        <v>938.00438880000002</v>
      </c>
      <c r="P313" s="5">
        <f>[1]Hybrid!O28</f>
        <v>911.23397490000002</v>
      </c>
      <c r="Q313" s="5">
        <f>[1]Hybrid!P28</f>
        <v>883.97139149999998</v>
      </c>
      <c r="R313" s="5">
        <f>[1]Hybrid!Q28</f>
        <v>856.29627530000005</v>
      </c>
      <c r="S313" s="5">
        <f>[1]Hybrid!R28</f>
        <v>828.29437059999998</v>
      </c>
      <c r="T313" s="5">
        <f>[1]Hybrid!S28</f>
        <v>800.05850390000001</v>
      </c>
      <c r="U313" s="5">
        <f>[1]Hybrid!T28</f>
        <v>771.6840373</v>
      </c>
      <c r="V313" s="5">
        <f>[1]Hybrid!U28</f>
        <v>743.26597800000002</v>
      </c>
      <c r="W313" s="5">
        <f>[1]Hybrid!V28</f>
        <v>714.85143419999997</v>
      </c>
      <c r="X313" s="5">
        <f>[1]Hybrid!W28</f>
        <v>686.5852294</v>
      </c>
      <c r="Y313" s="5">
        <f>[1]Hybrid!X28</f>
        <v>658.55194159999996</v>
      </c>
      <c r="Z313" s="5">
        <f>[1]Hybrid!Y28</f>
        <v>630.83024220000004</v>
      </c>
      <c r="AA313" s="5">
        <f>[1]Hybrid!Z28</f>
        <v>603.4921501</v>
      </c>
      <c r="AB313" s="5">
        <f>[1]Hybrid!AA28</f>
        <v>576.51873079999996</v>
      </c>
      <c r="AC313" s="5">
        <f>[1]Hybrid!AB28</f>
        <v>550.03724220000004</v>
      </c>
      <c r="AD313" s="5">
        <f>[1]Hybrid!AC28</f>
        <v>524.1116634</v>
      </c>
      <c r="AE313" s="5">
        <f>[1]Hybrid!AD28</f>
        <v>498.79761869999999</v>
      </c>
      <c r="AF313" s="5">
        <f>[1]Hybrid!AE28</f>
        <v>474.14189199999998</v>
      </c>
      <c r="AG313" s="5">
        <f>[1]Hybrid!AF28</f>
        <v>450.1828337</v>
      </c>
      <c r="AH313" s="5">
        <f>[1]Hybrid!AG28</f>
        <v>426.95117110000001</v>
      </c>
      <c r="AI313" s="5">
        <f>[1]Hybrid!AH28</f>
        <v>404.47052739999998</v>
      </c>
      <c r="AJ313" s="5">
        <f>[1]Hybrid!AI28</f>
        <v>382.7583229</v>
      </c>
      <c r="AK313" s="5">
        <f>[1]Hybrid!AJ28</f>
        <v>361.82654150000002</v>
      </c>
      <c r="AL313" s="5">
        <f>[1]Hybrid!AK28</f>
        <v>341.68238609999997</v>
      </c>
      <c r="AM313" s="5">
        <f>[1]Hybrid!AL28</f>
        <v>322.32289889999998</v>
      </c>
      <c r="AN313" s="5">
        <f>[1]Hybrid!AM28</f>
        <v>303.74947650000001</v>
      </c>
      <c r="AO313" s="5">
        <f>[1]Hybrid!AN28</f>
        <v>285.95976089999999</v>
      </c>
      <c r="AP313" s="5">
        <f>[1]Hybrid!AO28</f>
        <v>268.94815269999998</v>
      </c>
      <c r="AQ313" s="5">
        <f>[1]Hybrid!AP28</f>
        <v>252.70610830000001</v>
      </c>
      <c r="AR313" s="5">
        <f>[1]Hybrid!AQ28</f>
        <v>237.2224659</v>
      </c>
      <c r="AS313" s="5">
        <f>[1]Hybrid!AR28</f>
        <v>222.48362159999999</v>
      </c>
      <c r="AT313" s="5">
        <f>[1]Hybrid!AS28</f>
        <v>208.47389369999999</v>
      </c>
      <c r="AU313" s="5">
        <f>[1]Hybrid!AT28</f>
        <v>195.17583769999999</v>
      </c>
      <c r="AV313" s="5">
        <f>[1]Hybrid!AU28</f>
        <v>182.5705255</v>
      </c>
      <c r="AW313" s="5">
        <f>[1]Hybrid!AV28</f>
        <v>170.63803490000001</v>
      </c>
      <c r="AX313" s="5">
        <f>[1]Hybrid!AW28</f>
        <v>159.3570723</v>
      </c>
      <c r="AY313" s="5">
        <f>[1]Hybrid!AX28</f>
        <v>148.70553810000001</v>
      </c>
      <c r="AZ313" s="5">
        <f>[1]Hybrid!AY28</f>
        <v>138.6607515</v>
      </c>
      <c r="BA313" s="5">
        <f>[1]Hybrid!AZ28</f>
        <v>129.19962330000001</v>
      </c>
      <c r="BB313" s="5">
        <f>[1]Hybrid!BA28</f>
        <v>114.4251134</v>
      </c>
      <c r="BC313" s="5">
        <f>[1]Hybrid!BB28</f>
        <v>106.3615669</v>
      </c>
      <c r="BD313" s="5">
        <f>[1]Hybrid!BC28</f>
        <v>98.805041329999995</v>
      </c>
      <c r="BE313" s="5">
        <f>[1]Hybrid!BD28</f>
        <v>91.7312467</v>
      </c>
      <c r="BF313" s="5">
        <f>[1]Hybrid!BE28</f>
        <v>85.116179560000006</v>
      </c>
    </row>
    <row r="314" spans="1:58" x14ac:dyDescent="0.35">
      <c r="B314" s="5" t="str">
        <f>[1]Hybrid!A30</f>
        <v>auto_cg_cfut_2</v>
      </c>
      <c r="C314" s="5">
        <f>[1]Hybrid!B30</f>
        <v>2239.620606</v>
      </c>
      <c r="D314" s="5">
        <f>[1]Hybrid!C30</f>
        <v>2182.8307850000001</v>
      </c>
      <c r="E314" s="5">
        <f>[1]Hybrid!D30</f>
        <v>2133.0168960000001</v>
      </c>
      <c r="F314" s="5">
        <f>[1]Hybrid!E30</f>
        <v>2085.777071</v>
      </c>
      <c r="G314" s="5">
        <f>[1]Hybrid!F30</f>
        <v>2038.4879759999999</v>
      </c>
      <c r="H314" s="5">
        <f>[1]Hybrid!G30</f>
        <v>1989.698052</v>
      </c>
      <c r="I314" s="5">
        <f>[1]Hybrid!H30</f>
        <v>1938.546517</v>
      </c>
      <c r="J314" s="5">
        <f>[1]Hybrid!I30</f>
        <v>1884.8235420000001</v>
      </c>
      <c r="K314" s="5">
        <f>[1]Hybrid!J30</f>
        <v>1828.596556</v>
      </c>
      <c r="L314" s="5">
        <f>[1]Hybrid!K30</f>
        <v>1770.093296</v>
      </c>
      <c r="M314" s="5">
        <f>[1]Hybrid!L30</f>
        <v>1709.8121630000001</v>
      </c>
      <c r="N314" s="5">
        <f>[1]Hybrid!M30</f>
        <v>1647.8872779999999</v>
      </c>
      <c r="O314" s="5">
        <f>[1]Hybrid!N30</f>
        <v>1584.7033389999999</v>
      </c>
      <c r="P314" s="5">
        <f>[1]Hybrid!O30</f>
        <v>1520.6534710000001</v>
      </c>
      <c r="Q314" s="5">
        <f>[1]Hybrid!P30</f>
        <v>1456.1266880000001</v>
      </c>
      <c r="R314" s="5">
        <f>[1]Hybrid!Q30</f>
        <v>1391.4975360000001</v>
      </c>
      <c r="S314" s="5">
        <f>[1]Hybrid!R30</f>
        <v>1327.1165779999999</v>
      </c>
      <c r="T314" s="5">
        <f>[1]Hybrid!S30</f>
        <v>1263.3104249999999</v>
      </c>
      <c r="U314" s="5">
        <f>[1]Hybrid!T30</f>
        <v>1200.375902</v>
      </c>
      <c r="V314" s="5">
        <f>[1]Hybrid!U30</f>
        <v>1138.577315</v>
      </c>
      <c r="W314" s="5">
        <f>[1]Hybrid!V30</f>
        <v>1078.1027200000001</v>
      </c>
      <c r="X314" s="5">
        <f>[1]Hybrid!W30</f>
        <v>1019.205528</v>
      </c>
      <c r="Y314" s="5">
        <f>[1]Hybrid!X30</f>
        <v>962.05101520000005</v>
      </c>
      <c r="Z314" s="5">
        <f>[1]Hybrid!Y30</f>
        <v>906.77330300000006</v>
      </c>
      <c r="AA314" s="5">
        <f>[1]Hybrid!Z30</f>
        <v>853.47743579999997</v>
      </c>
      <c r="AB314" s="5">
        <f>[1]Hybrid!AA30</f>
        <v>802.17934600000001</v>
      </c>
      <c r="AC314" s="5">
        <f>[1]Hybrid!AB30</f>
        <v>752.99061400000005</v>
      </c>
      <c r="AD314" s="5">
        <f>[1]Hybrid!AC30</f>
        <v>705.95429339999998</v>
      </c>
      <c r="AE314" s="5">
        <f>[1]Hybrid!AD30</f>
        <v>661.09114050000005</v>
      </c>
      <c r="AF314" s="5">
        <f>[1]Hybrid!AE30</f>
        <v>618.40200230000005</v>
      </c>
      <c r="AG314" s="5">
        <f>[1]Hybrid!AF30</f>
        <v>577.87065670000004</v>
      </c>
      <c r="AH314" s="5">
        <f>[1]Hybrid!AG30</f>
        <v>539.46660899999995</v>
      </c>
      <c r="AI314" s="5">
        <f>[1]Hybrid!AH30</f>
        <v>503.14744359999997</v>
      </c>
      <c r="AJ314" s="5">
        <f>[1]Hybrid!AI30</f>
        <v>468.86113799999998</v>
      </c>
      <c r="AK314" s="5">
        <f>[1]Hybrid!AJ30</f>
        <v>436.54803809999999</v>
      </c>
      <c r="AL314" s="5">
        <f>[1]Hybrid!AK30</f>
        <v>406.1425486</v>
      </c>
      <c r="AM314" s="5">
        <f>[1]Hybrid!AL30</f>
        <v>377.57210079999999</v>
      </c>
      <c r="AN314" s="5">
        <f>[1]Hybrid!AM30</f>
        <v>350.76452710000001</v>
      </c>
      <c r="AO314" s="5">
        <f>[1]Hybrid!AN30</f>
        <v>325.64514409999998</v>
      </c>
      <c r="AP314" s="5">
        <f>[1]Hybrid!AO30</f>
        <v>302.13775609999999</v>
      </c>
      <c r="AQ314" s="5">
        <f>[1]Hybrid!AP30</f>
        <v>280.16545669999999</v>
      </c>
      <c r="AR314" s="5">
        <f>[1]Hybrid!AQ30</f>
        <v>259.65133559999998</v>
      </c>
      <c r="AS314" s="5">
        <f>[1]Hybrid!AR30</f>
        <v>240.51905189999999</v>
      </c>
      <c r="AT314" s="5">
        <f>[1]Hybrid!AS30</f>
        <v>222.6933827</v>
      </c>
      <c r="AU314" s="5">
        <f>[1]Hybrid!AT30</f>
        <v>206.10067140000001</v>
      </c>
      <c r="AV314" s="5">
        <f>[1]Hybrid!AU30</f>
        <v>190.66918949999999</v>
      </c>
      <c r="AW314" s="5">
        <f>[1]Hybrid!AV30</f>
        <v>176.32947469999999</v>
      </c>
      <c r="AX314" s="5">
        <f>[1]Hybrid!AW30</f>
        <v>163.01442</v>
      </c>
      <c r="AY314" s="5">
        <f>[1]Hybrid!AX30</f>
        <v>150.65953880000001</v>
      </c>
      <c r="AZ314" s="5">
        <f>[1]Hybrid!AY30</f>
        <v>139.2030938</v>
      </c>
      <c r="BA314" s="5">
        <f>[1]Hybrid!AZ30</f>
        <v>128.58617419999999</v>
      </c>
      <c r="BB314" s="5">
        <f>[1]Hybrid!BA30</f>
        <v>112.4660597</v>
      </c>
      <c r="BC314" s="5">
        <f>[1]Hybrid!BB30</f>
        <v>103.8162528</v>
      </c>
      <c r="BD314" s="5">
        <f>[1]Hybrid!BC30</f>
        <v>95.817794160000005</v>
      </c>
      <c r="BE314" s="5">
        <f>[1]Hybrid!BD30</f>
        <v>88.424316970000007</v>
      </c>
      <c r="BF314" s="5">
        <f>[1]Hybrid!BE30</f>
        <v>81.592274309999993</v>
      </c>
    </row>
    <row r="315" spans="1:58" x14ac:dyDescent="0.35">
      <c r="B315" s="5" t="str">
        <f>[1]Hybrid!A32</f>
        <v>auto_ca_cele_2</v>
      </c>
      <c r="C315" s="5">
        <f>[1]Hybrid!B32</f>
        <v>9.8427898650000003</v>
      </c>
      <c r="D315" s="5">
        <f>[1]Hybrid!C32</f>
        <v>14.924045</v>
      </c>
      <c r="E315" s="5">
        <f>[1]Hybrid!D32</f>
        <v>20.248688479999998</v>
      </c>
      <c r="F315" s="5">
        <f>[1]Hybrid!E32</f>
        <v>25.725454790000001</v>
      </c>
      <c r="G315" s="5">
        <f>[1]Hybrid!F32</f>
        <v>31.302012829999999</v>
      </c>
      <c r="H315" s="5">
        <f>[1]Hybrid!G32</f>
        <v>36.950990789999999</v>
      </c>
      <c r="I315" s="5">
        <f>[1]Hybrid!H32</f>
        <v>42.648356290000002</v>
      </c>
      <c r="J315" s="5">
        <f>[1]Hybrid!I32</f>
        <v>48.387984869999997</v>
      </c>
      <c r="K315" s="5">
        <f>[1]Hybrid!J32</f>
        <v>54.167774850000001</v>
      </c>
      <c r="L315" s="5">
        <f>[1]Hybrid!K32</f>
        <v>59.987838910000001</v>
      </c>
      <c r="M315" s="5">
        <f>[1]Hybrid!L32</f>
        <v>65.869942629999997</v>
      </c>
      <c r="N315" s="5">
        <f>[1]Hybrid!M32</f>
        <v>71.795494509999997</v>
      </c>
      <c r="O315" s="5">
        <f>[1]Hybrid!N32</f>
        <v>77.766670120000001</v>
      </c>
      <c r="P315" s="5">
        <f>[1]Hybrid!O32</f>
        <v>83.786140290000006</v>
      </c>
      <c r="Q315" s="5">
        <f>[1]Hybrid!P32</f>
        <v>89.85747988</v>
      </c>
      <c r="R315" s="5">
        <f>[1]Hybrid!Q32</f>
        <v>95.98528383</v>
      </c>
      <c r="S315" s="5">
        <f>[1]Hybrid!R32</f>
        <v>102.1745126</v>
      </c>
      <c r="T315" s="5">
        <f>[1]Hybrid!S32</f>
        <v>108.43151829999999</v>
      </c>
      <c r="U315" s="5">
        <f>[1]Hybrid!T32</f>
        <v>114.7638773</v>
      </c>
      <c r="V315" s="5">
        <f>[1]Hybrid!U32</f>
        <v>121.1803828</v>
      </c>
      <c r="W315" s="5">
        <f>[1]Hybrid!V32</f>
        <v>127.6728748</v>
      </c>
      <c r="X315" s="5">
        <f>[1]Hybrid!W32</f>
        <v>134.27126670000001</v>
      </c>
      <c r="Y315" s="5">
        <f>[1]Hybrid!X32</f>
        <v>140.98898130000001</v>
      </c>
      <c r="Z315" s="5">
        <f>[1]Hybrid!Y32</f>
        <v>147.84130339999999</v>
      </c>
      <c r="AA315" s="5">
        <f>[1]Hybrid!Z32</f>
        <v>154.84509660000001</v>
      </c>
      <c r="AB315" s="5">
        <f>[1]Hybrid!AA32</f>
        <v>161.96045620000001</v>
      </c>
      <c r="AC315" s="5">
        <f>[1]Hybrid!AB32</f>
        <v>169.2387276</v>
      </c>
      <c r="AD315" s="5">
        <f>[1]Hybrid!AC32</f>
        <v>176.703048</v>
      </c>
      <c r="AE315" s="5">
        <f>[1]Hybrid!AD32</f>
        <v>184.38006799999999</v>
      </c>
      <c r="AF315" s="5">
        <f>[1]Hybrid!AE32</f>
        <v>192.29928430000001</v>
      </c>
      <c r="AG315" s="5">
        <f>[1]Hybrid!AF32</f>
        <v>200.4927381</v>
      </c>
      <c r="AH315" s="5">
        <f>[1]Hybrid!AG32</f>
        <v>208.99514809999999</v>
      </c>
      <c r="AI315" s="5">
        <f>[1]Hybrid!AH32</f>
        <v>217.8436696</v>
      </c>
      <c r="AJ315" s="5">
        <f>[1]Hybrid!AI32</f>
        <v>227.07814529999999</v>
      </c>
      <c r="AK315" s="5">
        <f>[1]Hybrid!AJ32</f>
        <v>236.74138339999999</v>
      </c>
      <c r="AL315" s="5">
        <f>[1]Hybrid!AK32</f>
        <v>246.87946539999999</v>
      </c>
      <c r="AM315" s="5">
        <f>[1]Hybrid!AL32</f>
        <v>257.52497579999999</v>
      </c>
      <c r="AN315" s="5">
        <f>[1]Hybrid!AM32</f>
        <v>268.73170190000002</v>
      </c>
      <c r="AO315" s="5">
        <f>[1]Hybrid!AN32</f>
        <v>280.55759369999998</v>
      </c>
      <c r="AP315" s="5">
        <f>[1]Hybrid!AO32</f>
        <v>293.06563729999999</v>
      </c>
      <c r="AQ315" s="5">
        <f>[1]Hybrid!AP32</f>
        <v>306.32421520000003</v>
      </c>
      <c r="AR315" s="5">
        <f>[1]Hybrid!AQ32</f>
        <v>320.40778440000003</v>
      </c>
      <c r="AS315" s="5">
        <f>[1]Hybrid!AR32</f>
        <v>335.39655349999998</v>
      </c>
      <c r="AT315" s="5">
        <f>[1]Hybrid!AS32</f>
        <v>351.3769896</v>
      </c>
      <c r="AU315" s="5">
        <f>[1]Hybrid!AT32</f>
        <v>368.4423347</v>
      </c>
      <c r="AV315" s="5">
        <f>[1]Hybrid!AU32</f>
        <v>386.69317960000001</v>
      </c>
      <c r="AW315" s="5">
        <f>[1]Hybrid!AV32</f>
        <v>406.24251980000003</v>
      </c>
      <c r="AX315" s="5">
        <f>[1]Hybrid!AW32</f>
        <v>427.20875510000002</v>
      </c>
      <c r="AY315" s="5">
        <f>[1]Hybrid!AX32</f>
        <v>449.71935189999999</v>
      </c>
      <c r="AZ315" s="5">
        <f>[1]Hybrid!AY32</f>
        <v>473.91175850000002</v>
      </c>
      <c r="BA315" s="5">
        <f>[1]Hybrid!AZ32</f>
        <v>499.93431420000002</v>
      </c>
      <c r="BB315" s="5">
        <f>[1]Hybrid!BA32</f>
        <v>99.339215170000003</v>
      </c>
      <c r="BC315" s="5">
        <f>[1]Hybrid!BB32</f>
        <v>86.987539580000004</v>
      </c>
      <c r="BD315" s="5">
        <f>[1]Hybrid!BC32</f>
        <v>73.015126519999995</v>
      </c>
      <c r="BE315" s="5">
        <f>[1]Hybrid!BD32</f>
        <v>57.267535199999998</v>
      </c>
      <c r="BF315" s="5">
        <f>[1]Hybrid!BE32</f>
        <v>39.574651529999997</v>
      </c>
    </row>
    <row r="316" spans="1:58" x14ac:dyDescent="0.35">
      <c r="B316" s="5" t="str">
        <f>[1]Hybrid!A34</f>
        <v>auto_cb_cele_2</v>
      </c>
      <c r="C316" s="5">
        <f>[1]Hybrid!B34</f>
        <v>11.44571741</v>
      </c>
      <c r="D316" s="5">
        <f>[1]Hybrid!C34</f>
        <v>16.240323230000001</v>
      </c>
      <c r="E316" s="5">
        <f>[1]Hybrid!D34</f>
        <v>21.265565769999998</v>
      </c>
      <c r="F316" s="5">
        <f>[1]Hybrid!E34</f>
        <v>26.432514749999999</v>
      </c>
      <c r="G316" s="5">
        <f>[1]Hybrid!F34</f>
        <v>31.69006924</v>
      </c>
      <c r="H316" s="5">
        <f>[1]Hybrid!G34</f>
        <v>37.011227699999999</v>
      </c>
      <c r="I316" s="5">
        <f>[1]Hybrid!H34</f>
        <v>42.372287200000002</v>
      </c>
      <c r="J316" s="5">
        <f>[1]Hybrid!I34</f>
        <v>47.766680719999997</v>
      </c>
      <c r="K316" s="5">
        <f>[1]Hybrid!J34</f>
        <v>53.19167075</v>
      </c>
      <c r="L316" s="5">
        <f>[1]Hybrid!K34</f>
        <v>58.64660559</v>
      </c>
      <c r="M316" s="5">
        <f>[1]Hybrid!L34</f>
        <v>64.151309470000001</v>
      </c>
      <c r="N316" s="5">
        <f>[1]Hybrid!M34</f>
        <v>69.687287909999995</v>
      </c>
      <c r="O316" s="5">
        <f>[1]Hybrid!N34</f>
        <v>75.255764299999996</v>
      </c>
      <c r="P316" s="5">
        <f>[1]Hybrid!O34</f>
        <v>80.858441249999998</v>
      </c>
      <c r="Q316" s="5">
        <f>[1]Hybrid!P34</f>
        <v>86.497886059999999</v>
      </c>
      <c r="R316" s="5">
        <f>[1]Hybrid!Q34</f>
        <v>92.177637720000007</v>
      </c>
      <c r="S316" s="5">
        <f>[1]Hybrid!R34</f>
        <v>97.901596690000005</v>
      </c>
      <c r="T316" s="5">
        <f>[1]Hybrid!S34</f>
        <v>103.67498999999999</v>
      </c>
      <c r="U316" s="5">
        <f>[1]Hybrid!T34</f>
        <v>109.50420370000001</v>
      </c>
      <c r="V316" s="5">
        <f>[1]Hybrid!U34</f>
        <v>115.3967629</v>
      </c>
      <c r="W316" s="5">
        <f>[1]Hybrid!V34</f>
        <v>121.3444184</v>
      </c>
      <c r="X316" s="5">
        <f>[1]Hybrid!W34</f>
        <v>127.3744059</v>
      </c>
      <c r="Y316" s="5">
        <f>[1]Hybrid!X34</f>
        <v>133.49850860000001</v>
      </c>
      <c r="Z316" s="5">
        <f>[1]Hybrid!Y34</f>
        <v>139.7301621</v>
      </c>
      <c r="AA316" s="5">
        <f>[1]Hybrid!Z34</f>
        <v>146.08417230000001</v>
      </c>
      <c r="AB316" s="5">
        <f>[1]Hybrid!AA34</f>
        <v>152.52294380000001</v>
      </c>
      <c r="AC316" s="5">
        <f>[1]Hybrid!AB34</f>
        <v>159.09318010000001</v>
      </c>
      <c r="AD316" s="5">
        <f>[1]Hybrid!AC34</f>
        <v>165.8153417</v>
      </c>
      <c r="AE316" s="5">
        <f>[1]Hybrid!AD34</f>
        <v>172.71291410000001</v>
      </c>
      <c r="AF316" s="5">
        <f>[1]Hybrid!AE34</f>
        <v>179.81174949999999</v>
      </c>
      <c r="AG316" s="5">
        <f>[1]Hybrid!AF34</f>
        <v>187.1397484</v>
      </c>
      <c r="AH316" s="5">
        <f>[1]Hybrid!AG34</f>
        <v>194.726933</v>
      </c>
      <c r="AI316" s="5">
        <f>[1]Hybrid!AH34</f>
        <v>202.60517530000001</v>
      </c>
      <c r="AJ316" s="5">
        <f>[1]Hybrid!AI34</f>
        <v>210.80837120000001</v>
      </c>
      <c r="AK316" s="5">
        <f>[1]Hybrid!AJ34</f>
        <v>219.37263279999999</v>
      </c>
      <c r="AL316" s="5">
        <f>[1]Hybrid!AK34</f>
        <v>228.33650059999999</v>
      </c>
      <c r="AM316" s="5">
        <f>[1]Hybrid!AL34</f>
        <v>237.7257415</v>
      </c>
      <c r="AN316" s="5">
        <f>[1]Hybrid!AM34</f>
        <v>247.5846651</v>
      </c>
      <c r="AO316" s="5">
        <f>[1]Hybrid!AN34</f>
        <v>257.96058149999999</v>
      </c>
      <c r="AP316" s="5">
        <f>[1]Hybrid!AO34</f>
        <v>268.90447970000002</v>
      </c>
      <c r="AQ316" s="5">
        <f>[1]Hybrid!AP34</f>
        <v>280.47123199999999</v>
      </c>
      <c r="AR316" s="5">
        <f>[1]Hybrid!AQ34</f>
        <v>292.72005860000002</v>
      </c>
      <c r="AS316" s="5">
        <f>[1]Hybrid!AR34</f>
        <v>305.71408819999999</v>
      </c>
      <c r="AT316" s="5">
        <f>[1]Hybrid!AS34</f>
        <v>319.52064960000001</v>
      </c>
      <c r="AU316" s="5">
        <f>[1]Hybrid!AT34</f>
        <v>334.2115526</v>
      </c>
      <c r="AV316" s="5">
        <f>[1]Hybrid!AU34</f>
        <v>349.86339479999998</v>
      </c>
      <c r="AW316" s="5">
        <f>[1]Hybrid!AV34</f>
        <v>366.56174379999999</v>
      </c>
      <c r="AX316" s="5">
        <f>[1]Hybrid!AW34</f>
        <v>384.39471079999998</v>
      </c>
      <c r="AY316" s="5">
        <f>[1]Hybrid!AX34</f>
        <v>403.45592240000002</v>
      </c>
      <c r="AZ316" s="5">
        <f>[1]Hybrid!AY34</f>
        <v>423.84503139999998</v>
      </c>
      <c r="BA316" s="5">
        <f>[1]Hybrid!AZ34</f>
        <v>445.66817680000003</v>
      </c>
      <c r="BB316" s="5">
        <f>[1]Hybrid!BA34</f>
        <v>75.420396510000003</v>
      </c>
      <c r="BC316" s="5">
        <f>[1]Hybrid!BB34</f>
        <v>63.977383179999997</v>
      </c>
      <c r="BD316" s="5">
        <f>[1]Hybrid!BC34</f>
        <v>51.223632559999999</v>
      </c>
      <c r="BE316" s="5">
        <f>[1]Hybrid!BD34</f>
        <v>37.049375359999999</v>
      </c>
      <c r="BF316" s="5">
        <f>[1]Hybrid!BE34</f>
        <v>21.33479221</v>
      </c>
    </row>
    <row r="317" spans="1:58" x14ac:dyDescent="0.35">
      <c r="B317" s="5" t="str">
        <f>[1]Hybrid!A36</f>
        <v>auto_cc_cele_2</v>
      </c>
      <c r="C317" s="5">
        <f>[1]Hybrid!B36</f>
        <v>9.4015406210000005</v>
      </c>
      <c r="D317" s="5">
        <f>[1]Hybrid!C36</f>
        <v>12.65853536</v>
      </c>
      <c r="E317" s="5">
        <f>[1]Hybrid!D36</f>
        <v>16.07324054</v>
      </c>
      <c r="F317" s="5">
        <f>[1]Hybrid!E36</f>
        <v>19.58318598</v>
      </c>
      <c r="G317" s="5">
        <f>[1]Hybrid!F36</f>
        <v>23.152400239999999</v>
      </c>
      <c r="H317" s="5">
        <f>[1]Hybrid!G36</f>
        <v>26.761690890000001</v>
      </c>
      <c r="I317" s="5">
        <f>[1]Hybrid!H36</f>
        <v>30.394215450000001</v>
      </c>
      <c r="J317" s="5">
        <f>[1]Hybrid!I36</f>
        <v>34.044956130000003</v>
      </c>
      <c r="K317" s="5">
        <f>[1]Hybrid!J36</f>
        <v>37.711525590000001</v>
      </c>
      <c r="L317" s="5">
        <f>[1]Hybrid!K36</f>
        <v>41.392954719999999</v>
      </c>
      <c r="M317" s="5">
        <f>[1]Hybrid!L36</f>
        <v>45.102234940000002</v>
      </c>
      <c r="N317" s="5">
        <f>[1]Hybrid!M36</f>
        <v>48.826130050000003</v>
      </c>
      <c r="O317" s="5">
        <f>[1]Hybrid!N36</f>
        <v>52.564902170000003</v>
      </c>
      <c r="P317" s="5">
        <f>[1]Hybrid!O36</f>
        <v>56.319148409999997</v>
      </c>
      <c r="Q317" s="5">
        <f>[1]Hybrid!P36</f>
        <v>60.090062439999997</v>
      </c>
      <c r="R317" s="5">
        <f>[1]Hybrid!Q36</f>
        <v>63.87950507</v>
      </c>
      <c r="S317" s="5">
        <f>[1]Hybrid!R36</f>
        <v>67.689593540000004</v>
      </c>
      <c r="T317" s="5">
        <f>[1]Hybrid!S36</f>
        <v>71.523355039999998</v>
      </c>
      <c r="U317" s="5">
        <f>[1]Hybrid!T36</f>
        <v>75.38460508</v>
      </c>
      <c r="V317" s="5">
        <f>[1]Hybrid!U36</f>
        <v>79.277924659999996</v>
      </c>
      <c r="W317" s="5">
        <f>[1]Hybrid!V36</f>
        <v>83.19731539</v>
      </c>
      <c r="X317" s="5">
        <f>[1]Hybrid!W36</f>
        <v>87.160604419999999</v>
      </c>
      <c r="Y317" s="5">
        <f>[1]Hybrid!X36</f>
        <v>91.175179409999998</v>
      </c>
      <c r="Z317" s="5">
        <f>[1]Hybrid!Y36</f>
        <v>95.249475790000005</v>
      </c>
      <c r="AA317" s="5">
        <f>[1]Hybrid!Z36</f>
        <v>99.392774930000002</v>
      </c>
      <c r="AB317" s="5">
        <f>[1]Hybrid!AA36</f>
        <v>103.57951559999999</v>
      </c>
      <c r="AC317" s="5">
        <f>[1]Hybrid!AB36</f>
        <v>107.8402172</v>
      </c>
      <c r="AD317" s="5">
        <f>[1]Hybrid!AC36</f>
        <v>112.1878054</v>
      </c>
      <c r="AE317" s="5">
        <f>[1]Hybrid!AD36</f>
        <v>116.63706209999999</v>
      </c>
      <c r="AF317" s="5">
        <f>[1]Hybrid!AE36</f>
        <v>121.2041596</v>
      </c>
      <c r="AG317" s="5">
        <f>[1]Hybrid!AF36</f>
        <v>125.90642459999999</v>
      </c>
      <c r="AH317" s="5">
        <f>[1]Hybrid!AG36</f>
        <v>130.7623548</v>
      </c>
      <c r="AI317" s="5">
        <f>[1]Hybrid!AH36</f>
        <v>135.79140889999999</v>
      </c>
      <c r="AJ317" s="5">
        <f>[1]Hybrid!AI36</f>
        <v>141.0140868</v>
      </c>
      <c r="AK317" s="5">
        <f>[1]Hybrid!AJ36</f>
        <v>146.45201950000001</v>
      </c>
      <c r="AL317" s="5">
        <f>[1]Hybrid!AK36</f>
        <v>152.1280672</v>
      </c>
      <c r="AM317" s="5">
        <f>[1]Hybrid!AL36</f>
        <v>158.05642259999999</v>
      </c>
      <c r="AN317" s="5">
        <f>[1]Hybrid!AM36</f>
        <v>164.2629297</v>
      </c>
      <c r="AO317" s="5">
        <f>[1]Hybrid!AN36</f>
        <v>170.7748996</v>
      </c>
      <c r="AP317" s="5">
        <f>[1]Hybrid!AO36</f>
        <v>177.621489</v>
      </c>
      <c r="AQ317" s="5">
        <f>[1]Hybrid!AP36</f>
        <v>184.8337635</v>
      </c>
      <c r="AR317" s="5">
        <f>[1]Hybrid!AQ36</f>
        <v>192.444918</v>
      </c>
      <c r="AS317" s="5">
        <f>[1]Hybrid!AR36</f>
        <v>200.48991179999999</v>
      </c>
      <c r="AT317" s="5">
        <f>[1]Hybrid!AS36</f>
        <v>209.00557090000001</v>
      </c>
      <c r="AU317" s="5">
        <f>[1]Hybrid!AT36</f>
        <v>218.03067300000001</v>
      </c>
      <c r="AV317" s="5">
        <f>[1]Hybrid!AU36</f>
        <v>227.60604069999999</v>
      </c>
      <c r="AW317" s="5">
        <f>[1]Hybrid!AV36</f>
        <v>237.77703679999999</v>
      </c>
      <c r="AX317" s="5">
        <f>[1]Hybrid!AW36</f>
        <v>248.58937789999999</v>
      </c>
      <c r="AY317" s="5">
        <f>[1]Hybrid!AX36</f>
        <v>260.09089180000001</v>
      </c>
      <c r="AZ317" s="5">
        <f>[1]Hybrid!AY36</f>
        <v>272.33170139999999</v>
      </c>
      <c r="BA317" s="5">
        <f>[1]Hybrid!AZ36</f>
        <v>285.36435790000002</v>
      </c>
      <c r="BB317" s="5">
        <f>[1]Hybrid!BA36</f>
        <v>41.767990060000002</v>
      </c>
      <c r="BC317" s="5">
        <f>[1]Hybrid!BB36</f>
        <v>34.301015939999999</v>
      </c>
      <c r="BD317" s="5">
        <f>[1]Hybrid!BC36</f>
        <v>26.084829039999999</v>
      </c>
      <c r="BE317" s="5">
        <f>[1]Hybrid!BD36</f>
        <v>17.065230100000001</v>
      </c>
      <c r="BF317" s="5">
        <f>[1]Hybrid!BE36</f>
        <v>7.1835929309999997</v>
      </c>
    </row>
    <row r="318" spans="1:58" x14ac:dyDescent="0.35">
      <c r="B318" s="5" t="str">
        <f>[1]Hybrid!A38</f>
        <v>auto_cd_cele_2</v>
      </c>
      <c r="C318" s="5">
        <f>[1]Hybrid!B38</f>
        <v>5.770071272</v>
      </c>
      <c r="D318" s="5">
        <f>[1]Hybrid!C38</f>
        <v>7.5419217359999999</v>
      </c>
      <c r="E318" s="5">
        <f>[1]Hybrid!D38</f>
        <v>9.382778987</v>
      </c>
      <c r="F318" s="5">
        <f>[1]Hybrid!E38</f>
        <v>11.250712910000001</v>
      </c>
      <c r="G318" s="5">
        <f>[1]Hybrid!F38</f>
        <v>13.11967653</v>
      </c>
      <c r="H318" s="5">
        <f>[1]Hybrid!G38</f>
        <v>14.97396582</v>
      </c>
      <c r="I318" s="5">
        <f>[1]Hybrid!H38</f>
        <v>16.800368580000001</v>
      </c>
      <c r="J318" s="5">
        <f>[1]Hybrid!I38</f>
        <v>18.592850009999999</v>
      </c>
      <c r="K318" s="5">
        <f>[1]Hybrid!J38</f>
        <v>20.347409599999999</v>
      </c>
      <c r="L318" s="5">
        <f>[1]Hybrid!K38</f>
        <v>22.061238679999999</v>
      </c>
      <c r="M318" s="5">
        <f>[1]Hybrid!L38</f>
        <v>23.73849285</v>
      </c>
      <c r="N318" s="5">
        <f>[1]Hybrid!M38</f>
        <v>25.370922400000001</v>
      </c>
      <c r="O318" s="5">
        <f>[1]Hybrid!N38</f>
        <v>26.957045359999999</v>
      </c>
      <c r="P318" s="5">
        <f>[1]Hybrid!O38</f>
        <v>28.495662580000001</v>
      </c>
      <c r="Q318" s="5">
        <f>[1]Hybrid!P38</f>
        <v>29.985918030000001</v>
      </c>
      <c r="R318" s="5">
        <f>[1]Hybrid!Q38</f>
        <v>31.42728129</v>
      </c>
      <c r="S318" s="5">
        <f>[1]Hybrid!R38</f>
        <v>32.819341809999997</v>
      </c>
      <c r="T318" s="5">
        <f>[1]Hybrid!S38</f>
        <v>34.162052750000001</v>
      </c>
      <c r="U318" s="5">
        <f>[1]Hybrid!T38</f>
        <v>35.455634420000003</v>
      </c>
      <c r="V318" s="5">
        <f>[1]Hybrid!U38</f>
        <v>36.700527899999997</v>
      </c>
      <c r="W318" s="5">
        <f>[1]Hybrid!V38</f>
        <v>37.89313276</v>
      </c>
      <c r="X318" s="5">
        <f>[1]Hybrid!W38</f>
        <v>39.038772450000003</v>
      </c>
      <c r="Y318" s="5">
        <f>[1]Hybrid!X38</f>
        <v>40.138549189999999</v>
      </c>
      <c r="Z318" s="5">
        <f>[1]Hybrid!Y38</f>
        <v>41.193750690000002</v>
      </c>
      <c r="AA318" s="5">
        <f>[1]Hybrid!Z38</f>
        <v>42.205762030000002</v>
      </c>
      <c r="AB318" s="5">
        <f>[1]Hybrid!AA38</f>
        <v>43.16455303</v>
      </c>
      <c r="AC318" s="5">
        <f>[1]Hybrid!AB38</f>
        <v>44.078622969999998</v>
      </c>
      <c r="AD318" s="5">
        <f>[1]Hybrid!AC38</f>
        <v>44.95028147</v>
      </c>
      <c r="AE318" s="5">
        <f>[1]Hybrid!AD38</f>
        <v>45.782096979999999</v>
      </c>
      <c r="AF318" s="5">
        <f>[1]Hybrid!AE38</f>
        <v>46.576720760000001</v>
      </c>
      <c r="AG318" s="5">
        <f>[1]Hybrid!AF38</f>
        <v>47.336797779999998</v>
      </c>
      <c r="AH318" s="5">
        <f>[1]Hybrid!AG38</f>
        <v>48.064953930000001</v>
      </c>
      <c r="AI318" s="5">
        <f>[1]Hybrid!AH38</f>
        <v>48.763725530000002</v>
      </c>
      <c r="AJ318" s="5">
        <f>[1]Hybrid!AI38</f>
        <v>49.435572710000002</v>
      </c>
      <c r="AK318" s="5">
        <f>[1]Hybrid!AJ38</f>
        <v>50.082891770000003</v>
      </c>
      <c r="AL318" s="5">
        <f>[1]Hybrid!AK38</f>
        <v>50.708026820000001</v>
      </c>
      <c r="AM318" s="5">
        <f>[1]Hybrid!AL38</f>
        <v>51.311094689999997</v>
      </c>
      <c r="AN318" s="5">
        <f>[1]Hybrid!AM38</f>
        <v>51.894595500000001</v>
      </c>
      <c r="AO318" s="5">
        <f>[1]Hybrid!AN38</f>
        <v>52.460979889999997</v>
      </c>
      <c r="AP318" s="5">
        <f>[1]Hybrid!AO38</f>
        <v>53.012705699999998</v>
      </c>
      <c r="AQ318" s="5">
        <f>[1]Hybrid!AP38</f>
        <v>53.552224070000001</v>
      </c>
      <c r="AR318" s="5">
        <f>[1]Hybrid!AQ38</f>
        <v>54.08199235</v>
      </c>
      <c r="AS318" s="5">
        <f>[1]Hybrid!AR38</f>
        <v>54.604385139999998</v>
      </c>
      <c r="AT318" s="5">
        <f>[1]Hybrid!AS38</f>
        <v>55.121700730000001</v>
      </c>
      <c r="AU318" s="5">
        <f>[1]Hybrid!AT38</f>
        <v>55.636163609999997</v>
      </c>
      <c r="AV318" s="5">
        <f>[1]Hybrid!AU38</f>
        <v>56.149927390000002</v>
      </c>
      <c r="AW318" s="5">
        <f>[1]Hybrid!AV38</f>
        <v>56.665410369999996</v>
      </c>
      <c r="AX318" s="5">
        <f>[1]Hybrid!AW38</f>
        <v>57.184650040000001</v>
      </c>
      <c r="AY318" s="5">
        <f>[1]Hybrid!AX38</f>
        <v>57.709579480000002</v>
      </c>
      <c r="AZ318" s="5">
        <f>[1]Hybrid!AY38</f>
        <v>58.242051830000001</v>
      </c>
      <c r="BA318" s="5">
        <f>[1]Hybrid!AZ38</f>
        <v>58.783851990000002</v>
      </c>
      <c r="BB318" s="5">
        <f>[1]Hybrid!BA38</f>
        <v>33.875114490000001</v>
      </c>
      <c r="BC318" s="5">
        <f>[1]Hybrid!BB38</f>
        <v>32.826666979999999</v>
      </c>
      <c r="BD318" s="5">
        <f>[1]Hybrid!BC38</f>
        <v>31.723283139999999</v>
      </c>
      <c r="BE318" s="5">
        <f>[1]Hybrid!BD38</f>
        <v>30.565733399999999</v>
      </c>
      <c r="BF318" s="5">
        <f>[1]Hybrid!BE38</f>
        <v>29.35484288</v>
      </c>
    </row>
    <row r="319" spans="1:58" x14ac:dyDescent="0.35">
      <c r="B319" s="5" t="str">
        <f>[1]Hybrid!A40</f>
        <v>auto_ce_cele_2</v>
      </c>
      <c r="C319" s="5">
        <f>[1]Hybrid!B40</f>
        <v>3.4730440960000002</v>
      </c>
      <c r="D319" s="5">
        <f>[1]Hybrid!C40</f>
        <v>4.5615066850000003</v>
      </c>
      <c r="E319" s="5">
        <f>[1]Hybrid!D40</f>
        <v>5.6848458639999997</v>
      </c>
      <c r="F319" s="5">
        <f>[1]Hybrid!E40</f>
        <v>6.8154881920000001</v>
      </c>
      <c r="G319" s="5">
        <f>[1]Hybrid!F40</f>
        <v>7.9362593080000003</v>
      </c>
      <c r="H319" s="5">
        <f>[1]Hybrid!G40</f>
        <v>9.0367235170000004</v>
      </c>
      <c r="I319" s="5">
        <f>[1]Hybrid!H40</f>
        <v>10.108325219999999</v>
      </c>
      <c r="J319" s="5">
        <f>[1]Hybrid!I40</f>
        <v>11.14706353</v>
      </c>
      <c r="K319" s="5">
        <f>[1]Hybrid!J40</f>
        <v>12.15032633</v>
      </c>
      <c r="L319" s="5">
        <f>[1]Hybrid!K40</f>
        <v>13.11633406</v>
      </c>
      <c r="M319" s="5">
        <f>[1]Hybrid!L40</f>
        <v>14.047359889999999</v>
      </c>
      <c r="N319" s="5">
        <f>[1]Hybrid!M40</f>
        <v>14.938672260000001</v>
      </c>
      <c r="O319" s="5">
        <f>[1]Hybrid!N40</f>
        <v>15.78951723</v>
      </c>
      <c r="P319" s="5">
        <f>[1]Hybrid!O40</f>
        <v>16.599382439999999</v>
      </c>
      <c r="Q319" s="5">
        <f>[1]Hybrid!P40</f>
        <v>17.368017869999999</v>
      </c>
      <c r="R319" s="5">
        <f>[1]Hybrid!Q40</f>
        <v>18.09541501</v>
      </c>
      <c r="S319" s="5">
        <f>[1]Hybrid!R40</f>
        <v>18.781690990000001</v>
      </c>
      <c r="T319" s="5">
        <f>[1]Hybrid!S40</f>
        <v>19.427212910000002</v>
      </c>
      <c r="U319" s="5">
        <f>[1]Hybrid!T40</f>
        <v>20.032533699999998</v>
      </c>
      <c r="V319" s="5">
        <f>[1]Hybrid!U40</f>
        <v>20.598356720000002</v>
      </c>
      <c r="W319" s="5">
        <f>[1]Hybrid!V40</f>
        <v>21.123377489999999</v>
      </c>
      <c r="X319" s="5">
        <f>[1]Hybrid!W40</f>
        <v>21.610863200000001</v>
      </c>
      <c r="Y319" s="5">
        <f>[1]Hybrid!X40</f>
        <v>22.061913449999999</v>
      </c>
      <c r="Z319" s="5">
        <f>[1]Hybrid!Y40</f>
        <v>22.477715960000001</v>
      </c>
      <c r="AA319" s="5">
        <f>[1]Hybrid!Z40</f>
        <v>22.859499329999998</v>
      </c>
      <c r="AB319" s="5">
        <f>[1]Hybrid!AA40</f>
        <v>23.203093169999999</v>
      </c>
      <c r="AC319" s="5">
        <f>[1]Hybrid!AB40</f>
        <v>23.513242219999999</v>
      </c>
      <c r="AD319" s="5">
        <f>[1]Hybrid!AC40</f>
        <v>23.791672460000001</v>
      </c>
      <c r="AE319" s="5">
        <f>[1]Hybrid!AD40</f>
        <v>24.040182690000002</v>
      </c>
      <c r="AF319" s="5">
        <f>[1]Hybrid!AE40</f>
        <v>24.26055787</v>
      </c>
      <c r="AG319" s="5">
        <f>[1]Hybrid!AF40</f>
        <v>24.45452762</v>
      </c>
      <c r="AH319" s="5">
        <f>[1]Hybrid!AG40</f>
        <v>24.623759629999999</v>
      </c>
      <c r="AI319" s="5">
        <f>[1]Hybrid!AH40</f>
        <v>24.7698286</v>
      </c>
      <c r="AJ319" s="5">
        <f>[1]Hybrid!AI40</f>
        <v>24.894223610000001</v>
      </c>
      <c r="AK319" s="5">
        <f>[1]Hybrid!AJ40</f>
        <v>24.998354599999999</v>
      </c>
      <c r="AL319" s="5">
        <f>[1]Hybrid!AK40</f>
        <v>25.083558329999999</v>
      </c>
      <c r="AM319" s="5">
        <f>[1]Hybrid!AL40</f>
        <v>25.150217040000001</v>
      </c>
      <c r="AN319" s="5">
        <f>[1]Hybrid!AM40</f>
        <v>25.199660730000002</v>
      </c>
      <c r="AO319" s="5">
        <f>[1]Hybrid!AN40</f>
        <v>25.233148159999999</v>
      </c>
      <c r="AP319" s="5">
        <f>[1]Hybrid!AO40</f>
        <v>25.251889129999999</v>
      </c>
      <c r="AQ319" s="5">
        <f>[1]Hybrid!AP40</f>
        <v>25.257038179999999</v>
      </c>
      <c r="AR319" s="5">
        <f>[1]Hybrid!AQ40</f>
        <v>25.2496981</v>
      </c>
      <c r="AS319" s="5">
        <f>[1]Hybrid!AR40</f>
        <v>25.230886269999999</v>
      </c>
      <c r="AT319" s="5">
        <f>[1]Hybrid!AS40</f>
        <v>25.20153938</v>
      </c>
      <c r="AU319" s="5">
        <f>[1]Hybrid!AT40</f>
        <v>25.162516449999998</v>
      </c>
      <c r="AV319" s="5">
        <f>[1]Hybrid!AU40</f>
        <v>25.114601799999999</v>
      </c>
      <c r="AW319" s="5">
        <f>[1]Hybrid!AV40</f>
        <v>25.058618809999999</v>
      </c>
      <c r="AX319" s="5">
        <f>[1]Hybrid!AW40</f>
        <v>24.995205439999999</v>
      </c>
      <c r="AY319" s="5">
        <f>[1]Hybrid!AX40</f>
        <v>24.924918380000001</v>
      </c>
      <c r="AZ319" s="5">
        <f>[1]Hybrid!AY40</f>
        <v>24.848246249999999</v>
      </c>
      <c r="BA319" s="5">
        <f>[1]Hybrid!AZ40</f>
        <v>24.7656168</v>
      </c>
      <c r="BB319" s="5">
        <f>[1]Hybrid!BA40</f>
        <v>13.85018971</v>
      </c>
      <c r="BC319" s="5">
        <f>[1]Hybrid!BB40</f>
        <v>13.3144727</v>
      </c>
      <c r="BD319" s="5">
        <f>[1]Hybrid!BC40</f>
        <v>12.772281039999999</v>
      </c>
      <c r="BE319" s="5">
        <f>[1]Hybrid!BD40</f>
        <v>12.22493592</v>
      </c>
      <c r="BF319" s="5">
        <f>[1]Hybrid!BE40</f>
        <v>11.673745009999999</v>
      </c>
    </row>
    <row r="320" spans="1:58" x14ac:dyDescent="0.35">
      <c r="B320" s="5" t="str">
        <f>[1]Hybrid!A42</f>
        <v>auto_cf_cele_2</v>
      </c>
      <c r="C320" s="5">
        <f>[1]Hybrid!B42</f>
        <v>1.7251505170000001</v>
      </c>
      <c r="D320" s="5">
        <f>[1]Hybrid!C42</f>
        <v>2.2414074679999998</v>
      </c>
      <c r="E320" s="5">
        <f>[1]Hybrid!D42</f>
        <v>2.7610726919999999</v>
      </c>
      <c r="F320" s="5">
        <f>[1]Hybrid!E42</f>
        <v>3.2676010949999998</v>
      </c>
      <c r="G320" s="5">
        <f>[1]Hybrid!F42</f>
        <v>3.7508399049999999</v>
      </c>
      <c r="H320" s="5">
        <f>[1]Hybrid!G42</f>
        <v>4.2048411530000003</v>
      </c>
      <c r="I320" s="5">
        <f>[1]Hybrid!H42</f>
        <v>4.6254245210000002</v>
      </c>
      <c r="J320" s="5">
        <f>[1]Hybrid!I42</f>
        <v>5.0110367220000001</v>
      </c>
      <c r="K320" s="5">
        <f>[1]Hybrid!J42</f>
        <v>5.3611608730000002</v>
      </c>
      <c r="L320" s="5">
        <f>[1]Hybrid!K42</f>
        <v>5.6759340539999998</v>
      </c>
      <c r="M320" s="5">
        <f>[1]Hybrid!L42</f>
        <v>5.9571312059999997</v>
      </c>
      <c r="N320" s="5">
        <f>[1]Hybrid!M42</f>
        <v>6.2042055080000003</v>
      </c>
      <c r="O320" s="5">
        <f>[1]Hybrid!N42</f>
        <v>6.4182019830000003</v>
      </c>
      <c r="P320" s="5">
        <f>[1]Hybrid!O42</f>
        <v>6.6003517690000004</v>
      </c>
      <c r="Q320" s="5">
        <f>[1]Hybrid!P42</f>
        <v>6.7520397489999997</v>
      </c>
      <c r="R320" s="5">
        <f>[1]Hybrid!Q42</f>
        <v>6.8747663640000001</v>
      </c>
      <c r="S320" s="5">
        <f>[1]Hybrid!R42</f>
        <v>6.9700935529999999</v>
      </c>
      <c r="T320" s="5">
        <f>[1]Hybrid!S42</f>
        <v>7.0396576020000001</v>
      </c>
      <c r="U320" s="5">
        <f>[1]Hybrid!T42</f>
        <v>7.0851287760000004</v>
      </c>
      <c r="V320" s="5">
        <f>[1]Hybrid!U42</f>
        <v>7.1081842789999996</v>
      </c>
      <c r="W320" s="5">
        <f>[1]Hybrid!V42</f>
        <v>7.110044662</v>
      </c>
      <c r="X320" s="5">
        <f>[1]Hybrid!W42</f>
        <v>7.0928717829999997</v>
      </c>
      <c r="Y320" s="5">
        <f>[1]Hybrid!X42</f>
        <v>7.0582718690000004</v>
      </c>
      <c r="Z320" s="5">
        <f>[1]Hybrid!Y42</f>
        <v>7.0077975940000004</v>
      </c>
      <c r="AA320" s="5">
        <f>[1]Hybrid!Z42</f>
        <v>6.9429377670000001</v>
      </c>
      <c r="AB320" s="5">
        <f>[1]Hybrid!AA42</f>
        <v>6.8642737780000003</v>
      </c>
      <c r="AC320" s="5">
        <f>[1]Hybrid!AB42</f>
        <v>6.7738028750000003</v>
      </c>
      <c r="AD320" s="5">
        <f>[1]Hybrid!AC42</f>
        <v>6.6729192470000003</v>
      </c>
      <c r="AE320" s="5">
        <f>[1]Hybrid!AD42</f>
        <v>6.5629325109999996</v>
      </c>
      <c r="AF320" s="5">
        <f>[1]Hybrid!AE42</f>
        <v>6.4450590769999998</v>
      </c>
      <c r="AG320" s="5">
        <f>[1]Hybrid!AF42</f>
        <v>6.3204225469999997</v>
      </c>
      <c r="AH320" s="5">
        <f>[1]Hybrid!AG42</f>
        <v>6.190058627</v>
      </c>
      <c r="AI320" s="5">
        <f>[1]Hybrid!AH42</f>
        <v>6.0549175259999997</v>
      </c>
      <c r="AJ320" s="5">
        <f>[1]Hybrid!AI42</f>
        <v>5.9158707389999998</v>
      </c>
      <c r="AK320" s="5">
        <f>[1]Hybrid!AJ42</f>
        <v>5.7737170310000003</v>
      </c>
      <c r="AL320" s="5">
        <f>[1]Hybrid!AK42</f>
        <v>5.6291877689999996</v>
      </c>
      <c r="AM320" s="5">
        <f>[1]Hybrid!AL42</f>
        <v>5.4828868379999998</v>
      </c>
      <c r="AN320" s="5">
        <f>[1]Hybrid!AM42</f>
        <v>5.3354441780000004</v>
      </c>
      <c r="AO320" s="5">
        <f>[1]Hybrid!AN42</f>
        <v>5.1874319360000003</v>
      </c>
      <c r="AP320" s="5">
        <f>[1]Hybrid!AO42</f>
        <v>5.0393692720000001</v>
      </c>
      <c r="AQ320" s="5">
        <f>[1]Hybrid!AP42</f>
        <v>4.8917249829999996</v>
      </c>
      <c r="AR320" s="5">
        <f>[1]Hybrid!AQ42</f>
        <v>4.7449205550000002</v>
      </c>
      <c r="AS320" s="5">
        <f>[1]Hybrid!AR42</f>
        <v>4.5993315629999998</v>
      </c>
      <c r="AT320" s="5">
        <f>[1]Hybrid!AS42</f>
        <v>4.455291281</v>
      </c>
      <c r="AU320" s="5">
        <f>[1]Hybrid!AT42</f>
        <v>4.3130939250000004</v>
      </c>
      <c r="AV320" s="5">
        <f>[1]Hybrid!AU42</f>
        <v>4.1729976149999999</v>
      </c>
      <c r="AW320" s="5">
        <f>[1]Hybrid!AV42</f>
        <v>4.0352302050000004</v>
      </c>
      <c r="AX320" s="5">
        <f>[1]Hybrid!AW42</f>
        <v>3.8999843279999999</v>
      </c>
      <c r="AY320" s="5">
        <f>[1]Hybrid!AX42</f>
        <v>3.7674240440000002</v>
      </c>
      <c r="AZ320" s="5">
        <f>[1]Hybrid!AY42</f>
        <v>3.6376876089999999</v>
      </c>
      <c r="BA320" s="5">
        <f>[1]Hybrid!AZ42</f>
        <v>3.5108897030000001</v>
      </c>
      <c r="BB320" s="5">
        <f>[1]Hybrid!BA42</f>
        <v>2.8822763779999998</v>
      </c>
      <c r="BC320" s="5">
        <f>[1]Hybrid!BB42</f>
        <v>2.7701985680000001</v>
      </c>
      <c r="BD320" s="5">
        <f>[1]Hybrid!BC42</f>
        <v>2.6618247959999999</v>
      </c>
      <c r="BE320" s="5">
        <f>[1]Hybrid!BD42</f>
        <v>2.5571370870000001</v>
      </c>
      <c r="BF320" s="5">
        <f>[1]Hybrid!BE42</f>
        <v>2.456102048</v>
      </c>
    </row>
    <row r="321" spans="1:58" x14ac:dyDescent="0.35">
      <c r="B321" s="5" t="str">
        <f>[1]Hybrid!A44</f>
        <v>auto_cg_cele_2</v>
      </c>
      <c r="C321" s="5">
        <f>[1]Hybrid!B44</f>
        <v>3.1066862139999998</v>
      </c>
      <c r="D321" s="5">
        <f>[1]Hybrid!C44</f>
        <v>4.0681818229999998</v>
      </c>
      <c r="E321" s="5">
        <f>[1]Hybrid!D44</f>
        <v>5.015638643</v>
      </c>
      <c r="F321" s="5">
        <f>[1]Hybrid!E44</f>
        <v>5.9146697980000003</v>
      </c>
      <c r="G321" s="5">
        <f>[1]Hybrid!F44</f>
        <v>6.7453640129999997</v>
      </c>
      <c r="H321" s="5">
        <f>[1]Hybrid!G44</f>
        <v>7.4973019509999999</v>
      </c>
      <c r="I321" s="5">
        <f>[1]Hybrid!H44</f>
        <v>8.1646485729999991</v>
      </c>
      <c r="J321" s="5">
        <f>[1]Hybrid!I44</f>
        <v>8.747027653</v>
      </c>
      <c r="K321" s="5">
        <f>[1]Hybrid!J44</f>
        <v>9.2463758400000007</v>
      </c>
      <c r="L321" s="5">
        <f>[1]Hybrid!K44</f>
        <v>9.6660212269999999</v>
      </c>
      <c r="M321" s="5">
        <f>[1]Hybrid!L44</f>
        <v>10.011842720000001</v>
      </c>
      <c r="N321" s="5">
        <f>[1]Hybrid!M44</f>
        <v>10.28639323</v>
      </c>
      <c r="O321" s="5">
        <f>[1]Hybrid!N44</f>
        <v>10.49458796</v>
      </c>
      <c r="P321" s="5">
        <f>[1]Hybrid!O44</f>
        <v>10.64152735</v>
      </c>
      <c r="Q321" s="5">
        <f>[1]Hybrid!P44</f>
        <v>10.732385349999999</v>
      </c>
      <c r="R321" s="5">
        <f>[1]Hybrid!Q44</f>
        <v>10.77230894</v>
      </c>
      <c r="S321" s="5">
        <f>[1]Hybrid!R44</f>
        <v>10.76631867</v>
      </c>
      <c r="T321" s="5">
        <f>[1]Hybrid!S44</f>
        <v>10.719297190000001</v>
      </c>
      <c r="U321" s="5">
        <f>[1]Hybrid!T44</f>
        <v>10.63592015</v>
      </c>
      <c r="V321" s="5">
        <f>[1]Hybrid!U44</f>
        <v>10.520614139999999</v>
      </c>
      <c r="W321" s="5">
        <f>[1]Hybrid!V44</f>
        <v>10.37710835</v>
      </c>
      <c r="X321" s="5">
        <f>[1]Hybrid!W44</f>
        <v>10.20979814</v>
      </c>
      <c r="Y321" s="5">
        <f>[1]Hybrid!X44</f>
        <v>10.022257209999999</v>
      </c>
      <c r="Z321" s="5">
        <f>[1]Hybrid!Y44</f>
        <v>9.8177591389999996</v>
      </c>
      <c r="AA321" s="5">
        <f>[1]Hybrid!Z44</f>
        <v>9.5992836560000008</v>
      </c>
      <c r="AB321" s="5">
        <f>[1]Hybrid!AA44</f>
        <v>9.3688926590000001</v>
      </c>
      <c r="AC321" s="5">
        <f>[1]Hybrid!AB44</f>
        <v>9.1295682589999991</v>
      </c>
      <c r="AD321" s="5">
        <f>[1]Hybrid!AC44</f>
        <v>8.8835923930000007</v>
      </c>
      <c r="AE321" s="5">
        <f>[1]Hybrid!AD44</f>
        <v>8.632984768</v>
      </c>
      <c r="AF321" s="5">
        <f>[1]Hybrid!AE44</f>
        <v>8.3795176179999995</v>
      </c>
      <c r="AG321" s="5">
        <f>[1]Hybrid!AF44</f>
        <v>8.1247367060000002</v>
      </c>
      <c r="AH321" s="5">
        <f>[1]Hybrid!AG44</f>
        <v>7.8699836259999998</v>
      </c>
      <c r="AI321" s="5">
        <f>[1]Hybrid!AH44</f>
        <v>7.6164150380000004</v>
      </c>
      <c r="AJ321" s="5">
        <f>[1]Hybrid!AI44</f>
        <v>7.3650229070000002</v>
      </c>
      <c r="AK321" s="5">
        <f>[1]Hybrid!AJ44</f>
        <v>7.1166524940000002</v>
      </c>
      <c r="AL321" s="5">
        <f>[1]Hybrid!AK44</f>
        <v>6.8720184059999996</v>
      </c>
      <c r="AM321" s="5">
        <f>[1]Hybrid!AL44</f>
        <v>6.6316907040000004</v>
      </c>
      <c r="AN321" s="5">
        <f>[1]Hybrid!AM44</f>
        <v>6.3961758489999996</v>
      </c>
      <c r="AO321" s="5">
        <f>[1]Hybrid!AN44</f>
        <v>6.165885662</v>
      </c>
      <c r="AP321" s="5">
        <f>[1]Hybrid!AO44</f>
        <v>5.9411485280000003</v>
      </c>
      <c r="AQ321" s="5">
        <f>[1]Hybrid!AP44</f>
        <v>5.722218807</v>
      </c>
      <c r="AR321" s="5">
        <f>[1]Hybrid!AQ44</f>
        <v>5.509285609</v>
      </c>
      <c r="AS321" s="5">
        <f>[1]Hybrid!AR44</f>
        <v>5.3024803489999996</v>
      </c>
      <c r="AT321" s="5">
        <f>[1]Hybrid!AS44</f>
        <v>5.1018843990000002</v>
      </c>
      <c r="AU321" s="5">
        <f>[1]Hybrid!AT44</f>
        <v>4.9075358800000002</v>
      </c>
      <c r="AV321" s="5">
        <f>[1]Hybrid!AU44</f>
        <v>4.7194357079999998</v>
      </c>
      <c r="AW321" s="5">
        <f>[1]Hybrid!AV44</f>
        <v>4.5375536509999996</v>
      </c>
      <c r="AX321" s="5">
        <f>[1]Hybrid!AW44</f>
        <v>4.3618313110000004</v>
      </c>
      <c r="AY321" s="5">
        <f>[1]Hybrid!AX44</f>
        <v>4.1921875970000002</v>
      </c>
      <c r="AZ321" s="5">
        <f>[1]Hybrid!AY44</f>
        <v>4.0285226500000002</v>
      </c>
      <c r="BA321" s="5">
        <f>[1]Hybrid!AZ44</f>
        <v>3.870721192</v>
      </c>
      <c r="BB321" s="5">
        <f>[1]Hybrid!BA44</f>
        <v>3.284762427</v>
      </c>
      <c r="BC321" s="5">
        <f>[1]Hybrid!BB44</f>
        <v>3.1536470840000002</v>
      </c>
      <c r="BD321" s="5">
        <f>[1]Hybrid!BC44</f>
        <v>3.0276746650000002</v>
      </c>
      <c r="BE321" s="5">
        <f>[1]Hybrid!BD44</f>
        <v>2.9066671610000001</v>
      </c>
      <c r="BF321" s="5">
        <f>[1]Hybrid!BE44</f>
        <v>2.790447458</v>
      </c>
    </row>
    <row r="322" spans="1:58" x14ac:dyDescent="0.35">
      <c r="B322" s="5" t="str">
        <f>[1]Hybrid!A46</f>
        <v>auto_ca_cgas_2</v>
      </c>
      <c r="C322" s="5">
        <f>[1]Hybrid!B46</f>
        <v>0.42568169729999999</v>
      </c>
      <c r="D322" s="5">
        <f>[1]Hybrid!C46</f>
        <v>0.44879214470000001</v>
      </c>
      <c r="E322" s="5">
        <f>[1]Hybrid!D46</f>
        <v>0.47436772220000001</v>
      </c>
      <c r="F322" s="5">
        <f>[1]Hybrid!E46</f>
        <v>0.50139886320000004</v>
      </c>
      <c r="G322" s="5">
        <f>[1]Hybrid!F46</f>
        <v>0.52925842840000004</v>
      </c>
      <c r="H322" s="5">
        <f>[1]Hybrid!G46</f>
        <v>0.55757388900000004</v>
      </c>
      <c r="I322" s="5">
        <f>[1]Hybrid!H46</f>
        <v>0.5860297887</v>
      </c>
      <c r="J322" s="5">
        <f>[1]Hybrid!I46</f>
        <v>0.61449323659999999</v>
      </c>
      <c r="K322" s="5">
        <f>[1]Hybrid!J46</f>
        <v>0.64288150730000004</v>
      </c>
      <c r="L322" s="5">
        <f>[1]Hybrid!K46</f>
        <v>0.67114108849999998</v>
      </c>
      <c r="M322" s="5">
        <f>[1]Hybrid!L46</f>
        <v>0.69940813300000004</v>
      </c>
      <c r="N322" s="5">
        <f>[1]Hybrid!M46</f>
        <v>0.72747480630000005</v>
      </c>
      <c r="O322" s="5">
        <f>[1]Hybrid!N46</f>
        <v>0.755316969</v>
      </c>
      <c r="P322" s="5">
        <f>[1]Hybrid!O46</f>
        <v>0.78291405049999996</v>
      </c>
      <c r="Q322" s="5">
        <f>[1]Hybrid!P46</f>
        <v>0.81025082979999996</v>
      </c>
      <c r="R322" s="5">
        <f>[1]Hybrid!Q46</f>
        <v>0.83731700480000004</v>
      </c>
      <c r="S322" s="5">
        <f>[1]Hybrid!R46</f>
        <v>0.86410079080000002</v>
      </c>
      <c r="T322" s="5">
        <f>[1]Hybrid!S46</f>
        <v>0.8905960155</v>
      </c>
      <c r="U322" s="5">
        <f>[1]Hybrid!T46</f>
        <v>0.91679953510000001</v>
      </c>
      <c r="V322" s="5">
        <f>[1]Hybrid!U46</f>
        <v>0.94271017690000003</v>
      </c>
      <c r="W322" s="5">
        <f>[1]Hybrid!V46</f>
        <v>0.96819271080000002</v>
      </c>
      <c r="X322" s="5">
        <f>[1]Hybrid!W46</f>
        <v>0.99339125380000004</v>
      </c>
      <c r="Y322" s="5">
        <f>[1]Hybrid!X46</f>
        <v>1.0183116210000001</v>
      </c>
      <c r="Z322" s="5">
        <f>[1]Hybrid!Y46</f>
        <v>1.042962715</v>
      </c>
      <c r="AA322" s="5">
        <f>[1]Hybrid!Z46</f>
        <v>1.0673537120000001</v>
      </c>
      <c r="AB322" s="5">
        <f>[1]Hybrid!AA46</f>
        <v>1.091096984</v>
      </c>
      <c r="AC322" s="5">
        <f>[1]Hybrid!AB46</f>
        <v>1.1144331649999999</v>
      </c>
      <c r="AD322" s="5">
        <f>[1]Hybrid!AC46</f>
        <v>1.137387237</v>
      </c>
      <c r="AE322" s="5">
        <f>[1]Hybrid!AD46</f>
        <v>1.15999227</v>
      </c>
      <c r="AF322" s="5">
        <f>[1]Hybrid!AE46</f>
        <v>1.1822835869999999</v>
      </c>
      <c r="AG322" s="5">
        <f>[1]Hybrid!AF46</f>
        <v>1.2042956549999999</v>
      </c>
      <c r="AH322" s="5">
        <f>[1]Hybrid!AG46</f>
        <v>1.226061804</v>
      </c>
      <c r="AI322" s="5">
        <f>[1]Hybrid!AH46</f>
        <v>1.247611775</v>
      </c>
      <c r="AJ322" s="5">
        <f>[1]Hybrid!AI46</f>
        <v>1.2689722720000001</v>
      </c>
      <c r="AK322" s="5">
        <f>[1]Hybrid!AJ46</f>
        <v>1.2901674679999999</v>
      </c>
      <c r="AL322" s="5">
        <f>[1]Hybrid!AK46</f>
        <v>1.3112194749999999</v>
      </c>
      <c r="AM322" s="5">
        <f>[1]Hybrid!AL46</f>
        <v>1.3320630689999999</v>
      </c>
      <c r="AN322" s="5">
        <f>[1]Hybrid!AM46</f>
        <v>1.352726044</v>
      </c>
      <c r="AO322" s="5">
        <f>[1]Hybrid!AN46</f>
        <v>1.3732337809999999</v>
      </c>
      <c r="AP322" s="5">
        <f>[1]Hybrid!AO46</f>
        <v>1.3936115339999999</v>
      </c>
      <c r="AQ322" s="5">
        <f>[1]Hybrid!AP46</f>
        <v>1.4138839160000001</v>
      </c>
      <c r="AR322" s="5">
        <f>[1]Hybrid!AQ46</f>
        <v>1.4340756160000001</v>
      </c>
      <c r="AS322" s="5">
        <f>[1]Hybrid!AR46</f>
        <v>1.4542078380000001</v>
      </c>
      <c r="AT322" s="5">
        <f>[1]Hybrid!AS46</f>
        <v>1.4742985179999999</v>
      </c>
      <c r="AU322" s="5">
        <f>[1]Hybrid!AT46</f>
        <v>1.4943624019999999</v>
      </c>
      <c r="AV322" s="5">
        <f>[1]Hybrid!AU46</f>
        <v>1.5144112160000001</v>
      </c>
      <c r="AW322" s="5">
        <f>[1]Hybrid!AV46</f>
        <v>1.5344683670000001</v>
      </c>
      <c r="AX322" s="5">
        <f>[1]Hybrid!AW46</f>
        <v>1.5545421290000001</v>
      </c>
      <c r="AY322" s="5">
        <f>[1]Hybrid!AX46</f>
        <v>1.5746369609999999</v>
      </c>
      <c r="AZ322" s="5">
        <f>[1]Hybrid!AY46</f>
        <v>1.594754282</v>
      </c>
      <c r="BA322" s="5">
        <f>[1]Hybrid!AZ46</f>
        <v>1.6148929460000001</v>
      </c>
      <c r="BB322" s="5">
        <f>[1]Hybrid!BA46</f>
        <v>1.8039206699999999</v>
      </c>
      <c r="BC322" s="5">
        <f>[1]Hybrid!BB46</f>
        <v>1.8325442700000001</v>
      </c>
      <c r="BD322" s="5">
        <f>[1]Hybrid!BC46</f>
        <v>1.861562003</v>
      </c>
      <c r="BE322" s="5">
        <f>[1]Hybrid!BD46</f>
        <v>1.8910015280000001</v>
      </c>
      <c r="BF322" s="5">
        <f>[1]Hybrid!BE46</f>
        <v>1.9208926319999999</v>
      </c>
    </row>
    <row r="323" spans="1:58" x14ac:dyDescent="0.35">
      <c r="B323" s="5" t="str">
        <f>[1]Hybrid!A48</f>
        <v>auto_cb_cgas_2</v>
      </c>
      <c r="C323" s="5">
        <f>[1]Hybrid!B48</f>
        <v>0.49500522540000003</v>
      </c>
      <c r="D323" s="5">
        <f>[1]Hybrid!C48</f>
        <v>0.51175344580000004</v>
      </c>
      <c r="E323" s="5">
        <f>[1]Hybrid!D48</f>
        <v>0.5311325777</v>
      </c>
      <c r="F323" s="5">
        <f>[1]Hybrid!E48</f>
        <v>0.55213222780000004</v>
      </c>
      <c r="G323" s="5">
        <f>[1]Hybrid!F48</f>
        <v>0.57411587320000002</v>
      </c>
      <c r="H323" s="5">
        <f>[1]Hybrid!G48</f>
        <v>0.59669600170000003</v>
      </c>
      <c r="I323" s="5">
        <f>[1]Hybrid!H48</f>
        <v>0.61954439839999997</v>
      </c>
      <c r="J323" s="5">
        <f>[1]Hybrid!I48</f>
        <v>0.64251048860000004</v>
      </c>
      <c r="K323" s="5">
        <f>[1]Hybrid!J48</f>
        <v>0.66549415150000002</v>
      </c>
      <c r="L323" s="5">
        <f>[1]Hybrid!K48</f>
        <v>0.68842511159999997</v>
      </c>
      <c r="M323" s="5">
        <f>[1]Hybrid!L48</f>
        <v>0.71141300809999997</v>
      </c>
      <c r="N323" s="5">
        <f>[1]Hybrid!M48</f>
        <v>0.73424506160000003</v>
      </c>
      <c r="O323" s="5">
        <f>[1]Hybrid!N48</f>
        <v>0.75688313480000002</v>
      </c>
      <c r="P323" s="5">
        <f>[1]Hybrid!O48</f>
        <v>0.77929374060000001</v>
      </c>
      <c r="Q323" s="5">
        <f>[1]Hybrid!P48</f>
        <v>0.80144953590000001</v>
      </c>
      <c r="R323" s="5">
        <f>[1]Hybrid!Q48</f>
        <v>0.82332877849999997</v>
      </c>
      <c r="S323" s="5">
        <f>[1]Hybrid!R48</f>
        <v>0.84490934829999997</v>
      </c>
      <c r="T323" s="5">
        <f>[1]Hybrid!S48</f>
        <v>0.86617525049999999</v>
      </c>
      <c r="U323" s="5">
        <f>[1]Hybrid!T48</f>
        <v>0.88711409490000004</v>
      </c>
      <c r="V323" s="5">
        <f>[1]Hybrid!U48</f>
        <v>0.9077160111</v>
      </c>
      <c r="W323" s="5">
        <f>[1]Hybrid!V48</f>
        <v>0.92784986000000003</v>
      </c>
      <c r="X323" s="5">
        <f>[1]Hybrid!W48</f>
        <v>0.94763991579999995</v>
      </c>
      <c r="Y323" s="5">
        <f>[1]Hybrid!X48</f>
        <v>0.9670843656</v>
      </c>
      <c r="Z323" s="5">
        <f>[1]Hybrid!Y48</f>
        <v>0.98618446859999997</v>
      </c>
      <c r="AA323" s="5">
        <f>[1]Hybrid!Z48</f>
        <v>1.004941989</v>
      </c>
      <c r="AB323" s="5">
        <f>[1]Hybrid!AA48</f>
        <v>1.0230047470000001</v>
      </c>
      <c r="AC323" s="5">
        <f>[1]Hybrid!AB48</f>
        <v>1.0405848209999999</v>
      </c>
      <c r="AD323" s="5">
        <f>[1]Hybrid!AC48</f>
        <v>1.0577006659999999</v>
      </c>
      <c r="AE323" s="5">
        <f>[1]Hybrid!AD48</f>
        <v>1.0743777080000001</v>
      </c>
      <c r="AF323" s="5">
        <f>[1]Hybrid!AE48</f>
        <v>1.090643078</v>
      </c>
      <c r="AG323" s="5">
        <f>[1]Hybrid!AF48</f>
        <v>1.1065228490000001</v>
      </c>
      <c r="AH323" s="5">
        <f>[1]Hybrid!AG48</f>
        <v>1.1220417810000001</v>
      </c>
      <c r="AI323" s="5">
        <f>[1]Hybrid!AH48</f>
        <v>1.137221174</v>
      </c>
      <c r="AJ323" s="5">
        <f>[1]Hybrid!AI48</f>
        <v>1.1520793819999999</v>
      </c>
      <c r="AK323" s="5">
        <f>[1]Hybrid!AJ48</f>
        <v>1.1666322819999999</v>
      </c>
      <c r="AL323" s="5">
        <f>[1]Hybrid!AK48</f>
        <v>1.180893693</v>
      </c>
      <c r="AM323" s="5">
        <f>[1]Hybrid!AL48</f>
        <v>1.1948026860000001</v>
      </c>
      <c r="AN323" s="5">
        <f>[1]Hybrid!AM48</f>
        <v>1.2083781810000001</v>
      </c>
      <c r="AO323" s="5">
        <f>[1]Hybrid!AN48</f>
        <v>1.221636773</v>
      </c>
      <c r="AP323" s="5">
        <f>[1]Hybrid!AO48</f>
        <v>1.234594666</v>
      </c>
      <c r="AQ323" s="5">
        <f>[1]Hybrid!AP48</f>
        <v>1.247267216</v>
      </c>
      <c r="AR323" s="5">
        <f>[1]Hybrid!AQ48</f>
        <v>1.2596694930000001</v>
      </c>
      <c r="AS323" s="5">
        <f>[1]Hybrid!AR48</f>
        <v>1.271813313</v>
      </c>
      <c r="AT323" s="5">
        <f>[1]Hybrid!AS48</f>
        <v>1.283707463</v>
      </c>
      <c r="AU323" s="5">
        <f>[1]Hybrid!AT48</f>
        <v>1.295357825</v>
      </c>
      <c r="AV323" s="5">
        <f>[1]Hybrid!AU48</f>
        <v>1.3067675519999999</v>
      </c>
      <c r="AW323" s="5">
        <f>[1]Hybrid!AV48</f>
        <v>1.3179489310000001</v>
      </c>
      <c r="AX323" s="5">
        <f>[1]Hybrid!AW48</f>
        <v>1.3289015580000001</v>
      </c>
      <c r="AY323" s="5">
        <f>[1]Hybrid!AX48</f>
        <v>1.3396217340000001</v>
      </c>
      <c r="AZ323" s="5">
        <f>[1]Hybrid!AY48</f>
        <v>1.3501032100000001</v>
      </c>
      <c r="BA323" s="5">
        <f>[1]Hybrid!AZ48</f>
        <v>1.360337627</v>
      </c>
      <c r="BB323" s="5">
        <f>[1]Hybrid!BA48</f>
        <v>1.5039197900000001</v>
      </c>
      <c r="BC323" s="5">
        <f>[1]Hybrid!BB48</f>
        <v>1.519912972</v>
      </c>
      <c r="BD323" s="5">
        <f>[1]Hybrid!BC48</f>
        <v>1.5358993460000001</v>
      </c>
      <c r="BE323" s="5">
        <f>[1]Hybrid!BD48</f>
        <v>1.551891216</v>
      </c>
      <c r="BF323" s="5">
        <f>[1]Hybrid!BE48</f>
        <v>1.567902049</v>
      </c>
    </row>
    <row r="324" spans="1:58" x14ac:dyDescent="0.35">
      <c r="B324" s="5" t="str">
        <f>[1]Hybrid!A50</f>
        <v>auto_cc_cgas_2</v>
      </c>
      <c r="C324" s="5">
        <f>[1]Hybrid!B50</f>
        <v>0.40659851759999999</v>
      </c>
      <c r="D324" s="5">
        <f>[1]Hybrid!C50</f>
        <v>0.41416403660000001</v>
      </c>
      <c r="E324" s="5">
        <f>[1]Hybrid!D50</f>
        <v>0.42375045500000003</v>
      </c>
      <c r="F324" s="5">
        <f>[1]Hybrid!E50</f>
        <v>0.43462930929999999</v>
      </c>
      <c r="G324" s="5">
        <f>[1]Hybrid!F50</f>
        <v>0.44633574100000001</v>
      </c>
      <c r="H324" s="5">
        <f>[1]Hybrid!G50</f>
        <v>0.4585805516</v>
      </c>
      <c r="I324" s="5">
        <f>[1]Hybrid!H50</f>
        <v>0.47111879969999998</v>
      </c>
      <c r="J324" s="5">
        <f>[1]Hybrid!I50</f>
        <v>0.48383023510000001</v>
      </c>
      <c r="K324" s="5">
        <f>[1]Hybrid!J50</f>
        <v>0.49663119770000003</v>
      </c>
      <c r="L324" s="5">
        <f>[1]Hybrid!K50</f>
        <v>0.50946001019999998</v>
      </c>
      <c r="M324" s="5">
        <f>[1]Hybrid!L50</f>
        <v>0.52237818560000004</v>
      </c>
      <c r="N324" s="5">
        <f>[1]Hybrid!M50</f>
        <v>0.53522942839999998</v>
      </c>
      <c r="O324" s="5">
        <f>[1]Hybrid!N50</f>
        <v>0.54797727159999998</v>
      </c>
      <c r="P324" s="5">
        <f>[1]Hybrid!O50</f>
        <v>0.56058938349999998</v>
      </c>
      <c r="Q324" s="5">
        <f>[1]Hybrid!P50</f>
        <v>0.57303845360000005</v>
      </c>
      <c r="R324" s="5">
        <f>[1]Hybrid!Q50</f>
        <v>0.58530172739999997</v>
      </c>
      <c r="S324" s="5">
        <f>[1]Hybrid!R50</f>
        <v>0.59735697180000003</v>
      </c>
      <c r="T324" s="5">
        <f>[1]Hybrid!S50</f>
        <v>0.6091867688</v>
      </c>
      <c r="U324" s="5">
        <f>[1]Hybrid!T50</f>
        <v>0.62077673960000002</v>
      </c>
      <c r="V324" s="5">
        <f>[1]Hybrid!U50</f>
        <v>0.63211474619999997</v>
      </c>
      <c r="W324" s="5">
        <f>[1]Hybrid!V50</f>
        <v>0.64310961499999997</v>
      </c>
      <c r="X324" s="5">
        <f>[1]Hybrid!W50</f>
        <v>0.65383873680000004</v>
      </c>
      <c r="Y324" s="5">
        <f>[1]Hybrid!X50</f>
        <v>0.66429667160000005</v>
      </c>
      <c r="Z324" s="5">
        <f>[1]Hybrid!Y50</f>
        <v>0.67448026230000002</v>
      </c>
      <c r="AA324" s="5">
        <f>[1]Hybrid!Z50</f>
        <v>0.68438694550000001</v>
      </c>
      <c r="AB324" s="5">
        <f>[1]Hybrid!AA50</f>
        <v>0.69378644010000001</v>
      </c>
      <c r="AC324" s="5">
        <f>[1]Hybrid!AB50</f>
        <v>0.70281419479999996</v>
      </c>
      <c r="AD324" s="5">
        <f>[1]Hybrid!AC50</f>
        <v>0.7114803059</v>
      </c>
      <c r="AE324" s="5">
        <f>[1]Hybrid!AD50</f>
        <v>0.71979927619999995</v>
      </c>
      <c r="AF324" s="5">
        <f>[1]Hybrid!AE50</f>
        <v>0.72778659869999995</v>
      </c>
      <c r="AG324" s="5">
        <f>[1]Hybrid!AF50</f>
        <v>0.73545699090000005</v>
      </c>
      <c r="AH324" s="5">
        <f>[1]Hybrid!AG50</f>
        <v>0.74282422670000003</v>
      </c>
      <c r="AI324" s="5">
        <f>[1]Hybrid!AH50</f>
        <v>0.74989979220000003</v>
      </c>
      <c r="AJ324" s="5">
        <f>[1]Hybrid!AI50</f>
        <v>0.7566932341</v>
      </c>
      <c r="AK324" s="5">
        <f>[1]Hybrid!AJ50</f>
        <v>0.76321247469999998</v>
      </c>
      <c r="AL324" s="5">
        <f>[1]Hybrid!AK50</f>
        <v>0.76946409449999997</v>
      </c>
      <c r="AM324" s="5">
        <f>[1]Hybrid!AL50</f>
        <v>0.77540859719999999</v>
      </c>
      <c r="AN324" s="5">
        <f>[1]Hybrid!AM50</f>
        <v>0.78105608520000003</v>
      </c>
      <c r="AO324" s="5">
        <f>[1]Hybrid!AN50</f>
        <v>0.78641518190000004</v>
      </c>
      <c r="AP324" s="5">
        <f>[1]Hybrid!AO50</f>
        <v>0.79149422039999995</v>
      </c>
      <c r="AQ324" s="5">
        <f>[1]Hybrid!AP50</f>
        <v>0.79630095990000005</v>
      </c>
      <c r="AR324" s="5">
        <f>[1]Hybrid!AQ50</f>
        <v>0.80084291159999998</v>
      </c>
      <c r="AS324" s="5">
        <f>[1]Hybrid!AR50</f>
        <v>0.80512555509999995</v>
      </c>
      <c r="AT324" s="5">
        <f>[1]Hybrid!AS50</f>
        <v>0.80915251519999998</v>
      </c>
      <c r="AU324" s="5">
        <f>[1]Hybrid!AT50</f>
        <v>0.81292567390000003</v>
      </c>
      <c r="AV324" s="5">
        <f>[1]Hybrid!AU50</f>
        <v>0.81644531239999996</v>
      </c>
      <c r="AW324" s="5">
        <f>[1]Hybrid!AV50</f>
        <v>0.81971702840000005</v>
      </c>
      <c r="AX324" s="5">
        <f>[1]Hybrid!AW50</f>
        <v>0.82273891789999998</v>
      </c>
      <c r="AY324" s="5">
        <f>[1]Hybrid!AX50</f>
        <v>0.82550722200000004</v>
      </c>
      <c r="AZ324" s="5">
        <f>[1]Hybrid!AY50</f>
        <v>0.82801682789999997</v>
      </c>
      <c r="BA324" s="5">
        <f>[1]Hybrid!AZ50</f>
        <v>0.83026157540000001</v>
      </c>
      <c r="BB324" s="5">
        <f>[1]Hybrid!BA50</f>
        <v>0.90839681500000002</v>
      </c>
      <c r="BC324" s="5">
        <f>[1]Hybrid!BB50</f>
        <v>0.91344917969999995</v>
      </c>
      <c r="BD324" s="5">
        <f>[1]Hybrid!BC50</f>
        <v>0.9183529225</v>
      </c>
      <c r="BE324" s="5">
        <f>[1]Hybrid!BD50</f>
        <v>0.92311309210000003</v>
      </c>
      <c r="BF324" s="5">
        <f>[1]Hybrid!BE50</f>
        <v>0.92773529450000003</v>
      </c>
    </row>
    <row r="325" spans="1:58" x14ac:dyDescent="0.35">
      <c r="B325" s="5" t="str">
        <f>[1]Hybrid!A52</f>
        <v>auto_cd_cgas_2</v>
      </c>
      <c r="C325" s="5">
        <f>[1]Hybrid!B52</f>
        <v>0.2495444651</v>
      </c>
      <c r="D325" s="5">
        <f>[1]Hybrid!C52</f>
        <v>0.25214870740000001</v>
      </c>
      <c r="E325" s="5">
        <f>[1]Hybrid!D52</f>
        <v>0.25583963720000003</v>
      </c>
      <c r="F325" s="5">
        <f>[1]Hybrid!E52</f>
        <v>0.2601750276</v>
      </c>
      <c r="G325" s="5">
        <f>[1]Hybrid!F52</f>
        <v>0.26487003949999999</v>
      </c>
      <c r="H325" s="5">
        <f>[1]Hybrid!G52</f>
        <v>0.26974450350000001</v>
      </c>
      <c r="I325" s="5">
        <f>[1]Hybrid!H52</f>
        <v>0.27464970329999999</v>
      </c>
      <c r="J325" s="5">
        <f>[1]Hybrid!I52</f>
        <v>0.2795091046</v>
      </c>
      <c r="K325" s="5">
        <f>[1]Hybrid!J52</f>
        <v>0.28426933240000002</v>
      </c>
      <c r="L325" s="5">
        <f>[1]Hybrid!K52</f>
        <v>0.288891234</v>
      </c>
      <c r="M325" s="5">
        <f>[1]Hybrid!L52</f>
        <v>0.29339962050000001</v>
      </c>
      <c r="N325" s="5">
        <f>[1]Hybrid!M52</f>
        <v>0.29771047229999997</v>
      </c>
      <c r="O325" s="5">
        <f>[1]Hybrid!N52</f>
        <v>0.30180256319999998</v>
      </c>
      <c r="P325" s="5">
        <f>[1]Hybrid!O52</f>
        <v>0.30565817039999998</v>
      </c>
      <c r="Q325" s="5">
        <f>[1]Hybrid!P52</f>
        <v>0.30926326500000001</v>
      </c>
      <c r="R325" s="5">
        <f>[1]Hybrid!Q52</f>
        <v>0.31260709199999998</v>
      </c>
      <c r="S325" s="5">
        <f>[1]Hybrid!R52</f>
        <v>0.3156802011</v>
      </c>
      <c r="T325" s="5">
        <f>[1]Hybrid!S52</f>
        <v>0.31847637839999998</v>
      </c>
      <c r="U325" s="5">
        <f>[1]Hybrid!T52</f>
        <v>0.32099163689999999</v>
      </c>
      <c r="V325" s="5">
        <f>[1]Hybrid!U52</f>
        <v>0.32322370560000002</v>
      </c>
      <c r="W325" s="5">
        <f>[1]Hybrid!V52</f>
        <v>0.32513655730000002</v>
      </c>
      <c r="X325" s="5">
        <f>[1]Hybrid!W52</f>
        <v>0.3267690499</v>
      </c>
      <c r="Y325" s="5">
        <f>[1]Hybrid!X52</f>
        <v>0.32812342439999997</v>
      </c>
      <c r="Z325" s="5">
        <f>[1]Hybrid!Y52</f>
        <v>0.32920310380000001</v>
      </c>
      <c r="AA325" s="5">
        <f>[1]Hybrid!Z52</f>
        <v>0.3300119735</v>
      </c>
      <c r="AB325" s="5">
        <f>[1]Hybrid!AA52</f>
        <v>0.33046280989999999</v>
      </c>
      <c r="AC325" s="5">
        <f>[1]Hybrid!AB52</f>
        <v>0.33061887690000002</v>
      </c>
      <c r="AD325" s="5">
        <f>[1]Hybrid!AC52</f>
        <v>0.33049171989999998</v>
      </c>
      <c r="AE325" s="5">
        <f>[1]Hybrid!AD52</f>
        <v>0.33009425460000003</v>
      </c>
      <c r="AF325" s="5">
        <f>[1]Hybrid!AE52</f>
        <v>0.32943938900000003</v>
      </c>
      <c r="AG325" s="5">
        <f>[1]Hybrid!AF52</f>
        <v>0.32853938090000001</v>
      </c>
      <c r="AH325" s="5">
        <f>[1]Hybrid!AG52</f>
        <v>0.32740580879999998</v>
      </c>
      <c r="AI325" s="5">
        <f>[1]Hybrid!AH52</f>
        <v>0.32604912699999999</v>
      </c>
      <c r="AJ325" s="5">
        <f>[1]Hybrid!AI52</f>
        <v>0.32447886640000001</v>
      </c>
      <c r="AK325" s="5">
        <f>[1]Hybrid!AJ52</f>
        <v>0.32270380970000001</v>
      </c>
      <c r="AL325" s="5">
        <f>[1]Hybrid!AK52</f>
        <v>0.32073214560000002</v>
      </c>
      <c r="AM325" s="5">
        <f>[1]Hybrid!AL52</f>
        <v>0.31855676240000003</v>
      </c>
      <c r="AN325" s="5">
        <f>[1]Hybrid!AM52</f>
        <v>0.31618750969999998</v>
      </c>
      <c r="AO325" s="5">
        <f>[1]Hybrid!AN52</f>
        <v>0.31363366920000002</v>
      </c>
      <c r="AP325" s="5">
        <f>[1]Hybrid!AO52</f>
        <v>0.31090435579999998</v>
      </c>
      <c r="AQ325" s="5">
        <f>[1]Hybrid!AP52</f>
        <v>0.30800843459999999</v>
      </c>
      <c r="AR325" s="5">
        <f>[1]Hybrid!AQ52</f>
        <v>0.3049546132</v>
      </c>
      <c r="AS325" s="5">
        <f>[1]Hybrid!AR52</f>
        <v>0.30175092570000001</v>
      </c>
      <c r="AT325" s="5">
        <f>[1]Hybrid!AS52</f>
        <v>0.29840484569999998</v>
      </c>
      <c r="AU325" s="5">
        <f>[1]Hybrid!AT52</f>
        <v>0.29492337169999999</v>
      </c>
      <c r="AV325" s="5">
        <f>[1]Hybrid!AU52</f>
        <v>0.2913131115</v>
      </c>
      <c r="AW325" s="5">
        <f>[1]Hybrid!AV52</f>
        <v>0.28758210410000001</v>
      </c>
      <c r="AX325" s="5">
        <f>[1]Hybrid!AW52</f>
        <v>0.28373634809999998</v>
      </c>
      <c r="AY325" s="5">
        <f>[1]Hybrid!AX52</f>
        <v>0.27978147060000003</v>
      </c>
      <c r="AZ325" s="5">
        <f>[1]Hybrid!AY52</f>
        <v>0.27572292380000002</v>
      </c>
      <c r="BA325" s="5">
        <f>[1]Hybrid!AZ52</f>
        <v>0.27156609570000001</v>
      </c>
      <c r="BB325" s="5">
        <f>[1]Hybrid!BA52</f>
        <v>0.27581100089999999</v>
      </c>
      <c r="BC325" s="5">
        <f>[1]Hybrid!BB52</f>
        <v>0.27146094479999999</v>
      </c>
      <c r="BD325" s="5">
        <f>[1]Hybrid!BC52</f>
        <v>0.26701789739999998</v>
      </c>
      <c r="BE325" s="5">
        <f>[1]Hybrid!BD52</f>
        <v>0.26248832030000002</v>
      </c>
      <c r="BF325" s="5">
        <f>[1]Hybrid!BE52</f>
        <v>0.25787865199999999</v>
      </c>
    </row>
    <row r="326" spans="1:58" x14ac:dyDescent="0.35">
      <c r="B326" s="5" t="str">
        <f>[1]Hybrid!A54</f>
        <v>auto_ce_cgas_2</v>
      </c>
      <c r="C326" s="5">
        <f>[1]Hybrid!B54</f>
        <v>0.15020246549999999</v>
      </c>
      <c r="D326" s="5">
        <f>[1]Hybrid!C54</f>
        <v>0.1519684633</v>
      </c>
      <c r="E326" s="5">
        <f>[1]Hybrid!D54</f>
        <v>0.15432014250000001</v>
      </c>
      <c r="F326" s="5">
        <f>[1]Hybrid!E54</f>
        <v>0.15696961979999999</v>
      </c>
      <c r="G326" s="5">
        <f>[1]Hybrid!F54</f>
        <v>0.15973230220000001</v>
      </c>
      <c r="H326" s="5">
        <f>[1]Hybrid!G54</f>
        <v>0.16249220249999999</v>
      </c>
      <c r="I326" s="5">
        <f>[1]Hybrid!H54</f>
        <v>0.165156576</v>
      </c>
      <c r="J326" s="5">
        <f>[1]Hybrid!I54</f>
        <v>0.1676788068</v>
      </c>
      <c r="K326" s="5">
        <f>[1]Hybrid!J54</f>
        <v>0.170028083</v>
      </c>
      <c r="L326" s="5">
        <f>[1]Hybrid!K54</f>
        <v>0.17218340430000001</v>
      </c>
      <c r="M326" s="5">
        <f>[1]Hybrid!L54</f>
        <v>0.17416092590000001</v>
      </c>
      <c r="N326" s="5">
        <f>[1]Hybrid!M54</f>
        <v>0.17591590169999999</v>
      </c>
      <c r="O326" s="5">
        <f>[1]Hybrid!N54</f>
        <v>0.17744025690000001</v>
      </c>
      <c r="P326" s="5">
        <f>[1]Hybrid!O54</f>
        <v>0.17872857380000001</v>
      </c>
      <c r="Q326" s="5">
        <f>[1]Hybrid!P54</f>
        <v>0.1797780367</v>
      </c>
      <c r="R326" s="5">
        <f>[1]Hybrid!Q54</f>
        <v>0.18058807439999999</v>
      </c>
      <c r="S326" s="5">
        <f>[1]Hybrid!R54</f>
        <v>0.18115924859999999</v>
      </c>
      <c r="T326" s="5">
        <f>[1]Hybrid!S54</f>
        <v>0.18149420469999999</v>
      </c>
      <c r="U326" s="5">
        <f>[1]Hybrid!T54</f>
        <v>0.1815970257</v>
      </c>
      <c r="V326" s="5">
        <f>[1]Hybrid!U54</f>
        <v>0.18147287619999999</v>
      </c>
      <c r="W326" s="5">
        <f>[1]Hybrid!V54</f>
        <v>0.1811104191</v>
      </c>
      <c r="X326" s="5">
        <f>[1]Hybrid!W54</f>
        <v>0.18053582539999999</v>
      </c>
      <c r="Y326" s="5">
        <f>[1]Hybrid!X54</f>
        <v>0.1797567622</v>
      </c>
      <c r="Z326" s="5">
        <f>[1]Hybrid!Y54</f>
        <v>0.17878139800000001</v>
      </c>
      <c r="AA326" s="5">
        <f>[1]Hybrid!Z54</f>
        <v>0.17761804950000001</v>
      </c>
      <c r="AB326" s="5">
        <f>[1]Hybrid!AA54</f>
        <v>0.1762332328</v>
      </c>
      <c r="AC326" s="5">
        <f>[1]Hybrid!AB54</f>
        <v>0.17466378560000001</v>
      </c>
      <c r="AD326" s="5">
        <f>[1]Hybrid!AC54</f>
        <v>0.17292200599999999</v>
      </c>
      <c r="AE326" s="5">
        <f>[1]Hybrid!AD54</f>
        <v>0.17102043040000001</v>
      </c>
      <c r="AF326" s="5">
        <f>[1]Hybrid!AE54</f>
        <v>0.16897121239999999</v>
      </c>
      <c r="AG326" s="5">
        <f>[1]Hybrid!AF54</f>
        <v>0.166785867</v>
      </c>
      <c r="AH326" s="5">
        <f>[1]Hybrid!AG54</f>
        <v>0.16447528450000001</v>
      </c>
      <c r="AI326" s="5">
        <f>[1]Hybrid!AH54</f>
        <v>0.16204957280000001</v>
      </c>
      <c r="AJ326" s="5">
        <f>[1]Hybrid!AI54</f>
        <v>0.1595181796</v>
      </c>
      <c r="AK326" s="5">
        <f>[1]Hybrid!AJ54</f>
        <v>0.15688999610000001</v>
      </c>
      <c r="AL326" s="5">
        <f>[1]Hybrid!AK54</f>
        <v>0.15417344499999999</v>
      </c>
      <c r="AM326" s="5">
        <f>[1]Hybrid!AL54</f>
        <v>0.1513708946</v>
      </c>
      <c r="AN326" s="5">
        <f>[1]Hybrid!AM54</f>
        <v>0.1484912156</v>
      </c>
      <c r="AO326" s="5">
        <f>[1]Hybrid!AN54</f>
        <v>0.14554283970000001</v>
      </c>
      <c r="AP326" s="5">
        <f>[1]Hybrid!AO54</f>
        <v>0.1425339166</v>
      </c>
      <c r="AQ326" s="5">
        <f>[1]Hybrid!AP54</f>
        <v>0.13947228619999999</v>
      </c>
      <c r="AR326" s="5">
        <f>[1]Hybrid!AQ54</f>
        <v>0.1363655097</v>
      </c>
      <c r="AS326" s="5">
        <f>[1]Hybrid!AR54</f>
        <v>0.133220697</v>
      </c>
      <c r="AT326" s="5">
        <f>[1]Hybrid!AS54</f>
        <v>0.13004456510000001</v>
      </c>
      <c r="AU326" s="5">
        <f>[1]Hybrid!AT54</f>
        <v>0.12684348300000001</v>
      </c>
      <c r="AV326" s="5">
        <f>[1]Hybrid!AU54</f>
        <v>0.12362351000000001</v>
      </c>
      <c r="AW326" s="5">
        <f>[1]Hybrid!AV54</f>
        <v>0.12039095480000001</v>
      </c>
      <c r="AX326" s="5">
        <f>[1]Hybrid!AW54</f>
        <v>0.1171512799</v>
      </c>
      <c r="AY326" s="5">
        <f>[1]Hybrid!AX54</f>
        <v>0.1139096668</v>
      </c>
      <c r="AZ326" s="5">
        <f>[1]Hybrid!AY54</f>
        <v>0.1106710893</v>
      </c>
      <c r="BA326" s="5">
        <f>[1]Hybrid!AZ54</f>
        <v>0.1074403489</v>
      </c>
      <c r="BB326" s="5">
        <f>[1]Hybrid!BA54</f>
        <v>0.1050646423</v>
      </c>
      <c r="BC326" s="5">
        <f>[1]Hybrid!BB54</f>
        <v>0.1018301482</v>
      </c>
      <c r="BD326" s="5">
        <f>[1]Hybrid!BC54</f>
        <v>9.8617462000000003E-2</v>
      </c>
      <c r="BE326" s="5">
        <f>[1]Hybrid!BD54</f>
        <v>9.5431064800000007E-2</v>
      </c>
      <c r="BF326" s="5">
        <f>[1]Hybrid!BE54</f>
        <v>9.2275199700000005E-2</v>
      </c>
    </row>
    <row r="327" spans="1:58" x14ac:dyDescent="0.35">
      <c r="B327" s="5" t="str">
        <f>[1]Hybrid!A56</f>
        <v>auto_cf_cgas_2</v>
      </c>
      <c r="C327" s="5">
        <f>[1]Hybrid!B56</f>
        <v>7.4609436000000001E-2</v>
      </c>
      <c r="D327" s="5">
        <f>[1]Hybrid!C56</f>
        <v>7.5267469300000001E-2</v>
      </c>
      <c r="E327" s="5">
        <f>[1]Hybrid!D56</f>
        <v>7.6099998899999993E-2</v>
      </c>
      <c r="F327" s="5">
        <f>[1]Hybrid!E56</f>
        <v>7.6943848699999998E-2</v>
      </c>
      <c r="G327" s="5">
        <f>[1]Hybrid!F56</f>
        <v>7.7698601899999997E-2</v>
      </c>
      <c r="H327" s="5">
        <f>[1]Hybrid!G56</f>
        <v>7.8305483400000001E-2</v>
      </c>
      <c r="I327" s="5">
        <f>[1]Hybrid!H56</f>
        <v>7.8724231899999997E-2</v>
      </c>
      <c r="J327" s="5">
        <f>[1]Hybrid!I56</f>
        <v>7.8940165100000001E-2</v>
      </c>
      <c r="K327" s="5">
        <f>[1]Hybrid!J56</f>
        <v>7.8948898099999998E-2</v>
      </c>
      <c r="L327" s="5">
        <f>[1]Hybrid!K56</f>
        <v>7.87524171E-2</v>
      </c>
      <c r="M327" s="5">
        <f>[1]Hybrid!L56</f>
        <v>7.8367504300000002E-2</v>
      </c>
      <c r="N327" s="5">
        <f>[1]Hybrid!M56</f>
        <v>7.7789945799999996E-2</v>
      </c>
      <c r="O327" s="5">
        <f>[1]Hybrid!N56</f>
        <v>7.7029927400000003E-2</v>
      </c>
      <c r="P327" s="5">
        <f>[1]Hybrid!O56</f>
        <v>7.6099052299999997E-2</v>
      </c>
      <c r="Q327" s="5">
        <f>[1]Hybrid!P56</f>
        <v>7.5009989099999994E-2</v>
      </c>
      <c r="R327" s="5">
        <f>[1]Hybrid!Q56</f>
        <v>7.3776097099999993E-2</v>
      </c>
      <c r="S327" s="5">
        <f>[1]Hybrid!R56</f>
        <v>7.2410934600000004E-2</v>
      </c>
      <c r="T327" s="5">
        <f>[1]Hybrid!S56</f>
        <v>7.0928368000000006E-2</v>
      </c>
      <c r="U327" s="5">
        <f>[1]Hybrid!T56</f>
        <v>6.9342216799999995E-2</v>
      </c>
      <c r="V327" s="5">
        <f>[1]Hybrid!U56</f>
        <v>6.7666030599999996E-2</v>
      </c>
      <c r="W327" s="5">
        <f>[1]Hybrid!V56</f>
        <v>6.5909109300000004E-2</v>
      </c>
      <c r="X327" s="5">
        <f>[1]Hybrid!W56</f>
        <v>6.4088688399999996E-2</v>
      </c>
      <c r="Y327" s="5">
        <f>[1]Hybrid!X56</f>
        <v>6.2216812099999998E-2</v>
      </c>
      <c r="Z327" s="5">
        <f>[1]Hybrid!Y56</f>
        <v>6.03048282E-2</v>
      </c>
      <c r="AA327" s="5">
        <f>[1]Hybrid!Z56</f>
        <v>5.8363331099999999E-2</v>
      </c>
      <c r="AB327" s="5">
        <f>[1]Hybrid!AA56</f>
        <v>5.63950826E-2</v>
      </c>
      <c r="AC327" s="5">
        <f>[1]Hybrid!AB56</f>
        <v>5.4414829800000002E-2</v>
      </c>
      <c r="AD327" s="5">
        <f>[1]Hybrid!AC56</f>
        <v>5.2431914099999997E-2</v>
      </c>
      <c r="AE327" s="5">
        <f>[1]Hybrid!AD56</f>
        <v>5.0454809400000002E-2</v>
      </c>
      <c r="AF327" s="5">
        <f>[1]Hybrid!AE56</f>
        <v>4.8491080999999998E-2</v>
      </c>
      <c r="AG327" s="5">
        <f>[1]Hybrid!AF56</f>
        <v>4.6547418799999997E-2</v>
      </c>
      <c r="AH327" s="5">
        <f>[1]Hybrid!AG56</f>
        <v>4.46297046E-2</v>
      </c>
      <c r="AI327" s="5">
        <f>[1]Hybrid!AH56</f>
        <v>4.2743057000000001E-2</v>
      </c>
      <c r="AJ327" s="5">
        <f>[1]Hybrid!AI56</f>
        <v>4.0891907800000002E-2</v>
      </c>
      <c r="AK327" s="5">
        <f>[1]Hybrid!AJ56</f>
        <v>3.9080069100000003E-2</v>
      </c>
      <c r="AL327" s="5">
        <f>[1]Hybrid!AK56</f>
        <v>3.7310791199999999E-2</v>
      </c>
      <c r="AM327" s="5">
        <f>[1]Hybrid!AL56</f>
        <v>3.5586315100000002E-2</v>
      </c>
      <c r="AN327" s="5">
        <f>[1]Hybrid!AM56</f>
        <v>3.3909088099999998E-2</v>
      </c>
      <c r="AO327" s="5">
        <f>[1]Hybrid!AN56</f>
        <v>3.22810979E-2</v>
      </c>
      <c r="AP327" s="5">
        <f>[1]Hybrid!AO56</f>
        <v>3.0703920799999999E-2</v>
      </c>
      <c r="AQ327" s="5">
        <f>[1]Hybrid!AP56</f>
        <v>2.9178750199999999E-2</v>
      </c>
      <c r="AR327" s="5">
        <f>[1]Hybrid!AQ56</f>
        <v>2.7706429300000002E-2</v>
      </c>
      <c r="AS327" s="5">
        <f>[1]Hybrid!AR56</f>
        <v>2.62874705E-2</v>
      </c>
      <c r="AT327" s="5">
        <f>[1]Hybrid!AS56</f>
        <v>2.4922090399999999E-2</v>
      </c>
      <c r="AU327" s="5">
        <f>[1]Hybrid!AT56</f>
        <v>2.3610241699999999E-2</v>
      </c>
      <c r="AV327" s="5">
        <f>[1]Hybrid!AU56</f>
        <v>2.23516414E-2</v>
      </c>
      <c r="AW327" s="5">
        <f>[1]Hybrid!AV56</f>
        <v>2.1145816800000002E-2</v>
      </c>
      <c r="AX327" s="5">
        <f>[1]Hybrid!AW56</f>
        <v>1.9992079199999999E-2</v>
      </c>
      <c r="AY327" s="5">
        <f>[1]Hybrid!AX56</f>
        <v>1.8889576200000001E-2</v>
      </c>
      <c r="AZ327" s="5">
        <f>[1]Hybrid!AY56</f>
        <v>1.78373153E-2</v>
      </c>
      <c r="BA327" s="5">
        <f>[1]Hybrid!AZ56</f>
        <v>1.6834183400000001E-2</v>
      </c>
      <c r="BB327" s="5">
        <f>[1]Hybrid!BA56</f>
        <v>1.5214498E-2</v>
      </c>
      <c r="BC327" s="5">
        <f>[1]Hybrid!BB56</f>
        <v>1.4334256199999999E-2</v>
      </c>
      <c r="BD327" s="5">
        <f>[1]Hybrid!BC56</f>
        <v>1.34989068E-2</v>
      </c>
      <c r="BE327" s="5">
        <f>[1]Hybrid!BD56</f>
        <v>1.27069182E-2</v>
      </c>
      <c r="BF327" s="5">
        <f>[1]Hybrid!BE56</f>
        <v>1.1956719899999999E-2</v>
      </c>
    </row>
    <row r="328" spans="1:58" x14ac:dyDescent="0.35">
      <c r="B328" s="5" t="str">
        <f>[1]Hybrid!A58</f>
        <v>auto_cg_cgas_2</v>
      </c>
      <c r="C328" s="5">
        <f>[1]Hybrid!B58</f>
        <v>0.13435819299999999</v>
      </c>
      <c r="D328" s="5">
        <f>[1]Hybrid!C58</f>
        <v>0.13583207450000001</v>
      </c>
      <c r="E328" s="5">
        <f>[1]Hybrid!D58</f>
        <v>0.13742861149999999</v>
      </c>
      <c r="F328" s="5">
        <f>[1]Hybrid!E58</f>
        <v>0.13881594050000001</v>
      </c>
      <c r="G328" s="5">
        <f>[1]Hybrid!F58</f>
        <v>0.13980357669999999</v>
      </c>
      <c r="H328" s="5">
        <f>[1]Hybrid!G58</f>
        <v>0.1402942318</v>
      </c>
      <c r="I328" s="5">
        <f>[1]Hybrid!H58</f>
        <v>0.14023684</v>
      </c>
      <c r="J328" s="5">
        <f>[1]Hybrid!I58</f>
        <v>0.13963258640000001</v>
      </c>
      <c r="K328" s="5">
        <f>[1]Hybrid!J58</f>
        <v>0.13850450289999999</v>
      </c>
      <c r="L328" s="5">
        <f>[1]Hybrid!K58</f>
        <v>0.13688809060000001</v>
      </c>
      <c r="M328" s="5">
        <f>[1]Hybrid!L58</f>
        <v>0.13484085949999999</v>
      </c>
      <c r="N328" s="5">
        <f>[1]Hybrid!M58</f>
        <v>0.13238937980000001</v>
      </c>
      <c r="O328" s="5">
        <f>[1]Hybrid!N58</f>
        <v>0.1295804894</v>
      </c>
      <c r="P328" s="5">
        <f>[1]Hybrid!O58</f>
        <v>0.12646132190000001</v>
      </c>
      <c r="Q328" s="5">
        <f>[1]Hybrid!P58</f>
        <v>0.1230782897</v>
      </c>
      <c r="R328" s="5">
        <f>[1]Hybrid!Q58</f>
        <v>0.1194762323</v>
      </c>
      <c r="S328" s="5">
        <f>[1]Hybrid!R58</f>
        <v>0.1156976207</v>
      </c>
      <c r="T328" s="5">
        <f>[1]Hybrid!S58</f>
        <v>0.1117825512</v>
      </c>
      <c r="U328" s="5">
        <f>[1]Hybrid!T58</f>
        <v>0.10776824679999999</v>
      </c>
      <c r="V328" s="5">
        <f>[1]Hybrid!U58</f>
        <v>0.1036888129</v>
      </c>
      <c r="W328" s="5">
        <f>[1]Hybrid!V58</f>
        <v>9.9571545499999997E-2</v>
      </c>
      <c r="X328" s="5">
        <f>[1]Hybrid!W58</f>
        <v>9.5448754400000002E-2</v>
      </c>
      <c r="Y328" s="5">
        <f>[1]Hybrid!X58</f>
        <v>9.1344982699999994E-2</v>
      </c>
      <c r="Z328" s="5">
        <f>[1]Hybrid!Y58</f>
        <v>8.7281702599999997E-2</v>
      </c>
      <c r="AA328" s="5">
        <f>[1]Hybrid!Z58</f>
        <v>8.3277478599999996E-2</v>
      </c>
      <c r="AB328" s="5">
        <f>[1]Hybrid!AA58</f>
        <v>7.9342915E-2</v>
      </c>
      <c r="AC328" s="5">
        <f>[1]Hybrid!AB58</f>
        <v>7.5496093200000003E-2</v>
      </c>
      <c r="AD328" s="5">
        <f>[1]Hybrid!AC58</f>
        <v>7.1748936799999996E-2</v>
      </c>
      <c r="AE328" s="5">
        <f>[1]Hybrid!AD58</f>
        <v>6.8111032700000004E-2</v>
      </c>
      <c r="AF328" s="5">
        <f>[1]Hybrid!AE58</f>
        <v>6.45898315E-2</v>
      </c>
      <c r="AG328" s="5">
        <f>[1]Hybrid!AF58</f>
        <v>6.1190889700000001E-2</v>
      </c>
      <c r="AH328" s="5">
        <f>[1]Hybrid!AG58</f>
        <v>5.7918111500000001E-2</v>
      </c>
      <c r="AI328" s="5">
        <f>[1]Hybrid!AH58</f>
        <v>5.4773956300000003E-2</v>
      </c>
      <c r="AJ328" s="5">
        <f>[1]Hybrid!AI58</f>
        <v>5.1759645100000001E-2</v>
      </c>
      <c r="AK328" s="5">
        <f>[1]Hybrid!AJ58</f>
        <v>4.8875341599999997E-2</v>
      </c>
      <c r="AL328" s="5">
        <f>[1]Hybrid!AK58</f>
        <v>4.6120310099999999E-2</v>
      </c>
      <c r="AM328" s="5">
        <f>[1]Hybrid!AL58</f>
        <v>4.3492846100000003E-2</v>
      </c>
      <c r="AN328" s="5">
        <f>[1]Hybrid!AM58</f>
        <v>4.0990910899999997E-2</v>
      </c>
      <c r="AO328" s="5">
        <f>[1]Hybrid!AN58</f>
        <v>3.8611910200000002E-2</v>
      </c>
      <c r="AP328" s="5">
        <f>[1]Hybrid!AO58</f>
        <v>3.6352796299999997E-2</v>
      </c>
      <c r="AQ328" s="5">
        <f>[1]Hybrid!AP58</f>
        <v>3.4210154299999997E-2</v>
      </c>
      <c r="AR328" s="5">
        <f>[1]Hybrid!AQ58</f>
        <v>3.2180279399999998E-2</v>
      </c>
      <c r="AS328" s="5">
        <f>[1]Hybrid!AR58</f>
        <v>3.0259243599999999E-2</v>
      </c>
      <c r="AT328" s="5">
        <f>[1]Hybrid!AS58</f>
        <v>2.8442959100000002E-2</v>
      </c>
      <c r="AU328" s="5">
        <f>[1]Hybrid!AT58</f>
        <v>2.67272333E-2</v>
      </c>
      <c r="AV328" s="5">
        <f>[1]Hybrid!AU58</f>
        <v>2.5107816299999999E-2</v>
      </c>
      <c r="AW328" s="5">
        <f>[1]Hybrid!AV58</f>
        <v>2.35804451E-2</v>
      </c>
      <c r="AX328" s="5">
        <f>[1]Hybrid!AW58</f>
        <v>2.2140866700000001E-2</v>
      </c>
      <c r="AY328" s="5">
        <f>[1]Hybrid!AX58</f>
        <v>2.07848757E-2</v>
      </c>
      <c r="AZ328" s="5">
        <f>[1]Hybrid!AY58</f>
        <v>1.9508338699999999E-2</v>
      </c>
      <c r="BA328" s="5">
        <f>[1]Hybrid!AZ58</f>
        <v>1.8307214400000001E-2</v>
      </c>
      <c r="BB328" s="5">
        <f>[1]Hybrid!BA58</f>
        <v>1.63579495E-2</v>
      </c>
      <c r="BC328" s="5">
        <f>[1]Hybrid!BB58</f>
        <v>1.5344181700000001E-2</v>
      </c>
      <c r="BD328" s="5">
        <f>[1]Hybrid!BC58</f>
        <v>1.4391943900000001E-2</v>
      </c>
      <c r="BE328" s="5">
        <f>[1]Hybrid!BD58</f>
        <v>1.3497753600000001E-2</v>
      </c>
      <c r="BF328" s="5">
        <f>[1]Hybrid!BE58</f>
        <v>1.2658279600000001E-2</v>
      </c>
    </row>
    <row r="330" spans="1:58" x14ac:dyDescent="0.35">
      <c r="A330" s="12" t="s">
        <v>90</v>
      </c>
      <c r="B330" t="s">
        <v>56</v>
      </c>
      <c r="C330" s="2">
        <v>42005</v>
      </c>
      <c r="D330" s="2">
        <v>42370</v>
      </c>
      <c r="E330" s="2">
        <v>42736</v>
      </c>
      <c r="F330" s="2">
        <v>43101</v>
      </c>
      <c r="G330" s="2">
        <v>43466</v>
      </c>
      <c r="H330" s="2">
        <v>43831</v>
      </c>
      <c r="I330" s="2">
        <v>44197</v>
      </c>
      <c r="J330" s="2">
        <v>44562</v>
      </c>
      <c r="K330" s="2">
        <v>44927</v>
      </c>
      <c r="L330" s="2">
        <v>45292</v>
      </c>
      <c r="M330" s="2">
        <v>45658</v>
      </c>
      <c r="N330" s="2">
        <v>46023</v>
      </c>
      <c r="O330" s="2">
        <v>46388</v>
      </c>
      <c r="P330" s="2">
        <v>46753</v>
      </c>
      <c r="Q330" s="2">
        <v>47119</v>
      </c>
      <c r="R330" s="2">
        <v>47484</v>
      </c>
      <c r="S330" s="2">
        <v>47849</v>
      </c>
      <c r="T330" s="2">
        <v>48214</v>
      </c>
      <c r="U330" s="2">
        <v>48580</v>
      </c>
      <c r="V330" s="2">
        <v>48945</v>
      </c>
      <c r="W330" s="2">
        <v>49310</v>
      </c>
      <c r="X330" s="2">
        <v>49675</v>
      </c>
      <c r="Y330" s="2">
        <v>50041</v>
      </c>
      <c r="Z330" s="2">
        <v>50406</v>
      </c>
      <c r="AA330" s="2">
        <v>50771</v>
      </c>
      <c r="AB330" s="2">
        <v>51136</v>
      </c>
      <c r="AC330" s="2">
        <v>51502</v>
      </c>
      <c r="AD330" s="2">
        <v>51867</v>
      </c>
      <c r="AE330" s="2">
        <v>52232</v>
      </c>
      <c r="AF330" s="2">
        <v>52597</v>
      </c>
      <c r="AG330" s="2">
        <v>52963</v>
      </c>
      <c r="AH330" s="2">
        <v>53328</v>
      </c>
      <c r="AI330" s="2">
        <v>53693</v>
      </c>
      <c r="AJ330" s="2">
        <v>54058</v>
      </c>
      <c r="AK330" s="2">
        <v>54424</v>
      </c>
      <c r="AL330" s="2">
        <v>54789</v>
      </c>
      <c r="AM330" s="2">
        <v>54790</v>
      </c>
      <c r="AN330" s="2">
        <v>54791</v>
      </c>
      <c r="AO330" s="2">
        <v>54792</v>
      </c>
      <c r="AP330" s="2">
        <v>54793</v>
      </c>
      <c r="AQ330" s="2">
        <v>54794</v>
      </c>
      <c r="AR330" s="2">
        <v>54795</v>
      </c>
      <c r="AS330" s="2">
        <v>54796</v>
      </c>
      <c r="AT330" s="2">
        <v>54797</v>
      </c>
      <c r="AU330" s="2">
        <v>54798</v>
      </c>
      <c r="AV330" s="2">
        <v>54799</v>
      </c>
      <c r="AW330" s="2">
        <v>54800</v>
      </c>
      <c r="AX330" s="2">
        <v>54801</v>
      </c>
      <c r="AY330" s="2">
        <v>54802</v>
      </c>
      <c r="AZ330" s="2">
        <v>54803</v>
      </c>
      <c r="BA330" s="2">
        <v>54804</v>
      </c>
      <c r="BB330" s="2">
        <v>54805</v>
      </c>
      <c r="BC330" s="2">
        <v>54806</v>
      </c>
      <c r="BD330" s="2">
        <v>54807</v>
      </c>
      <c r="BE330" s="2">
        <v>54808</v>
      </c>
      <c r="BF330" s="2">
        <v>54809</v>
      </c>
    </row>
    <row r="331" spans="1:58" x14ac:dyDescent="0.35">
      <c r="A331" t="s">
        <v>39</v>
      </c>
      <c r="B331" t="s">
        <v>96</v>
      </c>
      <c r="C331" s="6">
        <f t="shared" ref="C331:AL331" si="186">C308+C322+C315</f>
        <v>7105.9689965623002</v>
      </c>
      <c r="D331" s="6">
        <f t="shared" si="186"/>
        <v>7150.6531351446993</v>
      </c>
      <c r="E331" s="6">
        <f t="shared" si="186"/>
        <v>7239.0389582022008</v>
      </c>
      <c r="F331" s="6">
        <f t="shared" si="186"/>
        <v>7357.4692706532005</v>
      </c>
      <c r="G331" s="6">
        <f t="shared" si="186"/>
        <v>7497.1828732583999</v>
      </c>
      <c r="H331" s="6">
        <f t="shared" si="186"/>
        <v>7652.6855856790007</v>
      </c>
      <c r="I331" s="6">
        <f t="shared" si="186"/>
        <v>7819.3142290787009</v>
      </c>
      <c r="J331" s="6">
        <f t="shared" si="186"/>
        <v>7994.7231441065996</v>
      </c>
      <c r="K331" s="6">
        <f t="shared" si="186"/>
        <v>8177.2510643573005</v>
      </c>
      <c r="L331" s="6">
        <f t="shared" si="186"/>
        <v>8365.6542639985</v>
      </c>
      <c r="M331" s="6">
        <f t="shared" si="186"/>
        <v>8561.0254647630009</v>
      </c>
      <c r="N331" s="6">
        <f t="shared" si="186"/>
        <v>8760.3400953162982</v>
      </c>
      <c r="O331" s="6">
        <f t="shared" si="186"/>
        <v>8962.860389088999</v>
      </c>
      <c r="P331" s="6">
        <f t="shared" si="186"/>
        <v>9167.9311783404992</v>
      </c>
      <c r="Q331" s="6">
        <f t="shared" si="186"/>
        <v>9374.9977757098004</v>
      </c>
      <c r="R331" s="6">
        <f t="shared" si="186"/>
        <v>9583.5971848347999</v>
      </c>
      <c r="S331" s="6">
        <f t="shared" si="186"/>
        <v>9793.2778523908019</v>
      </c>
      <c r="T331" s="6">
        <f t="shared" si="186"/>
        <v>10003.6831813155</v>
      </c>
      <c r="U331" s="6">
        <f t="shared" si="186"/>
        <v>10214.5175068351</v>
      </c>
      <c r="V331" s="6">
        <f t="shared" si="186"/>
        <v>10425.5311129769</v>
      </c>
      <c r="W331" s="6">
        <f t="shared" si="186"/>
        <v>10634.8807075108</v>
      </c>
      <c r="X331" s="6">
        <f t="shared" si="186"/>
        <v>10844.1286879538</v>
      </c>
      <c r="Y331" s="6">
        <f t="shared" si="186"/>
        <v>11053.162562920999</v>
      </c>
      <c r="Z331" s="6">
        <f t="shared" si="186"/>
        <v>11261.922566115001</v>
      </c>
      <c r="AA331" s="6">
        <f t="shared" si="186"/>
        <v>11470.366230312</v>
      </c>
      <c r="AB331" s="6">
        <f t="shared" si="186"/>
        <v>11673.682153184001</v>
      </c>
      <c r="AC331" s="6">
        <f t="shared" si="186"/>
        <v>11874.712030765</v>
      </c>
      <c r="AD331" s="6">
        <f t="shared" si="186"/>
        <v>12073.664075237</v>
      </c>
      <c r="AE331" s="6">
        <f t="shared" si="186"/>
        <v>12270.850480270001</v>
      </c>
      <c r="AF331" s="6">
        <f t="shared" si="186"/>
        <v>12466.615517886999</v>
      </c>
      <c r="AG331" s="6">
        <f t="shared" si="186"/>
        <v>12661.297583754998</v>
      </c>
      <c r="AH331" s="6">
        <f t="shared" si="186"/>
        <v>12855.225989904</v>
      </c>
      <c r="AI331" s="6">
        <f t="shared" si="186"/>
        <v>13048.691661375</v>
      </c>
      <c r="AJ331" s="6">
        <f t="shared" si="186"/>
        <v>13241.954437572</v>
      </c>
      <c r="AK331" s="6">
        <f t="shared" si="186"/>
        <v>13435.249750867999</v>
      </c>
      <c r="AL331" s="6">
        <f t="shared" si="186"/>
        <v>13628.794744874998</v>
      </c>
      <c r="AM331" s="6">
        <f t="shared" ref="AM331:BC331" si="187">AM308+AM322+AM315</f>
        <v>13821.756538868998</v>
      </c>
      <c r="AN331" s="6">
        <f t="shared" si="187"/>
        <v>14014.449607944001</v>
      </c>
      <c r="AO331" s="6">
        <f t="shared" si="187"/>
        <v>14207.164237481</v>
      </c>
      <c r="AP331" s="6">
        <f t="shared" si="187"/>
        <v>14400.195058834001</v>
      </c>
      <c r="AQ331" s="6">
        <f t="shared" si="187"/>
        <v>14593.835209116001</v>
      </c>
      <c r="AR331" s="6">
        <f t="shared" si="187"/>
        <v>14788.385630016001</v>
      </c>
      <c r="AS331" s="6">
        <f t="shared" si="187"/>
        <v>14984.112301338</v>
      </c>
      <c r="AT331" s="6">
        <f t="shared" si="187"/>
        <v>15181.249838117999</v>
      </c>
      <c r="AU331" s="6">
        <f t="shared" si="187"/>
        <v>15380.003517101999</v>
      </c>
      <c r="AV331" s="6">
        <f t="shared" si="187"/>
        <v>15580.552210816</v>
      </c>
      <c r="AW331" s="6">
        <f t="shared" si="187"/>
        <v>15783.228918166998</v>
      </c>
      <c r="AX331" s="6">
        <f t="shared" si="187"/>
        <v>15988.192197229002</v>
      </c>
      <c r="AY331" s="6">
        <f t="shared" si="187"/>
        <v>16195.567248861</v>
      </c>
      <c r="AZ331" s="6">
        <f t="shared" si="187"/>
        <v>16405.456622782</v>
      </c>
      <c r="BA331" s="6">
        <f t="shared" si="187"/>
        <v>16617.946937146</v>
      </c>
      <c r="BB331" s="6">
        <f t="shared" si="187"/>
        <v>18182.57675584</v>
      </c>
      <c r="BC331" s="6">
        <f t="shared" si="187"/>
        <v>18445.878013850001</v>
      </c>
      <c r="BD331" s="6">
        <f t="shared" ref="BD331:BF331" si="188">BD308+BD322+BD315</f>
        <v>18712.095528523001</v>
      </c>
      <c r="BE331" s="6">
        <f t="shared" si="188"/>
        <v>18981.344316728002</v>
      </c>
      <c r="BF331" s="6">
        <f t="shared" si="188"/>
        <v>19253.748624161999</v>
      </c>
    </row>
    <row r="332" spans="1:58" x14ac:dyDescent="0.35">
      <c r="B332" t="s">
        <v>97</v>
      </c>
      <c r="C332" s="6">
        <f t="shared" ref="C332:AL332" si="189">C309+C323+C316</f>
        <v>8263.1971436354015</v>
      </c>
      <c r="D332" s="6">
        <f t="shared" si="189"/>
        <v>8193.5041116758002</v>
      </c>
      <c r="E332" s="6">
        <f t="shared" si="189"/>
        <v>8173.6184723476999</v>
      </c>
      <c r="F332" s="6">
        <f t="shared" si="189"/>
        <v>8189.5227269778006</v>
      </c>
      <c r="G332" s="6">
        <f t="shared" si="189"/>
        <v>8232.0200091131992</v>
      </c>
      <c r="H332" s="6">
        <f t="shared" si="189"/>
        <v>8295.1399667016994</v>
      </c>
      <c r="I332" s="6">
        <f t="shared" si="189"/>
        <v>8373.7956335983999</v>
      </c>
      <c r="J332" s="6">
        <f t="shared" si="189"/>
        <v>8465.1816692086013</v>
      </c>
      <c r="K332" s="6">
        <f t="shared" si="189"/>
        <v>8567.2029489015003</v>
      </c>
      <c r="L332" s="6">
        <f t="shared" si="189"/>
        <v>8678.2100577016008</v>
      </c>
      <c r="M332" s="6">
        <f t="shared" si="189"/>
        <v>8798.7918194781014</v>
      </c>
      <c r="N332" s="6">
        <f t="shared" si="189"/>
        <v>8925.6978959715998</v>
      </c>
      <c r="O332" s="6">
        <f t="shared" si="189"/>
        <v>9057.8698324348006</v>
      </c>
      <c r="P332" s="6">
        <f t="shared" si="189"/>
        <v>9194.359104990599</v>
      </c>
      <c r="Q332" s="6">
        <f t="shared" si="189"/>
        <v>9334.3402215959013</v>
      </c>
      <c r="R332" s="6">
        <f t="shared" si="189"/>
        <v>9477.0994334985007</v>
      </c>
      <c r="S332" s="6">
        <f t="shared" si="189"/>
        <v>9621.9584980383006</v>
      </c>
      <c r="T332" s="6">
        <f t="shared" si="189"/>
        <v>9768.3500462504999</v>
      </c>
      <c r="U332" s="6">
        <f t="shared" si="189"/>
        <v>9915.7834317949</v>
      </c>
      <c r="V332" s="6">
        <f t="shared" si="189"/>
        <v>10063.828609911099</v>
      </c>
      <c r="W332" s="6">
        <f t="shared" si="189"/>
        <v>10210.62285826</v>
      </c>
      <c r="X332" s="6">
        <f t="shared" si="189"/>
        <v>10357.426175815799</v>
      </c>
      <c r="Y332" s="6">
        <f t="shared" si="189"/>
        <v>10503.9786829656</v>
      </c>
      <c r="Z332" s="6">
        <f t="shared" si="189"/>
        <v>10650.078506568601</v>
      </c>
      <c r="AA332" s="6">
        <f t="shared" si="189"/>
        <v>10795.548834289</v>
      </c>
      <c r="AB332" s="6">
        <f t="shared" si="189"/>
        <v>10935.963288547</v>
      </c>
      <c r="AC332" s="6">
        <f t="shared" si="189"/>
        <v>11073.776304921001</v>
      </c>
      <c r="AD332" s="6">
        <f t="shared" si="189"/>
        <v>11209.081602365999</v>
      </c>
      <c r="AE332" s="6">
        <f t="shared" si="189"/>
        <v>11342.066901808001</v>
      </c>
      <c r="AF332" s="6">
        <f t="shared" si="189"/>
        <v>11472.948742578001</v>
      </c>
      <c r="AG332" s="6">
        <f t="shared" si="189"/>
        <v>11601.938491249002</v>
      </c>
      <c r="AH332" s="6">
        <f t="shared" si="189"/>
        <v>11729.239064781001</v>
      </c>
      <c r="AI332" s="6">
        <f t="shared" si="189"/>
        <v>11855.019056473999</v>
      </c>
      <c r="AJ332" s="6">
        <f t="shared" si="189"/>
        <v>11979.419220582</v>
      </c>
      <c r="AK332" s="6">
        <f t="shared" si="189"/>
        <v>12102.558355081999</v>
      </c>
      <c r="AL332" s="6">
        <f t="shared" si="189"/>
        <v>12224.538584292999</v>
      </c>
      <c r="AM332" s="6">
        <f t="shared" ref="AM332:BC332" si="190">AM309+AM323+AM316</f>
        <v>12344.564774185999</v>
      </c>
      <c r="AN332" s="6">
        <f t="shared" si="190"/>
        <v>12462.829423280999</v>
      </c>
      <c r="AO332" s="6">
        <f t="shared" si="190"/>
        <v>12579.502888272998</v>
      </c>
      <c r="AP332" s="6">
        <f t="shared" si="190"/>
        <v>12694.757334366001</v>
      </c>
      <c r="AQ332" s="6">
        <f t="shared" si="190"/>
        <v>12808.761339216</v>
      </c>
      <c r="AR332" s="6">
        <f t="shared" si="190"/>
        <v>12921.686998093001</v>
      </c>
      <c r="AS332" s="6">
        <f t="shared" si="190"/>
        <v>13033.674001513</v>
      </c>
      <c r="AT332" s="6">
        <f t="shared" si="190"/>
        <v>13144.833027062999</v>
      </c>
      <c r="AU332" s="6">
        <f t="shared" si="190"/>
        <v>13255.247800424999</v>
      </c>
      <c r="AV332" s="6">
        <f t="shared" si="190"/>
        <v>13364.977812352001</v>
      </c>
      <c r="AW332" s="6">
        <f t="shared" si="190"/>
        <v>13474.203932731001</v>
      </c>
      <c r="AX332" s="6">
        <f t="shared" si="190"/>
        <v>13582.960212357999</v>
      </c>
      <c r="AY332" s="6">
        <f t="shared" si="190"/>
        <v>13691.250914134</v>
      </c>
      <c r="AZ332" s="6">
        <f t="shared" si="190"/>
        <v>13799.060154609999</v>
      </c>
      <c r="BA332" s="6">
        <f t="shared" si="190"/>
        <v>13906.357794427</v>
      </c>
      <c r="BB332" s="6">
        <f t="shared" si="190"/>
        <v>15021.876346300001</v>
      </c>
      <c r="BC332" s="6">
        <f t="shared" si="190"/>
        <v>15156.629626152</v>
      </c>
      <c r="BD332" s="6">
        <f t="shared" ref="BD332:BF332" si="191">BD309+BD323+BD316</f>
        <v>15290.513371906</v>
      </c>
      <c r="BE332" s="6">
        <f t="shared" si="191"/>
        <v>15423.524856576001</v>
      </c>
      <c r="BF332" s="6">
        <f t="shared" si="191"/>
        <v>15555.666014259001</v>
      </c>
    </row>
    <row r="333" spans="1:58" x14ac:dyDescent="0.35">
      <c r="B333" t="s">
        <v>98</v>
      </c>
      <c r="C333" s="6">
        <f t="shared" ref="C333:AL333" si="192">C310+C324+C317</f>
        <v>6787.4105911386005</v>
      </c>
      <c r="D333" s="6">
        <f t="shared" si="192"/>
        <v>6655.7782503966</v>
      </c>
      <c r="E333" s="6">
        <f t="shared" si="192"/>
        <v>6564.4870019950004</v>
      </c>
      <c r="F333" s="6">
        <f t="shared" si="192"/>
        <v>6503.1790912893002</v>
      </c>
      <c r="G333" s="6">
        <f t="shared" si="192"/>
        <v>6464.9204639810005</v>
      </c>
      <c r="H333" s="6">
        <f t="shared" si="192"/>
        <v>6445.0758834416001</v>
      </c>
      <c r="I333" s="6">
        <f t="shared" si="192"/>
        <v>6439.6833622496997</v>
      </c>
      <c r="J333" s="6">
        <f t="shared" si="192"/>
        <v>6446.4018623651</v>
      </c>
      <c r="K333" s="6">
        <f t="shared" si="192"/>
        <v>6463.4208697876993</v>
      </c>
      <c r="L333" s="6">
        <f t="shared" si="192"/>
        <v>6489.2714427301999</v>
      </c>
      <c r="M333" s="6">
        <f t="shared" si="192"/>
        <v>6524.0334311256001</v>
      </c>
      <c r="N333" s="6">
        <f t="shared" si="192"/>
        <v>6565.2081874783999</v>
      </c>
      <c r="O333" s="6">
        <f t="shared" si="192"/>
        <v>6611.8141514416002</v>
      </c>
      <c r="P333" s="6">
        <f t="shared" si="192"/>
        <v>6662.9686027934995</v>
      </c>
      <c r="Q333" s="6">
        <f t="shared" si="192"/>
        <v>6717.8938718935997</v>
      </c>
      <c r="R333" s="6">
        <f t="shared" si="192"/>
        <v>6775.9074857974001</v>
      </c>
      <c r="S333" s="6">
        <f t="shared" si="192"/>
        <v>6836.3697625117993</v>
      </c>
      <c r="T333" s="6">
        <f t="shared" si="192"/>
        <v>6898.7326488088001</v>
      </c>
      <c r="U333" s="6">
        <f t="shared" si="192"/>
        <v>6962.5149888196001</v>
      </c>
      <c r="V333" s="6">
        <f t="shared" si="192"/>
        <v>7027.2901094062008</v>
      </c>
      <c r="W333" s="6">
        <f t="shared" si="192"/>
        <v>7091.7044300050002</v>
      </c>
      <c r="X333" s="6">
        <f t="shared" si="192"/>
        <v>7156.4718571568001</v>
      </c>
      <c r="Y333" s="6">
        <f t="shared" si="192"/>
        <v>7221.3132330815997</v>
      </c>
      <c r="Z333" s="6">
        <f t="shared" si="192"/>
        <v>7285.9958750523001</v>
      </c>
      <c r="AA333" s="6">
        <f t="shared" si="192"/>
        <v>7350.3114318754997</v>
      </c>
      <c r="AB333" s="6">
        <f t="shared" si="192"/>
        <v>7411.3209380401004</v>
      </c>
      <c r="AC333" s="6">
        <f t="shared" si="192"/>
        <v>7470.5506203947998</v>
      </c>
      <c r="AD333" s="6">
        <f t="shared" si="192"/>
        <v>7528.0012707059004</v>
      </c>
      <c r="AE333" s="6">
        <f t="shared" si="192"/>
        <v>7583.7364513761995</v>
      </c>
      <c r="AF333" s="6">
        <f t="shared" si="192"/>
        <v>7637.8398941986998</v>
      </c>
      <c r="AG333" s="6">
        <f t="shared" si="192"/>
        <v>7690.3935255909</v>
      </c>
      <c r="AH333" s="6">
        <f t="shared" si="192"/>
        <v>7741.4751310267002</v>
      </c>
      <c r="AI333" s="6">
        <f t="shared" si="192"/>
        <v>7791.1418586922</v>
      </c>
      <c r="AJ333" s="6">
        <f t="shared" si="192"/>
        <v>7839.4344250340991</v>
      </c>
      <c r="AK333" s="6">
        <f t="shared" si="192"/>
        <v>7886.3808659746992</v>
      </c>
      <c r="AL333" s="6">
        <f t="shared" si="192"/>
        <v>7931.9998732945005</v>
      </c>
      <c r="AM333" s="6">
        <f t="shared" ref="AM333:BC333" si="193">AM310+AM324+AM317</f>
        <v>7975.7581831972002</v>
      </c>
      <c r="AN333" s="6">
        <f t="shared" si="193"/>
        <v>8017.7378327852002</v>
      </c>
      <c r="AO333" s="6">
        <f t="shared" si="193"/>
        <v>8058.0078637819006</v>
      </c>
      <c r="AP333" s="6">
        <f t="shared" si="193"/>
        <v>8096.6388762203997</v>
      </c>
      <c r="AQ333" s="6">
        <f t="shared" si="193"/>
        <v>8133.6995224598995</v>
      </c>
      <c r="AR333" s="6">
        <f t="shared" si="193"/>
        <v>8169.2604789116003</v>
      </c>
      <c r="AS333" s="6">
        <f t="shared" si="193"/>
        <v>8203.3726743550997</v>
      </c>
      <c r="AT333" s="6">
        <f t="shared" si="193"/>
        <v>8236.069658415201</v>
      </c>
      <c r="AU333" s="6">
        <f t="shared" si="193"/>
        <v>8267.3691396738996</v>
      </c>
      <c r="AV333" s="6">
        <f t="shared" si="193"/>
        <v>8297.2748510124002</v>
      </c>
      <c r="AW333" s="6">
        <f t="shared" si="193"/>
        <v>8325.8614518283994</v>
      </c>
      <c r="AX333" s="6">
        <f t="shared" si="193"/>
        <v>8353.1165398179</v>
      </c>
      <c r="AY333" s="6">
        <f t="shared" si="193"/>
        <v>8379.0108480220006</v>
      </c>
      <c r="AZ333" s="6">
        <f t="shared" si="193"/>
        <v>8403.5044902279005</v>
      </c>
      <c r="BA333" s="6">
        <f t="shared" si="193"/>
        <v>8426.5507394754004</v>
      </c>
      <c r="BB333" s="6">
        <f t="shared" si="193"/>
        <v>8987.5710228750013</v>
      </c>
      <c r="BC333" s="6">
        <f t="shared" si="193"/>
        <v>9019.9497071197002</v>
      </c>
      <c r="BD333" s="6">
        <f t="shared" ref="BD333:BF333" si="194">BD310+BD324+BD317</f>
        <v>9050.4682229624996</v>
      </c>
      <c r="BE333" s="6">
        <f t="shared" si="194"/>
        <v>9079.1083501920984</v>
      </c>
      <c r="BF333" s="6">
        <f t="shared" si="194"/>
        <v>9105.8550322254996</v>
      </c>
    </row>
    <row r="334" spans="1:58" x14ac:dyDescent="0.35">
      <c r="B334" t="s">
        <v>99</v>
      </c>
      <c r="C334" s="6">
        <f t="shared" ref="C334:AL334" si="195">C311+C325+C318</f>
        <v>4165.6835237371006</v>
      </c>
      <c r="D334" s="6">
        <f t="shared" si="195"/>
        <v>4060.3962154433998</v>
      </c>
      <c r="E334" s="6">
        <f t="shared" si="195"/>
        <v>3978.3831456242001</v>
      </c>
      <c r="F334" s="6">
        <f t="shared" si="195"/>
        <v>3913.3406949375999</v>
      </c>
      <c r="G334" s="6">
        <f t="shared" si="195"/>
        <v>3861.0129695695</v>
      </c>
      <c r="H334" s="6">
        <f t="shared" si="195"/>
        <v>3818.5176643235</v>
      </c>
      <c r="I334" s="6">
        <f t="shared" si="195"/>
        <v>3783.4384252832997</v>
      </c>
      <c r="J334" s="6">
        <f t="shared" si="195"/>
        <v>3754.3017121145999</v>
      </c>
      <c r="K334" s="6">
        <f t="shared" si="195"/>
        <v>3729.9689679324001</v>
      </c>
      <c r="L334" s="6">
        <f t="shared" si="195"/>
        <v>3709.5207129139999</v>
      </c>
      <c r="M334" s="6">
        <f t="shared" si="195"/>
        <v>3692.8480764705</v>
      </c>
      <c r="N334" s="6">
        <f t="shared" si="195"/>
        <v>3678.5614958722999</v>
      </c>
      <c r="O334" s="6">
        <f t="shared" si="195"/>
        <v>3666.0706609231997</v>
      </c>
      <c r="P334" s="6">
        <f t="shared" si="195"/>
        <v>3654.8572847504001</v>
      </c>
      <c r="Q334" s="6">
        <f t="shared" si="195"/>
        <v>3644.4744462950002</v>
      </c>
      <c r="R334" s="6">
        <f t="shared" si="195"/>
        <v>3634.5388013819997</v>
      </c>
      <c r="S334" s="6">
        <f t="shared" si="195"/>
        <v>3624.7044430111</v>
      </c>
      <c r="T334" s="6">
        <f t="shared" si="195"/>
        <v>3614.6842141284001</v>
      </c>
      <c r="U334" s="6">
        <f t="shared" si="195"/>
        <v>3604.2354500568999</v>
      </c>
      <c r="V334" s="6">
        <f t="shared" si="195"/>
        <v>3593.1520736056</v>
      </c>
      <c r="W334" s="6">
        <f t="shared" si="195"/>
        <v>3580.8365043172998</v>
      </c>
      <c r="X334" s="6">
        <f t="shared" si="195"/>
        <v>3567.6109524999001</v>
      </c>
      <c r="Y334" s="6">
        <f t="shared" si="195"/>
        <v>3553.3617656144002</v>
      </c>
      <c r="Z334" s="6">
        <f t="shared" si="195"/>
        <v>3538.0001397937999</v>
      </c>
      <c r="AA334" s="6">
        <f t="shared" si="195"/>
        <v>3521.4524370035001</v>
      </c>
      <c r="AB334" s="6">
        <f t="shared" si="195"/>
        <v>3502.5577488399003</v>
      </c>
      <c r="AC334" s="6">
        <f t="shared" si="195"/>
        <v>3481.9897978469003</v>
      </c>
      <c r="AD334" s="6">
        <f t="shared" si="195"/>
        <v>3459.7957481898998</v>
      </c>
      <c r="AE334" s="6">
        <f t="shared" si="195"/>
        <v>3436.0444412346001</v>
      </c>
      <c r="AF334" s="6">
        <f t="shared" si="195"/>
        <v>3410.8091531490004</v>
      </c>
      <c r="AG334" s="6">
        <f t="shared" si="195"/>
        <v>3384.1595281608998</v>
      </c>
      <c r="AH334" s="6">
        <f t="shared" si="195"/>
        <v>3356.1610087387999</v>
      </c>
      <c r="AI334" s="6">
        <f t="shared" si="195"/>
        <v>3326.869290657</v>
      </c>
      <c r="AJ334" s="6">
        <f t="shared" si="195"/>
        <v>3296.3326435764002</v>
      </c>
      <c r="AK334" s="6">
        <f t="shared" si="195"/>
        <v>3264.5938925797004</v>
      </c>
      <c r="AL334" s="6">
        <f t="shared" si="195"/>
        <v>3231.6921279655999</v>
      </c>
      <c r="AM334" s="6">
        <f t="shared" ref="AM334:BC334" si="196">AM311+AM325+AM318</f>
        <v>3197.4853054524001</v>
      </c>
      <c r="AN334" s="6">
        <f t="shared" si="196"/>
        <v>3162.0414500096999</v>
      </c>
      <c r="AO334" s="6">
        <f t="shared" si="196"/>
        <v>3125.4240005592001</v>
      </c>
      <c r="AP334" s="6">
        <f t="shared" si="196"/>
        <v>3087.6965830558001</v>
      </c>
      <c r="AQ334" s="6">
        <f t="shared" si="196"/>
        <v>3048.9218595046004</v>
      </c>
      <c r="AR334" s="6">
        <f t="shared" si="196"/>
        <v>3009.1625389631999</v>
      </c>
      <c r="AS334" s="6">
        <f t="shared" si="196"/>
        <v>2968.4750140657002</v>
      </c>
      <c r="AT334" s="6">
        <f t="shared" si="196"/>
        <v>2926.9107065757003</v>
      </c>
      <c r="AU334" s="6">
        <f t="shared" si="196"/>
        <v>2884.5170469816999</v>
      </c>
      <c r="AV334" s="6">
        <f t="shared" si="196"/>
        <v>2841.3384285014999</v>
      </c>
      <c r="AW334" s="6">
        <f t="shared" si="196"/>
        <v>2797.4381814740996</v>
      </c>
      <c r="AX334" s="6">
        <f t="shared" si="196"/>
        <v>2752.8562033880999</v>
      </c>
      <c r="AY334" s="6">
        <f t="shared" si="196"/>
        <v>2707.6293809505996</v>
      </c>
      <c r="AZ334" s="6">
        <f t="shared" si="196"/>
        <v>2661.7939107538</v>
      </c>
      <c r="BA334" s="6">
        <f t="shared" si="196"/>
        <v>2615.3865340857001</v>
      </c>
      <c r="BB334" s="6">
        <f t="shared" si="196"/>
        <v>2627.3217814909003</v>
      </c>
      <c r="BC334" s="6">
        <f t="shared" si="196"/>
        <v>2577.8758599247999</v>
      </c>
      <c r="BD334" s="6">
        <f t="shared" ref="BD334:BF334" si="197">BD311+BD325+BD318</f>
        <v>2527.7977910374002</v>
      </c>
      <c r="BE334" s="6">
        <f t="shared" si="197"/>
        <v>2477.1409967202999</v>
      </c>
      <c r="BF334" s="6">
        <f t="shared" si="197"/>
        <v>2425.9593885319996</v>
      </c>
    </row>
    <row r="335" spans="1:58" x14ac:dyDescent="0.35">
      <c r="B335" t="s">
        <v>100</v>
      </c>
      <c r="C335" s="6">
        <f t="shared" ref="C335:AL335" si="198">C312+C326+C319</f>
        <v>2507.3524895615005</v>
      </c>
      <c r="D335" s="6">
        <f t="shared" si="198"/>
        <v>2446.3641661482998</v>
      </c>
      <c r="E335" s="6">
        <f t="shared" si="198"/>
        <v>2398.5276220065002</v>
      </c>
      <c r="F335" s="6">
        <f t="shared" si="198"/>
        <v>2359.8032528117997</v>
      </c>
      <c r="G335" s="6">
        <f t="shared" si="198"/>
        <v>2327.4894716102003</v>
      </c>
      <c r="H335" s="6">
        <f t="shared" si="198"/>
        <v>2299.7796887195</v>
      </c>
      <c r="I335" s="6">
        <f t="shared" si="198"/>
        <v>2275.1993587960001</v>
      </c>
      <c r="J335" s="6">
        <f t="shared" si="198"/>
        <v>2252.8726973368002</v>
      </c>
      <c r="K335" s="6">
        <f t="shared" si="198"/>
        <v>2232.1466034130003</v>
      </c>
      <c r="L335" s="6">
        <f t="shared" si="198"/>
        <v>2212.5133034643004</v>
      </c>
      <c r="M335" s="6">
        <f t="shared" si="198"/>
        <v>2193.9351368159</v>
      </c>
      <c r="N335" s="6">
        <f t="shared" si="198"/>
        <v>2175.6575821617002</v>
      </c>
      <c r="O335" s="6">
        <f t="shared" si="198"/>
        <v>2157.3916984868997</v>
      </c>
      <c r="P335" s="6">
        <f t="shared" si="198"/>
        <v>2138.8968320138001</v>
      </c>
      <c r="Q335" s="6">
        <f t="shared" si="198"/>
        <v>2119.9782269067005</v>
      </c>
      <c r="R335" s="6">
        <f t="shared" si="198"/>
        <v>2100.4811280844001</v>
      </c>
      <c r="S335" s="6">
        <f t="shared" si="198"/>
        <v>2080.2760102386001</v>
      </c>
      <c r="T335" s="6">
        <f t="shared" si="198"/>
        <v>2059.2689091146999</v>
      </c>
      <c r="U335" s="6">
        <f t="shared" si="198"/>
        <v>2037.3924677257</v>
      </c>
      <c r="V335" s="6">
        <f t="shared" si="198"/>
        <v>2014.6006825961999</v>
      </c>
      <c r="W335" s="6">
        <f t="shared" si="198"/>
        <v>1990.6565729090999</v>
      </c>
      <c r="X335" s="6">
        <f t="shared" si="198"/>
        <v>1965.7841460254001</v>
      </c>
      <c r="Y335" s="6">
        <f t="shared" si="198"/>
        <v>1939.9872572121999</v>
      </c>
      <c r="Z335" s="6">
        <f t="shared" si="198"/>
        <v>1913.2813103579999</v>
      </c>
      <c r="AA335" s="6">
        <f t="shared" si="198"/>
        <v>1885.6884843795001</v>
      </c>
      <c r="AB335" s="6">
        <f t="shared" si="198"/>
        <v>1856.7325134028001</v>
      </c>
      <c r="AC335" s="6">
        <f t="shared" si="198"/>
        <v>1826.7950000055998</v>
      </c>
      <c r="AD335" s="6">
        <f t="shared" si="198"/>
        <v>1795.9604774659999</v>
      </c>
      <c r="AE335" s="6">
        <f t="shared" si="198"/>
        <v>1764.3191001204</v>
      </c>
      <c r="AF335" s="6">
        <f t="shared" si="198"/>
        <v>1731.9588990824</v>
      </c>
      <c r="AG335" s="6">
        <f t="shared" si="198"/>
        <v>1698.9625834869998</v>
      </c>
      <c r="AH335" s="6">
        <f t="shared" si="198"/>
        <v>1665.4076239144999</v>
      </c>
      <c r="AI335" s="6">
        <f t="shared" si="198"/>
        <v>1631.3642921728001</v>
      </c>
      <c r="AJ335" s="6">
        <f t="shared" si="198"/>
        <v>1596.8970897895999</v>
      </c>
      <c r="AK335" s="6">
        <f t="shared" si="198"/>
        <v>1562.0659365961001</v>
      </c>
      <c r="AL335" s="6">
        <f t="shared" si="198"/>
        <v>1526.9271687749999</v>
      </c>
      <c r="AM335" s="6">
        <f t="shared" ref="AM335:BC335" si="199">AM312+AM326+AM319</f>
        <v>1491.4660759345998</v>
      </c>
      <c r="AN335" s="6">
        <f t="shared" si="199"/>
        <v>1455.7492429455999</v>
      </c>
      <c r="AO335" s="6">
        <f t="shared" si="199"/>
        <v>1419.8394779997</v>
      </c>
      <c r="AP335" s="6">
        <f t="shared" si="199"/>
        <v>1383.7976660466002</v>
      </c>
      <c r="AQ335" s="6">
        <f t="shared" si="199"/>
        <v>1347.6823694662003</v>
      </c>
      <c r="AR335" s="6">
        <f t="shared" si="199"/>
        <v>1311.5501466096998</v>
      </c>
      <c r="AS335" s="6">
        <f t="shared" si="199"/>
        <v>1275.453405967</v>
      </c>
      <c r="AT335" s="6">
        <f t="shared" si="199"/>
        <v>1239.4410939451</v>
      </c>
      <c r="AU335" s="6">
        <f t="shared" si="199"/>
        <v>1203.559191933</v>
      </c>
      <c r="AV335" s="6">
        <f t="shared" si="199"/>
        <v>1167.85115131</v>
      </c>
      <c r="AW335" s="6">
        <f t="shared" si="199"/>
        <v>1132.3646177648002</v>
      </c>
      <c r="AX335" s="6">
        <f t="shared" si="199"/>
        <v>1097.1380297199003</v>
      </c>
      <c r="AY335" s="6">
        <f t="shared" si="199"/>
        <v>1062.2075200468</v>
      </c>
      <c r="AZ335" s="6">
        <f t="shared" si="199"/>
        <v>1027.6077683393</v>
      </c>
      <c r="BA335" s="6">
        <f t="shared" si="199"/>
        <v>993.37238234890003</v>
      </c>
      <c r="BB335" s="6">
        <f t="shared" si="199"/>
        <v>956.35591805230001</v>
      </c>
      <c r="BC335" s="6">
        <f t="shared" si="199"/>
        <v>922.14041754819993</v>
      </c>
      <c r="BD335" s="6">
        <f t="shared" ref="BD335:BF335" si="200">BD312+BD326+BD319</f>
        <v>888.3924872020001</v>
      </c>
      <c r="BE335" s="6">
        <f t="shared" si="200"/>
        <v>855.14612888479996</v>
      </c>
      <c r="BF335" s="6">
        <f t="shared" si="200"/>
        <v>822.4332865097</v>
      </c>
    </row>
    <row r="336" spans="1:58" x14ac:dyDescent="0.35">
      <c r="B336" t="s">
        <v>101</v>
      </c>
      <c r="C336" s="6">
        <f t="shared" ref="C336:AL336" si="201">C313+C327+C320</f>
        <v>1245.466605953</v>
      </c>
      <c r="D336" s="6">
        <f t="shared" si="201"/>
        <v>1212.5385209372998</v>
      </c>
      <c r="E336" s="6">
        <f t="shared" si="201"/>
        <v>1184.7833516909</v>
      </c>
      <c r="F336" s="6">
        <f t="shared" si="201"/>
        <v>1159.9696059436999</v>
      </c>
      <c r="G336" s="6">
        <f t="shared" si="201"/>
        <v>1136.6702425069</v>
      </c>
      <c r="H336" s="6">
        <f t="shared" si="201"/>
        <v>1113.9936916363999</v>
      </c>
      <c r="I336" s="6">
        <f t="shared" si="201"/>
        <v>1091.2957267529</v>
      </c>
      <c r="J336" s="6">
        <f t="shared" si="201"/>
        <v>1068.2591068871</v>
      </c>
      <c r="K336" s="6">
        <f t="shared" si="201"/>
        <v>1044.7038487711</v>
      </c>
      <c r="L336" s="6">
        <f t="shared" si="201"/>
        <v>1020.5371684710999</v>
      </c>
      <c r="M336" s="6">
        <f t="shared" si="201"/>
        <v>995.85276531030001</v>
      </c>
      <c r="N336" s="6">
        <f t="shared" si="201"/>
        <v>970.49740735379999</v>
      </c>
      <c r="O336" s="6">
        <f t="shared" si="201"/>
        <v>944.4996207104</v>
      </c>
      <c r="P336" s="6">
        <f t="shared" si="201"/>
        <v>917.91042572130004</v>
      </c>
      <c r="Q336" s="6">
        <f t="shared" si="201"/>
        <v>890.79844123809994</v>
      </c>
      <c r="R336" s="6">
        <f t="shared" si="201"/>
        <v>863.24481776110008</v>
      </c>
      <c r="S336" s="6">
        <f t="shared" si="201"/>
        <v>835.33687508759999</v>
      </c>
      <c r="T336" s="6">
        <f t="shared" si="201"/>
        <v>807.16908986999999</v>
      </c>
      <c r="U336" s="6">
        <f t="shared" si="201"/>
        <v>778.83850829280004</v>
      </c>
      <c r="V336" s="6">
        <f t="shared" si="201"/>
        <v>750.44182830959994</v>
      </c>
      <c r="W336" s="6">
        <f t="shared" si="201"/>
        <v>722.02738797129996</v>
      </c>
      <c r="X336" s="6">
        <f t="shared" si="201"/>
        <v>693.7421898714</v>
      </c>
      <c r="Y336" s="6">
        <f t="shared" si="201"/>
        <v>665.67243028109999</v>
      </c>
      <c r="Z336" s="6">
        <f t="shared" si="201"/>
        <v>637.89834462219994</v>
      </c>
      <c r="AA336" s="6">
        <f t="shared" si="201"/>
        <v>610.49345119810005</v>
      </c>
      <c r="AB336" s="6">
        <f t="shared" si="201"/>
        <v>583.43939966059997</v>
      </c>
      <c r="AC336" s="6">
        <f t="shared" si="201"/>
        <v>556.86545990479999</v>
      </c>
      <c r="AD336" s="6">
        <f t="shared" si="201"/>
        <v>530.83701456109998</v>
      </c>
      <c r="AE336" s="6">
        <f t="shared" si="201"/>
        <v>505.41100602039995</v>
      </c>
      <c r="AF336" s="6">
        <f t="shared" si="201"/>
        <v>480.63544215799999</v>
      </c>
      <c r="AG336" s="6">
        <f t="shared" si="201"/>
        <v>456.54980366580003</v>
      </c>
      <c r="AH336" s="6">
        <f t="shared" si="201"/>
        <v>433.18585943160002</v>
      </c>
      <c r="AI336" s="6">
        <f t="shared" si="201"/>
        <v>410.56818798299997</v>
      </c>
      <c r="AJ336" s="6">
        <f t="shared" si="201"/>
        <v>388.71508554680003</v>
      </c>
      <c r="AK336" s="6">
        <f t="shared" si="201"/>
        <v>367.63933860010002</v>
      </c>
      <c r="AL336" s="6">
        <f t="shared" si="201"/>
        <v>347.34888466019999</v>
      </c>
      <c r="AM336" s="6">
        <f t="shared" ref="AM336:BC336" si="202">AM313+AM327+AM320</f>
        <v>327.84137205309997</v>
      </c>
      <c r="AN336" s="6">
        <f t="shared" si="202"/>
        <v>309.11882976610002</v>
      </c>
      <c r="AO336" s="6">
        <f t="shared" si="202"/>
        <v>291.1794739339</v>
      </c>
      <c r="AP336" s="6">
        <f t="shared" si="202"/>
        <v>274.01822589279999</v>
      </c>
      <c r="AQ336" s="6">
        <f t="shared" si="202"/>
        <v>257.6270120332</v>
      </c>
      <c r="AR336" s="6">
        <f t="shared" si="202"/>
        <v>241.99509288429999</v>
      </c>
      <c r="AS336" s="6">
        <f t="shared" si="202"/>
        <v>227.10924063349998</v>
      </c>
      <c r="AT336" s="6">
        <f t="shared" si="202"/>
        <v>212.95410707139999</v>
      </c>
      <c r="AU336" s="6">
        <f t="shared" si="202"/>
        <v>199.51254186669999</v>
      </c>
      <c r="AV336" s="6">
        <f t="shared" si="202"/>
        <v>186.76587475640002</v>
      </c>
      <c r="AW336" s="6">
        <f t="shared" si="202"/>
        <v>174.6944109218</v>
      </c>
      <c r="AX336" s="6">
        <f t="shared" si="202"/>
        <v>163.27704870719998</v>
      </c>
      <c r="AY336" s="6">
        <f t="shared" si="202"/>
        <v>152.4918517202</v>
      </c>
      <c r="AZ336" s="6">
        <f t="shared" si="202"/>
        <v>142.31627642430001</v>
      </c>
      <c r="BA336" s="6">
        <f t="shared" si="202"/>
        <v>132.72734718640001</v>
      </c>
      <c r="BB336" s="6">
        <f t="shared" si="202"/>
        <v>117.32260427600001</v>
      </c>
      <c r="BC336" s="6">
        <f t="shared" si="202"/>
        <v>109.1460997242</v>
      </c>
      <c r="BD336" s="6">
        <f t="shared" ref="BD336:BF336" si="203">BD313+BD327+BD320</f>
        <v>101.48036503279999</v>
      </c>
      <c r="BE336" s="6">
        <f t="shared" si="203"/>
        <v>94.301090705199996</v>
      </c>
      <c r="BF336" s="6">
        <f t="shared" si="203"/>
        <v>87.58423832790001</v>
      </c>
    </row>
    <row r="337" spans="1:58" x14ac:dyDescent="0.35">
      <c r="B337" t="s">
        <v>102</v>
      </c>
      <c r="C337" s="6">
        <f t="shared" ref="C337:AL337" si="204">C314+C328+C321</f>
        <v>2242.8616504070001</v>
      </c>
      <c r="D337" s="6">
        <f t="shared" si="204"/>
        <v>2187.0347988975</v>
      </c>
      <c r="E337" s="6">
        <f t="shared" si="204"/>
        <v>2138.1699632545001</v>
      </c>
      <c r="F337" s="6">
        <f t="shared" si="204"/>
        <v>2091.8305567385</v>
      </c>
      <c r="G337" s="6">
        <f t="shared" si="204"/>
        <v>2045.3731435896998</v>
      </c>
      <c r="H337" s="6">
        <f t="shared" si="204"/>
        <v>1997.3356481828</v>
      </c>
      <c r="I337" s="6">
        <f t="shared" si="204"/>
        <v>1946.851402413</v>
      </c>
      <c r="J337" s="6">
        <f t="shared" si="204"/>
        <v>1893.7102022394001</v>
      </c>
      <c r="K337" s="6">
        <f t="shared" si="204"/>
        <v>1837.9814363429</v>
      </c>
      <c r="L337" s="6">
        <f t="shared" si="204"/>
        <v>1779.8962053176001</v>
      </c>
      <c r="M337" s="6">
        <f t="shared" si="204"/>
        <v>1719.9588465795</v>
      </c>
      <c r="N337" s="6">
        <f t="shared" si="204"/>
        <v>1658.3060606097999</v>
      </c>
      <c r="O337" s="6">
        <f t="shared" si="204"/>
        <v>1595.3275074493999</v>
      </c>
      <c r="P337" s="6">
        <f t="shared" si="204"/>
        <v>1531.4214596719</v>
      </c>
      <c r="Q337" s="6">
        <f t="shared" si="204"/>
        <v>1466.9821516397001</v>
      </c>
      <c r="R337" s="6">
        <f t="shared" si="204"/>
        <v>1402.3893211723</v>
      </c>
      <c r="S337" s="6">
        <f t="shared" si="204"/>
        <v>1337.9985942906999</v>
      </c>
      <c r="T337" s="6">
        <f t="shared" si="204"/>
        <v>1274.1415047411997</v>
      </c>
      <c r="U337" s="6">
        <f t="shared" si="204"/>
        <v>1211.1195903968</v>
      </c>
      <c r="V337" s="6">
        <f t="shared" si="204"/>
        <v>1149.2016179528998</v>
      </c>
      <c r="W337" s="6">
        <f t="shared" si="204"/>
        <v>1088.5793998955003</v>
      </c>
      <c r="X337" s="6">
        <f t="shared" si="204"/>
        <v>1029.5107748943999</v>
      </c>
      <c r="Y337" s="6">
        <f t="shared" si="204"/>
        <v>972.16461739270005</v>
      </c>
      <c r="Z337" s="6">
        <f t="shared" si="204"/>
        <v>916.67834384160005</v>
      </c>
      <c r="AA337" s="6">
        <f t="shared" si="204"/>
        <v>863.15999693460003</v>
      </c>
      <c r="AB337" s="6">
        <f t="shared" si="204"/>
        <v>811.62758157400003</v>
      </c>
      <c r="AC337" s="6">
        <f t="shared" si="204"/>
        <v>762.19567835220005</v>
      </c>
      <c r="AD337" s="6">
        <f t="shared" si="204"/>
        <v>714.9096347297999</v>
      </c>
      <c r="AE337" s="6">
        <f t="shared" si="204"/>
        <v>669.7922363007001</v>
      </c>
      <c r="AF337" s="6">
        <f t="shared" si="204"/>
        <v>626.8461097495001</v>
      </c>
      <c r="AG337" s="6">
        <f t="shared" si="204"/>
        <v>586.05658429570008</v>
      </c>
      <c r="AH337" s="6">
        <f t="shared" si="204"/>
        <v>547.39451073750001</v>
      </c>
      <c r="AI337" s="6">
        <f t="shared" si="204"/>
        <v>510.81863259429997</v>
      </c>
      <c r="AJ337" s="6">
        <f t="shared" si="204"/>
        <v>476.2779205521</v>
      </c>
      <c r="AK337" s="6">
        <f t="shared" si="204"/>
        <v>443.7135659356</v>
      </c>
      <c r="AL337" s="6">
        <f t="shared" si="204"/>
        <v>413.06068731609997</v>
      </c>
      <c r="AM337" s="6">
        <f t="shared" ref="AM337:BC337" si="205">AM314+AM328+AM321</f>
        <v>384.24728435009996</v>
      </c>
      <c r="AN337" s="6">
        <f t="shared" si="205"/>
        <v>357.20169385989999</v>
      </c>
      <c r="AO337" s="6">
        <f t="shared" si="205"/>
        <v>331.84964167219999</v>
      </c>
      <c r="AP337" s="6">
        <f t="shared" si="205"/>
        <v>308.11525742429995</v>
      </c>
      <c r="AQ337" s="6">
        <f t="shared" si="205"/>
        <v>285.9218856613</v>
      </c>
      <c r="AR337" s="6">
        <f t="shared" si="205"/>
        <v>265.19280148839999</v>
      </c>
      <c r="AS337" s="6">
        <f t="shared" si="205"/>
        <v>245.8517914926</v>
      </c>
      <c r="AT337" s="6">
        <f t="shared" si="205"/>
        <v>227.8237100581</v>
      </c>
      <c r="AU337" s="6">
        <f t="shared" si="205"/>
        <v>211.03493451330002</v>
      </c>
      <c r="AV337" s="6">
        <f t="shared" si="205"/>
        <v>195.41373302429997</v>
      </c>
      <c r="AW337" s="6">
        <f t="shared" si="205"/>
        <v>180.8906087961</v>
      </c>
      <c r="AX337" s="6">
        <f t="shared" si="205"/>
        <v>167.3983921777</v>
      </c>
      <c r="AY337" s="6">
        <f t="shared" si="205"/>
        <v>154.87251127270002</v>
      </c>
      <c r="AZ337" s="6">
        <f t="shared" si="205"/>
        <v>143.25112478870003</v>
      </c>
      <c r="BA337" s="6">
        <f t="shared" si="205"/>
        <v>132.47520260639999</v>
      </c>
      <c r="BB337" s="6">
        <f t="shared" si="205"/>
        <v>115.76718007650001</v>
      </c>
      <c r="BC337" s="6">
        <f t="shared" si="205"/>
        <v>106.9852440657</v>
      </c>
      <c r="BD337" s="6">
        <f t="shared" ref="BD337:BF337" si="206">BD314+BD328+BD321</f>
        <v>98.859860768900006</v>
      </c>
      <c r="BE337" s="6">
        <f t="shared" si="206"/>
        <v>91.344481884600015</v>
      </c>
      <c r="BF337" s="6">
        <f t="shared" si="206"/>
        <v>84.3953800476</v>
      </c>
    </row>
    <row r="339" spans="1:58" x14ac:dyDescent="0.35">
      <c r="A339" s="12" t="s">
        <v>90</v>
      </c>
      <c r="B339" s="6" t="str">
        <f>[1]Hybrid!A19</f>
        <v>auto_ca_cfut_0</v>
      </c>
      <c r="C339" s="6">
        <f>[1]Hybrid!B19</f>
        <v>7095.7005250000002</v>
      </c>
      <c r="D339" s="6">
        <f>[1]Hybrid!C19</f>
        <v>7145.1881139999996</v>
      </c>
      <c r="E339" s="6">
        <f>[1]Hybrid!D19</f>
        <v>7246.0534660000003</v>
      </c>
      <c r="F339" s="6">
        <f>[1]Hybrid!E19</f>
        <v>7381.6108940000004</v>
      </c>
      <c r="G339" s="6">
        <f>[1]Hybrid!F19</f>
        <v>7540.7730149999998</v>
      </c>
      <c r="H339" s="6">
        <f>[1]Hybrid!G19</f>
        <v>7716.3454810000003</v>
      </c>
      <c r="I339" s="6">
        <f>[1]Hybrid!H19</f>
        <v>7902.5358139999998</v>
      </c>
      <c r="J339" s="6">
        <f>[1]Hybrid!I19</f>
        <v>8096.314335</v>
      </c>
      <c r="K339" s="6">
        <f>[1]Hybrid!J19</f>
        <v>8295.6681740000004</v>
      </c>
      <c r="L339" s="6">
        <f>[1]Hybrid!K19</f>
        <v>8499.217713</v>
      </c>
      <c r="M339" s="6">
        <f>[1]Hybrid!L19</f>
        <v>8708.0686860000005</v>
      </c>
      <c r="N339" s="6">
        <f>[1]Hybrid!M19</f>
        <v>8919.2943749999995</v>
      </c>
      <c r="O339" s="6">
        <f>[1]Hybrid!N19</f>
        <v>9132.2456750000001</v>
      </c>
      <c r="P339" s="6">
        <f>[1]Hybrid!O19</f>
        <v>9346.3567199999998</v>
      </c>
      <c r="Q339" s="6">
        <f>[1]Hybrid!P19</f>
        <v>9561.1642670000001</v>
      </c>
      <c r="R339" s="6">
        <f>[1]Hybrid!Q19</f>
        <v>9776.3003779999999</v>
      </c>
      <c r="S339" s="6">
        <f>[1]Hybrid!R19</f>
        <v>9991.4774639999996</v>
      </c>
      <c r="T339" s="6">
        <f>[1]Hybrid!S19</f>
        <v>10206.472970000001</v>
      </c>
      <c r="U339" s="6">
        <f>[1]Hybrid!T19</f>
        <v>10421.116620000001</v>
      </c>
      <c r="V339" s="6">
        <f>[1]Hybrid!U19</f>
        <v>10635.28109</v>
      </c>
      <c r="W339" s="6">
        <f>[1]Hybrid!V19</f>
        <v>10847.227699999999</v>
      </c>
      <c r="X339" s="6">
        <f>[1]Hybrid!W19</f>
        <v>11058.634669999999</v>
      </c>
      <c r="Y339" s="6">
        <f>[1]Hybrid!X19</f>
        <v>11269.50849</v>
      </c>
      <c r="Z339" s="6">
        <f>[1]Hybrid!Y19</f>
        <v>11479.89775</v>
      </c>
      <c r="AA339" s="6">
        <f>[1]Hybrid!Z19</f>
        <v>11689.85655</v>
      </c>
      <c r="AB339" s="6">
        <f>[1]Hybrid!AA19</f>
        <v>11894.61527</v>
      </c>
      <c r="AC339" s="6">
        <f>[1]Hybrid!AB19</f>
        <v>12097.035309999999</v>
      </c>
      <c r="AD339" s="6">
        <f>[1]Hybrid!AC19</f>
        <v>12297.38128</v>
      </c>
      <c r="AE339" s="6">
        <f>[1]Hybrid!AD19</f>
        <v>12496.02024</v>
      </c>
      <c r="AF339" s="6">
        <f>[1]Hybrid!AE19</f>
        <v>12693.3424</v>
      </c>
      <c r="AG339" s="6">
        <f>[1]Hybrid!AF19</f>
        <v>12889.7217</v>
      </c>
      <c r="AH339" s="6">
        <f>[1]Hybrid!AG19</f>
        <v>13085.498310000001</v>
      </c>
      <c r="AI339" s="6">
        <f>[1]Hybrid!AH19</f>
        <v>13280.974389999999</v>
      </c>
      <c r="AJ339" s="6">
        <f>[1]Hybrid!AI19</f>
        <v>13476.416939999999</v>
      </c>
      <c r="AK339" s="6">
        <f>[1]Hybrid!AJ19</f>
        <v>13672.06379</v>
      </c>
      <c r="AL339" s="6">
        <f>[1]Hybrid!AK19</f>
        <v>13868.130010000001</v>
      </c>
      <c r="AM339" s="6">
        <f>[1]Hybrid!AL19</f>
        <v>14063.63243</v>
      </c>
      <c r="AN339" s="6">
        <f>[1]Hybrid!AM19</f>
        <v>14258.81358</v>
      </c>
      <c r="AO339" s="6">
        <f>[1]Hybrid!AN19</f>
        <v>14453.93002</v>
      </c>
      <c r="AP339" s="6">
        <f>[1]Hybrid!AO19</f>
        <v>14649.262930000001</v>
      </c>
      <c r="AQ339" s="6">
        <f>[1]Hybrid!AP19</f>
        <v>14845.10396</v>
      </c>
      <c r="AR339" s="6">
        <f>[1]Hybrid!AQ19</f>
        <v>15041.738069999999</v>
      </c>
      <c r="AS339" s="6">
        <f>[1]Hybrid!AR19</f>
        <v>15239.4306</v>
      </c>
      <c r="AT339" s="6">
        <f>[1]Hybrid!AS19</f>
        <v>15438.41994</v>
      </c>
      <c r="AU339" s="6">
        <f>[1]Hybrid!AT19</f>
        <v>15638.9151</v>
      </c>
      <c r="AV339" s="6">
        <f>[1]Hybrid!AU19</f>
        <v>15841.096820000001</v>
      </c>
      <c r="AW339" s="6">
        <f>[1]Hybrid!AV19</f>
        <v>16045.22767</v>
      </c>
      <c r="AX339" s="6">
        <f>[1]Hybrid!AW19</f>
        <v>16251.436159999999</v>
      </c>
      <c r="AY339" s="6">
        <f>[1]Hybrid!AX19</f>
        <v>16459.83066</v>
      </c>
      <c r="AZ339" s="6">
        <f>[1]Hybrid!AY19</f>
        <v>16670.50014</v>
      </c>
      <c r="BA339" s="6">
        <f>[1]Hybrid!AZ19</f>
        <v>16883.517749999999</v>
      </c>
      <c r="BB339" s="6">
        <f>[1]Hybrid!BA19</f>
        <v>18012.62011</v>
      </c>
      <c r="BC339" s="6">
        <f>[1]Hybrid!BB19</f>
        <v>18282.360379999998</v>
      </c>
      <c r="BD339" s="6">
        <f>[1]Hybrid!BC19</f>
        <v>18556.231739999999</v>
      </c>
      <c r="BE339" s="6">
        <f>[1]Hybrid!BD19</f>
        <v>18834.476409999999</v>
      </c>
      <c r="BF339" s="6">
        <f>[1]Hybrid!BE19</f>
        <v>19117.355759999999</v>
      </c>
    </row>
    <row r="340" spans="1:58" x14ac:dyDescent="0.35">
      <c r="A340" t="s">
        <v>38</v>
      </c>
      <c r="B340" s="6" t="str">
        <f>[1]Hybrid!A21</f>
        <v>auto_cb_cfut_0</v>
      </c>
      <c r="C340" s="6">
        <f>[1]Hybrid!B21</f>
        <v>8251.256421</v>
      </c>
      <c r="D340" s="6">
        <f>[1]Hybrid!C21</f>
        <v>8186.1344760000002</v>
      </c>
      <c r="E340" s="6">
        <f>[1]Hybrid!D21</f>
        <v>8177.9674539999996</v>
      </c>
      <c r="F340" s="6">
        <f>[1]Hybrid!E21</f>
        <v>8209.7989479999997</v>
      </c>
      <c r="G340" s="6">
        <f>[1]Hybrid!F21</f>
        <v>8270.2092520000006</v>
      </c>
      <c r="H340" s="6">
        <f>[1]Hybrid!G21</f>
        <v>8351.6250639999998</v>
      </c>
      <c r="I340" s="6">
        <f>[1]Hybrid!H21</f>
        <v>8447.9102899999998</v>
      </c>
      <c r="J340" s="6">
        <f>[1]Hybrid!I21</f>
        <v>8555.6340240000009</v>
      </c>
      <c r="K340" s="6">
        <f>[1]Hybrid!J21</f>
        <v>8672.3901740000001</v>
      </c>
      <c r="L340" s="6">
        <f>[1]Hybrid!K21</f>
        <v>8796.4214150000007</v>
      </c>
      <c r="M340" s="6">
        <f>[1]Hybrid!L21</f>
        <v>8928.3437549999999</v>
      </c>
      <c r="N340" s="6">
        <f>[1]Hybrid!M21</f>
        <v>9065.0210960000004</v>
      </c>
      <c r="O340" s="6">
        <f>[1]Hybrid!N21</f>
        <v>9205.494659</v>
      </c>
      <c r="P340" s="6">
        <f>[1]Hybrid!O21</f>
        <v>9348.9148619999996</v>
      </c>
      <c r="Q340" s="6">
        <f>[1]Hybrid!P21</f>
        <v>9494.5557950000002</v>
      </c>
      <c r="R340" s="6">
        <f>[1]Hybrid!Q21</f>
        <v>9641.8051689999993</v>
      </c>
      <c r="S340" s="6">
        <f>[1]Hybrid!R21</f>
        <v>9790.147669</v>
      </c>
      <c r="T340" s="6">
        <f>[1]Hybrid!S21</f>
        <v>9939.1483800000005</v>
      </c>
      <c r="U340" s="6">
        <f>[1]Hybrid!T21</f>
        <v>10088.43888</v>
      </c>
      <c r="V340" s="6">
        <f>[1]Hybrid!U21</f>
        <v>10237.70664</v>
      </c>
      <c r="W340" s="6">
        <f>[1]Hybrid!V21</f>
        <v>10385.19296</v>
      </c>
      <c r="X340" s="6">
        <f>[1]Hybrid!W21</f>
        <v>10532.261329999999</v>
      </c>
      <c r="Y340" s="6">
        <f>[1]Hybrid!X21</f>
        <v>10678.761189999999</v>
      </c>
      <c r="Z340" s="6">
        <f>[1]Hybrid!Y21</f>
        <v>10824.58869</v>
      </c>
      <c r="AA340" s="6">
        <f>[1]Hybrid!Z21</f>
        <v>10969.65295</v>
      </c>
      <c r="AB340" s="6">
        <f>[1]Hybrid!AA21</f>
        <v>11109.57706</v>
      </c>
      <c r="AC340" s="6">
        <f>[1]Hybrid!AB21</f>
        <v>11246.82293</v>
      </c>
      <c r="AD340" s="6">
        <f>[1]Hybrid!AC21</f>
        <v>11381.53184</v>
      </c>
      <c r="AE340" s="6">
        <f>[1]Hybrid!AD21</f>
        <v>11513.936949999999</v>
      </c>
      <c r="AF340" s="6">
        <f>[1]Hybrid!AE21</f>
        <v>11644.29176</v>
      </c>
      <c r="AG340" s="6">
        <f>[1]Hybrid!AF21</f>
        <v>11772.83489</v>
      </c>
      <c r="AH340" s="6">
        <f>[1]Hybrid!AG21</f>
        <v>11899.77476</v>
      </c>
      <c r="AI340" s="6">
        <f>[1]Hybrid!AH21</f>
        <v>12025.285809999999</v>
      </c>
      <c r="AJ340" s="6">
        <f>[1]Hybrid!AI21</f>
        <v>12149.511109999999</v>
      </c>
      <c r="AK340" s="6">
        <f>[1]Hybrid!AJ21</f>
        <v>12272.56768</v>
      </c>
      <c r="AL340" s="6">
        <f>[1]Hybrid!AK21</f>
        <v>12394.55207</v>
      </c>
      <c r="AM340" s="6">
        <f>[1]Hybrid!AL21</f>
        <v>12514.54242</v>
      </c>
      <c r="AN340" s="6">
        <f>[1]Hybrid!AM21</f>
        <v>12632.670630000001</v>
      </c>
      <c r="AO340" s="6">
        <f>[1]Hybrid!AN21</f>
        <v>12749.080190000001</v>
      </c>
      <c r="AP340" s="6">
        <f>[1]Hybrid!AO21</f>
        <v>12863.93367</v>
      </c>
      <c r="AQ340" s="6">
        <f>[1]Hybrid!AP21</f>
        <v>12977.399820000001</v>
      </c>
      <c r="AR340" s="6">
        <f>[1]Hybrid!AQ21</f>
        <v>13089.638779999999</v>
      </c>
      <c r="AS340" s="6">
        <f>[1]Hybrid!AR21</f>
        <v>13200.7912</v>
      </c>
      <c r="AT340" s="6">
        <f>[1]Hybrid!AS21</f>
        <v>13310.97235</v>
      </c>
      <c r="AU340" s="6">
        <f>[1]Hybrid!AT21</f>
        <v>13420.270399999999</v>
      </c>
      <c r="AV340" s="6">
        <f>[1]Hybrid!AU21</f>
        <v>13528.747579999999</v>
      </c>
      <c r="AW340" s="6">
        <f>[1]Hybrid!AV21</f>
        <v>13636.529339999999</v>
      </c>
      <c r="AX340" s="6">
        <f>[1]Hybrid!AW21</f>
        <v>13743.62917</v>
      </c>
      <c r="AY340" s="6">
        <f>[1]Hybrid!AX21</f>
        <v>13850.042100000001</v>
      </c>
      <c r="AZ340" s="6">
        <f>[1]Hybrid!AY21</f>
        <v>13955.74569</v>
      </c>
      <c r="BA340" s="6">
        <f>[1]Hybrid!AZ21</f>
        <v>14060.70319</v>
      </c>
      <c r="BB340" s="6">
        <f>[1]Hybrid!BA21</f>
        <v>14897.27658</v>
      </c>
      <c r="BC340" s="6">
        <f>[1]Hybrid!BB21</f>
        <v>15039.48724</v>
      </c>
      <c r="BD340" s="6">
        <f>[1]Hybrid!BC21</f>
        <v>15181.8681</v>
      </c>
      <c r="BE340" s="6">
        <f>[1]Hybrid!BD21</f>
        <v>15324.50747</v>
      </c>
      <c r="BF340" s="6">
        <f>[1]Hybrid!BE21</f>
        <v>15467.50431</v>
      </c>
    </row>
    <row r="341" spans="1:58" x14ac:dyDescent="0.35">
      <c r="B341" s="6" t="str">
        <f>[1]Hybrid!A23</f>
        <v>auto_cc_cfut_0</v>
      </c>
      <c r="C341" s="6">
        <f>[1]Hybrid!B23</f>
        <v>6777.6024520000001</v>
      </c>
      <c r="D341" s="6">
        <f>[1]Hybrid!C23</f>
        <v>6649.1114459999999</v>
      </c>
      <c r="E341" s="6">
        <f>[1]Hybrid!D23</f>
        <v>6565.7578860000003</v>
      </c>
      <c r="F341" s="6">
        <f>[1]Hybrid!E23</f>
        <v>6515.1295110000001</v>
      </c>
      <c r="G341" s="6">
        <f>[1]Hybrid!F23</f>
        <v>6488.7621470000004</v>
      </c>
      <c r="H341" s="6">
        <f>[1]Hybrid!G23</f>
        <v>6480.9323480000003</v>
      </c>
      <c r="I341" s="6">
        <f>[1]Hybrid!H23</f>
        <v>6486.9770259999996</v>
      </c>
      <c r="J341" s="6">
        <f>[1]Hybrid!I23</f>
        <v>6504.1443790000003</v>
      </c>
      <c r="K341" s="6">
        <f>[1]Hybrid!J23</f>
        <v>6530.4276440000003</v>
      </c>
      <c r="L341" s="6">
        <f>[1]Hybrid!K23</f>
        <v>6564.2992759999997</v>
      </c>
      <c r="M341" s="6">
        <f>[1]Hybrid!L23</f>
        <v>6605.8686850000004</v>
      </c>
      <c r="N341" s="6">
        <f>[1]Hybrid!M23</f>
        <v>6652.7305319999996</v>
      </c>
      <c r="O341" s="6">
        <f>[1]Hybrid!N23</f>
        <v>6703.982575</v>
      </c>
      <c r="P341" s="6">
        <f>[1]Hybrid!O23</f>
        <v>6758.8198849999999</v>
      </c>
      <c r="Q341" s="6">
        <f>[1]Hybrid!P23</f>
        <v>6816.5419819999997</v>
      </c>
      <c r="R341" s="6">
        <f>[1]Hybrid!Q23</f>
        <v>6876.5437389999997</v>
      </c>
      <c r="S341" s="6">
        <f>[1]Hybrid!R23</f>
        <v>6938.3022250000004</v>
      </c>
      <c r="T341" s="6">
        <f>[1]Hybrid!S23</f>
        <v>7001.363883</v>
      </c>
      <c r="U341" s="6">
        <f>[1]Hybrid!T23</f>
        <v>7065.3336900000004</v>
      </c>
      <c r="V341" s="6">
        <f>[1]Hybrid!U23</f>
        <v>7129.866677</v>
      </c>
      <c r="W341" s="6">
        <f>[1]Hybrid!V23</f>
        <v>7193.6837830000004</v>
      </c>
      <c r="X341" s="6">
        <f>[1]Hybrid!W23</f>
        <v>7257.5660749999997</v>
      </c>
      <c r="Y341" s="6">
        <f>[1]Hybrid!X23</f>
        <v>7321.3073160000004</v>
      </c>
      <c r="Z341" s="6">
        <f>[1]Hybrid!Y23</f>
        <v>7384.7393060000004</v>
      </c>
      <c r="AA341" s="6">
        <f>[1]Hybrid!Z23</f>
        <v>7447.7093580000001</v>
      </c>
      <c r="AB341" s="6">
        <f>[1]Hybrid!AA23</f>
        <v>7507.318663</v>
      </c>
      <c r="AC341" s="6">
        <f>[1]Hybrid!AB23</f>
        <v>7565.092232</v>
      </c>
      <c r="AD341" s="6">
        <f>[1]Hybrid!AC23</f>
        <v>7621.0602120000003</v>
      </c>
      <c r="AE341" s="6">
        <f>[1]Hybrid!AD23</f>
        <v>7675.3137589999997</v>
      </c>
      <c r="AF341" s="6">
        <f>[1]Hybrid!AE23</f>
        <v>7727.9584420000001</v>
      </c>
      <c r="AG341" s="6">
        <f>[1]Hybrid!AF23</f>
        <v>7779.0916399999996</v>
      </c>
      <c r="AH341" s="6">
        <f>[1]Hybrid!AG23</f>
        <v>7828.792751</v>
      </c>
      <c r="AI341" s="6">
        <f>[1]Hybrid!AH23</f>
        <v>7877.1208900000001</v>
      </c>
      <c r="AJ341" s="6">
        <f>[1]Hybrid!AI23</f>
        <v>7924.1165979999996</v>
      </c>
      <c r="AK341" s="6">
        <f>[1]Hybrid!AJ23</f>
        <v>7969.8052239999997</v>
      </c>
      <c r="AL341" s="6">
        <f>[1]Hybrid!AK23</f>
        <v>8014.2005319999998</v>
      </c>
      <c r="AM341" s="6">
        <f>[1]Hybrid!AL23</f>
        <v>8056.6930320000001</v>
      </c>
      <c r="AN341" s="6">
        <f>[1]Hybrid!AM23</f>
        <v>8097.3287350000001</v>
      </c>
      <c r="AO341" s="6">
        <f>[1]Hybrid!AN23</f>
        <v>8136.1621290000003</v>
      </c>
      <c r="AP341" s="6">
        <f>[1]Hybrid!AO23</f>
        <v>8173.2598939999998</v>
      </c>
      <c r="AQ341" s="6">
        <f>[1]Hybrid!AP23</f>
        <v>8208.6924859999999</v>
      </c>
      <c r="AR341" s="6">
        <f>[1]Hybrid!AQ23</f>
        <v>8242.5249910000002</v>
      </c>
      <c r="AS341" s="6">
        <f>[1]Hybrid!AR23</f>
        <v>8274.8106189999999</v>
      </c>
      <c r="AT341" s="6">
        <f>[1]Hybrid!AS23</f>
        <v>8305.587329</v>
      </c>
      <c r="AU341" s="6">
        <f>[1]Hybrid!AT23</f>
        <v>8334.8770359999999</v>
      </c>
      <c r="AV341" s="6">
        <f>[1]Hybrid!AU23</f>
        <v>8362.6865570000009</v>
      </c>
      <c r="AW341" s="6">
        <f>[1]Hybrid!AV23</f>
        <v>8389.0597720000005</v>
      </c>
      <c r="AX341" s="6">
        <f>[1]Hybrid!AW23</f>
        <v>8413.9751020000003</v>
      </c>
      <c r="AY341" s="6">
        <f>[1]Hybrid!AX23</f>
        <v>8437.4009530000003</v>
      </c>
      <c r="AZ341" s="6">
        <f>[1]Hybrid!AY23</f>
        <v>8459.2966209999995</v>
      </c>
      <c r="BA341" s="6">
        <f>[1]Hybrid!AZ23</f>
        <v>8479.6143470000006</v>
      </c>
      <c r="BB341" s="6">
        <f>[1]Hybrid!BA23</f>
        <v>8921.7440729999998</v>
      </c>
      <c r="BC341" s="6">
        <f>[1]Hybrid!BB23</f>
        <v>8959.6840950000005</v>
      </c>
      <c r="BD341" s="6">
        <f>[1]Hybrid!BC23</f>
        <v>8996.3812340000004</v>
      </c>
      <c r="BE341" s="6">
        <f>[1]Hybrid!BD23</f>
        <v>9031.8619600000002</v>
      </c>
      <c r="BF341" s="6">
        <f>[1]Hybrid!BE23</f>
        <v>9066.1583840000003</v>
      </c>
    </row>
    <row r="342" spans="1:58" x14ac:dyDescent="0.35">
      <c r="B342" s="6" t="str">
        <f>[1]Hybrid!A25</f>
        <v>auto_cd_cfut_0</v>
      </c>
      <c r="C342" s="6">
        <f>[1]Hybrid!B25</f>
        <v>4159.6639080000004</v>
      </c>
      <c r="D342" s="6">
        <f>[1]Hybrid!C25</f>
        <v>4055.9300109999999</v>
      </c>
      <c r="E342" s="6">
        <f>[1]Hybrid!D25</f>
        <v>3977.7671679999999</v>
      </c>
      <c r="F342" s="6">
        <f>[1]Hybrid!E25</f>
        <v>3917.693303</v>
      </c>
      <c r="G342" s="6">
        <f>[1]Hybrid!F25</f>
        <v>3870.6369599999998</v>
      </c>
      <c r="H342" s="6">
        <f>[1]Hybrid!G25</f>
        <v>3833.1758840000002</v>
      </c>
      <c r="I342" s="6">
        <f>[1]Hybrid!H25</f>
        <v>3802.5753909999999</v>
      </c>
      <c r="J342" s="6">
        <f>[1]Hybrid!I25</f>
        <v>3777.1954820000001</v>
      </c>
      <c r="K342" s="6">
        <f>[1]Hybrid!J25</f>
        <v>3755.8401429999999</v>
      </c>
      <c r="L342" s="6">
        <f>[1]Hybrid!K25</f>
        <v>3737.6000060000001</v>
      </c>
      <c r="M342" s="6">
        <f>[1]Hybrid!L25</f>
        <v>3722.4116779999999</v>
      </c>
      <c r="N342" s="6">
        <f>[1]Hybrid!M25</f>
        <v>3708.972143</v>
      </c>
      <c r="O342" s="6">
        <f>[1]Hybrid!N25</f>
        <v>3696.7601650000001</v>
      </c>
      <c r="P342" s="6">
        <f>[1]Hybrid!O25</f>
        <v>3685.322416</v>
      </c>
      <c r="Q342" s="6">
        <f>[1]Hybrid!P25</f>
        <v>3674.2734359999999</v>
      </c>
      <c r="R342" s="6">
        <f>[1]Hybrid!Q25</f>
        <v>3663.288211</v>
      </c>
      <c r="S342" s="6">
        <f>[1]Hybrid!R25</f>
        <v>3652.0934739999998</v>
      </c>
      <c r="T342" s="6">
        <f>[1]Hybrid!S25</f>
        <v>3640.459703</v>
      </c>
      <c r="U342" s="6">
        <f>[1]Hybrid!T25</f>
        <v>3628.1943799999999</v>
      </c>
      <c r="V342" s="6">
        <f>[1]Hybrid!U25</f>
        <v>3615.1365740000001</v>
      </c>
      <c r="W342" s="6">
        <f>[1]Hybrid!V25</f>
        <v>3600.7336100000002</v>
      </c>
      <c r="X342" s="6">
        <f>[1]Hybrid!W25</f>
        <v>3585.3355430000001</v>
      </c>
      <c r="Y342" s="6">
        <f>[1]Hybrid!X25</f>
        <v>3568.8628899999999</v>
      </c>
      <c r="Z342" s="6">
        <f>[1]Hybrid!Y25</f>
        <v>3551.2553910000001</v>
      </c>
      <c r="AA342" s="6">
        <f>[1]Hybrid!Z25</f>
        <v>3532.4625329999999</v>
      </c>
      <c r="AB342" s="6">
        <f>[1]Hybrid!AA25</f>
        <v>3511.3548949999999</v>
      </c>
      <c r="AC342" s="6">
        <f>[1]Hybrid!AB25</f>
        <v>3488.5944610000001</v>
      </c>
      <c r="AD342" s="6">
        <f>[1]Hybrid!AC25</f>
        <v>3464.2380050000002</v>
      </c>
      <c r="AE342" s="6">
        <f>[1]Hybrid!AD25</f>
        <v>3438.3627369999999</v>
      </c>
      <c r="AF342" s="6">
        <f>[1]Hybrid!AE25</f>
        <v>3411.0476800000001</v>
      </c>
      <c r="AG342" s="6">
        <f>[1]Hybrid!AF25</f>
        <v>3382.3655359999998</v>
      </c>
      <c r="AH342" s="6">
        <f>[1]Hybrid!AG25</f>
        <v>3352.3797669999999</v>
      </c>
      <c r="AI342" s="6">
        <f>[1]Hybrid!AH25</f>
        <v>3321.144495</v>
      </c>
      <c r="AJ342" s="6">
        <f>[1]Hybrid!AI25</f>
        <v>3288.7058320000001</v>
      </c>
      <c r="AK342" s="6">
        <f>[1]Hybrid!AJ25</f>
        <v>3255.103732</v>
      </c>
      <c r="AL342" s="6">
        <f>[1]Hybrid!AK25</f>
        <v>3220.3738330000001</v>
      </c>
      <c r="AM342" s="6">
        <f>[1]Hybrid!AL25</f>
        <v>3184.352695</v>
      </c>
      <c r="AN342" s="6">
        <f>[1]Hybrid!AM25</f>
        <v>3147.0984330000001</v>
      </c>
      <c r="AO342" s="6">
        <f>[1]Hybrid!AN25</f>
        <v>3108.672286</v>
      </c>
      <c r="AP342" s="6">
        <f>[1]Hybrid!AO25</f>
        <v>3069.1387829999999</v>
      </c>
      <c r="AQ342" s="6">
        <f>[1]Hybrid!AP25</f>
        <v>3028.5626670000001</v>
      </c>
      <c r="AR342" s="6">
        <f>[1]Hybrid!AQ25</f>
        <v>2987.0061369999999</v>
      </c>
      <c r="AS342" s="6">
        <f>[1]Hybrid!AR25</f>
        <v>2944.527223</v>
      </c>
      <c r="AT342" s="6">
        <f>[1]Hybrid!AS25</f>
        <v>2901.179255</v>
      </c>
      <c r="AU342" s="6">
        <f>[1]Hybrid!AT25</f>
        <v>2857.011113</v>
      </c>
      <c r="AV342" s="6">
        <f>[1]Hybrid!AU25</f>
        <v>2812.0679540000001</v>
      </c>
      <c r="AW342" s="6">
        <f>[1]Hybrid!AV25</f>
        <v>2766.4048560000001</v>
      </c>
      <c r="AX342" s="6">
        <f>[1]Hybrid!AW25</f>
        <v>2720.0603270000001</v>
      </c>
      <c r="AY342" s="6">
        <f>[1]Hybrid!AX25</f>
        <v>2673.0715919999998</v>
      </c>
      <c r="AZ342" s="6">
        <f>[1]Hybrid!AY25</f>
        <v>2625.4751569999999</v>
      </c>
      <c r="BA342" s="6">
        <f>[1]Hybrid!AZ25</f>
        <v>2577.30755</v>
      </c>
      <c r="BB342" s="6">
        <f>[1]Hybrid!BA25</f>
        <v>2596.5519389999999</v>
      </c>
      <c r="BC342" s="6">
        <f>[1]Hybrid!BB25</f>
        <v>2548.3801870000002</v>
      </c>
      <c r="BD342" s="6">
        <f>[1]Hybrid!BC25</f>
        <v>2499.6340030000001</v>
      </c>
      <c r="BE342" s="6">
        <f>[1]Hybrid!BD25</f>
        <v>2450.3657029999999</v>
      </c>
      <c r="BF342" s="6">
        <f>[1]Hybrid!BE25</f>
        <v>2400.6280200000001</v>
      </c>
    </row>
    <row r="343" spans="1:58" x14ac:dyDescent="0.35">
      <c r="B343" s="6" t="str">
        <f>[1]Hybrid!A27</f>
        <v>auto_ce_cfut_0</v>
      </c>
      <c r="C343" s="6">
        <f>[1]Hybrid!B27</f>
        <v>2503.7292430000002</v>
      </c>
      <c r="D343" s="6">
        <f>[1]Hybrid!C27</f>
        <v>2443.575566</v>
      </c>
      <c r="E343" s="6">
        <f>[1]Hybrid!D27</f>
        <v>2397.7906779999998</v>
      </c>
      <c r="F343" s="6">
        <f>[1]Hybrid!E27</f>
        <v>2361.5943010000001</v>
      </c>
      <c r="G343" s="6">
        <f>[1]Hybrid!F27</f>
        <v>2331.807464</v>
      </c>
      <c r="H343" s="6">
        <f>[1]Hybrid!G27</f>
        <v>2306.33178</v>
      </c>
      <c r="I343" s="6">
        <f>[1]Hybrid!H27</f>
        <v>2283.539949</v>
      </c>
      <c r="J343" s="6">
        <f>[1]Hybrid!I27</f>
        <v>2262.490918</v>
      </c>
      <c r="K343" s="6">
        <f>[1]Hybrid!J27</f>
        <v>2242.5270810000002</v>
      </c>
      <c r="L343" s="6">
        <f>[1]Hybrid!K27</f>
        <v>2223.1721659999998</v>
      </c>
      <c r="M343" s="6">
        <f>[1]Hybrid!L27</f>
        <v>2204.4341850000001</v>
      </c>
      <c r="N343" s="6">
        <f>[1]Hybrid!M27</f>
        <v>2185.631183</v>
      </c>
      <c r="O343" s="6">
        <f>[1]Hybrid!N27</f>
        <v>2166.5305119999998</v>
      </c>
      <c r="P343" s="6">
        <f>[1]Hybrid!O27</f>
        <v>2146.9429209999998</v>
      </c>
      <c r="Q343" s="6">
        <f>[1]Hybrid!P27</f>
        <v>2126.7206900000001</v>
      </c>
      <c r="R343" s="6">
        <f>[1]Hybrid!Q27</f>
        <v>2105.7520530000002</v>
      </c>
      <c r="S343" s="6">
        <f>[1]Hybrid!R27</f>
        <v>2083.9553289999999</v>
      </c>
      <c r="T343" s="6">
        <f>[1]Hybrid!S27</f>
        <v>2061.273713</v>
      </c>
      <c r="U343" s="6">
        <f>[1]Hybrid!T27</f>
        <v>2037.670938</v>
      </c>
      <c r="V343" s="6">
        <f>[1]Hybrid!U27</f>
        <v>2013.127757</v>
      </c>
      <c r="W343" s="6">
        <f>[1]Hybrid!V27</f>
        <v>1987.434747</v>
      </c>
      <c r="X343" s="6">
        <f>[1]Hybrid!W27</f>
        <v>1960.828469</v>
      </c>
      <c r="Y343" s="6">
        <f>[1]Hybrid!X27</f>
        <v>1933.3301280000001</v>
      </c>
      <c r="Z343" s="6">
        <f>[1]Hybrid!Y27</f>
        <v>1904.968777</v>
      </c>
      <c r="AA343" s="6">
        <f>[1]Hybrid!Z27</f>
        <v>1875.776867</v>
      </c>
      <c r="AB343" s="6">
        <f>[1]Hybrid!AA27</f>
        <v>1845.2980910000001</v>
      </c>
      <c r="AC343" s="6">
        <f>[1]Hybrid!AB27</f>
        <v>1813.902844</v>
      </c>
      <c r="AD343" s="6">
        <f>[1]Hybrid!AC27</f>
        <v>1781.6781599999999</v>
      </c>
      <c r="AE343" s="6">
        <f>[1]Hybrid!AD27</f>
        <v>1748.716011</v>
      </c>
      <c r="AF343" s="6">
        <f>[1]Hybrid!AE27</f>
        <v>1715.1050250000001</v>
      </c>
      <c r="AG343" s="6">
        <f>[1]Hybrid!AF27</f>
        <v>1680.9273439999999</v>
      </c>
      <c r="AH343" s="6">
        <f>[1]Hybrid!AG27</f>
        <v>1646.257861</v>
      </c>
      <c r="AI343" s="6">
        <f>[1]Hybrid!AH27</f>
        <v>1611.1646410000001</v>
      </c>
      <c r="AJ343" s="6">
        <f>[1]Hybrid!AI27</f>
        <v>1575.7099029999999</v>
      </c>
      <c r="AK343" s="6">
        <f>[1]Hybrid!AJ27</f>
        <v>1539.951135</v>
      </c>
      <c r="AL343" s="6">
        <f>[1]Hybrid!AK27</f>
        <v>1503.9421600000001</v>
      </c>
      <c r="AM343" s="6">
        <f>[1]Hybrid!AL27</f>
        <v>1467.6606859999999</v>
      </c>
      <c r="AN343" s="6">
        <f>[1]Hybrid!AM27</f>
        <v>1431.1695070000001</v>
      </c>
      <c r="AO343" s="6">
        <f>[1]Hybrid!AN27</f>
        <v>1394.5307359999999</v>
      </c>
      <c r="AP343" s="6">
        <f>[1]Hybrid!AO27</f>
        <v>1357.805564</v>
      </c>
      <c r="AQ343" s="6">
        <f>[1]Hybrid!AP27</f>
        <v>1321.0530369999999</v>
      </c>
      <c r="AR343" s="6">
        <f>[1]Hybrid!AQ27</f>
        <v>1284.3291260000001</v>
      </c>
      <c r="AS343" s="6">
        <f>[1]Hybrid!AR27</f>
        <v>1247.6863069999999</v>
      </c>
      <c r="AT343" s="6">
        <f>[1]Hybrid!AS27</f>
        <v>1211.1735490000001</v>
      </c>
      <c r="AU343" s="6">
        <f>[1]Hybrid!AT27</f>
        <v>1174.836564</v>
      </c>
      <c r="AV343" s="6">
        <f>[1]Hybrid!AU27</f>
        <v>1138.7181869999999</v>
      </c>
      <c r="AW343" s="6">
        <f>[1]Hybrid!AV27</f>
        <v>1102.8626280000001</v>
      </c>
      <c r="AX343" s="6">
        <f>[1]Hybrid!AW27</f>
        <v>1067.3073179999999</v>
      </c>
      <c r="AY343" s="6">
        <f>[1]Hybrid!AX27</f>
        <v>1032.0878640000001</v>
      </c>
      <c r="AZ343" s="6">
        <f>[1]Hybrid!AY27</f>
        <v>997.23826780000002</v>
      </c>
      <c r="BA343" s="6">
        <f>[1]Hybrid!AZ27</f>
        <v>962.79116050000005</v>
      </c>
      <c r="BB343" s="6">
        <f>[1]Hybrid!BA27</f>
        <v>945.27267259999996</v>
      </c>
      <c r="BC343" s="6">
        <f>[1]Hybrid!BB27</f>
        <v>911.68588090000003</v>
      </c>
      <c r="BD343" s="6">
        <f>[1]Hybrid!BC27</f>
        <v>878.5668349</v>
      </c>
      <c r="BE343" s="6">
        <f>[1]Hybrid!BD27</f>
        <v>845.94794160000004</v>
      </c>
      <c r="BF343" s="6">
        <f>[1]Hybrid!BE27</f>
        <v>813.85963189999995</v>
      </c>
    </row>
    <row r="344" spans="1:58" x14ac:dyDescent="0.35">
      <c r="B344" s="6" t="str">
        <f>[1]Hybrid!A29</f>
        <v>auto_cf_cfut_0</v>
      </c>
      <c r="C344" s="6">
        <f>[1]Hybrid!B29</f>
        <v>1243.6668460000001</v>
      </c>
      <c r="D344" s="6">
        <f>[1]Hybrid!C29</f>
        <v>1210.948854</v>
      </c>
      <c r="E344" s="6">
        <f>[1]Hybrid!D29</f>
        <v>1183.6825679999999</v>
      </c>
      <c r="F344" s="6">
        <f>[1]Hybrid!E29</f>
        <v>1159.2756890000001</v>
      </c>
      <c r="G344" s="6">
        <f>[1]Hybrid!F29</f>
        <v>1136.132953</v>
      </c>
      <c r="H344" s="6">
        <f>[1]Hybrid!G29</f>
        <v>1113.3056999999999</v>
      </c>
      <c r="I344" s="6">
        <f>[1]Hybrid!H29</f>
        <v>1090.158009</v>
      </c>
      <c r="J344" s="6">
        <f>[1]Hybrid!I29</f>
        <v>1066.408351</v>
      </c>
      <c r="K344" s="6">
        <f>[1]Hybrid!J29</f>
        <v>1041.927115</v>
      </c>
      <c r="L344" s="6">
        <f>[1]Hybrid!K29</f>
        <v>1016.676509</v>
      </c>
      <c r="M344" s="6">
        <f>[1]Hybrid!L29</f>
        <v>990.79836620000003</v>
      </c>
      <c r="N344" s="6">
        <f>[1]Hybrid!M29</f>
        <v>964.19775719999996</v>
      </c>
      <c r="O344" s="6">
        <f>[1]Hybrid!N29</f>
        <v>936.94409010000004</v>
      </c>
      <c r="P344" s="6">
        <f>[1]Hybrid!O29</f>
        <v>909.12150550000001</v>
      </c>
      <c r="Q344" s="6">
        <f>[1]Hybrid!P29</f>
        <v>880.82501990000003</v>
      </c>
      <c r="R344" s="6">
        <f>[1]Hybrid!Q29</f>
        <v>852.15627129999996</v>
      </c>
      <c r="S344" s="6">
        <f>[1]Hybrid!R29</f>
        <v>823.21993559999999</v>
      </c>
      <c r="T344" s="6">
        <f>[1]Hybrid!S29</f>
        <v>794.12089990000004</v>
      </c>
      <c r="U344" s="6">
        <f>[1]Hybrid!T29</f>
        <v>764.96208820000004</v>
      </c>
      <c r="V344" s="6">
        <f>[1]Hybrid!U29</f>
        <v>735.84282480000002</v>
      </c>
      <c r="W344" s="6">
        <f>[1]Hybrid!V29</f>
        <v>706.81445080000003</v>
      </c>
      <c r="X344" s="6">
        <f>[1]Hybrid!W29</f>
        <v>678.01820069999997</v>
      </c>
      <c r="Y344" s="6">
        <f>[1]Hybrid!X29</f>
        <v>649.53709939999999</v>
      </c>
      <c r="Z344" s="6">
        <f>[1]Hybrid!Y29</f>
        <v>621.44689930000004</v>
      </c>
      <c r="AA344" s="6">
        <f>[1]Hybrid!Z29</f>
        <v>593.81567740000003</v>
      </c>
      <c r="AB344" s="6">
        <f>[1]Hybrid!AA29</f>
        <v>566.62496899999996</v>
      </c>
      <c r="AC344" s="6">
        <f>[1]Hybrid!AB29</f>
        <v>539.99172169999997</v>
      </c>
      <c r="AD344" s="6">
        <f>[1]Hybrid!AC29</f>
        <v>513.97431979999999</v>
      </c>
      <c r="AE344" s="6">
        <f>[1]Hybrid!AD29</f>
        <v>488.62300379999999</v>
      </c>
      <c r="AF344" s="6">
        <f>[1]Hybrid!AE29</f>
        <v>463.97932980000002</v>
      </c>
      <c r="AG344" s="6">
        <f>[1]Hybrid!AF29</f>
        <v>440.0766021</v>
      </c>
      <c r="AH344" s="6">
        <f>[1]Hybrid!AG29</f>
        <v>416.9406204</v>
      </c>
      <c r="AI344" s="6">
        <f>[1]Hybrid!AH29</f>
        <v>394.59050450000001</v>
      </c>
      <c r="AJ344" s="6">
        <f>[1]Hybrid!AI29</f>
        <v>373.03949499999999</v>
      </c>
      <c r="AK344" s="6">
        <f>[1]Hybrid!AJ29</f>
        <v>352.29568499999999</v>
      </c>
      <c r="AL344" s="6">
        <f>[1]Hybrid!AK29</f>
        <v>332.36266280000001</v>
      </c>
      <c r="AM344" s="6">
        <f>[1]Hybrid!AL29</f>
        <v>313.23410339999998</v>
      </c>
      <c r="AN344" s="6">
        <f>[1]Hybrid!AM29</f>
        <v>294.90834960000001</v>
      </c>
      <c r="AO344" s="6">
        <f>[1]Hybrid!AN29</f>
        <v>277.38045099999999</v>
      </c>
      <c r="AP344" s="6">
        <f>[1]Hybrid!AO29</f>
        <v>260.642404</v>
      </c>
      <c r="AQ344" s="6">
        <f>[1]Hybrid!AP29</f>
        <v>244.6833704</v>
      </c>
      <c r="AR344" s="6">
        <f>[1]Hybrid!AQ29</f>
        <v>229.4899504</v>
      </c>
      <c r="AS344" s="6">
        <f>[1]Hybrid!AR29</f>
        <v>215.0464896</v>
      </c>
      <c r="AT344" s="6">
        <f>[1]Hybrid!AS29</f>
        <v>201.33539339999999</v>
      </c>
      <c r="AU344" s="6">
        <f>[1]Hybrid!AT29</f>
        <v>188.3374312</v>
      </c>
      <c r="AV344" s="6">
        <f>[1]Hybrid!AU29</f>
        <v>176.03201910000001</v>
      </c>
      <c r="AW344" s="6">
        <f>[1]Hybrid!AV29</f>
        <v>164.39762329999999</v>
      </c>
      <c r="AX344" s="6">
        <f>[1]Hybrid!AW29</f>
        <v>153.41163599999999</v>
      </c>
      <c r="AY344" s="6">
        <f>[1]Hybrid!AX29</f>
        <v>143.05080029999999</v>
      </c>
      <c r="AZ344" s="6">
        <f>[1]Hybrid!AY29</f>
        <v>133.29139470000001</v>
      </c>
      <c r="BA344" s="6">
        <f>[1]Hybrid!AZ29</f>
        <v>124.1094008</v>
      </c>
      <c r="BB344" s="6">
        <f>[1]Hybrid!BA29</f>
        <v>114.9074565</v>
      </c>
      <c r="BC344" s="6">
        <f>[1]Hybrid!BB29</f>
        <v>106.8293941</v>
      </c>
      <c r="BD344" s="6">
        <f>[1]Hybrid!BC29</f>
        <v>99.257369080000004</v>
      </c>
      <c r="BE344" s="6">
        <f>[1]Hybrid!BD29</f>
        <v>92.167277819999995</v>
      </c>
      <c r="BF344" s="6">
        <f>[1]Hybrid!BE29</f>
        <v>85.535296729999999</v>
      </c>
    </row>
    <row r="345" spans="1:58" x14ac:dyDescent="0.35">
      <c r="B345" s="6" t="str">
        <f>[1]Hybrid!A31</f>
        <v>auto_cg_cfut_0</v>
      </c>
      <c r="C345" s="6">
        <f>[1]Hybrid!B31</f>
        <v>2239.620606</v>
      </c>
      <c r="D345" s="6">
        <f>[1]Hybrid!C31</f>
        <v>2183.8728540000002</v>
      </c>
      <c r="E345" s="6">
        <f>[1]Hybrid!D31</f>
        <v>2135.1571199999998</v>
      </c>
      <c r="F345" s="6">
        <f>[1]Hybrid!E31</f>
        <v>2088.404943</v>
      </c>
      <c r="G345" s="6">
        <f>[1]Hybrid!F31</f>
        <v>2040.797626</v>
      </c>
      <c r="H345" s="6">
        <f>[1]Hybrid!G31</f>
        <v>1990.9240380000001</v>
      </c>
      <c r="I345" s="6">
        <f>[1]Hybrid!H31</f>
        <v>1938.0713989999999</v>
      </c>
      <c r="J345" s="6">
        <f>[1]Hybrid!I31</f>
        <v>1882.198705</v>
      </c>
      <c r="K345" s="6">
        <f>[1]Hybrid!J31</f>
        <v>1823.539166</v>
      </c>
      <c r="L345" s="6">
        <f>[1]Hybrid!K31</f>
        <v>1762.4691620000001</v>
      </c>
      <c r="M345" s="6">
        <f>[1]Hybrid!L31</f>
        <v>1699.6019490000001</v>
      </c>
      <c r="N345" s="6">
        <f>[1]Hybrid!M31</f>
        <v>1635.1895850000001</v>
      </c>
      <c r="O345" s="6">
        <f>[1]Hybrid!N31</f>
        <v>1569.6906120000001</v>
      </c>
      <c r="P345" s="6">
        <f>[1]Hybrid!O31</f>
        <v>1503.5491179999999</v>
      </c>
      <c r="Q345" s="6">
        <f>[1]Hybrid!P31</f>
        <v>1437.186508</v>
      </c>
      <c r="R345" s="6">
        <f>[1]Hybrid!Q31</f>
        <v>1370.994647</v>
      </c>
      <c r="S345" s="6">
        <f>[1]Hybrid!R31</f>
        <v>1305.3313820000001</v>
      </c>
      <c r="T345" s="6">
        <f>[1]Hybrid!S31</f>
        <v>1240.518071</v>
      </c>
      <c r="U345" s="6">
        <f>[1]Hybrid!T31</f>
        <v>1176.8386350000001</v>
      </c>
      <c r="V345" s="6">
        <f>[1]Hybrid!U31</f>
        <v>1114.5397370000001</v>
      </c>
      <c r="W345" s="6">
        <f>[1]Hybrid!V31</f>
        <v>1053.7927090000001</v>
      </c>
      <c r="X345" s="6">
        <f>[1]Hybrid!W31</f>
        <v>994.82360240000003</v>
      </c>
      <c r="Y345" s="6">
        <f>[1]Hybrid!X31</f>
        <v>937.77531269999997</v>
      </c>
      <c r="Z345" s="6">
        <f>[1]Hybrid!Y31</f>
        <v>882.75963879999995</v>
      </c>
      <c r="AA345" s="6">
        <f>[1]Hybrid!Z31</f>
        <v>829.85993480000002</v>
      </c>
      <c r="AB345" s="6">
        <f>[1]Hybrid!AA31</f>
        <v>779.07770370000003</v>
      </c>
      <c r="AC345" s="6">
        <f>[1]Hybrid!AB31</f>
        <v>730.49894359999996</v>
      </c>
      <c r="AD345" s="6">
        <f>[1]Hybrid!AC31</f>
        <v>684.14842929999998</v>
      </c>
      <c r="AE345" s="6">
        <f>[1]Hybrid!AD31</f>
        <v>640.03062950000003</v>
      </c>
      <c r="AF345" s="6">
        <f>[1]Hybrid!AE31</f>
        <v>598.13192779999997</v>
      </c>
      <c r="AG345" s="6">
        <f>[1]Hybrid!AF31</f>
        <v>558.4233352</v>
      </c>
      <c r="AH345" s="6">
        <f>[1]Hybrid!AG31</f>
        <v>520.86312109999994</v>
      </c>
      <c r="AI345" s="6">
        <f>[1]Hybrid!AH31</f>
        <v>485.39919939999999</v>
      </c>
      <c r="AJ345" s="6">
        <f>[1]Hybrid!AI31</f>
        <v>451.97123169999998</v>
      </c>
      <c r="AK345" s="6">
        <f>[1]Hybrid!AJ31</f>
        <v>420.51245239999997</v>
      </c>
      <c r="AL345" s="6">
        <f>[1]Hybrid!AK31</f>
        <v>390.95123640000003</v>
      </c>
      <c r="AM345" s="6">
        <f>[1]Hybrid!AL31</f>
        <v>363.21010760000001</v>
      </c>
      <c r="AN345" s="6">
        <f>[1]Hybrid!AM31</f>
        <v>337.21271400000001</v>
      </c>
      <c r="AO345" s="6">
        <f>[1]Hybrid!AN31</f>
        <v>312.88103560000002</v>
      </c>
      <c r="AP345" s="6">
        <f>[1]Hybrid!AO31</f>
        <v>290.13618289999999</v>
      </c>
      <c r="AQ345" s="6">
        <f>[1]Hybrid!AP31</f>
        <v>268.8991077</v>
      </c>
      <c r="AR345" s="6">
        <f>[1]Hybrid!AQ31</f>
        <v>249.09124650000001</v>
      </c>
      <c r="AS345" s="6">
        <f>[1]Hybrid!AR31</f>
        <v>230.6350855</v>
      </c>
      <c r="AT345" s="6">
        <f>[1]Hybrid!AS31</f>
        <v>213.4546406</v>
      </c>
      <c r="AU345" s="6">
        <f>[1]Hybrid!AT31</f>
        <v>197.47585430000001</v>
      </c>
      <c r="AV345" s="6">
        <f>[1]Hybrid!AU31</f>
        <v>182.62691369999999</v>
      </c>
      <c r="AW345" s="6">
        <f>[1]Hybrid!AV31</f>
        <v>168.83852909999999</v>
      </c>
      <c r="AX345" s="6">
        <f>[1]Hybrid!AW31</f>
        <v>156.0440447</v>
      </c>
      <c r="AY345" s="6">
        <f>[1]Hybrid!AX31</f>
        <v>144.17962309999999</v>
      </c>
      <c r="AZ345" s="6">
        <f>[1]Hybrid!AY31</f>
        <v>133.18433160000001</v>
      </c>
      <c r="BA345" s="6">
        <f>[1]Hybrid!AZ31</f>
        <v>123.0001898</v>
      </c>
      <c r="BB345" s="6">
        <f>[1]Hybrid!BA31</f>
        <v>112.71163730000001</v>
      </c>
      <c r="BC345" s="6">
        <f>[1]Hybrid!BB31</f>
        <v>104.0471179</v>
      </c>
      <c r="BD345" s="6">
        <f>[1]Hybrid!BC31</f>
        <v>96.034357119999996</v>
      </c>
      <c r="BE345" s="6">
        <f>[1]Hybrid!BD31</f>
        <v>88.627060349999994</v>
      </c>
      <c r="BF345" s="6">
        <f>[1]Hybrid!BE31</f>
        <v>81.781736309999999</v>
      </c>
    </row>
    <row r="346" spans="1:58" x14ac:dyDescent="0.35">
      <c r="B346" s="6" t="str">
        <f>[1]Hybrid!A33</f>
        <v>auto_ca_cele_0</v>
      </c>
      <c r="C346" s="6">
        <f>[1]Hybrid!B33</f>
        <v>9.8427898650000003</v>
      </c>
      <c r="D346" s="6">
        <f>[1]Hybrid!C33</f>
        <v>15.012031609999999</v>
      </c>
      <c r="E346" s="6">
        <f>[1]Hybrid!D33</f>
        <v>20.491657239999999</v>
      </c>
      <c r="F346" s="6">
        <f>[1]Hybrid!E33</f>
        <v>26.15742758</v>
      </c>
      <c r="G346" s="6">
        <f>[1]Hybrid!F33</f>
        <v>31.929986620000001</v>
      </c>
      <c r="H346" s="6">
        <f>[1]Hybrid!G33</f>
        <v>37.760551360000001</v>
      </c>
      <c r="I346" s="6">
        <f>[1]Hybrid!H33</f>
        <v>43.608929330000002</v>
      </c>
      <c r="J346" s="6">
        <f>[1]Hybrid!I33</f>
        <v>49.456913290000003</v>
      </c>
      <c r="K346" s="6">
        <f>[1]Hybrid!J33</f>
        <v>55.293395480000001</v>
      </c>
      <c r="L346" s="6">
        <f>[1]Hybrid!K33</f>
        <v>61.11152551</v>
      </c>
      <c r="M346" s="6">
        <f>[1]Hybrid!L33</f>
        <v>66.926891060000003</v>
      </c>
      <c r="N346" s="6">
        <f>[1]Hybrid!M33</f>
        <v>72.716772449999993</v>
      </c>
      <c r="O346" s="6">
        <f>[1]Hybrid!N33</f>
        <v>78.478598539999993</v>
      </c>
      <c r="P346" s="6">
        <f>[1]Hybrid!O33</f>
        <v>84.210216750000001</v>
      </c>
      <c r="Q346" s="6">
        <f>[1]Hybrid!P33</f>
        <v>89.910217619999997</v>
      </c>
      <c r="R346" s="6">
        <f>[1]Hybrid!Q33</f>
        <v>95.577974909999995</v>
      </c>
      <c r="S346" s="6">
        <f>[1]Hybrid!R33</f>
        <v>101.2135935</v>
      </c>
      <c r="T346" s="6">
        <f>[1]Hybrid!S33</f>
        <v>106.8178411</v>
      </c>
      <c r="U346" s="6">
        <f>[1]Hybrid!T33</f>
        <v>112.3920933</v>
      </c>
      <c r="V346" s="6">
        <f>[1]Hybrid!U33</f>
        <v>117.93830250000001</v>
      </c>
      <c r="W346" s="6">
        <f>[1]Hybrid!V33</f>
        <v>123.4427725</v>
      </c>
      <c r="X346" s="6">
        <f>[1]Hybrid!W33</f>
        <v>128.9250523</v>
      </c>
      <c r="Y346" s="6">
        <f>[1]Hybrid!X33</f>
        <v>134.3893386</v>
      </c>
      <c r="Z346" s="6">
        <f>[1]Hybrid!Y33</f>
        <v>139.84059880000001</v>
      </c>
      <c r="AA346" s="6">
        <f>[1]Hybrid!Z33</f>
        <v>145.28422649999999</v>
      </c>
      <c r="AB346" s="6">
        <f>[1]Hybrid!AA33</f>
        <v>150.67747589999999</v>
      </c>
      <c r="AC346" s="6">
        <f>[1]Hybrid!AB33</f>
        <v>156.05270870000001</v>
      </c>
      <c r="AD346" s="6">
        <f>[1]Hybrid!AC33</f>
        <v>161.41811849999999</v>
      </c>
      <c r="AE346" s="6">
        <f>[1]Hybrid!AD33</f>
        <v>166.78370330000001</v>
      </c>
      <c r="AF346" s="6">
        <f>[1]Hybrid!AE33</f>
        <v>172.1605065</v>
      </c>
      <c r="AG346" s="6">
        <f>[1]Hybrid!AF33</f>
        <v>177.56023579999999</v>
      </c>
      <c r="AH346" s="6">
        <f>[1]Hybrid!AG33</f>
        <v>182.99508990000001</v>
      </c>
      <c r="AI346" s="6">
        <f>[1]Hybrid!AH33</f>
        <v>188.47771399999999</v>
      </c>
      <c r="AJ346" s="6">
        <f>[1]Hybrid!AI33</f>
        <v>194.02123280000001</v>
      </c>
      <c r="AK346" s="6">
        <f>[1]Hybrid!AJ33</f>
        <v>199.63932600000001</v>
      </c>
      <c r="AL346" s="6">
        <f>[1]Hybrid!AK33</f>
        <v>205.34632479999999</v>
      </c>
      <c r="AM346" s="6">
        <f>[1]Hybrid!AL33</f>
        <v>211.14432959999999</v>
      </c>
      <c r="AN346" s="6">
        <f>[1]Hybrid!AM33</f>
        <v>217.0491548</v>
      </c>
      <c r="AO346" s="6">
        <f>[1]Hybrid!AN33</f>
        <v>223.077958</v>
      </c>
      <c r="AP346" s="6">
        <f>[1]Hybrid!AO33</f>
        <v>229.24948839999999</v>
      </c>
      <c r="AQ346" s="6">
        <f>[1]Hybrid!AP33</f>
        <v>235.58406429999999</v>
      </c>
      <c r="AR346" s="6">
        <f>[1]Hybrid!AQ33</f>
        <v>242.10351130000001</v>
      </c>
      <c r="AS346" s="6">
        <f>[1]Hybrid!AR33</f>
        <v>248.8311406</v>
      </c>
      <c r="AT346" s="6">
        <f>[1]Hybrid!AS33</f>
        <v>255.79178970000001</v>
      </c>
      <c r="AU346" s="6">
        <f>[1]Hybrid!AT33</f>
        <v>263.01192370000001</v>
      </c>
      <c r="AV346" s="6">
        <f>[1]Hybrid!AU33</f>
        <v>270.519789</v>
      </c>
      <c r="AW346" s="6">
        <f>[1]Hybrid!AV33</f>
        <v>278.34700029999999</v>
      </c>
      <c r="AX346" s="6">
        <f>[1]Hybrid!AW33</f>
        <v>286.52603249999999</v>
      </c>
      <c r="AY346" s="6">
        <f>[1]Hybrid!AX33</f>
        <v>295.09178910000003</v>
      </c>
      <c r="AZ346" s="6">
        <f>[1]Hybrid!AY33</f>
        <v>304.08182979999998</v>
      </c>
      <c r="BA346" s="6">
        <f>[1]Hybrid!AZ33</f>
        <v>313.5366434</v>
      </c>
      <c r="BB346" s="6">
        <f>[1]Hybrid!BA33</f>
        <v>124.0450032</v>
      </c>
      <c r="BC346" s="6">
        <f>[1]Hybrid!BB33</f>
        <v>114.81711970000001</v>
      </c>
      <c r="BD346" s="6">
        <f>[1]Hybrid!BC33</f>
        <v>104.3082737</v>
      </c>
      <c r="BE346" s="6">
        <f>[1]Hybrid!BD33</f>
        <v>92.398095470000001</v>
      </c>
      <c r="BF346" s="6">
        <f>[1]Hybrid!BE33</f>
        <v>78.954133470000002</v>
      </c>
    </row>
    <row r="347" spans="1:58" x14ac:dyDescent="0.35">
      <c r="B347" s="6" t="str">
        <f>[1]Hybrid!A35</f>
        <v>auto_cb_cele_0</v>
      </c>
      <c r="C347" s="6">
        <f>[1]Hybrid!B35</f>
        <v>11.44571741</v>
      </c>
      <c r="D347" s="6">
        <f>[1]Hybrid!C35</f>
        <v>16.322968110000001</v>
      </c>
      <c r="E347" s="6">
        <f>[1]Hybrid!D35</f>
        <v>21.491824080000001</v>
      </c>
      <c r="F347" s="6">
        <f>[1]Hybrid!E35</f>
        <v>26.830588290000001</v>
      </c>
      <c r="G347" s="6">
        <f>[1]Hybrid!F35</f>
        <v>32.261549049999999</v>
      </c>
      <c r="H347" s="6">
        <f>[1]Hybrid!G35</f>
        <v>37.736755299999999</v>
      </c>
      <c r="I347" s="6">
        <f>[1]Hybrid!H35</f>
        <v>43.21676926</v>
      </c>
      <c r="J347" s="6">
        <f>[1]Hybrid!I35</f>
        <v>48.683247889999997</v>
      </c>
      <c r="K347" s="6">
        <f>[1]Hybrid!J35</f>
        <v>54.124671659999997</v>
      </c>
      <c r="L347" s="6">
        <f>[1]Hybrid!K35</f>
        <v>59.533606110000001</v>
      </c>
      <c r="M347" s="6">
        <f>[1]Hybrid!L35</f>
        <v>64.923754220000006</v>
      </c>
      <c r="N347" s="6">
        <f>[1]Hybrid!M35</f>
        <v>70.272755450000005</v>
      </c>
      <c r="O347" s="6">
        <f>[1]Hybrid!N35</f>
        <v>75.577302869999997</v>
      </c>
      <c r="P347" s="6">
        <f>[1]Hybrid!O35</f>
        <v>80.834537900000001</v>
      </c>
      <c r="Q347" s="6">
        <f>[1]Hybrid!P35</f>
        <v>86.042349369999997</v>
      </c>
      <c r="R347" s="6">
        <f>[1]Hybrid!Q35</f>
        <v>91.199403529999998</v>
      </c>
      <c r="S347" s="6">
        <f>[1]Hybrid!R35</f>
        <v>96.305088639999994</v>
      </c>
      <c r="T347" s="6">
        <f>[1]Hybrid!S35</f>
        <v>101.3594451</v>
      </c>
      <c r="U347" s="6">
        <f>[1]Hybrid!T35</f>
        <v>106.3631086</v>
      </c>
      <c r="V347" s="6">
        <f>[1]Hybrid!U35</f>
        <v>111.3172739</v>
      </c>
      <c r="W347" s="6">
        <f>[1]Hybrid!V35</f>
        <v>116.20887860000001</v>
      </c>
      <c r="X347" s="6">
        <f>[1]Hybrid!W35</f>
        <v>121.0553232</v>
      </c>
      <c r="Y347" s="6">
        <f>[1]Hybrid!X35</f>
        <v>125.8599191</v>
      </c>
      <c r="Z347" s="6">
        <f>[1]Hybrid!Y35</f>
        <v>130.62665989999999</v>
      </c>
      <c r="AA347" s="6">
        <f>[1]Hybrid!Z35</f>
        <v>135.35990179999999</v>
      </c>
      <c r="AB347" s="6">
        <f>[1]Hybrid!AA35</f>
        <v>140.02076210000001</v>
      </c>
      <c r="AC347" s="6">
        <f>[1]Hybrid!AB35</f>
        <v>144.6381447</v>
      </c>
      <c r="AD347" s="6">
        <f>[1]Hybrid!AC35</f>
        <v>149.2191095</v>
      </c>
      <c r="AE347" s="6">
        <f>[1]Hybrid!AD35</f>
        <v>153.7722641</v>
      </c>
      <c r="AF347" s="6">
        <f>[1]Hybrid!AE35</f>
        <v>158.30706119999999</v>
      </c>
      <c r="AG347" s="6">
        <f>[1]Hybrid!AF35</f>
        <v>162.8334447</v>
      </c>
      <c r="AH347" s="6">
        <f>[1]Hybrid!AG35</f>
        <v>167.36168269999999</v>
      </c>
      <c r="AI347" s="6">
        <f>[1]Hybrid!AH35</f>
        <v>171.90231510000001</v>
      </c>
      <c r="AJ347" s="6">
        <f>[1]Hybrid!AI35</f>
        <v>176.46616929999999</v>
      </c>
      <c r="AK347" s="6">
        <f>[1]Hybrid!AJ35</f>
        <v>181.06441229999999</v>
      </c>
      <c r="AL347" s="6">
        <f>[1]Hybrid!AK35</f>
        <v>185.70862020000001</v>
      </c>
      <c r="AM347" s="6">
        <f>[1]Hybrid!AL35</f>
        <v>190.39964470000001</v>
      </c>
      <c r="AN347" s="6">
        <f>[1]Hybrid!AM35</f>
        <v>195.15012960000001</v>
      </c>
      <c r="AO347" s="6">
        <f>[1]Hybrid!AN35</f>
        <v>199.97369850000001</v>
      </c>
      <c r="AP347" s="6">
        <f>[1]Hybrid!AO35</f>
        <v>204.885133</v>
      </c>
      <c r="AQ347" s="6">
        <f>[1]Hybrid!AP35</f>
        <v>209.9003184</v>
      </c>
      <c r="AR347" s="6">
        <f>[1]Hybrid!AQ35</f>
        <v>215.03615840000001</v>
      </c>
      <c r="AS347" s="6">
        <f>[1]Hybrid!AR35</f>
        <v>220.31052360000001</v>
      </c>
      <c r="AT347" s="6">
        <f>[1]Hybrid!AS35</f>
        <v>225.74225179999999</v>
      </c>
      <c r="AU347" s="6">
        <f>[1]Hybrid!AT35</f>
        <v>231.35119599999999</v>
      </c>
      <c r="AV347" s="6">
        <f>[1]Hybrid!AU35</f>
        <v>237.15831170000001</v>
      </c>
      <c r="AW347" s="6">
        <f>[1]Hybrid!AV35</f>
        <v>243.1869303</v>
      </c>
      <c r="AX347" s="6">
        <f>[1]Hybrid!AW35</f>
        <v>249.4606101</v>
      </c>
      <c r="AY347" s="6">
        <f>[1]Hybrid!AX35</f>
        <v>256.00439399999999</v>
      </c>
      <c r="AZ347" s="6">
        <f>[1]Hybrid!AY35</f>
        <v>262.84493479999998</v>
      </c>
      <c r="BA347" s="6">
        <f>[1]Hybrid!AZ35</f>
        <v>270.01064789999998</v>
      </c>
      <c r="BB347" s="6">
        <f>[1]Hybrid!BA35</f>
        <v>97.441447859999997</v>
      </c>
      <c r="BC347" s="6">
        <f>[1]Hybrid!BB35</f>
        <v>88.643995919999995</v>
      </c>
      <c r="BD347" s="6">
        <f>[1]Hybrid!BC35</f>
        <v>78.802633589999999</v>
      </c>
      <c r="BE347" s="6">
        <f>[1]Hybrid!BD35</f>
        <v>67.831831030000004</v>
      </c>
      <c r="BF347" s="6">
        <f>[1]Hybrid!BE35</f>
        <v>55.638347830000001</v>
      </c>
    </row>
    <row r="348" spans="1:58" x14ac:dyDescent="0.35">
      <c r="B348" s="6" t="str">
        <f>[1]Hybrid!A37</f>
        <v>auto_cc_cele_0</v>
      </c>
      <c r="C348" s="6">
        <f>[1]Hybrid!B37</f>
        <v>9.4015406210000005</v>
      </c>
      <c r="D348" s="6">
        <f>[1]Hybrid!C37</f>
        <v>12.71448286</v>
      </c>
      <c r="E348" s="6">
        <f>[1]Hybrid!D37</f>
        <v>16.225058359999998</v>
      </c>
      <c r="F348" s="6">
        <f>[1]Hybrid!E37</f>
        <v>19.847384250000001</v>
      </c>
      <c r="G348" s="6">
        <f>[1]Hybrid!F37</f>
        <v>23.526649339999999</v>
      </c>
      <c r="H348" s="6">
        <f>[1]Hybrid!G37</f>
        <v>27.228931620000001</v>
      </c>
      <c r="I348" s="6">
        <f>[1]Hybrid!H37</f>
        <v>30.926391670000001</v>
      </c>
      <c r="J348" s="6">
        <f>[1]Hybrid!I37</f>
        <v>34.605790550000002</v>
      </c>
      <c r="K348" s="6">
        <f>[1]Hybrid!J37</f>
        <v>38.258624589999997</v>
      </c>
      <c r="L348" s="6">
        <f>[1]Hybrid!K37</f>
        <v>41.879223029999999</v>
      </c>
      <c r="M348" s="6">
        <f>[1]Hybrid!L37</f>
        <v>45.476279699999999</v>
      </c>
      <c r="N348" s="6">
        <f>[1]Hybrid!M37</f>
        <v>49.034016170000001</v>
      </c>
      <c r="O348" s="6">
        <f>[1]Hybrid!N37</f>
        <v>52.549652569999999</v>
      </c>
      <c r="P348" s="6">
        <f>[1]Hybrid!O37</f>
        <v>56.02075705</v>
      </c>
      <c r="Q348" s="6">
        <f>[1]Hybrid!P37</f>
        <v>59.445444190000003</v>
      </c>
      <c r="R348" s="6">
        <f>[1]Hybrid!Q37</f>
        <v>62.822389880000003</v>
      </c>
      <c r="S348" s="6">
        <f>[1]Hybrid!R37</f>
        <v>66.150789250000003</v>
      </c>
      <c r="T348" s="6">
        <f>[1]Hybrid!S37</f>
        <v>69.430305439999998</v>
      </c>
      <c r="U348" s="6">
        <f>[1]Hybrid!T37</f>
        <v>72.66102703</v>
      </c>
      <c r="V348" s="6">
        <f>[1]Hybrid!U37</f>
        <v>75.843438899999995</v>
      </c>
      <c r="W348" s="6">
        <f>[1]Hybrid!V37</f>
        <v>78.968666389999996</v>
      </c>
      <c r="X348" s="6">
        <f>[1]Hybrid!W37</f>
        <v>82.047966549999998</v>
      </c>
      <c r="Y348" s="6">
        <f>[1]Hybrid!X37</f>
        <v>85.083278739999997</v>
      </c>
      <c r="Z348" s="6">
        <f>[1]Hybrid!Y37</f>
        <v>88.076983170000005</v>
      </c>
      <c r="AA348" s="6">
        <f>[1]Hybrid!Z37</f>
        <v>91.031686449999995</v>
      </c>
      <c r="AB348" s="6">
        <f>[1]Hybrid!AA37</f>
        <v>93.922000420000003</v>
      </c>
      <c r="AC348" s="6">
        <f>[1]Hybrid!AB37</f>
        <v>96.766647140000003</v>
      </c>
      <c r="AD348" s="6">
        <f>[1]Hybrid!AC37</f>
        <v>99.570116760000005</v>
      </c>
      <c r="AE348" s="6">
        <f>[1]Hybrid!AD37</f>
        <v>102.3378563</v>
      </c>
      <c r="AF348" s="6">
        <f>[1]Hybrid!AE37</f>
        <v>105.07580249999999</v>
      </c>
      <c r="AG348" s="6">
        <f>[1]Hybrid!AF37</f>
        <v>107.7901449</v>
      </c>
      <c r="AH348" s="6">
        <f>[1]Hybrid!AG37</f>
        <v>110.48721159999999</v>
      </c>
      <c r="AI348" s="6">
        <f>[1]Hybrid!AH37</f>
        <v>113.173429</v>
      </c>
      <c r="AJ348" s="6">
        <f>[1]Hybrid!AI37</f>
        <v>115.85532329999999</v>
      </c>
      <c r="AK348" s="6">
        <f>[1]Hybrid!AJ37</f>
        <v>118.5395463</v>
      </c>
      <c r="AL348" s="6">
        <f>[1]Hybrid!AK37</f>
        <v>121.2329111</v>
      </c>
      <c r="AM348" s="6">
        <f>[1]Hybrid!AL37</f>
        <v>123.9354605</v>
      </c>
      <c r="AN348" s="6">
        <f>[1]Hybrid!AM37</f>
        <v>126.6545479</v>
      </c>
      <c r="AO348" s="6">
        <f>[1]Hybrid!AN37</f>
        <v>129.3980291</v>
      </c>
      <c r="AP348" s="6">
        <f>[1]Hybrid!AO37</f>
        <v>132.17435180000001</v>
      </c>
      <c r="AQ348" s="6">
        <f>[1]Hybrid!AP37</f>
        <v>134.992503</v>
      </c>
      <c r="AR348" s="6">
        <f>[1]Hybrid!AQ37</f>
        <v>137.86193789999999</v>
      </c>
      <c r="AS348" s="6">
        <f>[1]Hybrid!AR37</f>
        <v>140.79253170000001</v>
      </c>
      <c r="AT348" s="6">
        <f>[1]Hybrid!AS37</f>
        <v>143.7945613</v>
      </c>
      <c r="AU348" s="6">
        <f>[1]Hybrid!AT37</f>
        <v>146.87871530000001</v>
      </c>
      <c r="AV348" s="6">
        <f>[1]Hybrid!AU37</f>
        <v>150.05612640000001</v>
      </c>
      <c r="AW348" s="6">
        <f>[1]Hybrid!AV37</f>
        <v>153.3391087</v>
      </c>
      <c r="AX348" s="6">
        <f>[1]Hybrid!AW37</f>
        <v>156.73984039999999</v>
      </c>
      <c r="AY348" s="6">
        <f>[1]Hybrid!AX37</f>
        <v>160.2710945</v>
      </c>
      <c r="AZ348" s="6">
        <f>[1]Hybrid!AY37</f>
        <v>163.9462833</v>
      </c>
      <c r="BA348" s="6">
        <f>[1]Hybrid!AZ37</f>
        <v>167.77951440000001</v>
      </c>
      <c r="BB348" s="6">
        <f>[1]Hybrid!BA37</f>
        <v>55.764968279999998</v>
      </c>
      <c r="BC348" s="6">
        <f>[1]Hybrid!BB37</f>
        <v>49.894204240000001</v>
      </c>
      <c r="BD348" s="6">
        <f>[1]Hybrid!BC37</f>
        <v>43.422705530000002</v>
      </c>
      <c r="BE348" s="6">
        <f>[1]Hybrid!BD37</f>
        <v>36.308326579999999</v>
      </c>
      <c r="BF348" s="6">
        <f>[1]Hybrid!BE37</f>
        <v>28.50554975</v>
      </c>
    </row>
    <row r="349" spans="1:58" x14ac:dyDescent="0.35">
      <c r="B349" s="6" t="str">
        <f>[1]Hybrid!A39</f>
        <v>auto_cd_cele_0</v>
      </c>
      <c r="C349" s="6">
        <f>[1]Hybrid!B39</f>
        <v>5.770071272</v>
      </c>
      <c r="D349" s="6">
        <f>[1]Hybrid!C39</f>
        <v>7.5724919289999999</v>
      </c>
      <c r="E349" s="6">
        <f>[1]Hybrid!D39</f>
        <v>9.4657032860000001</v>
      </c>
      <c r="F349" s="6">
        <f>[1]Hybrid!E39</f>
        <v>11.39626638</v>
      </c>
      <c r="G349" s="6">
        <f>[1]Hybrid!F39</f>
        <v>13.329768230000001</v>
      </c>
      <c r="H349" s="6">
        <f>[1]Hybrid!G39</f>
        <v>15.244613149999999</v>
      </c>
      <c r="I349" s="6">
        <f>[1]Hybrid!H39</f>
        <v>17.12371868</v>
      </c>
      <c r="J349" s="6">
        <f>[1]Hybrid!I39</f>
        <v>18.958629479999999</v>
      </c>
      <c r="K349" s="6">
        <f>[1]Hybrid!J39</f>
        <v>20.743983780000001</v>
      </c>
      <c r="L349" s="6">
        <f>[1]Hybrid!K39</f>
        <v>22.47630899</v>
      </c>
      <c r="M349" s="6">
        <f>[1]Hybrid!L39</f>
        <v>24.159458440000002</v>
      </c>
      <c r="N349" s="6">
        <f>[1]Hybrid!M39</f>
        <v>25.78542977</v>
      </c>
      <c r="O349" s="6">
        <f>[1]Hybrid!N39</f>
        <v>27.35287391</v>
      </c>
      <c r="P349" s="6">
        <f>[1]Hybrid!O39</f>
        <v>28.860748959999999</v>
      </c>
      <c r="Q349" s="6">
        <f>[1]Hybrid!P39</f>
        <v>30.308371510000001</v>
      </c>
      <c r="R349" s="6">
        <f>[1]Hybrid!Q39</f>
        <v>31.695390010000001</v>
      </c>
      <c r="S349" s="6">
        <f>[1]Hybrid!R39</f>
        <v>33.02173896</v>
      </c>
      <c r="T349" s="6">
        <f>[1]Hybrid!S39</f>
        <v>34.287593829999999</v>
      </c>
      <c r="U349" s="6">
        <f>[1]Hybrid!T39</f>
        <v>35.49333283</v>
      </c>
      <c r="V349" s="6">
        <f>[1]Hybrid!U39</f>
        <v>36.639506869999998</v>
      </c>
      <c r="W349" s="6">
        <f>[1]Hybrid!V39</f>
        <v>37.722811190000002</v>
      </c>
      <c r="X349" s="6">
        <f>[1]Hybrid!W39</f>
        <v>38.748314649999998</v>
      </c>
      <c r="Y349" s="6">
        <f>[1]Hybrid!X39</f>
        <v>39.717090140000003</v>
      </c>
      <c r="Z349" s="6">
        <f>[1]Hybrid!Y39</f>
        <v>40.630325050000003</v>
      </c>
      <c r="AA349" s="6">
        <f>[1]Hybrid!Z39</f>
        <v>41.489236069999997</v>
      </c>
      <c r="AB349" s="6">
        <f>[1]Hybrid!AA39</f>
        <v>42.284532730000002</v>
      </c>
      <c r="AC349" s="6">
        <f>[1]Hybrid!AB39</f>
        <v>43.023770280000001</v>
      </c>
      <c r="AD349" s="6">
        <f>[1]Hybrid!AC39</f>
        <v>43.708911669999999</v>
      </c>
      <c r="AE349" s="6">
        <f>[1]Hybrid!AD39</f>
        <v>44.34212488</v>
      </c>
      <c r="AF349" s="6">
        <f>[1]Hybrid!AE39</f>
        <v>44.925604210000003</v>
      </c>
      <c r="AG349" s="6">
        <f>[1]Hybrid!AF39</f>
        <v>45.461486809999997</v>
      </c>
      <c r="AH349" s="6">
        <f>[1]Hybrid!AG39</f>
        <v>45.951816890000003</v>
      </c>
      <c r="AI349" s="6">
        <f>[1]Hybrid!AH39</f>
        <v>46.398536569999997</v>
      </c>
      <c r="AJ349" s="6">
        <f>[1]Hybrid!AI39</f>
        <v>46.803491110000003</v>
      </c>
      <c r="AK349" s="6">
        <f>[1]Hybrid!AJ39</f>
        <v>47.168440779999997</v>
      </c>
      <c r="AL349" s="6">
        <f>[1]Hybrid!AK39</f>
        <v>47.495074359999997</v>
      </c>
      <c r="AM349" s="6">
        <f>[1]Hybrid!AL39</f>
        <v>47.78301862</v>
      </c>
      <c r="AN349" s="6">
        <f>[1]Hybrid!AM39</f>
        <v>48.034025409999998</v>
      </c>
      <c r="AO349" s="6">
        <f>[1]Hybrid!AN39</f>
        <v>48.249866220000001</v>
      </c>
      <c r="AP349" s="6">
        <f>[1]Hybrid!AO39</f>
        <v>48.432337199999999</v>
      </c>
      <c r="AQ349" s="6">
        <f>[1]Hybrid!AP39</f>
        <v>48.583229350000003</v>
      </c>
      <c r="AR349" s="6">
        <f>[1]Hybrid!AQ39</f>
        <v>48.704299419999998</v>
      </c>
      <c r="AS349" s="6">
        <f>[1]Hybrid!AR39</f>
        <v>48.797250490000003</v>
      </c>
      <c r="AT349" s="6">
        <f>[1]Hybrid!AS39</f>
        <v>48.86372248</v>
      </c>
      <c r="AU349" s="6">
        <f>[1]Hybrid!AT39</f>
        <v>48.90529033</v>
      </c>
      <c r="AV349" s="6">
        <f>[1]Hybrid!AU39</f>
        <v>48.923467260000002</v>
      </c>
      <c r="AW349" s="6">
        <f>[1]Hybrid!AV39</f>
        <v>48.919854389999998</v>
      </c>
      <c r="AX349" s="6">
        <f>[1]Hybrid!AW39</f>
        <v>48.89584748</v>
      </c>
      <c r="AY349" s="6">
        <f>[1]Hybrid!AX39</f>
        <v>48.852795800000003</v>
      </c>
      <c r="AZ349" s="6">
        <f>[1]Hybrid!AY39</f>
        <v>48.792005320000001</v>
      </c>
      <c r="BA349" s="6">
        <f>[1]Hybrid!AZ39</f>
        <v>48.714743599999998</v>
      </c>
      <c r="BB349" s="6">
        <f>[1]Hybrid!BA39</f>
        <v>35.485589879999999</v>
      </c>
      <c r="BC349" s="6">
        <f>[1]Hybrid!BB39</f>
        <v>34.573697099999997</v>
      </c>
      <c r="BD349" s="6">
        <f>[1]Hybrid!BC39</f>
        <v>33.613691600000003</v>
      </c>
      <c r="BE349" s="6">
        <f>[1]Hybrid!BD39</f>
        <v>32.606383600000001</v>
      </c>
      <c r="BF349" s="6">
        <f>[1]Hybrid!BE39</f>
        <v>31.552621970000001</v>
      </c>
    </row>
    <row r="350" spans="1:58" x14ac:dyDescent="0.35">
      <c r="B350" s="6" t="str">
        <f>[1]Hybrid!A41</f>
        <v>auto_ce_cele_0</v>
      </c>
      <c r="C350" s="6">
        <f>[1]Hybrid!B41</f>
        <v>3.4730440960000002</v>
      </c>
      <c r="D350" s="6">
        <f>[1]Hybrid!C41</f>
        <v>4.5791175480000001</v>
      </c>
      <c r="E350" s="6">
        <f>[1]Hybrid!D41</f>
        <v>5.7313470659999997</v>
      </c>
      <c r="F350" s="6">
        <f>[1]Hybrid!E41</f>
        <v>6.8947231359999996</v>
      </c>
      <c r="G350" s="6">
        <f>[1]Hybrid!F41</f>
        <v>8.046970365</v>
      </c>
      <c r="H350" s="6">
        <f>[1]Hybrid!G41</f>
        <v>9.1742723420000001</v>
      </c>
      <c r="I350" s="6">
        <f>[1]Hybrid!H41</f>
        <v>10.26601703</v>
      </c>
      <c r="J350" s="6">
        <f>[1]Hybrid!I41</f>
        <v>11.317029440000001</v>
      </c>
      <c r="K350" s="6">
        <f>[1]Hybrid!J41</f>
        <v>12.32415729</v>
      </c>
      <c r="L350" s="6">
        <f>[1]Hybrid!K41</f>
        <v>13.28549267</v>
      </c>
      <c r="M350" s="6">
        <f>[1]Hybrid!L41</f>
        <v>14.203348699999999</v>
      </c>
      <c r="N350" s="6">
        <f>[1]Hybrid!M41</f>
        <v>15.07343667</v>
      </c>
      <c r="O350" s="6">
        <f>[1]Hybrid!N41</f>
        <v>15.89533303</v>
      </c>
      <c r="P350" s="6">
        <f>[1]Hybrid!O41</f>
        <v>16.668865740000001</v>
      </c>
      <c r="Q350" s="6">
        <f>[1]Hybrid!P41</f>
        <v>17.394128179999999</v>
      </c>
      <c r="R350" s="6">
        <f>[1]Hybrid!Q41</f>
        <v>18.071451410000002</v>
      </c>
      <c r="S350" s="6">
        <f>[1]Hybrid!R41</f>
        <v>18.701368550000002</v>
      </c>
      <c r="T350" s="6">
        <f>[1]Hybrid!S41</f>
        <v>19.284581429999999</v>
      </c>
      <c r="U350" s="6">
        <f>[1]Hybrid!T41</f>
        <v>19.821932180000001</v>
      </c>
      <c r="V350" s="6">
        <f>[1]Hybrid!U41</f>
        <v>20.31437983</v>
      </c>
      <c r="W350" s="6">
        <f>[1]Hybrid!V41</f>
        <v>20.761014150000001</v>
      </c>
      <c r="X350" s="6">
        <f>[1]Hybrid!W41</f>
        <v>21.16510662</v>
      </c>
      <c r="Y350" s="6">
        <f>[1]Hybrid!X41</f>
        <v>21.527926770000001</v>
      </c>
      <c r="Z350" s="6">
        <f>[1]Hybrid!Y41</f>
        <v>21.850796599999999</v>
      </c>
      <c r="AA350" s="6">
        <f>[1]Hybrid!Z41</f>
        <v>22.13504811</v>
      </c>
      <c r="AB350" s="6">
        <f>[1]Hybrid!AA41</f>
        <v>22.377213210000001</v>
      </c>
      <c r="AC350" s="6">
        <f>[1]Hybrid!AB41</f>
        <v>22.581676519999998</v>
      </c>
      <c r="AD350" s="6">
        <f>[1]Hybrid!AC41</f>
        <v>22.75018863</v>
      </c>
      <c r="AE350" s="6">
        <f>[1]Hybrid!AD41</f>
        <v>22.88455664</v>
      </c>
      <c r="AF350" s="6">
        <f>[1]Hybrid!AE41</f>
        <v>22.98656029</v>
      </c>
      <c r="AG350" s="6">
        <f>[1]Hybrid!AF41</f>
        <v>23.05791584</v>
      </c>
      <c r="AH350" s="6">
        <f>[1]Hybrid!AG41</f>
        <v>23.100262430000001</v>
      </c>
      <c r="AI350" s="6">
        <f>[1]Hybrid!AH41</f>
        <v>23.11516035</v>
      </c>
      <c r="AJ350" s="6">
        <f>[1]Hybrid!AI41</f>
        <v>23.10409538</v>
      </c>
      <c r="AK350" s="6">
        <f>[1]Hybrid!AJ41</f>
        <v>23.068485769999999</v>
      </c>
      <c r="AL350" s="6">
        <f>[1]Hybrid!AK41</f>
        <v>23.009689739999999</v>
      </c>
      <c r="AM350" s="6">
        <f>[1]Hybrid!AL41</f>
        <v>22.928249959999999</v>
      </c>
      <c r="AN350" s="6">
        <f>[1]Hybrid!AM41</f>
        <v>22.825527690000001</v>
      </c>
      <c r="AO350" s="6">
        <f>[1]Hybrid!AN41</f>
        <v>22.702862119999999</v>
      </c>
      <c r="AP350" s="6">
        <f>[1]Hybrid!AO41</f>
        <v>22.561568520000002</v>
      </c>
      <c r="AQ350" s="6">
        <f>[1]Hybrid!AP41</f>
        <v>22.40292535</v>
      </c>
      <c r="AR350" s="6">
        <f>[1]Hybrid!AQ41</f>
        <v>22.228163510000002</v>
      </c>
      <c r="AS350" s="6">
        <f>[1]Hybrid!AR41</f>
        <v>22.038460199999999</v>
      </c>
      <c r="AT350" s="6">
        <f>[1]Hybrid!AS41</f>
        <v>21.834936849999998</v>
      </c>
      <c r="AU350" s="6">
        <f>[1]Hybrid!AT41</f>
        <v>21.618659940000001</v>
      </c>
      <c r="AV350" s="6">
        <f>[1]Hybrid!AU41</f>
        <v>21.390643430000001</v>
      </c>
      <c r="AW350" s="6">
        <f>[1]Hybrid!AV41</f>
        <v>21.15189698</v>
      </c>
      <c r="AX350" s="6">
        <f>[1]Hybrid!AW41</f>
        <v>20.903332729999999</v>
      </c>
      <c r="AY350" s="6">
        <f>[1]Hybrid!AX41</f>
        <v>20.645818850000001</v>
      </c>
      <c r="AZ350" s="6">
        <f>[1]Hybrid!AY41</f>
        <v>20.380181749999998</v>
      </c>
      <c r="BA350" s="6">
        <f>[1]Hybrid!AZ41</f>
        <v>20.10720856</v>
      </c>
      <c r="BB350" s="6">
        <f>[1]Hybrid!BA41</f>
        <v>14.46660228</v>
      </c>
      <c r="BC350" s="6">
        <f>[1]Hybrid!BB41</f>
        <v>13.96919132</v>
      </c>
      <c r="BD350" s="6">
        <f>[1]Hybrid!BC41</f>
        <v>13.465731549999999</v>
      </c>
      <c r="BE350" s="6">
        <f>[1]Hybrid!BD41</f>
        <v>12.95742368</v>
      </c>
      <c r="BF350" s="6">
        <f>[1]Hybrid!BE41</f>
        <v>12.44545143</v>
      </c>
    </row>
    <row r="351" spans="1:58" x14ac:dyDescent="0.35">
      <c r="B351" s="6" t="str">
        <f>[1]Hybrid!A43</f>
        <v>auto_cf_cele_0</v>
      </c>
      <c r="C351" s="6">
        <f>[1]Hybrid!B43</f>
        <v>1.7251505170000001</v>
      </c>
      <c r="D351" s="6">
        <f>[1]Hybrid!C43</f>
        <v>2.2482442969999998</v>
      </c>
      <c r="E351" s="6">
        <f>[1]Hybrid!D43</f>
        <v>2.7774998559999999</v>
      </c>
      <c r="F351" s="6">
        <f>[1]Hybrid!E43</f>
        <v>3.2928145070000001</v>
      </c>
      <c r="G351" s="6">
        <f>[1]Hybrid!F43</f>
        <v>3.7822145479999998</v>
      </c>
      <c r="H351" s="6">
        <f>[1]Hybrid!G43</f>
        <v>4.2389795909999997</v>
      </c>
      <c r="I351" s="6">
        <f>[1]Hybrid!H43</f>
        <v>4.6588005780000001</v>
      </c>
      <c r="J351" s="6">
        <f>[1]Hybrid!I43</f>
        <v>5.0403092589999998</v>
      </c>
      <c r="K351" s="6">
        <f>[1]Hybrid!J43</f>
        <v>5.3833593530000003</v>
      </c>
      <c r="L351" s="6">
        <f>[1]Hybrid!K43</f>
        <v>5.688546938</v>
      </c>
      <c r="M351" s="6">
        <f>[1]Hybrid!L43</f>
        <v>5.9580836430000002</v>
      </c>
      <c r="N351" s="6">
        <f>[1]Hybrid!M43</f>
        <v>6.1919811400000002</v>
      </c>
      <c r="O351" s="6">
        <f>[1]Hybrid!N43</f>
        <v>6.3917140029999997</v>
      </c>
      <c r="P351" s="6">
        <f>[1]Hybrid!O43</f>
        <v>6.5588898049999997</v>
      </c>
      <c r="Q351" s="6">
        <f>[1]Hybrid!P43</f>
        <v>6.6952202219999997</v>
      </c>
      <c r="R351" s="6">
        <f>[1]Hybrid!Q43</f>
        <v>6.8024854770000003</v>
      </c>
      <c r="S351" s="6">
        <f>[1]Hybrid!R43</f>
        <v>6.8825027959999998</v>
      </c>
      <c r="T351" s="6">
        <f>[1]Hybrid!S43</f>
        <v>6.9371003590000004</v>
      </c>
      <c r="U351" s="6">
        <f>[1]Hybrid!T43</f>
        <v>6.9680962270000002</v>
      </c>
      <c r="V351" s="6">
        <f>[1]Hybrid!U43</f>
        <v>6.977281466</v>
      </c>
      <c r="W351" s="6">
        <f>[1]Hybrid!V43</f>
        <v>6.9659966000000004</v>
      </c>
      <c r="X351" s="6">
        <f>[1]Hybrid!W43</f>
        <v>6.9364223320000002</v>
      </c>
      <c r="Y351" s="6">
        <f>[1]Hybrid!X43</f>
        <v>6.8902084669999999</v>
      </c>
      <c r="Z351" s="6">
        <f>[1]Hybrid!Y43</f>
        <v>6.8289334559999997</v>
      </c>
      <c r="AA351" s="6">
        <f>[1]Hybrid!Z43</f>
        <v>6.7540974370000004</v>
      </c>
      <c r="AB351" s="6">
        <f>[1]Hybrid!AA43</f>
        <v>6.6663617750000004</v>
      </c>
      <c r="AC351" s="6">
        <f>[1]Hybrid!AB43</f>
        <v>6.567646184</v>
      </c>
      <c r="AD351" s="6">
        <f>[1]Hybrid!AC43</f>
        <v>6.4593235059999996</v>
      </c>
      <c r="AE351" s="6">
        <f>[1]Hybrid!AD43</f>
        <v>6.3426796039999997</v>
      </c>
      <c r="AF351" s="6">
        <f>[1]Hybrid!AE43</f>
        <v>6.218905017</v>
      </c>
      <c r="AG351" s="6">
        <f>[1]Hybrid!AF43</f>
        <v>6.0890960569999999</v>
      </c>
      <c r="AH351" s="6">
        <f>[1]Hybrid!AG43</f>
        <v>5.9542593210000003</v>
      </c>
      <c r="AI351" s="6">
        <f>[1]Hybrid!AH43</f>
        <v>5.8153174180000002</v>
      </c>
      <c r="AJ351" s="6">
        <f>[1]Hybrid!AI43</f>
        <v>5.673114956</v>
      </c>
      <c r="AK351" s="6">
        <f>[1]Hybrid!AJ43</f>
        <v>5.5284242990000001</v>
      </c>
      <c r="AL351" s="6">
        <f>[1]Hybrid!AK43</f>
        <v>5.3819508650000003</v>
      </c>
      <c r="AM351" s="6">
        <f>[1]Hybrid!AL43</f>
        <v>5.234277949</v>
      </c>
      <c r="AN351" s="6">
        <f>[1]Hybrid!AM43</f>
        <v>5.086009775</v>
      </c>
      <c r="AO351" s="6">
        <f>[1]Hybrid!AN43</f>
        <v>4.9376954399999997</v>
      </c>
      <c r="AP351" s="6">
        <f>[1]Hybrid!AO43</f>
        <v>4.7898310229999996</v>
      </c>
      <c r="AQ351" s="6">
        <f>[1]Hybrid!AP43</f>
        <v>4.6428614980000003</v>
      </c>
      <c r="AR351" s="6">
        <f>[1]Hybrid!AQ43</f>
        <v>4.4971832430000003</v>
      </c>
      <c r="AS351" s="6">
        <f>[1]Hybrid!AR43</f>
        <v>4.3531469889999999</v>
      </c>
      <c r="AT351" s="6">
        <f>[1]Hybrid!AS43</f>
        <v>4.2110609600000002</v>
      </c>
      <c r="AU351" s="6">
        <f>[1]Hybrid!AT43</f>
        <v>4.0711940269999998</v>
      </c>
      <c r="AV351" s="6">
        <f>[1]Hybrid!AU43</f>
        <v>3.9337787529999999</v>
      </c>
      <c r="AW351" s="6">
        <f>[1]Hybrid!AV43</f>
        <v>3.799015893</v>
      </c>
      <c r="AX351" s="6">
        <f>[1]Hybrid!AW43</f>
        <v>3.6670733100000001</v>
      </c>
      <c r="AY351" s="6">
        <f>[1]Hybrid!AX43</f>
        <v>3.538090746</v>
      </c>
      <c r="AZ351" s="6">
        <f>[1]Hybrid!AY43</f>
        <v>3.412182193</v>
      </c>
      <c r="BA351" s="6">
        <f>[1]Hybrid!AZ43</f>
        <v>3.2894381149999998</v>
      </c>
      <c r="BB351" s="6">
        <f>[1]Hybrid!BA43</f>
        <v>2.9073723610000002</v>
      </c>
      <c r="BC351" s="6">
        <f>[1]Hybrid!BB43</f>
        <v>2.7952765500000001</v>
      </c>
      <c r="BD351" s="6">
        <f>[1]Hybrid!BC43</f>
        <v>2.686812464</v>
      </c>
      <c r="BE351" s="6">
        <f>[1]Hybrid!BD43</f>
        <v>2.581966531</v>
      </c>
      <c r="BF351" s="6">
        <f>[1]Hybrid!BE43</f>
        <v>2.480710094</v>
      </c>
    </row>
    <row r="352" spans="1:58" x14ac:dyDescent="0.35">
      <c r="B352" s="6" t="str">
        <f>[1]Hybrid!A45</f>
        <v>auto_cg_cele_0</v>
      </c>
      <c r="C352" s="6">
        <f>[1]Hybrid!B45</f>
        <v>3.1066862139999998</v>
      </c>
      <c r="D352" s="6">
        <f>[1]Hybrid!C45</f>
        <v>4.0780346249999999</v>
      </c>
      <c r="E352" s="6">
        <f>[1]Hybrid!D45</f>
        <v>5.0359357459999998</v>
      </c>
      <c r="F352" s="6">
        <f>[1]Hybrid!E45</f>
        <v>5.939501098</v>
      </c>
      <c r="G352" s="6">
        <f>[1]Hybrid!F45</f>
        <v>6.7665365419999999</v>
      </c>
      <c r="H352" s="6">
        <f>[1]Hybrid!G45</f>
        <v>7.5065763629999998</v>
      </c>
      <c r="I352" s="6">
        <f>[1]Hybrid!H45</f>
        <v>8.1548645109999995</v>
      </c>
      <c r="J352" s="6">
        <f>[1]Hybrid!I45</f>
        <v>8.7124313010000005</v>
      </c>
      <c r="K352" s="6">
        <f>[1]Hybrid!J45</f>
        <v>9.1827119439999993</v>
      </c>
      <c r="L352" s="6">
        <f>[1]Hybrid!K45</f>
        <v>9.5704729059999991</v>
      </c>
      <c r="M352" s="6">
        <f>[1]Hybrid!L45</f>
        <v>9.8827749399999991</v>
      </c>
      <c r="N352" s="6">
        <f>[1]Hybrid!M45</f>
        <v>10.12347113</v>
      </c>
      <c r="O352" s="6">
        <f>[1]Hybrid!N45</f>
        <v>10.298388340000001</v>
      </c>
      <c r="P352" s="6">
        <f>[1]Hybrid!O45</f>
        <v>10.41334084</v>
      </c>
      <c r="Q352" s="6">
        <f>[1]Hybrid!P45</f>
        <v>10.474044689999999</v>
      </c>
      <c r="R352" s="6">
        <f>[1]Hybrid!Q45</f>
        <v>10.48603993</v>
      </c>
      <c r="S352" s="6">
        <f>[1]Hybrid!R45</f>
        <v>10.45463223</v>
      </c>
      <c r="T352" s="6">
        <f>[1]Hybrid!S45</f>
        <v>10.38485221</v>
      </c>
      <c r="U352" s="6">
        <f>[1]Hybrid!T45</f>
        <v>10.28142871</v>
      </c>
      <c r="V352" s="6">
        <f>[1]Hybrid!U45</f>
        <v>10.14877319</v>
      </c>
      <c r="W352" s="6">
        <f>[1]Hybrid!V45</f>
        <v>9.9905993540000004</v>
      </c>
      <c r="X352" s="6">
        <f>[1]Hybrid!W45</f>
        <v>9.8111346160000004</v>
      </c>
      <c r="Y352" s="6">
        <f>[1]Hybrid!X45</f>
        <v>9.6138252640000008</v>
      </c>
      <c r="Z352" s="6">
        <f>[1]Hybrid!Y45</f>
        <v>9.4017993969999996</v>
      </c>
      <c r="AA352" s="6">
        <f>[1]Hybrid!Z45</f>
        <v>9.1778804469999997</v>
      </c>
      <c r="AB352" s="6">
        <f>[1]Hybrid!AA45</f>
        <v>8.9440600470000007</v>
      </c>
      <c r="AC352" s="6">
        <f>[1]Hybrid!AB45</f>
        <v>8.7030757659999995</v>
      </c>
      <c r="AD352" s="6">
        <f>[1]Hybrid!AC45</f>
        <v>8.4570401390000001</v>
      </c>
      <c r="AE352" s="6">
        <f>[1]Hybrid!AD45</f>
        <v>8.2078123969999996</v>
      </c>
      <c r="AF352" s="6">
        <f>[1]Hybrid!AE45</f>
        <v>7.9570135899999999</v>
      </c>
      <c r="AG352" s="6">
        <f>[1]Hybrid!AF45</f>
        <v>7.7060478049999999</v>
      </c>
      <c r="AH352" s="6">
        <f>[1]Hybrid!AG45</f>
        <v>7.4561239669999999</v>
      </c>
      <c r="AI352" s="6">
        <f>[1]Hybrid!AH45</f>
        <v>7.2082765310000001</v>
      </c>
      <c r="AJ352" s="6">
        <f>[1]Hybrid!AI45</f>
        <v>6.96338452</v>
      </c>
      <c r="AK352" s="6">
        <f>[1]Hybrid!AJ45</f>
        <v>6.7221887730000001</v>
      </c>
      <c r="AL352" s="6">
        <f>[1]Hybrid!AK45</f>
        <v>6.4853074489999996</v>
      </c>
      <c r="AM352" s="6">
        <f>[1]Hybrid!AL45</f>
        <v>6.2532261340000002</v>
      </c>
      <c r="AN352" s="6">
        <f>[1]Hybrid!AM45</f>
        <v>6.026368604</v>
      </c>
      <c r="AO352" s="6">
        <f>[1]Hybrid!AN45</f>
        <v>5.805071506</v>
      </c>
      <c r="AP352" s="6">
        <f>[1]Hybrid!AO45</f>
        <v>5.589593925</v>
      </c>
      <c r="AQ352" s="6">
        <f>[1]Hybrid!AP45</f>
        <v>5.3801263170000002</v>
      </c>
      <c r="AR352" s="6">
        <f>[1]Hybrid!AQ45</f>
        <v>5.1767990040000003</v>
      </c>
      <c r="AS352" s="6">
        <f>[1]Hybrid!AR45</f>
        <v>4.9796900710000003</v>
      </c>
      <c r="AT352" s="6">
        <f>[1]Hybrid!AS45</f>
        <v>4.7888326040000004</v>
      </c>
      <c r="AU352" s="6">
        <f>[1]Hybrid!AT45</f>
        <v>4.6042211990000004</v>
      </c>
      <c r="AV352" s="6">
        <f>[1]Hybrid!AU45</f>
        <v>4.4258177930000002</v>
      </c>
      <c r="AW352" s="6">
        <f>[1]Hybrid!AV45</f>
        <v>4.2535571709999997</v>
      </c>
      <c r="AX352" s="6">
        <f>[1]Hybrid!AW45</f>
        <v>4.0873507150000004</v>
      </c>
      <c r="AY352" s="6">
        <f>[1]Hybrid!AX45</f>
        <v>3.9270909829999998</v>
      </c>
      <c r="AZ352" s="6">
        <f>[1]Hybrid!AY45</f>
        <v>3.7726552619999998</v>
      </c>
      <c r="BA352" s="6">
        <f>[1]Hybrid!AZ45</f>
        <v>3.623908675</v>
      </c>
      <c r="BB352" s="6">
        <f>[1]Hybrid!BA45</f>
        <v>3.2957326619999998</v>
      </c>
      <c r="BC352" s="6">
        <f>[1]Hybrid!BB45</f>
        <v>3.16432365</v>
      </c>
      <c r="BD352" s="6">
        <f>[1]Hybrid!BC45</f>
        <v>3.0380470530000001</v>
      </c>
      <c r="BE352" s="6">
        <f>[1]Hybrid!BD45</f>
        <v>2.9167280400000002</v>
      </c>
      <c r="BF352" s="6">
        <f>[1]Hybrid!BE45</f>
        <v>2.8001923290000001</v>
      </c>
    </row>
    <row r="353" spans="1:58" x14ac:dyDescent="0.35">
      <c r="B353" s="6" t="str">
        <f>[1]Hybrid!A47</f>
        <v>auto_ca_cgas_0</v>
      </c>
      <c r="C353" s="6">
        <f>[1]Hybrid!B47</f>
        <v>0.42568169729999999</v>
      </c>
      <c r="D353" s="6">
        <f>[1]Hybrid!C47</f>
        <v>0.44962451019999999</v>
      </c>
      <c r="E353" s="6">
        <f>[1]Hybrid!D47</f>
        <v>0.47671073530000002</v>
      </c>
      <c r="F353" s="6">
        <f>[1]Hybrid!E47</f>
        <v>0.50567802669999995</v>
      </c>
      <c r="G353" s="6">
        <f>[1]Hybrid!F47</f>
        <v>0.53570416629999995</v>
      </c>
      <c r="H353" s="6">
        <f>[1]Hybrid!G47</f>
        <v>0.566272895</v>
      </c>
      <c r="I353" s="6">
        <f>[1]Hybrid!H47</f>
        <v>0.59697095710000003</v>
      </c>
      <c r="J353" s="6">
        <f>[1]Hybrid!I47</f>
        <v>0.62760516040000003</v>
      </c>
      <c r="K353" s="6">
        <f>[1]Hybrid!J47</f>
        <v>0.65806000330000003</v>
      </c>
      <c r="L353" s="6">
        <f>[1]Hybrid!K47</f>
        <v>0.68826724309999998</v>
      </c>
      <c r="M353" s="6">
        <f>[1]Hybrid!L47</f>
        <v>0.71836267949999999</v>
      </c>
      <c r="N353" s="6">
        <f>[1]Hybrid!M47</f>
        <v>0.74814208360000001</v>
      </c>
      <c r="O353" s="6">
        <f>[1]Hybrid!N47</f>
        <v>0.77758620099999998</v>
      </c>
      <c r="P353" s="6">
        <f>[1]Hybrid!O47</f>
        <v>0.80667972970000001</v>
      </c>
      <c r="Q353" s="6">
        <f>[1]Hybrid!P47</f>
        <v>0.83541324630000002</v>
      </c>
      <c r="R353" s="6">
        <f>[1]Hybrid!Q47</f>
        <v>0.86378289429999999</v>
      </c>
      <c r="S353" s="6">
        <f>[1]Hybrid!R47</f>
        <v>0.89178940299999998</v>
      </c>
      <c r="T353" s="6">
        <f>[1]Hybrid!S47</f>
        <v>0.91943703919999997</v>
      </c>
      <c r="U353" s="6">
        <f>[1]Hybrid!T47</f>
        <v>0.94673274110000005</v>
      </c>
      <c r="V353" s="6">
        <f>[1]Hybrid!U47</f>
        <v>0.97368550639999996</v>
      </c>
      <c r="W353" s="6">
        <f>[1]Hybrid!V47</f>
        <v>1.000167568</v>
      </c>
      <c r="X353" s="6">
        <f>[1]Hybrid!W47</f>
        <v>1.026334834</v>
      </c>
      <c r="Y353" s="6">
        <f>[1]Hybrid!X47</f>
        <v>1.052203996</v>
      </c>
      <c r="Z353" s="6">
        <f>[1]Hybrid!Y47</f>
        <v>1.077794283</v>
      </c>
      <c r="AA353" s="6">
        <f>[1]Hybrid!Z47</f>
        <v>1.1031245009999999</v>
      </c>
      <c r="AB353" s="6">
        <f>[1]Hybrid!AA47</f>
        <v>1.127807389</v>
      </c>
      <c r="AC353" s="6">
        <f>[1]Hybrid!AB47</f>
        <v>1.1520897969999999</v>
      </c>
      <c r="AD353" s="6">
        <f>[1]Hybrid!AC47</f>
        <v>1.176003696</v>
      </c>
      <c r="AE353" s="6">
        <f>[1]Hybrid!AD47</f>
        <v>1.1995893950000001</v>
      </c>
      <c r="AF353" s="6">
        <f>[1]Hybrid!AE47</f>
        <v>1.222889028</v>
      </c>
      <c r="AG353" s="6">
        <f>[1]Hybrid!AF47</f>
        <v>1.2459432800000001</v>
      </c>
      <c r="AH353" s="6">
        <f>[1]Hybrid!AG47</f>
        <v>1.268789902</v>
      </c>
      <c r="AI353" s="6">
        <f>[1]Hybrid!AH47</f>
        <v>1.291463314</v>
      </c>
      <c r="AJ353" s="6">
        <f>[1]Hybrid!AI47</f>
        <v>1.313994809</v>
      </c>
      <c r="AK353" s="6">
        <f>[1]Hybrid!AJ47</f>
        <v>1.3364130169999999</v>
      </c>
      <c r="AL353" s="6">
        <f>[1]Hybrid!AK47</f>
        <v>1.358744422</v>
      </c>
      <c r="AM353" s="6">
        <f>[1]Hybrid!AL47</f>
        <v>1.3809145949999999</v>
      </c>
      <c r="AN353" s="6">
        <f>[1]Hybrid!AM47</f>
        <v>1.4029503029999999</v>
      </c>
      <c r="AO353" s="6">
        <f>[1]Hybrid!AN47</f>
        <v>1.4248794</v>
      </c>
      <c r="AP353" s="6">
        <f>[1]Hybrid!AO47</f>
        <v>1.446731752</v>
      </c>
      <c r="AQ353" s="6">
        <f>[1]Hybrid!AP47</f>
        <v>1.468538071</v>
      </c>
      <c r="AR353" s="6">
        <f>[1]Hybrid!AQ47</f>
        <v>1.4903284960000001</v>
      </c>
      <c r="AS353" s="6">
        <f>[1]Hybrid!AR47</f>
        <v>1.5121314969999999</v>
      </c>
      <c r="AT353" s="6">
        <f>[1]Hybrid!AS47</f>
        <v>1.5339732340000001</v>
      </c>
      <c r="AU353" s="6">
        <f>[1]Hybrid!AT47</f>
        <v>1.5558773260000001</v>
      </c>
      <c r="AV353" s="6">
        <f>[1]Hybrid!AU47</f>
        <v>1.577864903</v>
      </c>
      <c r="AW353" s="6">
        <f>[1]Hybrid!AV47</f>
        <v>1.599963832</v>
      </c>
      <c r="AX353" s="6">
        <f>[1]Hybrid!AW47</f>
        <v>1.6221906939999999</v>
      </c>
      <c r="AY353" s="6">
        <f>[1]Hybrid!AX47</f>
        <v>1.644560179</v>
      </c>
      <c r="AZ353" s="6">
        <f>[1]Hybrid!AY47</f>
        <v>1.6670851419999999</v>
      </c>
      <c r="BA353" s="6">
        <f>[1]Hybrid!AZ47</f>
        <v>1.689776881</v>
      </c>
      <c r="BB353" s="6">
        <f>[1]Hybrid!BA47</f>
        <v>1.797599926</v>
      </c>
      <c r="BC353" s="6">
        <f>[1]Hybrid!BB47</f>
        <v>1.825674359</v>
      </c>
      <c r="BD353" s="6">
        <f>[1]Hybrid!BC47</f>
        <v>1.8541047100000001</v>
      </c>
      <c r="BE353" s="6">
        <f>[1]Hybrid!BD47</f>
        <v>1.8829160920000001</v>
      </c>
      <c r="BF353" s="6">
        <f>[1]Hybrid!BE47</f>
        <v>1.9121352410000001</v>
      </c>
    </row>
    <row r="354" spans="1:58" x14ac:dyDescent="0.35">
      <c r="B354" s="6" t="str">
        <f>[1]Hybrid!A49</f>
        <v>auto_cb_cgas_0</v>
      </c>
      <c r="C354" s="6">
        <f>[1]Hybrid!B49</f>
        <v>0.49500522540000003</v>
      </c>
      <c r="D354" s="6">
        <f>[1]Hybrid!C49</f>
        <v>0.51254167399999995</v>
      </c>
      <c r="E354" s="6">
        <f>[1]Hybrid!D49</f>
        <v>0.53334117869999997</v>
      </c>
      <c r="F354" s="6">
        <f>[1]Hybrid!E49</f>
        <v>0.55614763499999997</v>
      </c>
      <c r="G354" s="6">
        <f>[1]Hybrid!F49</f>
        <v>0.58013773059999996</v>
      </c>
      <c r="H354" s="6">
        <f>[1]Hybrid!G49</f>
        <v>0.60478809060000005</v>
      </c>
      <c r="I354" s="6">
        <f>[1]Hybrid!H49</f>
        <v>0.62967927940000001</v>
      </c>
      <c r="J354" s="6">
        <f>[1]Hybrid!I49</f>
        <v>0.65460522480000005</v>
      </c>
      <c r="K354" s="6">
        <f>[1]Hybrid!J49</f>
        <v>0.67943639929999999</v>
      </c>
      <c r="L354" s="6">
        <f>[1]Hybrid!K49</f>
        <v>0.70409014390000002</v>
      </c>
      <c r="M354" s="6">
        <f>[1]Hybrid!L49</f>
        <v>0.72867686249999997</v>
      </c>
      <c r="N354" s="6">
        <f>[1]Hybrid!M49</f>
        <v>0.75298886809999999</v>
      </c>
      <c r="O354" s="6">
        <f>[1]Hybrid!N49</f>
        <v>0.77699386979999996</v>
      </c>
      <c r="P354" s="6">
        <f>[1]Hybrid!O49</f>
        <v>0.8006645</v>
      </c>
      <c r="Q354" s="6">
        <f>[1]Hybrid!P49</f>
        <v>0.82397993700000005</v>
      </c>
      <c r="R354" s="6">
        <f>[1]Hybrid!Q49</f>
        <v>0.84692546030000004</v>
      </c>
      <c r="S354" s="6">
        <f>[1]Hybrid!R49</f>
        <v>0.86949141289999998</v>
      </c>
      <c r="T354" s="6">
        <f>[1]Hybrid!S49</f>
        <v>0.8916721272</v>
      </c>
      <c r="U354" s="6">
        <f>[1]Hybrid!T49</f>
        <v>0.91346503219999997</v>
      </c>
      <c r="V354" s="6">
        <f>[1]Hybrid!U49</f>
        <v>0.93487000480000004</v>
      </c>
      <c r="W354" s="6">
        <f>[1]Hybrid!V49</f>
        <v>0.9557633915</v>
      </c>
      <c r="X354" s="6">
        <f>[1]Hybrid!W49</f>
        <v>0.97628006869999995</v>
      </c>
      <c r="Y354" s="6">
        <f>[1]Hybrid!X49</f>
        <v>0.99642819920000003</v>
      </c>
      <c r="Z354" s="6">
        <f>[1]Hybrid!Y49</f>
        <v>1.0162183760000001</v>
      </c>
      <c r="AA354" s="6">
        <f>[1]Hybrid!Z49</f>
        <v>1.035660939</v>
      </c>
      <c r="AB354" s="6">
        <f>[1]Hybrid!AA49</f>
        <v>1.0544049179999999</v>
      </c>
      <c r="AC354" s="6">
        <f>[1]Hybrid!AB49</f>
        <v>1.072667195</v>
      </c>
      <c r="AD354" s="6">
        <f>[1]Hybrid!AC49</f>
        <v>1.0904722360000001</v>
      </c>
      <c r="AE354" s="6">
        <f>[1]Hybrid!AD49</f>
        <v>1.1078516199999999</v>
      </c>
      <c r="AF354" s="6">
        <f>[1]Hybrid!AE49</f>
        <v>1.1248381860000001</v>
      </c>
      <c r="AG354" s="6">
        <f>[1]Hybrid!AF49</f>
        <v>1.141463127</v>
      </c>
      <c r="AH354" s="6">
        <f>[1]Hybrid!AG49</f>
        <v>1.157754709</v>
      </c>
      <c r="AI354" s="6">
        <f>[1]Hybrid!AH49</f>
        <v>1.173737941</v>
      </c>
      <c r="AJ354" s="6">
        <f>[1]Hybrid!AI49</f>
        <v>1.1894347729999999</v>
      </c>
      <c r="AK354" s="6">
        <f>[1]Hybrid!AJ49</f>
        <v>1.204864529</v>
      </c>
      <c r="AL354" s="6">
        <f>[1]Hybrid!AK49</f>
        <v>1.220044372</v>
      </c>
      <c r="AM354" s="6">
        <f>[1]Hybrid!AL49</f>
        <v>1.2349054660000001</v>
      </c>
      <c r="AN354" s="6">
        <f>[1]Hybrid!AM49</f>
        <v>1.2494657769999999</v>
      </c>
      <c r="AO354" s="6">
        <f>[1]Hybrid!AN49</f>
        <v>1.2637439829999999</v>
      </c>
      <c r="AP354" s="6">
        <f>[1]Hybrid!AO49</f>
        <v>1.277760139</v>
      </c>
      <c r="AQ354" s="6">
        <f>[1]Hybrid!AP49</f>
        <v>1.291534626</v>
      </c>
      <c r="AR354" s="6">
        <f>[1]Hybrid!AQ49</f>
        <v>1.305086931</v>
      </c>
      <c r="AS354" s="6">
        <f>[1]Hybrid!AR49</f>
        <v>1.318434734</v>
      </c>
      <c r="AT354" s="6">
        <f>[1]Hybrid!AS49</f>
        <v>1.3315933959999999</v>
      </c>
      <c r="AU354" s="6">
        <f>[1]Hybrid!AT49</f>
        <v>1.344575796</v>
      </c>
      <c r="AV354" s="6">
        <f>[1]Hybrid!AU49</f>
        <v>1.357392406</v>
      </c>
      <c r="AW354" s="6">
        <f>[1]Hybrid!AV49</f>
        <v>1.370058759</v>
      </c>
      <c r="AX354" s="6">
        <f>[1]Hybrid!AW49</f>
        <v>1.382580833</v>
      </c>
      <c r="AY354" s="6">
        <f>[1]Hybrid!AX49</f>
        <v>1.3949627689999999</v>
      </c>
      <c r="AZ354" s="6">
        <f>[1]Hybrid!AY49</f>
        <v>1.407206951</v>
      </c>
      <c r="BA354" s="6">
        <f>[1]Hybrid!AZ49</f>
        <v>1.419314263</v>
      </c>
      <c r="BB354" s="6">
        <f>[1]Hybrid!BA49</f>
        <v>1.49953493</v>
      </c>
      <c r="BC354" s="6">
        <f>[1]Hybrid!BB49</f>
        <v>1.515156978</v>
      </c>
      <c r="BD354" s="6">
        <f>[1]Hybrid!BC49</f>
        <v>1.5307466949999999</v>
      </c>
      <c r="BE354" s="6">
        <f>[1]Hybrid!BD49</f>
        <v>1.5463146320000001</v>
      </c>
      <c r="BF354" s="6">
        <f>[1]Hybrid!BE49</f>
        <v>1.561872156</v>
      </c>
    </row>
    <row r="355" spans="1:58" x14ac:dyDescent="0.35">
      <c r="B355" s="6" t="str">
        <f>[1]Hybrid!A51</f>
        <v>auto_cc_cgas_0</v>
      </c>
      <c r="C355" s="6">
        <f>[1]Hybrid!B51</f>
        <v>0.40659851759999999</v>
      </c>
      <c r="D355" s="6">
        <f>[1]Hybrid!C51</f>
        <v>0.41470220229999999</v>
      </c>
      <c r="E355" s="6">
        <f>[1]Hybrid!D51</f>
        <v>0.42525139709999998</v>
      </c>
      <c r="F355" s="6">
        <f>[1]Hybrid!E51</f>
        <v>0.43734559210000001</v>
      </c>
      <c r="G355" s="6">
        <f>[1]Hybrid!F51</f>
        <v>0.45039109230000002</v>
      </c>
      <c r="H355" s="6">
        <f>[1]Hybrid!G51</f>
        <v>0.464006223</v>
      </c>
      <c r="I355" s="6">
        <f>[1]Hybrid!H51</f>
        <v>0.47788482669999999</v>
      </c>
      <c r="J355" s="6">
        <f>[1]Hybrid!I51</f>
        <v>0.49186996379999998</v>
      </c>
      <c r="K355" s="6">
        <f>[1]Hybrid!J51</f>
        <v>0.50585910369999998</v>
      </c>
      <c r="L355" s="6">
        <f>[1]Hybrid!K51</f>
        <v>0.51978326389999996</v>
      </c>
      <c r="M355" s="6">
        <f>[1]Hybrid!L51</f>
        <v>0.53370530869999999</v>
      </c>
      <c r="N355" s="6">
        <f>[1]Hybrid!M51</f>
        <v>0.54747362190000004</v>
      </c>
      <c r="O355" s="6">
        <f>[1]Hybrid!N51</f>
        <v>0.56105661470000001</v>
      </c>
      <c r="P355" s="6">
        <f>[1]Hybrid!O51</f>
        <v>0.57442694890000001</v>
      </c>
      <c r="Q355" s="6">
        <f>[1]Hybrid!P51</f>
        <v>0.58756250759999995</v>
      </c>
      <c r="R355" s="6">
        <f>[1]Hybrid!Q51</f>
        <v>0.60044598709999997</v>
      </c>
      <c r="S355" s="6">
        <f>[1]Hybrid!R51</f>
        <v>0.61306411439999997</v>
      </c>
      <c r="T355" s="6">
        <f>[1]Hybrid!S51</f>
        <v>0.62540685539999996</v>
      </c>
      <c r="U355" s="6">
        <f>[1]Hybrid!T51</f>
        <v>0.63746675549999998</v>
      </c>
      <c r="V355" s="6">
        <f>[1]Hybrid!U51</f>
        <v>0.64923844819999998</v>
      </c>
      <c r="W355" s="6">
        <f>[1]Hybrid!V51</f>
        <v>0.66063617330000002</v>
      </c>
      <c r="X355" s="6">
        <f>[1]Hybrid!W51</f>
        <v>0.67174424170000002</v>
      </c>
      <c r="Y355" s="6">
        <f>[1]Hybrid!X51</f>
        <v>0.6825638571</v>
      </c>
      <c r="Z355" s="6">
        <f>[1]Hybrid!Y51</f>
        <v>0.6930979947</v>
      </c>
      <c r="AA355" s="6">
        <f>[1]Hybrid!Z51</f>
        <v>0.70334964789999999</v>
      </c>
      <c r="AB355" s="6">
        <f>[1]Hybrid!AA51</f>
        <v>0.71308991990000004</v>
      </c>
      <c r="AC355" s="6">
        <f>[1]Hybrid!AB51</f>
        <v>0.7224569179</v>
      </c>
      <c r="AD355" s="6">
        <f>[1]Hybrid!AC51</f>
        <v>0.73146450230000004</v>
      </c>
      <c r="AE355" s="6">
        <f>[1]Hybrid!AD51</f>
        <v>0.74013099019999995</v>
      </c>
      <c r="AF355" s="6">
        <f>[1]Hybrid!AE51</f>
        <v>0.74847536029999995</v>
      </c>
      <c r="AG355" s="6">
        <f>[1]Hybrid!AF51</f>
        <v>0.75651540740000001</v>
      </c>
      <c r="AH355" s="6">
        <f>[1]Hybrid!AG51</f>
        <v>0.76426694009999996</v>
      </c>
      <c r="AI355" s="6">
        <f>[1]Hybrid!AH51</f>
        <v>0.77174359429999995</v>
      </c>
      <c r="AJ355" s="6">
        <f>[1]Hybrid!AI51</f>
        <v>0.77895697939999997</v>
      </c>
      <c r="AK355" s="6">
        <f>[1]Hybrid!AJ51</f>
        <v>0.78591696830000002</v>
      </c>
      <c r="AL355" s="6">
        <f>[1]Hybrid!AK51</f>
        <v>0.79263200889999996</v>
      </c>
      <c r="AM355" s="6">
        <f>[1]Hybrid!AL51</f>
        <v>0.7990577512</v>
      </c>
      <c r="AN355" s="6">
        <f>[1]Hybrid!AM51</f>
        <v>0.80520370159999999</v>
      </c>
      <c r="AO355" s="6">
        <f>[1]Hybrid!AN51</f>
        <v>0.81107978530000002</v>
      </c>
      <c r="AP355" s="6">
        <f>[1]Hybrid!AO51</f>
        <v>0.81669668760000003</v>
      </c>
      <c r="AQ355" s="6">
        <f>[1]Hybrid!AP51</f>
        <v>0.8220651792</v>
      </c>
      <c r="AR355" s="6">
        <f>[1]Hybrid!AQ51</f>
        <v>0.82719536709999997</v>
      </c>
      <c r="AS355" s="6">
        <f>[1]Hybrid!AR51</f>
        <v>0.83209615449999996</v>
      </c>
      <c r="AT355" s="6">
        <f>[1]Hybrid!AS51</f>
        <v>0.83677495449999995</v>
      </c>
      <c r="AU355" s="6">
        <f>[1]Hybrid!AT51</f>
        <v>0.84123761760000004</v>
      </c>
      <c r="AV355" s="6">
        <f>[1]Hybrid!AU51</f>
        <v>0.84548850320000002</v>
      </c>
      <c r="AW355" s="6">
        <f>[1]Hybrid!AV51</f>
        <v>0.84953485660000005</v>
      </c>
      <c r="AX355" s="6">
        <f>[1]Hybrid!AW51</f>
        <v>0.85337825789999999</v>
      </c>
      <c r="AY355" s="6">
        <f>[1]Hybrid!AX51</f>
        <v>0.85701920600000003</v>
      </c>
      <c r="AZ355" s="6">
        <f>[1]Hybrid!AY51</f>
        <v>0.86045719659999997</v>
      </c>
      <c r="BA355" s="6">
        <f>[1]Hybrid!AZ51</f>
        <v>0.86369089830000001</v>
      </c>
      <c r="BB355" s="6">
        <f>[1]Hybrid!BA51</f>
        <v>0.90626562889999995</v>
      </c>
      <c r="BC355" s="6">
        <f>[1]Hybrid!BB51</f>
        <v>0.91114016870000003</v>
      </c>
      <c r="BD355" s="6">
        <f>[1]Hybrid!BC51</f>
        <v>0.91585367900000003</v>
      </c>
      <c r="BE355" s="6">
        <f>[1]Hybrid!BD51</f>
        <v>0.92041032209999996</v>
      </c>
      <c r="BF355" s="6">
        <f>[1]Hybrid!BE51</f>
        <v>0.92481464719999995</v>
      </c>
    </row>
    <row r="356" spans="1:58" x14ac:dyDescent="0.35">
      <c r="B356" s="6" t="str">
        <f>[1]Hybrid!A53</f>
        <v>auto_cd_cgas_0</v>
      </c>
      <c r="C356" s="6">
        <f>[1]Hybrid!B53</f>
        <v>0.2495444651</v>
      </c>
      <c r="D356" s="6">
        <f>[1]Hybrid!C53</f>
        <v>0.25242828470000001</v>
      </c>
      <c r="E356" s="6">
        <f>[1]Hybrid!D53</f>
        <v>0.25660192170000001</v>
      </c>
      <c r="F356" s="6">
        <f>[1]Hybrid!E53</f>
        <v>0.26152336459999997</v>
      </c>
      <c r="G356" s="6">
        <f>[1]Hybrid!F53</f>
        <v>0.2668380803</v>
      </c>
      <c r="H356" s="6">
        <f>[1]Hybrid!G53</f>
        <v>0.27231908830000001</v>
      </c>
      <c r="I356" s="6">
        <f>[1]Hybrid!H53</f>
        <v>0.2777889838</v>
      </c>
      <c r="J356" s="6">
        <f>[1]Hybrid!I53</f>
        <v>0.2831555368</v>
      </c>
      <c r="K356" s="6">
        <f>[1]Hybrid!J53</f>
        <v>0.28835885900000002</v>
      </c>
      <c r="L356" s="6">
        <f>[1]Hybrid!K53</f>
        <v>0.29335906750000001</v>
      </c>
      <c r="M356" s="6">
        <f>[1]Hybrid!L53</f>
        <v>0.29818389769999998</v>
      </c>
      <c r="N356" s="6">
        <f>[1]Hybrid!M53</f>
        <v>0.30275479529999999</v>
      </c>
      <c r="O356" s="6">
        <f>[1]Hybrid!N53</f>
        <v>0.30705527490000001</v>
      </c>
      <c r="P356" s="6">
        <f>[1]Hybrid!O53</f>
        <v>0.31107217840000001</v>
      </c>
      <c r="Q356" s="6">
        <f>[1]Hybrid!P53</f>
        <v>0.31479590839999999</v>
      </c>
      <c r="R356" s="6">
        <f>[1]Hybrid!Q53</f>
        <v>0.31822002510000003</v>
      </c>
      <c r="S356" s="6">
        <f>[1]Hybrid!R53</f>
        <v>0.32134071390000002</v>
      </c>
      <c r="T356" s="6">
        <f>[1]Hybrid!S53</f>
        <v>0.32415628670000002</v>
      </c>
      <c r="U356" s="6">
        <f>[1]Hybrid!T53</f>
        <v>0.3266667694</v>
      </c>
      <c r="V356" s="6">
        <f>[1]Hybrid!U53</f>
        <v>0.32887358109999998</v>
      </c>
      <c r="W356" s="6">
        <f>[1]Hybrid!V53</f>
        <v>0.3307440895</v>
      </c>
      <c r="X356" s="6">
        <f>[1]Hybrid!W53</f>
        <v>0.3323199275</v>
      </c>
      <c r="Y356" s="6">
        <f>[1]Hybrid!X53</f>
        <v>0.33360632880000002</v>
      </c>
      <c r="Z356" s="6">
        <f>[1]Hybrid!Y53</f>
        <v>0.33460929519999999</v>
      </c>
      <c r="AA356" s="6">
        <f>[1]Hybrid!Z53</f>
        <v>0.33533487839999998</v>
      </c>
      <c r="AB356" s="6">
        <f>[1]Hybrid!AA53</f>
        <v>0.33569778119999999</v>
      </c>
      <c r="AC356" s="6">
        <f>[1]Hybrid!AB53</f>
        <v>0.33576115169999998</v>
      </c>
      <c r="AD356" s="6">
        <f>[1]Hybrid!AC53</f>
        <v>0.3355376746</v>
      </c>
      <c r="AE356" s="6">
        <f>[1]Hybrid!AD53</f>
        <v>0.33504132959999999</v>
      </c>
      <c r="AF356" s="6">
        <f>[1]Hybrid!AE53</f>
        <v>0.3342858802</v>
      </c>
      <c r="AG356" s="6">
        <f>[1]Hybrid!AF53</f>
        <v>0.33328421520000001</v>
      </c>
      <c r="AH356" s="6">
        <f>[1]Hybrid!AG53</f>
        <v>0.3320481166</v>
      </c>
      <c r="AI356" s="6">
        <f>[1]Hybrid!AH53</f>
        <v>0.33058826070000003</v>
      </c>
      <c r="AJ356" s="6">
        <f>[1]Hybrid!AI53</f>
        <v>0.32891433710000001</v>
      </c>
      <c r="AK356" s="6">
        <f>[1]Hybrid!AJ53</f>
        <v>0.32703521410000003</v>
      </c>
      <c r="AL356" s="6">
        <f>[1]Hybrid!AK53</f>
        <v>0.32495910420000002</v>
      </c>
      <c r="AM356" s="6">
        <f>[1]Hybrid!AL53</f>
        <v>0.32267721500000002</v>
      </c>
      <c r="AN356" s="6">
        <f>[1]Hybrid!AM53</f>
        <v>0.32019884830000001</v>
      </c>
      <c r="AO356" s="6">
        <f>[1]Hybrid!AN53</f>
        <v>0.31753336650000002</v>
      </c>
      <c r="AP356" s="6">
        <f>[1]Hybrid!AO53</f>
        <v>0.31469022400000002</v>
      </c>
      <c r="AQ356" s="6">
        <f>[1]Hybrid!AP53</f>
        <v>0.31167872410000003</v>
      </c>
      <c r="AR356" s="6">
        <f>[1]Hybrid!AQ53</f>
        <v>0.30850779789999999</v>
      </c>
      <c r="AS356" s="6">
        <f>[1]Hybrid!AR53</f>
        <v>0.305185875</v>
      </c>
      <c r="AT356" s="6">
        <f>[1]Hybrid!AS53</f>
        <v>0.30172084269999999</v>
      </c>
      <c r="AU356" s="6">
        <f>[1]Hybrid!AT53</f>
        <v>0.29812007019999998</v>
      </c>
      <c r="AV356" s="6">
        <f>[1]Hybrid!AU53</f>
        <v>0.2943904725</v>
      </c>
      <c r="AW356" s="6">
        <f>[1]Hybrid!AV53</f>
        <v>0.2905396616</v>
      </c>
      <c r="AX356" s="6">
        <f>[1]Hybrid!AW53</f>
        <v>0.28657374149999998</v>
      </c>
      <c r="AY356" s="6">
        <f>[1]Hybrid!AX53</f>
        <v>0.28249857880000001</v>
      </c>
      <c r="AZ356" s="6">
        <f>[1]Hybrid!AY53</f>
        <v>0.27831985640000001</v>
      </c>
      <c r="BA356" s="6">
        <f>[1]Hybrid!AZ53</f>
        <v>0.27404314239999999</v>
      </c>
      <c r="BB356" s="6">
        <f>[1]Hybrid!BA53</f>
        <v>0.27612346450000003</v>
      </c>
      <c r="BC356" s="6">
        <f>[1]Hybrid!BB53</f>
        <v>0.2717945819</v>
      </c>
      <c r="BD356" s="6">
        <f>[1]Hybrid!BC53</f>
        <v>0.26737305779999998</v>
      </c>
      <c r="BE356" s="6">
        <f>[1]Hybrid!BD53</f>
        <v>0.26286532150000003</v>
      </c>
      <c r="BF356" s="6">
        <f>[1]Hybrid!BE53</f>
        <v>0.25827777819999997</v>
      </c>
    </row>
    <row r="357" spans="1:58" x14ac:dyDescent="0.35">
      <c r="B357" s="6" t="str">
        <f>[1]Hybrid!A55</f>
        <v>auto_ce_cgas_0</v>
      </c>
      <c r="C357" s="6">
        <f>[1]Hybrid!B55</f>
        <v>0.15020246549999999</v>
      </c>
      <c r="D357" s="6">
        <f>[1]Hybrid!C55</f>
        <v>0.1521301739</v>
      </c>
      <c r="E357" s="6">
        <f>[1]Hybrid!D55</f>
        <v>0.15475126280000001</v>
      </c>
      <c r="F357" s="6">
        <f>[1]Hybrid!E55</f>
        <v>0.15771474069999999</v>
      </c>
      <c r="G357" s="6">
        <f>[1]Hybrid!F55</f>
        <v>0.16079482749999999</v>
      </c>
      <c r="H357" s="6">
        <f>[1]Hybrid!G55</f>
        <v>0.16384985220000001</v>
      </c>
      <c r="I357" s="6">
        <f>[1]Hybrid!H55</f>
        <v>0.16677285550000001</v>
      </c>
      <c r="J357" s="6">
        <f>[1]Hybrid!I55</f>
        <v>0.1695105767</v>
      </c>
      <c r="K357" s="6">
        <f>[1]Hybrid!J55</f>
        <v>0.17203074360000001</v>
      </c>
      <c r="L357" s="6">
        <f>[1]Hybrid!K55</f>
        <v>0.1743140363</v>
      </c>
      <c r="M357" s="6">
        <f>[1]Hybrid!L55</f>
        <v>0.17637991350000001</v>
      </c>
      <c r="N357" s="6">
        <f>[1]Hybrid!M55</f>
        <v>0.1781887053</v>
      </c>
      <c r="O357" s="6">
        <f>[1]Hybrid!N55</f>
        <v>0.1797365095</v>
      </c>
      <c r="P357" s="6">
        <f>[1]Hybrid!O55</f>
        <v>0.18102179260000001</v>
      </c>
      <c r="Q357" s="6">
        <f>[1]Hybrid!P55</f>
        <v>0.18204536860000001</v>
      </c>
      <c r="R357" s="6">
        <f>[1]Hybrid!Q55</f>
        <v>0.1828100554</v>
      </c>
      <c r="S357" s="6">
        <f>[1]Hybrid!R55</f>
        <v>0.1833202917</v>
      </c>
      <c r="T357" s="6">
        <f>[1]Hybrid!S55</f>
        <v>0.18358179450000001</v>
      </c>
      <c r="U357" s="6">
        <f>[1]Hybrid!T55</f>
        <v>0.18360127749999999</v>
      </c>
      <c r="V357" s="6">
        <f>[1]Hybrid!U55</f>
        <v>0.18338622769999999</v>
      </c>
      <c r="W357" s="6">
        <f>[1]Hybrid!V55</f>
        <v>0.18292756139999999</v>
      </c>
      <c r="X357" s="6">
        <f>[1]Hybrid!W55</f>
        <v>0.1822528608</v>
      </c>
      <c r="Y357" s="6">
        <f>[1]Hybrid!X55</f>
        <v>0.18137143889999999</v>
      </c>
      <c r="Z357" s="6">
        <f>[1]Hybrid!Y55</f>
        <v>0.18029282420000001</v>
      </c>
      <c r="AA357" s="6">
        <f>[1]Hybrid!Z55</f>
        <v>0.1790264255</v>
      </c>
      <c r="AB357" s="6">
        <f>[1]Hybrid!AA55</f>
        <v>0.1775402143</v>
      </c>
      <c r="AC357" s="6">
        <f>[1]Hybrid!AB55</f>
        <v>0.17587063289999999</v>
      </c>
      <c r="AD357" s="6">
        <f>[1]Hybrid!AC55</f>
        <v>0.17403046210000001</v>
      </c>
      <c r="AE357" s="6">
        <f>[1]Hybrid!AD55</f>
        <v>0.17203266750000001</v>
      </c>
      <c r="AF357" s="6">
        <f>[1]Hybrid!AE55</f>
        <v>0.16988972499999999</v>
      </c>
      <c r="AG357" s="6">
        <f>[1]Hybrid!AF55</f>
        <v>0.16761336530000001</v>
      </c>
      <c r="AH357" s="6">
        <f>[1]Hybrid!AG55</f>
        <v>0.1652145136</v>
      </c>
      <c r="AI357" s="6">
        <f>[1]Hybrid!AH55</f>
        <v>0.1627033289</v>
      </c>
      <c r="AJ357" s="6">
        <f>[1]Hybrid!AI55</f>
        <v>0.1600892884</v>
      </c>
      <c r="AK357" s="6">
        <f>[1]Hybrid!AJ55</f>
        <v>0.15738128700000001</v>
      </c>
      <c r="AL357" s="6">
        <f>[1]Hybrid!AK55</f>
        <v>0.15458773100000001</v>
      </c>
      <c r="AM357" s="6">
        <f>[1]Hybrid!AL55</f>
        <v>0.15171045920000001</v>
      </c>
      <c r="AN357" s="6">
        <f>[1]Hybrid!AM55</f>
        <v>0.1487581976</v>
      </c>
      <c r="AO357" s="6">
        <f>[1]Hybrid!AN55</f>
        <v>0.14573948010000001</v>
      </c>
      <c r="AP357" s="6">
        <f>[1]Hybrid!AO55</f>
        <v>0.1426626362</v>
      </c>
      <c r="AQ357" s="6">
        <f>[1]Hybrid!AP55</f>
        <v>0.13953569430000001</v>
      </c>
      <c r="AR357" s="6">
        <f>[1]Hybrid!AQ55</f>
        <v>0.13636630890000001</v>
      </c>
      <c r="AS357" s="6">
        <f>[1]Hybrid!AR55</f>
        <v>0.13316172840000001</v>
      </c>
      <c r="AT357" s="6">
        <f>[1]Hybrid!AS55</f>
        <v>0.1299287965</v>
      </c>
      <c r="AU357" s="6">
        <f>[1]Hybrid!AT55</f>
        <v>0.12667397590000001</v>
      </c>
      <c r="AV357" s="6">
        <f>[1]Hybrid!AU55</f>
        <v>0.1234033824</v>
      </c>
      <c r="AW357" s="6">
        <f>[1]Hybrid!AV55</f>
        <v>0.120123145</v>
      </c>
      <c r="AX357" s="6">
        <f>[1]Hybrid!AW55</f>
        <v>0.1168387295</v>
      </c>
      <c r="AY357" s="6">
        <f>[1]Hybrid!AX55</f>
        <v>0.1135553514</v>
      </c>
      <c r="AZ357" s="6">
        <f>[1]Hybrid!AY55</f>
        <v>0.110277998</v>
      </c>
      <c r="BA357" s="6">
        <f>[1]Hybrid!AZ55</f>
        <v>0.1070114523</v>
      </c>
      <c r="BB357" s="6">
        <f>[1]Hybrid!BA55</f>
        <v>0.1053358968</v>
      </c>
      <c r="BC357" s="6">
        <f>[1]Hybrid!BB55</f>
        <v>0.1021107666</v>
      </c>
      <c r="BD357" s="6">
        <f>[1]Hybrid!BC55</f>
        <v>9.8906918499999996E-2</v>
      </c>
      <c r="BE357" s="6">
        <f>[1]Hybrid!BD55</f>
        <v>9.5728802700000004E-2</v>
      </c>
      <c r="BF357" s="6">
        <f>[1]Hybrid!BE55</f>
        <v>9.2580637699999996E-2</v>
      </c>
    </row>
    <row r="358" spans="1:58" x14ac:dyDescent="0.35">
      <c r="B358" s="6" t="str">
        <f>[1]Hybrid!A57</f>
        <v>auto_cf_cgas_0</v>
      </c>
      <c r="C358" s="6">
        <f>[1]Hybrid!B57</f>
        <v>7.4609436000000001E-2</v>
      </c>
      <c r="D358" s="6">
        <f>[1]Hybrid!C57</f>
        <v>7.5328545900000002E-2</v>
      </c>
      <c r="E358" s="6">
        <f>[1]Hybrid!D57</f>
        <v>7.6246810400000004E-2</v>
      </c>
      <c r="F358" s="6">
        <f>[1]Hybrid!E57</f>
        <v>7.7169642799999993E-2</v>
      </c>
      <c r="G358" s="6">
        <f>[1]Hybrid!F57</f>
        <v>7.7981432399999995E-2</v>
      </c>
      <c r="H358" s="6">
        <f>[1]Hybrid!G57</f>
        <v>7.86176861E-2</v>
      </c>
      <c r="I358" s="6">
        <f>[1]Hybrid!H57</f>
        <v>7.9038013200000007E-2</v>
      </c>
      <c r="J358" s="6">
        <f>[1]Hybrid!I57</f>
        <v>7.9230162500000006E-2</v>
      </c>
      <c r="K358" s="6">
        <f>[1]Hybrid!J57</f>
        <v>7.9193570899999996E-2</v>
      </c>
      <c r="L358" s="6">
        <f>[1]Hybrid!K57</f>
        <v>7.8934576699999995E-2</v>
      </c>
      <c r="M358" s="6">
        <f>[1]Hybrid!L57</f>
        <v>7.8473965800000003E-2</v>
      </c>
      <c r="N358" s="6">
        <f>[1]Hybrid!M57</f>
        <v>7.7812261300000005E-2</v>
      </c>
      <c r="O358" s="6">
        <f>[1]Hybrid!N57</f>
        <v>7.6963139299999997E-2</v>
      </c>
      <c r="P358" s="6">
        <f>[1]Hybrid!O57</f>
        <v>7.5941112500000005E-2</v>
      </c>
      <c r="Q358" s="6">
        <f>[1]Hybrid!P57</f>
        <v>7.4761250400000007E-2</v>
      </c>
      <c r="R358" s="6">
        <f>[1]Hybrid!Q57</f>
        <v>7.3438858100000004E-2</v>
      </c>
      <c r="S358" s="6">
        <f>[1]Hybrid!R57</f>
        <v>7.1989204000000001E-2</v>
      </c>
      <c r="T358" s="6">
        <f>[1]Hybrid!S57</f>
        <v>7.0427304100000004E-2</v>
      </c>
      <c r="U358" s="6">
        <f>[1]Hybrid!T57</f>
        <v>6.8767756799999996E-2</v>
      </c>
      <c r="V358" s="6">
        <f>[1]Hybrid!U57</f>
        <v>6.7024618600000002E-2</v>
      </c>
      <c r="W358" s="6">
        <f>[1]Hybrid!V57</f>
        <v>6.5207685799999998E-2</v>
      </c>
      <c r="X358" s="6">
        <f>[1]Hybrid!W57</f>
        <v>6.3334029900000005E-2</v>
      </c>
      <c r="Y358" s="6">
        <f>[1]Hybrid!X57</f>
        <v>6.14156888E-2</v>
      </c>
      <c r="Z358" s="6">
        <f>[1]Hybrid!Y57</f>
        <v>5.9463879599999998E-2</v>
      </c>
      <c r="AA358" s="6">
        <f>[1]Hybrid!Z57</f>
        <v>5.7488969000000001E-2</v>
      </c>
      <c r="AB358" s="6">
        <f>[1]Hybrid!AA57</f>
        <v>5.5493850400000003E-2</v>
      </c>
      <c r="AC358" s="6">
        <f>[1]Hybrid!AB57</f>
        <v>5.3492491599999997E-2</v>
      </c>
      <c r="AD358" s="6">
        <f>[1]Hybrid!AC57</f>
        <v>5.1493832000000003E-2</v>
      </c>
      <c r="AE358" s="6">
        <f>[1]Hybrid!AD57</f>
        <v>4.9505950200000003E-2</v>
      </c>
      <c r="AF358" s="6">
        <f>[1]Hybrid!AE57</f>
        <v>4.7536018300000003E-2</v>
      </c>
      <c r="AG358" s="6">
        <f>[1]Hybrid!AF57</f>
        <v>4.5590338799999998E-2</v>
      </c>
      <c r="AH358" s="6">
        <f>[1]Hybrid!AG57</f>
        <v>4.3674407700000001E-2</v>
      </c>
      <c r="AI358" s="6">
        <f>[1]Hybrid!AH57</f>
        <v>4.1792984700000001E-2</v>
      </c>
      <c r="AJ358" s="6">
        <f>[1]Hybrid!AI57</f>
        <v>3.9950163400000002E-2</v>
      </c>
      <c r="AK358" s="6">
        <f>[1]Hybrid!AJ57</f>
        <v>3.8149435299999999E-2</v>
      </c>
      <c r="AL358" s="6">
        <f>[1]Hybrid!AK57</f>
        <v>3.6393748599999998E-2</v>
      </c>
      <c r="AM358" s="6">
        <f>[1]Hybrid!AL57</f>
        <v>3.4685057499999998E-2</v>
      </c>
      <c r="AN358" s="6">
        <f>[1]Hybrid!AM57</f>
        <v>3.3025545000000003E-2</v>
      </c>
      <c r="AO358" s="6">
        <f>[1]Hybrid!AN57</f>
        <v>3.1416970099999997E-2</v>
      </c>
      <c r="AP358" s="6">
        <f>[1]Hybrid!AO57</f>
        <v>2.9860693099999999E-2</v>
      </c>
      <c r="AQ358" s="6">
        <f>[1]Hybrid!AP57</f>
        <v>2.8357698800000001E-2</v>
      </c>
      <c r="AR358" s="6">
        <f>[1]Hybrid!AQ57</f>
        <v>2.69086243E-2</v>
      </c>
      <c r="AS358" s="6">
        <f>[1]Hybrid!AR57</f>
        <v>2.55137899E-2</v>
      </c>
      <c r="AT358" s="6">
        <f>[1]Hybrid!AS57</f>
        <v>2.41732305E-2</v>
      </c>
      <c r="AU358" s="6">
        <f>[1]Hybrid!AT57</f>
        <v>2.2886726600000001E-2</v>
      </c>
      <c r="AV358" s="6">
        <f>[1]Hybrid!AU57</f>
        <v>2.1653832599999999E-2</v>
      </c>
      <c r="AW358" s="6">
        <f>[1]Hybrid!AV57</f>
        <v>2.0473916700000001E-2</v>
      </c>
      <c r="AX358" s="6">
        <f>[1]Hybrid!AW57</f>
        <v>1.9346155300000001E-2</v>
      </c>
      <c r="AY358" s="6">
        <f>[1]Hybrid!AX57</f>
        <v>1.8269574199999999E-2</v>
      </c>
      <c r="AZ358" s="6">
        <f>[1]Hybrid!AY57</f>
        <v>1.7243069E-2</v>
      </c>
      <c r="BA358" s="6">
        <f>[1]Hybrid!AZ57</f>
        <v>1.6265423899999999E-2</v>
      </c>
      <c r="BB358" s="6">
        <f>[1]Hybrid!BA57</f>
        <v>1.52630786E-2</v>
      </c>
      <c r="BC358" s="6">
        <f>[1]Hybrid!BB57</f>
        <v>1.43817345E-2</v>
      </c>
      <c r="BD358" s="6">
        <f>[1]Hybrid!BC57</f>
        <v>1.35451741E-2</v>
      </c>
      <c r="BE358" s="6">
        <f>[1]Hybrid!BD57</f>
        <v>1.2751882000000001E-2</v>
      </c>
      <c r="BF358" s="6">
        <f>[1]Hybrid!BE57</f>
        <v>1.20003032E-2</v>
      </c>
    </row>
    <row r="359" spans="1:58" x14ac:dyDescent="0.35">
      <c r="B359" s="6" t="str">
        <f>[1]Hybrid!A59</f>
        <v>auto_cg_cgas_0</v>
      </c>
      <c r="C359" s="6">
        <f>[1]Hybrid!B59</f>
        <v>0.13435819299999999</v>
      </c>
      <c r="D359" s="6">
        <f>[1]Hybrid!C59</f>
        <v>0.13591961969999999</v>
      </c>
      <c r="E359" s="6">
        <f>[1]Hybrid!D59</f>
        <v>0.13760975519999999</v>
      </c>
      <c r="F359" s="6">
        <f>[1]Hybrid!E59</f>
        <v>0.1390407229</v>
      </c>
      <c r="G359" s="6">
        <f>[1]Hybrid!F59</f>
        <v>0.14000475649999999</v>
      </c>
      <c r="H359" s="6">
        <f>[1]Hybrid!G59</f>
        <v>0.1404068983</v>
      </c>
      <c r="I359" s="6">
        <f>[1]Hybrid!H59</f>
        <v>0.1402075686</v>
      </c>
      <c r="J359" s="6">
        <f>[1]Hybrid!I59</f>
        <v>0.1394214382</v>
      </c>
      <c r="K359" s="6">
        <f>[1]Hybrid!J59</f>
        <v>0.13808502959999999</v>
      </c>
      <c r="L359" s="6">
        <f>[1]Hybrid!K59</f>
        <v>0.1362461355</v>
      </c>
      <c r="M359" s="6">
        <f>[1]Hybrid!L59</f>
        <v>0.1339719221</v>
      </c>
      <c r="N359" s="6">
        <f>[1]Hybrid!M59</f>
        <v>0.13129902290000001</v>
      </c>
      <c r="O359" s="6">
        <f>[1]Hybrid!N59</f>
        <v>0.12828077630000001</v>
      </c>
      <c r="P359" s="6">
        <f>[1]Hybrid!O59</f>
        <v>0.1249689707</v>
      </c>
      <c r="Q359" s="6">
        <f>[1]Hybrid!P59</f>
        <v>0.1214131556</v>
      </c>
      <c r="R359" s="6">
        <f>[1]Hybrid!Q59</f>
        <v>0.1176600569</v>
      </c>
      <c r="S359" s="6">
        <f>[1]Hybrid!R59</f>
        <v>0.1137531842</v>
      </c>
      <c r="T359" s="6">
        <f>[1]Hybrid!S59</f>
        <v>0.1097326018</v>
      </c>
      <c r="U359" s="6">
        <f>[1]Hybrid!T59</f>
        <v>0.105634826</v>
      </c>
      <c r="V359" s="6">
        <f>[1]Hybrid!U59</f>
        <v>0.101492817</v>
      </c>
      <c r="W359" s="6">
        <f>[1]Hybrid!V59</f>
        <v>9.7332758500000005E-2</v>
      </c>
      <c r="X359" s="6">
        <f>[1]Hybrid!W59</f>
        <v>9.3184915500000007E-2</v>
      </c>
      <c r="Y359" s="6">
        <f>[1]Hybrid!X59</f>
        <v>8.9072153000000001E-2</v>
      </c>
      <c r="Z359" s="6">
        <f>[1]Hybrid!Y59</f>
        <v>8.50142287E-2</v>
      </c>
      <c r="AA359" s="6">
        <f>[1]Hybrid!Z59</f>
        <v>8.1028006799999996E-2</v>
      </c>
      <c r="AB359" s="6">
        <f>[1]Hybrid!AA59</f>
        <v>7.7122966000000001E-2</v>
      </c>
      <c r="AC359" s="6">
        <f>[1]Hybrid!AB59</f>
        <v>7.3315100899999999E-2</v>
      </c>
      <c r="AD359" s="6">
        <f>[1]Hybrid!AC59</f>
        <v>6.9614825399999997E-2</v>
      </c>
      <c r="AE359" s="6">
        <f>[1]Hybrid!AD59</f>
        <v>6.60303582E-2</v>
      </c>
      <c r="AF359" s="6">
        <f>[1]Hybrid!AE59</f>
        <v>6.2567914700000005E-2</v>
      </c>
      <c r="AG359" s="6">
        <f>[1]Hybrid!AF59</f>
        <v>5.9231940900000002E-2</v>
      </c>
      <c r="AH359" s="6">
        <f>[1]Hybrid!AG59</f>
        <v>5.60253452E-2</v>
      </c>
      <c r="AI359" s="6">
        <f>[1]Hybrid!AH59</f>
        <v>5.2949711500000003E-2</v>
      </c>
      <c r="AJ359" s="6">
        <f>[1]Hybrid!AI59</f>
        <v>5.0005490600000001E-2</v>
      </c>
      <c r="AK359" s="6">
        <f>[1]Hybrid!AJ59</f>
        <v>4.7192170899999997E-2</v>
      </c>
      <c r="AL359" s="6">
        <f>[1]Hybrid!AK59</f>
        <v>4.4508428000000003E-2</v>
      </c>
      <c r="AM359" s="6">
        <f>[1]Hybrid!AL59</f>
        <v>4.1952060499999999E-2</v>
      </c>
      <c r="AN359" s="6">
        <f>[1]Hybrid!AM59</f>
        <v>3.9520592299999997E-2</v>
      </c>
      <c r="AO359" s="6">
        <f>[1]Hybrid!AN59</f>
        <v>3.7211063000000003E-2</v>
      </c>
      <c r="AP359" s="6">
        <f>[1]Hybrid!AO59</f>
        <v>3.5020113999999998E-2</v>
      </c>
      <c r="AQ359" s="6">
        <f>[1]Hybrid!AP59</f>
        <v>3.2944067399999999E-2</v>
      </c>
      <c r="AR359" s="6">
        <f>[1]Hybrid!AQ59</f>
        <v>3.0978999199999999E-2</v>
      </c>
      <c r="AS359" s="6">
        <f>[1]Hybrid!AR59</f>
        <v>2.9120805100000001E-2</v>
      </c>
      <c r="AT359" s="6">
        <f>[1]Hybrid!AS59</f>
        <v>2.7365259400000001E-2</v>
      </c>
      <c r="AU359" s="6">
        <f>[1]Hybrid!AT59</f>
        <v>2.57080651E-2</v>
      </c>
      <c r="AV359" s="6">
        <f>[1]Hybrid!AU59</f>
        <v>2.41448984E-2</v>
      </c>
      <c r="AW359" s="6">
        <f>[1]Hybrid!AV59</f>
        <v>2.2671448399999999E-2</v>
      </c>
      <c r="AX359" s="6">
        <f>[1]Hybrid!AW59</f>
        <v>2.12834415E-2</v>
      </c>
      <c r="AY359" s="6">
        <f>[1]Hybrid!AX59</f>
        <v>1.9976672500000001E-2</v>
      </c>
      <c r="AZ359" s="6">
        <f>[1]Hybrid!AY59</f>
        <v>1.8747025600000002E-2</v>
      </c>
      <c r="BA359" s="6">
        <f>[1]Hybrid!AZ59</f>
        <v>1.7590491900000001E-2</v>
      </c>
      <c r="BB359" s="6">
        <f>[1]Hybrid!BA59</f>
        <v>1.6384401199999999E-2</v>
      </c>
      <c r="BC359" s="6">
        <f>[1]Hybrid!BB59</f>
        <v>1.53693497E-2</v>
      </c>
      <c r="BD359" s="6">
        <f>[1]Hybrid!BC59</f>
        <v>1.44158467E-2</v>
      </c>
      <c r="BE359" s="6">
        <f>[1]Hybrid!BD59</f>
        <v>1.35204174E-2</v>
      </c>
      <c r="BF359" s="6">
        <f>[1]Hybrid!BE59</f>
        <v>1.26797366E-2</v>
      </c>
    </row>
    <row r="361" spans="1:58" x14ac:dyDescent="0.35">
      <c r="A361" s="12" t="s">
        <v>90</v>
      </c>
      <c r="B361" t="s">
        <v>56</v>
      </c>
      <c r="C361" s="2">
        <v>42005</v>
      </c>
      <c r="D361" s="2">
        <v>42370</v>
      </c>
      <c r="E361" s="2">
        <v>42736</v>
      </c>
      <c r="F361" s="2">
        <v>43101</v>
      </c>
      <c r="G361" s="2">
        <v>43466</v>
      </c>
      <c r="H361" s="2">
        <v>43831</v>
      </c>
      <c r="I361" s="2">
        <v>44197</v>
      </c>
      <c r="J361" s="2">
        <v>44562</v>
      </c>
      <c r="K361" s="2">
        <v>44927</v>
      </c>
      <c r="L361" s="2">
        <v>45292</v>
      </c>
      <c r="M361" s="2">
        <v>45658</v>
      </c>
      <c r="N361" s="2">
        <v>46023</v>
      </c>
      <c r="O361" s="2">
        <v>46388</v>
      </c>
      <c r="P361" s="2">
        <v>46753</v>
      </c>
      <c r="Q361" s="2">
        <v>47119</v>
      </c>
      <c r="R361" s="2">
        <v>47484</v>
      </c>
      <c r="S361" s="2">
        <v>47849</v>
      </c>
      <c r="T361" s="2">
        <v>48214</v>
      </c>
      <c r="U361" s="2">
        <v>48580</v>
      </c>
      <c r="V361" s="2">
        <v>48945</v>
      </c>
      <c r="W361" s="2">
        <v>49310</v>
      </c>
      <c r="X361" s="2">
        <v>49675</v>
      </c>
      <c r="Y361" s="2">
        <v>50041</v>
      </c>
      <c r="Z361" s="2">
        <v>50406</v>
      </c>
      <c r="AA361" s="2">
        <v>50771</v>
      </c>
      <c r="AB361" s="2">
        <v>51136</v>
      </c>
      <c r="AC361" s="2">
        <v>51502</v>
      </c>
      <c r="AD361" s="2">
        <v>51867</v>
      </c>
      <c r="AE361" s="2">
        <v>52232</v>
      </c>
      <c r="AF361" s="2">
        <v>52597</v>
      </c>
      <c r="AG361" s="2">
        <v>52963</v>
      </c>
      <c r="AH361" s="2">
        <v>53328</v>
      </c>
      <c r="AI361" s="2">
        <v>53693</v>
      </c>
      <c r="AJ361" s="2">
        <v>54058</v>
      </c>
      <c r="AK361" s="2">
        <v>54424</v>
      </c>
      <c r="AL361" s="2">
        <v>54789</v>
      </c>
      <c r="AM361" s="2">
        <v>54790</v>
      </c>
      <c r="AN361" s="2">
        <v>54791</v>
      </c>
      <c r="AO361" s="2">
        <v>54792</v>
      </c>
      <c r="AP361" s="2">
        <v>54793</v>
      </c>
      <c r="AQ361" s="2">
        <v>54794</v>
      </c>
      <c r="AR361" s="2">
        <v>54795</v>
      </c>
      <c r="AS361" s="2">
        <v>54796</v>
      </c>
      <c r="AT361" s="2">
        <v>54797</v>
      </c>
      <c r="AU361" s="2">
        <v>54798</v>
      </c>
      <c r="AV361" s="2">
        <v>54799</v>
      </c>
      <c r="AW361" s="2">
        <v>54800</v>
      </c>
      <c r="AX361" s="2">
        <v>54801</v>
      </c>
      <c r="AY361" s="2">
        <v>54802</v>
      </c>
      <c r="AZ361" s="2">
        <v>54803</v>
      </c>
      <c r="BA361" s="2">
        <v>54804</v>
      </c>
      <c r="BB361" s="2">
        <v>54805</v>
      </c>
      <c r="BC361" s="2">
        <v>54806</v>
      </c>
      <c r="BD361" s="2">
        <v>54807</v>
      </c>
      <c r="BE361" s="2">
        <v>54808</v>
      </c>
      <c r="BF361" s="2">
        <v>54809</v>
      </c>
    </row>
    <row r="362" spans="1:58" x14ac:dyDescent="0.35">
      <c r="A362" t="s">
        <v>38</v>
      </c>
      <c r="B362" t="s">
        <v>96</v>
      </c>
      <c r="C362" s="6">
        <f>C339+C346+C353</f>
        <v>7105.9689965623002</v>
      </c>
      <c r="D362" s="6">
        <f t="shared" ref="D362:AL362" si="207">D339+D346+D353</f>
        <v>7160.6497701201997</v>
      </c>
      <c r="E362" s="6">
        <f t="shared" si="207"/>
        <v>7267.0218339753001</v>
      </c>
      <c r="F362" s="6">
        <f t="shared" si="207"/>
        <v>7408.2739996067003</v>
      </c>
      <c r="G362" s="6">
        <f t="shared" si="207"/>
        <v>7573.2387057862998</v>
      </c>
      <c r="H362" s="6">
        <f t="shared" si="207"/>
        <v>7754.6723052550005</v>
      </c>
      <c r="I362" s="6">
        <f t="shared" si="207"/>
        <v>7946.7417142871</v>
      </c>
      <c r="J362" s="6">
        <f t="shared" si="207"/>
        <v>8146.3988534503997</v>
      </c>
      <c r="K362" s="6">
        <f t="shared" si="207"/>
        <v>8351.6196294832989</v>
      </c>
      <c r="L362" s="6">
        <f t="shared" si="207"/>
        <v>8561.0175057530996</v>
      </c>
      <c r="M362" s="6">
        <f t="shared" si="207"/>
        <v>8775.7139397395003</v>
      </c>
      <c r="N362" s="6">
        <f t="shared" si="207"/>
        <v>8992.7592895335983</v>
      </c>
      <c r="O362" s="6">
        <f t="shared" si="207"/>
        <v>9211.5018597409999</v>
      </c>
      <c r="P362" s="6">
        <f t="shared" si="207"/>
        <v>9431.3736164796992</v>
      </c>
      <c r="Q362" s="6">
        <f t="shared" si="207"/>
        <v>9651.9098978662987</v>
      </c>
      <c r="R362" s="6">
        <f t="shared" si="207"/>
        <v>9872.7421358042993</v>
      </c>
      <c r="S362" s="6">
        <f t="shared" si="207"/>
        <v>10093.582846903</v>
      </c>
      <c r="T362" s="6">
        <f t="shared" si="207"/>
        <v>10314.210248139201</v>
      </c>
      <c r="U362" s="6">
        <f t="shared" si="207"/>
        <v>10534.455446041102</v>
      </c>
      <c r="V362" s="6">
        <f t="shared" si="207"/>
        <v>10754.193078006401</v>
      </c>
      <c r="W362" s="6">
        <f t="shared" si="207"/>
        <v>10971.670640068</v>
      </c>
      <c r="X362" s="6">
        <f t="shared" si="207"/>
        <v>11188.586057133998</v>
      </c>
      <c r="Y362" s="6">
        <f t="shared" si="207"/>
        <v>11404.950032596</v>
      </c>
      <c r="Z362" s="6">
        <f t="shared" si="207"/>
        <v>11620.816143082999</v>
      </c>
      <c r="AA362" s="6">
        <f t="shared" si="207"/>
        <v>11836.243901001</v>
      </c>
      <c r="AB362" s="6">
        <f t="shared" si="207"/>
        <v>12046.420553289001</v>
      </c>
      <c r="AC362" s="6">
        <f t="shared" si="207"/>
        <v>12254.240108496999</v>
      </c>
      <c r="AD362" s="6">
        <f t="shared" si="207"/>
        <v>12459.975402196</v>
      </c>
      <c r="AE362" s="6">
        <f t="shared" si="207"/>
        <v>12664.003532695</v>
      </c>
      <c r="AF362" s="6">
        <f t="shared" si="207"/>
        <v>12866.725795528</v>
      </c>
      <c r="AG362" s="6">
        <f t="shared" si="207"/>
        <v>13068.52787908</v>
      </c>
      <c r="AH362" s="6">
        <f t="shared" si="207"/>
        <v>13269.762189802001</v>
      </c>
      <c r="AI362" s="6">
        <f t="shared" si="207"/>
        <v>13470.743567314001</v>
      </c>
      <c r="AJ362" s="6">
        <f t="shared" si="207"/>
        <v>13671.752167608998</v>
      </c>
      <c r="AK362" s="6">
        <f t="shared" si="207"/>
        <v>13873.039529017</v>
      </c>
      <c r="AL362" s="6">
        <f t="shared" si="207"/>
        <v>14074.835079222001</v>
      </c>
      <c r="AM362" s="6">
        <f t="shared" ref="AM362:BC362" si="208">AM339+AM346+AM353</f>
        <v>14276.157674194999</v>
      </c>
      <c r="AN362" s="6">
        <f t="shared" si="208"/>
        <v>14477.265685103001</v>
      </c>
      <c r="AO362" s="6">
        <f t="shared" si="208"/>
        <v>14678.432857399999</v>
      </c>
      <c r="AP362" s="6">
        <f t="shared" si="208"/>
        <v>14879.959150152001</v>
      </c>
      <c r="AQ362" s="6">
        <f t="shared" si="208"/>
        <v>15082.156562370999</v>
      </c>
      <c r="AR362" s="6">
        <f t="shared" si="208"/>
        <v>15285.331909795999</v>
      </c>
      <c r="AS362" s="6">
        <f t="shared" si="208"/>
        <v>15489.773872096999</v>
      </c>
      <c r="AT362" s="6">
        <f t="shared" si="208"/>
        <v>15695.745702934</v>
      </c>
      <c r="AU362" s="6">
        <f t="shared" si="208"/>
        <v>15903.482901026</v>
      </c>
      <c r="AV362" s="6">
        <f t="shared" si="208"/>
        <v>16113.194473903</v>
      </c>
      <c r="AW362" s="6">
        <f t="shared" si="208"/>
        <v>16325.174634132001</v>
      </c>
      <c r="AX362" s="6">
        <f t="shared" si="208"/>
        <v>16539.584383194</v>
      </c>
      <c r="AY362" s="6">
        <f t="shared" si="208"/>
        <v>16756.567009278999</v>
      </c>
      <c r="AZ362" s="6">
        <f t="shared" si="208"/>
        <v>16976.249054942</v>
      </c>
      <c r="BA362" s="6">
        <f t="shared" si="208"/>
        <v>17198.744170280999</v>
      </c>
      <c r="BB362" s="6">
        <f t="shared" si="208"/>
        <v>18138.462713126002</v>
      </c>
      <c r="BC362" s="6">
        <f t="shared" si="208"/>
        <v>18399.003174058998</v>
      </c>
      <c r="BD362" s="6">
        <f t="shared" ref="BD362:BF362" si="209">BD339+BD346+BD353</f>
        <v>18662.39411841</v>
      </c>
      <c r="BE362" s="6">
        <f t="shared" si="209"/>
        <v>18928.757421561997</v>
      </c>
      <c r="BF362" s="6">
        <f t="shared" si="209"/>
        <v>19198.222028710999</v>
      </c>
    </row>
    <row r="363" spans="1:58" x14ac:dyDescent="0.35">
      <c r="B363" t="s">
        <v>97</v>
      </c>
      <c r="C363" s="6">
        <f t="shared" ref="C363:AL363" si="210">C340+C347+C354</f>
        <v>8263.1971436354015</v>
      </c>
      <c r="D363" s="6">
        <f t="shared" si="210"/>
        <v>8202.9699857839987</v>
      </c>
      <c r="E363" s="6">
        <f t="shared" si="210"/>
        <v>8199.9926192586991</v>
      </c>
      <c r="F363" s="6">
        <f t="shared" si="210"/>
        <v>8237.1856839249995</v>
      </c>
      <c r="G363" s="6">
        <f t="shared" si="210"/>
        <v>8303.0509387805996</v>
      </c>
      <c r="H363" s="6">
        <f t="shared" si="210"/>
        <v>8389.966607390601</v>
      </c>
      <c r="I363" s="6">
        <f t="shared" si="210"/>
        <v>8491.7567385393995</v>
      </c>
      <c r="J363" s="6">
        <f t="shared" si="210"/>
        <v>8604.9718771148</v>
      </c>
      <c r="K363" s="6">
        <f t="shared" si="210"/>
        <v>8727.1942820592994</v>
      </c>
      <c r="L363" s="6">
        <f t="shared" si="210"/>
        <v>8856.6591112539008</v>
      </c>
      <c r="M363" s="6">
        <f t="shared" si="210"/>
        <v>8993.9961860825006</v>
      </c>
      <c r="N363" s="6">
        <f t="shared" si="210"/>
        <v>9136.0468403181003</v>
      </c>
      <c r="O363" s="6">
        <f t="shared" si="210"/>
        <v>9281.8489557398007</v>
      </c>
      <c r="P363" s="6">
        <f t="shared" si="210"/>
        <v>9430.5500644000003</v>
      </c>
      <c r="Q363" s="6">
        <f t="shared" si="210"/>
        <v>9581.4221243070006</v>
      </c>
      <c r="R363" s="6">
        <f t="shared" si="210"/>
        <v>9733.8514979902993</v>
      </c>
      <c r="S363" s="6">
        <f t="shared" si="210"/>
        <v>9887.3222490528988</v>
      </c>
      <c r="T363" s="6">
        <f t="shared" si="210"/>
        <v>10041.399497227201</v>
      </c>
      <c r="U363" s="6">
        <f t="shared" si="210"/>
        <v>10195.7154536322</v>
      </c>
      <c r="V363" s="6">
        <f t="shared" si="210"/>
        <v>10349.9587839048</v>
      </c>
      <c r="W363" s="6">
        <f t="shared" si="210"/>
        <v>10502.3576019915</v>
      </c>
      <c r="X363" s="6">
        <f t="shared" si="210"/>
        <v>10654.2929332687</v>
      </c>
      <c r="Y363" s="6">
        <f t="shared" si="210"/>
        <v>10805.617537299198</v>
      </c>
      <c r="Z363" s="6">
        <f t="shared" si="210"/>
        <v>10956.231568276</v>
      </c>
      <c r="AA363" s="6">
        <f t="shared" si="210"/>
        <v>11106.048512739</v>
      </c>
      <c r="AB363" s="6">
        <f t="shared" si="210"/>
        <v>11250.652227018001</v>
      </c>
      <c r="AC363" s="6">
        <f t="shared" si="210"/>
        <v>11392.533741895</v>
      </c>
      <c r="AD363" s="6">
        <f t="shared" si="210"/>
        <v>11531.841421735999</v>
      </c>
      <c r="AE363" s="6">
        <f t="shared" si="210"/>
        <v>11668.817065719999</v>
      </c>
      <c r="AF363" s="6">
        <f t="shared" si="210"/>
        <v>11803.723659386</v>
      </c>
      <c r="AG363" s="6">
        <f t="shared" si="210"/>
        <v>11936.809797827</v>
      </c>
      <c r="AH363" s="6">
        <f t="shared" si="210"/>
        <v>12068.294197409001</v>
      </c>
      <c r="AI363" s="6">
        <f t="shared" si="210"/>
        <v>12198.361863041</v>
      </c>
      <c r="AJ363" s="6">
        <f t="shared" si="210"/>
        <v>12327.166714072999</v>
      </c>
      <c r="AK363" s="6">
        <f t="shared" si="210"/>
        <v>12454.836956829</v>
      </c>
      <c r="AL363" s="6">
        <f t="shared" si="210"/>
        <v>12581.480734571998</v>
      </c>
      <c r="AM363" s="6">
        <f t="shared" ref="AM363:BC363" si="211">AM340+AM347+AM354</f>
        <v>12706.176970166001</v>
      </c>
      <c r="AN363" s="6">
        <f t="shared" si="211"/>
        <v>12829.070225377001</v>
      </c>
      <c r="AO363" s="6">
        <f t="shared" si="211"/>
        <v>12950.317632483</v>
      </c>
      <c r="AP363" s="6">
        <f t="shared" si="211"/>
        <v>13070.096563139001</v>
      </c>
      <c r="AQ363" s="6">
        <f t="shared" si="211"/>
        <v>13188.591673026</v>
      </c>
      <c r="AR363" s="6">
        <f t="shared" si="211"/>
        <v>13305.980025330999</v>
      </c>
      <c r="AS363" s="6">
        <f t="shared" si="211"/>
        <v>13422.420158333998</v>
      </c>
      <c r="AT363" s="6">
        <f t="shared" si="211"/>
        <v>13538.046195196001</v>
      </c>
      <c r="AU363" s="6">
        <f t="shared" si="211"/>
        <v>13652.966171795999</v>
      </c>
      <c r="AV363" s="6">
        <f t="shared" si="211"/>
        <v>13767.263284106</v>
      </c>
      <c r="AW363" s="6">
        <f t="shared" si="211"/>
        <v>13881.086329058999</v>
      </c>
      <c r="AX363" s="6">
        <f t="shared" si="211"/>
        <v>13994.472360933001</v>
      </c>
      <c r="AY363" s="6">
        <f t="shared" si="211"/>
        <v>14107.441456769</v>
      </c>
      <c r="AZ363" s="6">
        <f t="shared" si="211"/>
        <v>14219.997831750999</v>
      </c>
      <c r="BA363" s="6">
        <f t="shared" si="211"/>
        <v>14332.133152163</v>
      </c>
      <c r="BB363" s="6">
        <f t="shared" si="211"/>
        <v>14996.21756279</v>
      </c>
      <c r="BC363" s="6">
        <f t="shared" si="211"/>
        <v>15129.646392897999</v>
      </c>
      <c r="BD363" s="6">
        <f t="shared" ref="BD363:BF363" si="212">BD340+BD347+BD354</f>
        <v>15262.201480284999</v>
      </c>
      <c r="BE363" s="6">
        <f t="shared" si="212"/>
        <v>15393.885615662</v>
      </c>
      <c r="BF363" s="6">
        <f t="shared" si="212"/>
        <v>15524.704529986</v>
      </c>
    </row>
    <row r="364" spans="1:58" x14ac:dyDescent="0.35">
      <c r="B364" t="s">
        <v>98</v>
      </c>
      <c r="C364" s="6">
        <f t="shared" ref="C364:AL364" si="213">C341+C348+C355</f>
        <v>6787.4105911386005</v>
      </c>
      <c r="D364" s="6">
        <f t="shared" si="213"/>
        <v>6662.2406310623001</v>
      </c>
      <c r="E364" s="6">
        <f t="shared" si="213"/>
        <v>6582.4081957570997</v>
      </c>
      <c r="F364" s="6">
        <f t="shared" si="213"/>
        <v>6535.4142408421003</v>
      </c>
      <c r="G364" s="6">
        <f t="shared" si="213"/>
        <v>6512.7391874323012</v>
      </c>
      <c r="H364" s="6">
        <f t="shared" si="213"/>
        <v>6508.6252858430007</v>
      </c>
      <c r="I364" s="6">
        <f t="shared" si="213"/>
        <v>6518.3813024966994</v>
      </c>
      <c r="J364" s="6">
        <f t="shared" si="213"/>
        <v>6539.2420395138006</v>
      </c>
      <c r="K364" s="6">
        <f t="shared" si="213"/>
        <v>6569.1921276937001</v>
      </c>
      <c r="L364" s="6">
        <f t="shared" si="213"/>
        <v>6606.698282293899</v>
      </c>
      <c r="M364" s="6">
        <f t="shared" si="213"/>
        <v>6651.8786700087003</v>
      </c>
      <c r="N364" s="6">
        <f t="shared" si="213"/>
        <v>6702.3120217918995</v>
      </c>
      <c r="O364" s="6">
        <f t="shared" si="213"/>
        <v>6757.0932841846998</v>
      </c>
      <c r="P364" s="6">
        <f t="shared" si="213"/>
        <v>6815.4150689988992</v>
      </c>
      <c r="Q364" s="6">
        <f t="shared" si="213"/>
        <v>6876.5749886975991</v>
      </c>
      <c r="R364" s="6">
        <f t="shared" si="213"/>
        <v>6939.9665748670996</v>
      </c>
      <c r="S364" s="6">
        <f t="shared" si="213"/>
        <v>7005.0660783644007</v>
      </c>
      <c r="T364" s="6">
        <f t="shared" si="213"/>
        <v>7071.4195952953996</v>
      </c>
      <c r="U364" s="6">
        <f t="shared" si="213"/>
        <v>7138.6321837855003</v>
      </c>
      <c r="V364" s="6">
        <f t="shared" si="213"/>
        <v>7206.3593543482002</v>
      </c>
      <c r="W364" s="6">
        <f t="shared" si="213"/>
        <v>7273.3130855633008</v>
      </c>
      <c r="X364" s="6">
        <f t="shared" si="213"/>
        <v>7340.2857857916997</v>
      </c>
      <c r="Y364" s="6">
        <f t="shared" si="213"/>
        <v>7407.0731585971007</v>
      </c>
      <c r="Z364" s="6">
        <f t="shared" si="213"/>
        <v>7473.5093871647005</v>
      </c>
      <c r="AA364" s="6">
        <f t="shared" si="213"/>
        <v>7539.4443940978999</v>
      </c>
      <c r="AB364" s="6">
        <f t="shared" si="213"/>
        <v>7601.9537533398998</v>
      </c>
      <c r="AC364" s="6">
        <f t="shared" si="213"/>
        <v>7662.5813360578995</v>
      </c>
      <c r="AD364" s="6">
        <f t="shared" si="213"/>
        <v>7721.3617932623001</v>
      </c>
      <c r="AE364" s="6">
        <f t="shared" si="213"/>
        <v>7778.3917462901991</v>
      </c>
      <c r="AF364" s="6">
        <f t="shared" si="213"/>
        <v>7833.7827198602999</v>
      </c>
      <c r="AG364" s="6">
        <f t="shared" si="213"/>
        <v>7887.6383003073997</v>
      </c>
      <c r="AH364" s="6">
        <f t="shared" si="213"/>
        <v>7940.0442295400999</v>
      </c>
      <c r="AI364" s="6">
        <f t="shared" si="213"/>
        <v>7991.0660625943001</v>
      </c>
      <c r="AJ364" s="6">
        <f t="shared" si="213"/>
        <v>8040.7508782794002</v>
      </c>
      <c r="AK364" s="6">
        <f t="shared" si="213"/>
        <v>8089.1306872682999</v>
      </c>
      <c r="AL364" s="6">
        <f t="shared" si="213"/>
        <v>8136.2260751088997</v>
      </c>
      <c r="AM364" s="6">
        <f t="shared" ref="AM364:BC364" si="214">AM341+AM348+AM355</f>
        <v>8181.4275502512</v>
      </c>
      <c r="AN364" s="6">
        <f t="shared" si="214"/>
        <v>8224.7884866016011</v>
      </c>
      <c r="AO364" s="6">
        <f t="shared" si="214"/>
        <v>8266.3712378853015</v>
      </c>
      <c r="AP364" s="6">
        <f t="shared" si="214"/>
        <v>8306.2509424875989</v>
      </c>
      <c r="AQ364" s="6">
        <f t="shared" si="214"/>
        <v>8344.5070541791993</v>
      </c>
      <c r="AR364" s="6">
        <f t="shared" si="214"/>
        <v>8381.2141242670987</v>
      </c>
      <c r="AS364" s="6">
        <f t="shared" si="214"/>
        <v>8416.4352468545003</v>
      </c>
      <c r="AT364" s="6">
        <f t="shared" si="214"/>
        <v>8450.2186652544988</v>
      </c>
      <c r="AU364" s="6">
        <f t="shared" si="214"/>
        <v>8482.5969889175994</v>
      </c>
      <c r="AV364" s="6">
        <f t="shared" si="214"/>
        <v>8513.5881719032022</v>
      </c>
      <c r="AW364" s="6">
        <f t="shared" si="214"/>
        <v>8543.2484155565999</v>
      </c>
      <c r="AX364" s="6">
        <f t="shared" si="214"/>
        <v>8571.5683206578997</v>
      </c>
      <c r="AY364" s="6">
        <f t="shared" si="214"/>
        <v>8598.5290667059999</v>
      </c>
      <c r="AZ364" s="6">
        <f t="shared" si="214"/>
        <v>8624.1033614966</v>
      </c>
      <c r="BA364" s="6">
        <f t="shared" si="214"/>
        <v>8648.2575522983007</v>
      </c>
      <c r="BB364" s="6">
        <f t="shared" si="214"/>
        <v>8978.4153069089007</v>
      </c>
      <c r="BC364" s="6">
        <f t="shared" si="214"/>
        <v>9010.4894394087005</v>
      </c>
      <c r="BD364" s="6">
        <f t="shared" ref="BD364:BF364" si="215">BD341+BD348+BD355</f>
        <v>9040.7197932090003</v>
      </c>
      <c r="BE364" s="6">
        <f t="shared" si="215"/>
        <v>9069.0906969020998</v>
      </c>
      <c r="BF364" s="6">
        <f t="shared" si="215"/>
        <v>9095.5887483972001</v>
      </c>
    </row>
    <row r="365" spans="1:58" x14ac:dyDescent="0.35">
      <c r="B365" t="s">
        <v>99</v>
      </c>
      <c r="C365" s="6">
        <f t="shared" ref="C365:AL365" si="216">C342+C349+C356</f>
        <v>4165.6835237371006</v>
      </c>
      <c r="D365" s="6">
        <f t="shared" si="216"/>
        <v>4063.7549312136998</v>
      </c>
      <c r="E365" s="6">
        <f t="shared" si="216"/>
        <v>3987.4894732077</v>
      </c>
      <c r="F365" s="6">
        <f t="shared" si="216"/>
        <v>3929.3510927446</v>
      </c>
      <c r="G365" s="6">
        <f t="shared" si="216"/>
        <v>3884.2335663102999</v>
      </c>
      <c r="H365" s="6">
        <f t="shared" si="216"/>
        <v>3848.6928162383001</v>
      </c>
      <c r="I365" s="6">
        <f t="shared" si="216"/>
        <v>3819.9768986637996</v>
      </c>
      <c r="J365" s="6">
        <f t="shared" si="216"/>
        <v>3796.4372670168004</v>
      </c>
      <c r="K365" s="6">
        <f t="shared" si="216"/>
        <v>3776.8724856389995</v>
      </c>
      <c r="L365" s="6">
        <f t="shared" si="216"/>
        <v>3760.3696740575001</v>
      </c>
      <c r="M365" s="6">
        <f t="shared" si="216"/>
        <v>3746.8693203376997</v>
      </c>
      <c r="N365" s="6">
        <f t="shared" si="216"/>
        <v>3735.0603275653002</v>
      </c>
      <c r="O365" s="6">
        <f t="shared" si="216"/>
        <v>3724.4200941849003</v>
      </c>
      <c r="P365" s="6">
        <f t="shared" si="216"/>
        <v>3714.4942371384</v>
      </c>
      <c r="Q365" s="6">
        <f t="shared" si="216"/>
        <v>3704.8966034184</v>
      </c>
      <c r="R365" s="6">
        <f t="shared" si="216"/>
        <v>3695.3018210351001</v>
      </c>
      <c r="S365" s="6">
        <f t="shared" si="216"/>
        <v>3685.4365536739001</v>
      </c>
      <c r="T365" s="6">
        <f t="shared" si="216"/>
        <v>3675.0714531167</v>
      </c>
      <c r="U365" s="6">
        <f t="shared" si="216"/>
        <v>3664.0143795993999</v>
      </c>
      <c r="V365" s="6">
        <f t="shared" si="216"/>
        <v>3652.1049544511002</v>
      </c>
      <c r="W365" s="6">
        <f t="shared" si="216"/>
        <v>3638.7871652795002</v>
      </c>
      <c r="X365" s="6">
        <f t="shared" si="216"/>
        <v>3624.4161775775001</v>
      </c>
      <c r="Y365" s="6">
        <f t="shared" si="216"/>
        <v>3608.9135864688001</v>
      </c>
      <c r="Z365" s="6">
        <f t="shared" si="216"/>
        <v>3592.2203253452003</v>
      </c>
      <c r="AA365" s="6">
        <f t="shared" si="216"/>
        <v>3574.2871039483998</v>
      </c>
      <c r="AB365" s="6">
        <f t="shared" si="216"/>
        <v>3553.9751255112001</v>
      </c>
      <c r="AC365" s="6">
        <f t="shared" si="216"/>
        <v>3531.9539924317</v>
      </c>
      <c r="AD365" s="6">
        <f t="shared" si="216"/>
        <v>3508.2824543446</v>
      </c>
      <c r="AE365" s="6">
        <f t="shared" si="216"/>
        <v>3483.0399032095997</v>
      </c>
      <c r="AF365" s="6">
        <f t="shared" si="216"/>
        <v>3456.3075700902</v>
      </c>
      <c r="AG365" s="6">
        <f t="shared" si="216"/>
        <v>3428.1603070251999</v>
      </c>
      <c r="AH365" s="6">
        <f t="shared" si="216"/>
        <v>3398.6636320066</v>
      </c>
      <c r="AI365" s="6">
        <f t="shared" si="216"/>
        <v>3367.8736198307001</v>
      </c>
      <c r="AJ365" s="6">
        <f t="shared" si="216"/>
        <v>3335.8382374470998</v>
      </c>
      <c r="AK365" s="6">
        <f t="shared" si="216"/>
        <v>3302.5992079940997</v>
      </c>
      <c r="AL365" s="6">
        <f t="shared" si="216"/>
        <v>3268.1938664642003</v>
      </c>
      <c r="AM365" s="6">
        <f t="shared" ref="AM365:BC365" si="217">AM342+AM349+AM356</f>
        <v>3232.458390835</v>
      </c>
      <c r="AN365" s="6">
        <f t="shared" si="217"/>
        <v>3195.4526572583004</v>
      </c>
      <c r="AO365" s="6">
        <f t="shared" si="217"/>
        <v>3157.2396855864999</v>
      </c>
      <c r="AP365" s="6">
        <f t="shared" si="217"/>
        <v>3117.8858104239998</v>
      </c>
      <c r="AQ365" s="6">
        <f t="shared" si="217"/>
        <v>3077.4575750741001</v>
      </c>
      <c r="AR365" s="6">
        <f t="shared" si="217"/>
        <v>3036.0189442178998</v>
      </c>
      <c r="AS365" s="6">
        <f t="shared" si="217"/>
        <v>2993.629659365</v>
      </c>
      <c r="AT365" s="6">
        <f t="shared" si="217"/>
        <v>2950.3446983227</v>
      </c>
      <c r="AU365" s="6">
        <f t="shared" si="217"/>
        <v>2906.2145234002001</v>
      </c>
      <c r="AV365" s="6">
        <f t="shared" si="217"/>
        <v>2861.2858117325</v>
      </c>
      <c r="AW365" s="6">
        <f t="shared" si="217"/>
        <v>2815.6152500516005</v>
      </c>
      <c r="AX365" s="6">
        <f t="shared" si="217"/>
        <v>2769.2427482215003</v>
      </c>
      <c r="AY365" s="6">
        <f t="shared" si="217"/>
        <v>2722.2068863787999</v>
      </c>
      <c r="AZ365" s="6">
        <f t="shared" si="217"/>
        <v>2674.5454821763997</v>
      </c>
      <c r="BA365" s="6">
        <f t="shared" si="217"/>
        <v>2626.2963367423999</v>
      </c>
      <c r="BB365" s="6">
        <f t="shared" si="217"/>
        <v>2632.3136523445</v>
      </c>
      <c r="BC365" s="6">
        <f t="shared" si="217"/>
        <v>2583.2256786819003</v>
      </c>
      <c r="BD365" s="6">
        <f t="shared" ref="BD365:BF365" si="218">BD342+BD349+BD356</f>
        <v>2533.5150676578</v>
      </c>
      <c r="BE365" s="6">
        <f t="shared" si="218"/>
        <v>2483.2349519214999</v>
      </c>
      <c r="BF365" s="6">
        <f t="shared" si="218"/>
        <v>2432.4389197482001</v>
      </c>
    </row>
    <row r="366" spans="1:58" x14ac:dyDescent="0.35">
      <c r="B366" t="s">
        <v>100</v>
      </c>
      <c r="C366" s="6">
        <f t="shared" ref="C366:AL366" si="219">C343+C350+C357</f>
        <v>2507.3524895615005</v>
      </c>
      <c r="D366" s="6">
        <f t="shared" si="219"/>
        <v>2448.3068137218997</v>
      </c>
      <c r="E366" s="6">
        <f t="shared" si="219"/>
        <v>2403.6767763287999</v>
      </c>
      <c r="F366" s="6">
        <f t="shared" si="219"/>
        <v>2368.6467388767001</v>
      </c>
      <c r="G366" s="6">
        <f t="shared" si="219"/>
        <v>2340.0152291925001</v>
      </c>
      <c r="H366" s="6">
        <f t="shared" si="219"/>
        <v>2315.6699021942004</v>
      </c>
      <c r="I366" s="6">
        <f t="shared" si="219"/>
        <v>2293.9727388854999</v>
      </c>
      <c r="J366" s="6">
        <f t="shared" si="219"/>
        <v>2273.9774580167</v>
      </c>
      <c r="K366" s="6">
        <f t="shared" si="219"/>
        <v>2255.0232690336002</v>
      </c>
      <c r="L366" s="6">
        <f t="shared" si="219"/>
        <v>2236.6319727063001</v>
      </c>
      <c r="M366" s="6">
        <f t="shared" si="219"/>
        <v>2218.8139136135001</v>
      </c>
      <c r="N366" s="6">
        <f t="shared" si="219"/>
        <v>2200.8828083752996</v>
      </c>
      <c r="O366" s="6">
        <f t="shared" si="219"/>
        <v>2182.6055815394998</v>
      </c>
      <c r="P366" s="6">
        <f t="shared" si="219"/>
        <v>2163.7928085325998</v>
      </c>
      <c r="Q366" s="6">
        <f t="shared" si="219"/>
        <v>2144.2968635486</v>
      </c>
      <c r="R366" s="6">
        <f t="shared" si="219"/>
        <v>2124.0063144654</v>
      </c>
      <c r="S366" s="6">
        <f t="shared" si="219"/>
        <v>2102.8400178417</v>
      </c>
      <c r="T366" s="6">
        <f t="shared" si="219"/>
        <v>2080.7418762244997</v>
      </c>
      <c r="U366" s="6">
        <f t="shared" si="219"/>
        <v>2057.6764714575002</v>
      </c>
      <c r="V366" s="6">
        <f t="shared" si="219"/>
        <v>2033.6255230577001</v>
      </c>
      <c r="W366" s="6">
        <f t="shared" si="219"/>
        <v>2008.3786887113999</v>
      </c>
      <c r="X366" s="6">
        <f t="shared" si="219"/>
        <v>1982.1758284808</v>
      </c>
      <c r="Y366" s="6">
        <f t="shared" si="219"/>
        <v>1955.0394262089001</v>
      </c>
      <c r="Z366" s="6">
        <f t="shared" si="219"/>
        <v>1926.9998664242</v>
      </c>
      <c r="AA366" s="6">
        <f t="shared" si="219"/>
        <v>1898.0909415355002</v>
      </c>
      <c r="AB366" s="6">
        <f t="shared" si="219"/>
        <v>1867.8528444243002</v>
      </c>
      <c r="AC366" s="6">
        <f t="shared" si="219"/>
        <v>1836.6603911528998</v>
      </c>
      <c r="AD366" s="6">
        <f t="shared" si="219"/>
        <v>1804.6023790920999</v>
      </c>
      <c r="AE366" s="6">
        <f t="shared" si="219"/>
        <v>1771.7726003074999</v>
      </c>
      <c r="AF366" s="6">
        <f t="shared" si="219"/>
        <v>1738.2614750150001</v>
      </c>
      <c r="AG366" s="6">
        <f t="shared" si="219"/>
        <v>1704.1528732053</v>
      </c>
      <c r="AH366" s="6">
        <f t="shared" si="219"/>
        <v>1669.5233379435999</v>
      </c>
      <c r="AI366" s="6">
        <f t="shared" si="219"/>
        <v>1634.4425046789001</v>
      </c>
      <c r="AJ366" s="6">
        <f t="shared" si="219"/>
        <v>1598.9740876684</v>
      </c>
      <c r="AK366" s="6">
        <f t="shared" si="219"/>
        <v>1563.177002057</v>
      </c>
      <c r="AL366" s="6">
        <f t="shared" si="219"/>
        <v>1527.1064374709999</v>
      </c>
      <c r="AM366" s="6">
        <f t="shared" ref="AM366:BC366" si="220">AM343+AM350+AM357</f>
        <v>1490.7406464191999</v>
      </c>
      <c r="AN366" s="6">
        <f t="shared" si="220"/>
        <v>1454.1437928876001</v>
      </c>
      <c r="AO366" s="6">
        <f t="shared" si="220"/>
        <v>1417.3793376000999</v>
      </c>
      <c r="AP366" s="6">
        <f t="shared" si="220"/>
        <v>1380.5097951562</v>
      </c>
      <c r="AQ366" s="6">
        <f t="shared" si="220"/>
        <v>1343.5954980443</v>
      </c>
      <c r="AR366" s="6">
        <f t="shared" si="220"/>
        <v>1306.6936558189002</v>
      </c>
      <c r="AS366" s="6">
        <f t="shared" si="220"/>
        <v>1269.8579289283998</v>
      </c>
      <c r="AT366" s="6">
        <f t="shared" si="220"/>
        <v>1233.1384146465002</v>
      </c>
      <c r="AU366" s="6">
        <f t="shared" si="220"/>
        <v>1196.5818979159001</v>
      </c>
      <c r="AV366" s="6">
        <f t="shared" si="220"/>
        <v>1160.2322338124</v>
      </c>
      <c r="AW366" s="6">
        <f t="shared" si="220"/>
        <v>1124.134648125</v>
      </c>
      <c r="AX366" s="6">
        <f t="shared" si="220"/>
        <v>1088.3274894594999</v>
      </c>
      <c r="AY366" s="6">
        <f t="shared" si="220"/>
        <v>1052.8472382014002</v>
      </c>
      <c r="AZ366" s="6">
        <f t="shared" si="220"/>
        <v>1017.7287275480001</v>
      </c>
      <c r="BA366" s="6">
        <f t="shared" si="220"/>
        <v>983.00538051230001</v>
      </c>
      <c r="BB366" s="6">
        <f t="shared" si="220"/>
        <v>959.84461077679998</v>
      </c>
      <c r="BC366" s="6">
        <f t="shared" si="220"/>
        <v>925.75718298660013</v>
      </c>
      <c r="BD366" s="6">
        <f t="shared" ref="BD366:BF366" si="221">BD343+BD350+BD357</f>
        <v>892.1314733685</v>
      </c>
      <c r="BE366" s="6">
        <f t="shared" si="221"/>
        <v>859.00109408270009</v>
      </c>
      <c r="BF366" s="6">
        <f t="shared" si="221"/>
        <v>826.39766396770005</v>
      </c>
    </row>
    <row r="367" spans="1:58" x14ac:dyDescent="0.35">
      <c r="B367" t="s">
        <v>101</v>
      </c>
      <c r="C367" s="6">
        <f t="shared" ref="C367:AL367" si="222">C344+C351+C358</f>
        <v>1245.466605953</v>
      </c>
      <c r="D367" s="6">
        <f t="shared" si="222"/>
        <v>1213.2724268428999</v>
      </c>
      <c r="E367" s="6">
        <f t="shared" si="222"/>
        <v>1186.5363146664001</v>
      </c>
      <c r="F367" s="6">
        <f t="shared" si="222"/>
        <v>1162.6456731498001</v>
      </c>
      <c r="G367" s="6">
        <f t="shared" si="222"/>
        <v>1139.9931489804001</v>
      </c>
      <c r="H367" s="6">
        <f t="shared" si="222"/>
        <v>1117.6232972770999</v>
      </c>
      <c r="I367" s="6">
        <f t="shared" si="222"/>
        <v>1094.8958475912</v>
      </c>
      <c r="J367" s="6">
        <f t="shared" si="222"/>
        <v>1071.5278904214999</v>
      </c>
      <c r="K367" s="6">
        <f t="shared" si="222"/>
        <v>1047.3896679239001</v>
      </c>
      <c r="L367" s="6">
        <f t="shared" si="222"/>
        <v>1022.4439905147</v>
      </c>
      <c r="M367" s="6">
        <f t="shared" si="222"/>
        <v>996.8349238088</v>
      </c>
      <c r="N367" s="6">
        <f t="shared" si="222"/>
        <v>970.46755060129999</v>
      </c>
      <c r="O367" s="6">
        <f t="shared" si="222"/>
        <v>943.41276724229999</v>
      </c>
      <c r="P367" s="6">
        <f t="shared" si="222"/>
        <v>915.75633641750005</v>
      </c>
      <c r="Q367" s="6">
        <f t="shared" si="222"/>
        <v>887.59500137240002</v>
      </c>
      <c r="R367" s="6">
        <f t="shared" si="222"/>
        <v>859.03219563509992</v>
      </c>
      <c r="S367" s="6">
        <f t="shared" si="222"/>
        <v>830.17442760000006</v>
      </c>
      <c r="T367" s="6">
        <f t="shared" si="222"/>
        <v>801.1284275631001</v>
      </c>
      <c r="U367" s="6">
        <f t="shared" si="222"/>
        <v>771.99895218380004</v>
      </c>
      <c r="V367" s="6">
        <f t="shared" si="222"/>
        <v>742.88713088460008</v>
      </c>
      <c r="W367" s="6">
        <f t="shared" si="222"/>
        <v>713.8456550858001</v>
      </c>
      <c r="X367" s="6">
        <f t="shared" si="222"/>
        <v>685.01795706190001</v>
      </c>
      <c r="Y367" s="6">
        <f t="shared" si="222"/>
        <v>656.48872355579999</v>
      </c>
      <c r="Z367" s="6">
        <f t="shared" si="222"/>
        <v>628.3352966356</v>
      </c>
      <c r="AA367" s="6">
        <f t="shared" si="222"/>
        <v>600.62726380600009</v>
      </c>
      <c r="AB367" s="6">
        <f t="shared" si="222"/>
        <v>573.34682462540002</v>
      </c>
      <c r="AC367" s="6">
        <f t="shared" si="222"/>
        <v>546.61286037559989</v>
      </c>
      <c r="AD367" s="6">
        <f t="shared" si="222"/>
        <v>520.48513713800003</v>
      </c>
      <c r="AE367" s="6">
        <f t="shared" si="222"/>
        <v>495.0151893542</v>
      </c>
      <c r="AF367" s="6">
        <f t="shared" si="222"/>
        <v>470.24577083529999</v>
      </c>
      <c r="AG367" s="6">
        <f t="shared" si="222"/>
        <v>446.21128849580003</v>
      </c>
      <c r="AH367" s="6">
        <f t="shared" si="222"/>
        <v>422.93855412869999</v>
      </c>
      <c r="AI367" s="6">
        <f t="shared" si="222"/>
        <v>400.44761490270002</v>
      </c>
      <c r="AJ367" s="6">
        <f t="shared" si="222"/>
        <v>378.75256011940002</v>
      </c>
      <c r="AK367" s="6">
        <f t="shared" si="222"/>
        <v>357.86225873429999</v>
      </c>
      <c r="AL367" s="6">
        <f t="shared" si="222"/>
        <v>337.78100741360004</v>
      </c>
      <c r="AM367" s="6">
        <f t="shared" ref="AM367:BC367" si="223">AM344+AM351+AM358</f>
        <v>318.50306640649995</v>
      </c>
      <c r="AN367" s="6">
        <f t="shared" si="223"/>
        <v>300.02738491999997</v>
      </c>
      <c r="AO367" s="6">
        <f t="shared" si="223"/>
        <v>282.34956341010002</v>
      </c>
      <c r="AP367" s="6">
        <f t="shared" si="223"/>
        <v>265.46209571609995</v>
      </c>
      <c r="AQ367" s="6">
        <f t="shared" si="223"/>
        <v>249.3545895968</v>
      </c>
      <c r="AR367" s="6">
        <f t="shared" si="223"/>
        <v>234.0140422673</v>
      </c>
      <c r="AS367" s="6">
        <f t="shared" si="223"/>
        <v>219.42515037890001</v>
      </c>
      <c r="AT367" s="6">
        <f t="shared" si="223"/>
        <v>205.57062759049998</v>
      </c>
      <c r="AU367" s="6">
        <f t="shared" si="223"/>
        <v>192.43151195359999</v>
      </c>
      <c r="AV367" s="6">
        <f t="shared" si="223"/>
        <v>179.98745168560004</v>
      </c>
      <c r="AW367" s="6">
        <f t="shared" si="223"/>
        <v>168.21711310969999</v>
      </c>
      <c r="AX367" s="6">
        <f t="shared" si="223"/>
        <v>157.09805546530001</v>
      </c>
      <c r="AY367" s="6">
        <f t="shared" si="223"/>
        <v>146.60716062019998</v>
      </c>
      <c r="AZ367" s="6">
        <f t="shared" si="223"/>
        <v>136.72081996200001</v>
      </c>
      <c r="BA367" s="6">
        <f t="shared" si="223"/>
        <v>127.41510433889999</v>
      </c>
      <c r="BB367" s="6">
        <f t="shared" si="223"/>
        <v>117.8300919396</v>
      </c>
      <c r="BC367" s="6">
        <f t="shared" si="223"/>
        <v>109.6390523845</v>
      </c>
      <c r="BD367" s="6">
        <f t="shared" ref="BD367:BF367" si="224">BD344+BD351+BD358</f>
        <v>101.95772671810001</v>
      </c>
      <c r="BE367" s="6">
        <f t="shared" si="224"/>
        <v>94.761996233000005</v>
      </c>
      <c r="BF367" s="6">
        <f t="shared" si="224"/>
        <v>88.028007127199999</v>
      </c>
    </row>
    <row r="368" spans="1:58" x14ac:dyDescent="0.35">
      <c r="B368" t="s">
        <v>102</v>
      </c>
      <c r="C368" s="6">
        <f t="shared" ref="C368:AL368" si="225">C345+C352+C359</f>
        <v>2242.8616504070001</v>
      </c>
      <c r="D368" s="6">
        <f t="shared" si="225"/>
        <v>2188.0868082447</v>
      </c>
      <c r="E368" s="6">
        <f t="shared" si="225"/>
        <v>2140.3306655012002</v>
      </c>
      <c r="F368" s="6">
        <f t="shared" si="225"/>
        <v>2094.4834848209002</v>
      </c>
      <c r="G368" s="6">
        <f t="shared" si="225"/>
        <v>2047.7041672985001</v>
      </c>
      <c r="H368" s="6">
        <f t="shared" si="225"/>
        <v>1998.5710212613001</v>
      </c>
      <c r="I368" s="6">
        <f t="shared" si="225"/>
        <v>1946.3664710795999</v>
      </c>
      <c r="J368" s="6">
        <f t="shared" si="225"/>
        <v>1891.0505577392</v>
      </c>
      <c r="K368" s="6">
        <f t="shared" si="225"/>
        <v>1832.8599629736</v>
      </c>
      <c r="L368" s="6">
        <f t="shared" si="225"/>
        <v>1772.1758810415001</v>
      </c>
      <c r="M368" s="6">
        <f t="shared" si="225"/>
        <v>1709.6186958621001</v>
      </c>
      <c r="N368" s="6">
        <f t="shared" si="225"/>
        <v>1645.4443551529002</v>
      </c>
      <c r="O368" s="6">
        <f t="shared" si="225"/>
        <v>1580.1172811163001</v>
      </c>
      <c r="P368" s="6">
        <f t="shared" si="225"/>
        <v>1514.0874278106999</v>
      </c>
      <c r="Q368" s="6">
        <f t="shared" si="225"/>
        <v>1447.7819658456001</v>
      </c>
      <c r="R368" s="6">
        <f t="shared" si="225"/>
        <v>1381.5983469869</v>
      </c>
      <c r="S368" s="6">
        <f t="shared" si="225"/>
        <v>1315.8997674142001</v>
      </c>
      <c r="T368" s="6">
        <f t="shared" si="225"/>
        <v>1251.0126558118</v>
      </c>
      <c r="U368" s="6">
        <f t="shared" si="225"/>
        <v>1187.225698536</v>
      </c>
      <c r="V368" s="6">
        <f t="shared" si="225"/>
        <v>1124.790003007</v>
      </c>
      <c r="W368" s="6">
        <f t="shared" si="225"/>
        <v>1063.8806411125001</v>
      </c>
      <c r="X368" s="6">
        <f t="shared" si="225"/>
        <v>1004.7279219315001</v>
      </c>
      <c r="Y368" s="6">
        <f t="shared" si="225"/>
        <v>947.47821011699989</v>
      </c>
      <c r="Z368" s="6">
        <f t="shared" si="225"/>
        <v>892.24645242569989</v>
      </c>
      <c r="AA368" s="6">
        <f t="shared" si="225"/>
        <v>839.11884325380004</v>
      </c>
      <c r="AB368" s="6">
        <f t="shared" si="225"/>
        <v>788.09888671300007</v>
      </c>
      <c r="AC368" s="6">
        <f t="shared" si="225"/>
        <v>739.27533446689995</v>
      </c>
      <c r="AD368" s="6">
        <f t="shared" si="225"/>
        <v>692.67508426439997</v>
      </c>
      <c r="AE368" s="6">
        <f t="shared" si="225"/>
        <v>648.30447225520004</v>
      </c>
      <c r="AF368" s="6">
        <f t="shared" si="225"/>
        <v>606.15150930469997</v>
      </c>
      <c r="AG368" s="6">
        <f t="shared" si="225"/>
        <v>566.18861494589999</v>
      </c>
      <c r="AH368" s="6">
        <f t="shared" si="225"/>
        <v>528.37527041220005</v>
      </c>
      <c r="AI368" s="6">
        <f t="shared" si="225"/>
        <v>492.6604256425</v>
      </c>
      <c r="AJ368" s="6">
        <f t="shared" si="225"/>
        <v>458.98462171059992</v>
      </c>
      <c r="AK368" s="6">
        <f t="shared" si="225"/>
        <v>427.28183334390002</v>
      </c>
      <c r="AL368" s="6">
        <f t="shared" si="225"/>
        <v>397.481052277</v>
      </c>
      <c r="AM368" s="6">
        <f t="shared" ref="AM368:BC368" si="226">AM345+AM352+AM359</f>
        <v>369.50528579450003</v>
      </c>
      <c r="AN368" s="6">
        <f t="shared" si="226"/>
        <v>343.27860319630003</v>
      </c>
      <c r="AO368" s="6">
        <f t="shared" si="226"/>
        <v>318.72331816899998</v>
      </c>
      <c r="AP368" s="6">
        <f t="shared" si="226"/>
        <v>295.76079693899999</v>
      </c>
      <c r="AQ368" s="6">
        <f t="shared" si="226"/>
        <v>274.31217808440005</v>
      </c>
      <c r="AR368" s="6">
        <f t="shared" si="226"/>
        <v>254.2990245032</v>
      </c>
      <c r="AS368" s="6">
        <f t="shared" si="226"/>
        <v>235.6438963761</v>
      </c>
      <c r="AT368" s="6">
        <f t="shared" si="226"/>
        <v>218.2708384634</v>
      </c>
      <c r="AU368" s="6">
        <f t="shared" si="226"/>
        <v>202.10578356409999</v>
      </c>
      <c r="AV368" s="6">
        <f t="shared" si="226"/>
        <v>187.07687639139999</v>
      </c>
      <c r="AW368" s="6">
        <f t="shared" si="226"/>
        <v>173.11475771939999</v>
      </c>
      <c r="AX368" s="6">
        <f t="shared" si="226"/>
        <v>160.15267885650002</v>
      </c>
      <c r="AY368" s="6">
        <f t="shared" si="226"/>
        <v>148.12669075549999</v>
      </c>
      <c r="AZ368" s="6">
        <f t="shared" si="226"/>
        <v>136.9757338876</v>
      </c>
      <c r="BA368" s="6">
        <f t="shared" si="226"/>
        <v>126.64168896689999</v>
      </c>
      <c r="BB368" s="6">
        <f t="shared" si="226"/>
        <v>116.02375436320001</v>
      </c>
      <c r="BC368" s="6">
        <f t="shared" si="226"/>
        <v>107.2268108997</v>
      </c>
      <c r="BD368" s="6">
        <f t="shared" ref="BD368:BF368" si="227">BD345+BD352+BD359</f>
        <v>99.086820019699999</v>
      </c>
      <c r="BE368" s="6">
        <f t="shared" si="227"/>
        <v>91.557308807399991</v>
      </c>
      <c r="BF368" s="6">
        <f t="shared" si="227"/>
        <v>84.594608375600004</v>
      </c>
    </row>
    <row r="370" spans="1:58" x14ac:dyDescent="0.35">
      <c r="A370" s="12" t="s">
        <v>91</v>
      </c>
      <c r="C370" s="2">
        <v>42005</v>
      </c>
      <c r="D370" s="2">
        <v>42370</v>
      </c>
      <c r="E370" s="2">
        <v>42736</v>
      </c>
      <c r="F370" s="2">
        <v>43101</v>
      </c>
      <c r="G370" s="2">
        <v>43466</v>
      </c>
      <c r="H370" s="2">
        <v>43831</v>
      </c>
      <c r="I370" s="2">
        <v>44197</v>
      </c>
      <c r="J370" s="2">
        <v>44562</v>
      </c>
      <c r="K370" s="2">
        <v>44927</v>
      </c>
      <c r="L370" s="2">
        <v>45292</v>
      </c>
      <c r="M370" s="2">
        <v>45658</v>
      </c>
      <c r="N370" s="2">
        <v>46023</v>
      </c>
      <c r="O370" s="2">
        <v>46388</v>
      </c>
      <c r="P370" s="2">
        <v>46753</v>
      </c>
      <c r="Q370" s="2">
        <v>47119</v>
      </c>
      <c r="R370" s="2">
        <v>47484</v>
      </c>
      <c r="S370" s="2">
        <v>47849</v>
      </c>
      <c r="T370" s="2">
        <v>48214</v>
      </c>
      <c r="U370" s="2">
        <v>48580</v>
      </c>
      <c r="V370" s="2">
        <v>48945</v>
      </c>
      <c r="W370" s="2">
        <v>49310</v>
      </c>
      <c r="X370" s="2">
        <v>49675</v>
      </c>
      <c r="Y370" s="2">
        <v>50041</v>
      </c>
      <c r="Z370" s="2">
        <v>50406</v>
      </c>
      <c r="AA370" s="2">
        <v>50771</v>
      </c>
      <c r="AB370" s="2">
        <v>51136</v>
      </c>
      <c r="AC370" s="2">
        <v>51502</v>
      </c>
      <c r="AD370" s="2">
        <v>51867</v>
      </c>
      <c r="AE370" s="2">
        <v>52232</v>
      </c>
      <c r="AF370" s="2">
        <v>52597</v>
      </c>
      <c r="AG370" s="2">
        <v>52963</v>
      </c>
      <c r="AH370" s="2">
        <v>53328</v>
      </c>
      <c r="AI370" s="2">
        <v>53693</v>
      </c>
      <c r="AJ370" s="2">
        <v>54058</v>
      </c>
      <c r="AK370" s="2">
        <v>54424</v>
      </c>
      <c r="AL370" s="2">
        <v>54789</v>
      </c>
      <c r="AM370" s="2">
        <v>54790</v>
      </c>
      <c r="AN370" s="2">
        <v>54791</v>
      </c>
      <c r="AO370" s="2">
        <v>54792</v>
      </c>
      <c r="AP370" s="2">
        <v>54793</v>
      </c>
      <c r="AQ370" s="2">
        <v>54794</v>
      </c>
      <c r="AR370" s="2">
        <v>54795</v>
      </c>
      <c r="AS370" s="2">
        <v>54796</v>
      </c>
      <c r="AT370" s="2">
        <v>54797</v>
      </c>
      <c r="AU370" s="2">
        <v>54798</v>
      </c>
      <c r="AV370" s="2">
        <v>54799</v>
      </c>
      <c r="AW370" s="2">
        <v>54800</v>
      </c>
      <c r="AX370" s="2">
        <v>54801</v>
      </c>
      <c r="AY370" s="2">
        <v>54802</v>
      </c>
      <c r="AZ370" s="2">
        <v>54803</v>
      </c>
      <c r="BA370" s="2">
        <v>54804</v>
      </c>
      <c r="BB370" s="2">
        <v>54805</v>
      </c>
      <c r="BC370" s="2">
        <v>54806</v>
      </c>
      <c r="BD370" s="2">
        <v>54807</v>
      </c>
      <c r="BE370" s="2">
        <v>54808</v>
      </c>
      <c r="BF370" s="2">
        <v>54809</v>
      </c>
    </row>
    <row r="371" spans="1:58" x14ac:dyDescent="0.35">
      <c r="A371" t="s">
        <v>39</v>
      </c>
      <c r="B371" t="s">
        <v>57</v>
      </c>
      <c r="C371" s="6">
        <f>[1]Results!F104</f>
        <v>3.476542051</v>
      </c>
      <c r="D371" s="6">
        <f>[1]Results!G104</f>
        <v>6.3451275340000004</v>
      </c>
      <c r="E371" s="6">
        <f>[1]Results!H104</f>
        <v>9.5842776010000001</v>
      </c>
      <c r="F371" s="6">
        <f>[1]Results!I104</f>
        <v>12.779686549999999</v>
      </c>
      <c r="G371" s="6">
        <f>[1]Results!J104</f>
        <v>15.68033726</v>
      </c>
      <c r="H371" s="6">
        <f>[1]Results!K104</f>
        <v>18.113468430000001</v>
      </c>
      <c r="I371" s="6">
        <f>[1]Results!L104</f>
        <v>19.743126</v>
      </c>
      <c r="J371" s="6">
        <f>[1]Results!M104</f>
        <v>23.68215665</v>
      </c>
      <c r="K371" s="6">
        <f>[1]Results!N104</f>
        <v>28.251945030000002</v>
      </c>
      <c r="L371" s="6">
        <f>[1]Results!O104</f>
        <v>32.995377130000001</v>
      </c>
      <c r="M371" s="6">
        <f>[1]Results!P104</f>
        <v>37.826405960000002</v>
      </c>
      <c r="N371" s="6">
        <f>[1]Results!Q104</f>
        <v>42.629478659999997</v>
      </c>
      <c r="O371" s="6">
        <f>[1]Results!R104</f>
        <v>47.433909030000002</v>
      </c>
      <c r="P371" s="6">
        <f>[1]Results!S104</f>
        <v>52.236600719999998</v>
      </c>
      <c r="Q371" s="6">
        <f>[1]Results!T104</f>
        <v>57.0366839</v>
      </c>
      <c r="R371" s="6">
        <f>[1]Results!U104</f>
        <v>61.833955070000002</v>
      </c>
      <c r="S371" s="6">
        <f>[1]Results!V104</f>
        <v>66.628389940000005</v>
      </c>
      <c r="T371" s="6">
        <f>[1]Results!W104</f>
        <v>71.419995029999995</v>
      </c>
      <c r="U371" s="6">
        <f>[1]Results!X104</f>
        <v>76.208755999999994</v>
      </c>
      <c r="V371" s="6">
        <f>[1]Results!Y104</f>
        <v>80.994622739999997</v>
      </c>
      <c r="W371" s="6">
        <f>[1]Results!Z104</f>
        <v>85.751096669999995</v>
      </c>
      <c r="X371" s="6">
        <f>[1]Results!AA104</f>
        <v>90.530861999999999</v>
      </c>
      <c r="Y371" s="6">
        <f>[1]Results!AB104</f>
        <v>95.307441999999995</v>
      </c>
      <c r="Z371" s="6">
        <f>[1]Results!AC104</f>
        <v>100.08067819999999</v>
      </c>
      <c r="AA371" s="6">
        <f>[1]Results!AD104</f>
        <v>104.85039519999999</v>
      </c>
      <c r="AB371" s="6">
        <f>[1]Results!AE104</f>
        <v>109.54430670000001</v>
      </c>
      <c r="AC371" s="6">
        <f>[1]Results!AF104</f>
        <v>114.2724879</v>
      </c>
      <c r="AD371" s="6">
        <f>[1]Results!AG104</f>
        <v>118.99660660000001</v>
      </c>
      <c r="AE371" s="6">
        <f>[1]Results!AH104</f>
        <v>123.7165301</v>
      </c>
      <c r="AF371" s="6">
        <f>[1]Results!AI104</f>
        <v>128.4321099</v>
      </c>
      <c r="AG371" s="6">
        <f>[1]Results!AJ104</f>
        <v>133.14318739999999</v>
      </c>
      <c r="AH371" s="6">
        <f>[1]Results!AK104</f>
        <v>137.84960340000001</v>
      </c>
      <c r="AI371" s="6">
        <f>[1]Results!AL104</f>
        <v>142.55120489999999</v>
      </c>
      <c r="AJ371" s="6">
        <f>[1]Results!AM104</f>
        <v>147.24785019999999</v>
      </c>
      <c r="AK371" s="6">
        <f>[1]Results!AN104</f>
        <v>151.9394092</v>
      </c>
      <c r="AL371" s="6">
        <f>[1]Results!AO104</f>
        <v>156.62576250000001</v>
      </c>
      <c r="AM371" s="6">
        <f>[1]Results!AP104</f>
        <v>161.29140409999999</v>
      </c>
      <c r="AN371" s="6">
        <f>[1]Results!AQ104</f>
        <v>165.95157589999999</v>
      </c>
      <c r="AO371" s="6">
        <f>[1]Results!AR104</f>
        <v>170.6061747</v>
      </c>
      <c r="AP371" s="6">
        <f>[1]Results!AS104</f>
        <v>175.2550827</v>
      </c>
      <c r="AQ371" s="6">
        <f>[1]Results!AT104</f>
        <v>179.8981363</v>
      </c>
      <c r="AR371" s="6">
        <f>[1]Results!AU104</f>
        <v>184.53503599999999</v>
      </c>
      <c r="AS371" s="6">
        <f>[1]Results!AV104</f>
        <v>189.16494130000001</v>
      </c>
      <c r="AT371" s="6">
        <f>[1]Results!AW104</f>
        <v>193.7804807</v>
      </c>
      <c r="AU371" s="6">
        <f>[1]Results!AX104</f>
        <v>198.39617670000001</v>
      </c>
      <c r="AV371" s="6">
        <f>[1]Results!AY104</f>
        <v>203.00911389999999</v>
      </c>
      <c r="AW371" s="6">
        <f>[1]Results!AZ104</f>
        <v>207.61896379999999</v>
      </c>
      <c r="AX371" s="6">
        <f>[1]Results!BA104</f>
        <v>212.22366210000001</v>
      </c>
      <c r="AY371" s="6">
        <f>[1]Results!BB104</f>
        <v>216.82276250000001</v>
      </c>
      <c r="AZ371" s="6">
        <f>[1]Results!BC104</f>
        <v>221.41601230000001</v>
      </c>
      <c r="BA371" s="6">
        <f>[1]Results!BD104</f>
        <v>226.0032563</v>
      </c>
      <c r="BB371" s="6">
        <f>[1]Results!BE104</f>
        <v>22.97561808</v>
      </c>
      <c r="BC371" s="6">
        <f>[1]Results!BF104</f>
        <v>23.049233709999999</v>
      </c>
      <c r="BD371" s="6">
        <f>[1]Results!BG104</f>
        <v>23.122476450000001</v>
      </c>
      <c r="BE371" s="6">
        <f>[1]Results!BH104</f>
        <v>23.195350779999998</v>
      </c>
      <c r="BF371" s="6">
        <f>[1]Results!BI104</f>
        <v>23.267860880000001</v>
      </c>
    </row>
    <row r="372" spans="1:58" x14ac:dyDescent="0.35">
      <c r="B372" t="s">
        <v>58</v>
      </c>
      <c r="C372" s="6">
        <f>[1]Results!F105</f>
        <v>68.80476281</v>
      </c>
      <c r="D372" s="6">
        <f>[1]Results!G105</f>
        <v>76.41206244</v>
      </c>
      <c r="E372" s="6">
        <f>[1]Results!H105</f>
        <v>83.885999749999996</v>
      </c>
      <c r="F372" s="6">
        <f>[1]Results!I105</f>
        <v>91.027650829999999</v>
      </c>
      <c r="G372" s="6">
        <f>[1]Results!J105</f>
        <v>98.253095419999994</v>
      </c>
      <c r="H372" s="6">
        <f>[1]Results!K105</f>
        <v>106.01400529999999</v>
      </c>
      <c r="I372" s="6">
        <f>[1]Results!L105</f>
        <v>112.8109145</v>
      </c>
      <c r="J372" s="6">
        <f>[1]Results!M105</f>
        <v>117.1257421</v>
      </c>
      <c r="K372" s="6">
        <f>[1]Results!N105</f>
        <v>120.4876227</v>
      </c>
      <c r="L372" s="6">
        <f>[1]Results!O105</f>
        <v>123.45754700000001</v>
      </c>
      <c r="M372" s="6">
        <f>[1]Results!P105</f>
        <v>127.2933152</v>
      </c>
      <c r="N372" s="6">
        <f>[1]Results!Q105</f>
        <v>130.0158993</v>
      </c>
      <c r="O372" s="6">
        <f>[1]Results!R105</f>
        <v>132.70271640000001</v>
      </c>
      <c r="P372" s="6">
        <f>[1]Results!S105</f>
        <v>135.3740531</v>
      </c>
      <c r="Q372" s="6">
        <f>[1]Results!T105</f>
        <v>138.0398175</v>
      </c>
      <c r="R372" s="6">
        <f>[1]Results!U105</f>
        <v>140.70493070000001</v>
      </c>
      <c r="S372" s="6">
        <f>[1]Results!V105</f>
        <v>143.37186729999999</v>
      </c>
      <c r="T372" s="6">
        <f>[1]Results!W105</f>
        <v>146.04188590000001</v>
      </c>
      <c r="U372" s="6">
        <f>[1]Results!X105</f>
        <v>148.71563269999999</v>
      </c>
      <c r="V372" s="6">
        <f>[1]Results!Y105</f>
        <v>151.39344220000001</v>
      </c>
      <c r="W372" s="6">
        <f>[1]Results!Z105</f>
        <v>153.3884137</v>
      </c>
      <c r="X372" s="6">
        <f>[1]Results!AA105</f>
        <v>156.0726631</v>
      </c>
      <c r="Y372" s="6">
        <f>[1]Results!AB105</f>
        <v>158.76129829999999</v>
      </c>
      <c r="Z372" s="6">
        <f>[1]Results!AC105</f>
        <v>161.4543472</v>
      </c>
      <c r="AA372" s="6">
        <f>[1]Results!AD105</f>
        <v>164.15182820000001</v>
      </c>
      <c r="AB372" s="6">
        <f>[1]Results!AE105</f>
        <v>164.978218</v>
      </c>
      <c r="AC372" s="6">
        <f>[1]Results!AF105</f>
        <v>166.7979699</v>
      </c>
      <c r="AD372" s="6">
        <f>[1]Results!AG105</f>
        <v>168.6176011</v>
      </c>
      <c r="AE372" s="6">
        <f>[1]Results!AH105</f>
        <v>170.43713070000001</v>
      </c>
      <c r="AF372" s="6">
        <f>[1]Results!AI105</f>
        <v>172.25657820000001</v>
      </c>
      <c r="AG372" s="6">
        <f>[1]Results!AJ105</f>
        <v>174.0759639</v>
      </c>
      <c r="AH372" s="6">
        <f>[1]Results!AK105</f>
        <v>175.89530909999999</v>
      </c>
      <c r="AI372" s="6">
        <f>[1]Results!AL105</f>
        <v>177.7146372</v>
      </c>
      <c r="AJ372" s="6">
        <f>[1]Results!AM105</f>
        <v>179.53397530000001</v>
      </c>
      <c r="AK372" s="6">
        <f>[1]Results!AN105</f>
        <v>181.35335649999999</v>
      </c>
      <c r="AL372" s="6">
        <f>[1]Results!AO105</f>
        <v>183.17282019999999</v>
      </c>
      <c r="AM372" s="6">
        <f>[1]Results!AP105</f>
        <v>184.59211759999999</v>
      </c>
      <c r="AN372" s="6">
        <f>[1]Results!AQ105</f>
        <v>186.01022699999999</v>
      </c>
      <c r="AO372" s="6">
        <f>[1]Results!AR105</f>
        <v>187.42721689999999</v>
      </c>
      <c r="AP372" s="6">
        <f>[1]Results!AS105</f>
        <v>188.84317100000001</v>
      </c>
      <c r="AQ372" s="6">
        <f>[1]Results!AT105</f>
        <v>190.2582012</v>
      </c>
      <c r="AR372" s="6">
        <f>[1]Results!AU105</f>
        <v>191.67248979999999</v>
      </c>
      <c r="AS372" s="6">
        <f>[1]Results!AV105</f>
        <v>193.08649589999999</v>
      </c>
      <c r="AT372" s="6">
        <f>[1]Results!AW105</f>
        <v>194.50404309999999</v>
      </c>
      <c r="AU372" s="6">
        <f>[1]Results!AX105</f>
        <v>195.91770740000001</v>
      </c>
      <c r="AV372" s="6">
        <f>[1]Results!AY105</f>
        <v>197.32895740000001</v>
      </c>
      <c r="AW372" s="6">
        <f>[1]Results!AZ105</f>
        <v>198.77086610000001</v>
      </c>
      <c r="AX372" s="6">
        <f>[1]Results!BA105</f>
        <v>200.2116982</v>
      </c>
      <c r="AY372" s="6">
        <f>[1]Results!BB105</f>
        <v>201.6516929</v>
      </c>
      <c r="AZ372" s="6">
        <f>[1]Results!BC105</f>
        <v>203.0909887</v>
      </c>
      <c r="BA372" s="6">
        <f>[1]Results!BD105</f>
        <v>204.529673</v>
      </c>
      <c r="BB372" s="6">
        <f>[1]Results!BE105</f>
        <v>476.70896579999999</v>
      </c>
      <c r="BC372" s="6">
        <f>[1]Results!BF105</f>
        <v>481.95657119999998</v>
      </c>
      <c r="BD372" s="6">
        <f>[1]Results!BG105</f>
        <v>487.1573343</v>
      </c>
      <c r="BE372" s="6">
        <f>[1]Results!BH105</f>
        <v>492.3115464</v>
      </c>
      <c r="BF372" s="6">
        <f>[1]Results!BI105</f>
        <v>497.41941509999998</v>
      </c>
    </row>
    <row r="373" spans="1:58" x14ac:dyDescent="0.35">
      <c r="B373" t="s">
        <v>59</v>
      </c>
      <c r="C373" s="6">
        <f>[1]Results!F106</f>
        <v>408.28039699999999</v>
      </c>
      <c r="D373" s="6">
        <f>[1]Results!G106</f>
        <v>424.35277919999999</v>
      </c>
      <c r="E373" s="6">
        <f>[1]Results!H106</f>
        <v>441.09975539999999</v>
      </c>
      <c r="F373" s="6">
        <f>[1]Results!I106</f>
        <v>457.4155748</v>
      </c>
      <c r="G373" s="6">
        <f>[1]Results!J106</f>
        <v>474.03083429999998</v>
      </c>
      <c r="H373" s="6">
        <f>[1]Results!K106</f>
        <v>491.7817991</v>
      </c>
      <c r="I373" s="6">
        <f>[1]Results!L106</f>
        <v>504.93077929999998</v>
      </c>
      <c r="J373" s="6">
        <f>[1]Results!M106</f>
        <v>514.65934419999996</v>
      </c>
      <c r="K373" s="6">
        <f>[1]Results!N106</f>
        <v>523.07314729999996</v>
      </c>
      <c r="L373" s="6">
        <f>[1]Results!O106</f>
        <v>530.9513958</v>
      </c>
      <c r="M373" s="6">
        <f>[1]Results!P106</f>
        <v>541.51330329999996</v>
      </c>
      <c r="N373" s="6">
        <f>[1]Results!Q106</f>
        <v>549.06884430000002</v>
      </c>
      <c r="O373" s="6">
        <f>[1]Results!R106</f>
        <v>556.58140390000005</v>
      </c>
      <c r="P373" s="6">
        <f>[1]Results!S106</f>
        <v>564.07873129999996</v>
      </c>
      <c r="Q373" s="6">
        <f>[1]Results!T106</f>
        <v>571.57439509999995</v>
      </c>
      <c r="R373" s="6">
        <f>[1]Results!U106</f>
        <v>579.0751712</v>
      </c>
      <c r="S373" s="6">
        <f>[1]Results!V106</f>
        <v>586.58450400000004</v>
      </c>
      <c r="T373" s="6">
        <f>[1]Results!W106</f>
        <v>594.10417399999994</v>
      </c>
      <c r="U373" s="6">
        <f>[1]Results!X106</f>
        <v>601.63511459999995</v>
      </c>
      <c r="V373" s="6">
        <f>[1]Results!Y106</f>
        <v>609.17782060000002</v>
      </c>
      <c r="W373" s="6">
        <f>[1]Results!Z106</f>
        <v>614.80345869999996</v>
      </c>
      <c r="X373" s="6">
        <f>[1]Results!AA106</f>
        <v>622.36413270000003</v>
      </c>
      <c r="Y373" s="6">
        <f>[1]Results!AB106</f>
        <v>629.93706959999997</v>
      </c>
      <c r="Z373" s="6">
        <f>[1]Results!AC106</f>
        <v>637.52231740000002</v>
      </c>
      <c r="AA373" s="6">
        <f>[1]Results!AD106</f>
        <v>645.11991369999998</v>
      </c>
      <c r="AB373" s="6">
        <f>[1]Results!AE106</f>
        <v>647.46395810000001</v>
      </c>
      <c r="AC373" s="6">
        <f>[1]Results!AF106</f>
        <v>652.59623859999999</v>
      </c>
      <c r="AD373" s="6">
        <f>[1]Results!AG106</f>
        <v>657.72771620000003</v>
      </c>
      <c r="AE373" s="6">
        <f>[1]Results!AH106</f>
        <v>662.85843020000004</v>
      </c>
      <c r="AF373" s="6">
        <f>[1]Results!AI106</f>
        <v>667.988426</v>
      </c>
      <c r="AG373" s="6">
        <f>[1]Results!AJ106</f>
        <v>673.11775850000004</v>
      </c>
      <c r="AH373" s="6">
        <f>[1]Results!AK106</f>
        <v>678.24649250000004</v>
      </c>
      <c r="AI373" s="6">
        <f>[1]Results!AL106</f>
        <v>683.37470570000005</v>
      </c>
      <c r="AJ373" s="6">
        <f>[1]Results!AM106</f>
        <v>688.50249040000006</v>
      </c>
      <c r="AK373" s="6">
        <f>[1]Results!AN106</f>
        <v>693.62995520000004</v>
      </c>
      <c r="AL373" s="6">
        <f>[1]Results!AO106</f>
        <v>698.7572242</v>
      </c>
      <c r="AM373" s="6">
        <f>[1]Results!AP106</f>
        <v>702.76052719999996</v>
      </c>
      <c r="AN373" s="6">
        <f>[1]Results!AQ106</f>
        <v>706.75991429999999</v>
      </c>
      <c r="AO373" s="6">
        <f>[1]Results!AR106</f>
        <v>710.75554990000001</v>
      </c>
      <c r="AP373" s="6">
        <f>[1]Results!AS106</f>
        <v>714.74761509999996</v>
      </c>
      <c r="AQ373" s="6">
        <f>[1]Results!AT106</f>
        <v>718.73631669999997</v>
      </c>
      <c r="AR373" s="6">
        <f>[1]Results!AU106</f>
        <v>722.72192770000004</v>
      </c>
      <c r="AS373" s="6">
        <f>[1]Results!AV106</f>
        <v>726.70498799999996</v>
      </c>
      <c r="AT373" s="6">
        <f>[1]Results!AW106</f>
        <v>730.68931959999998</v>
      </c>
      <c r="AU373" s="6">
        <f>[1]Results!AX106</f>
        <v>734.66775459999997</v>
      </c>
      <c r="AV373" s="6">
        <f>[1]Results!AY106</f>
        <v>738.64180829999998</v>
      </c>
      <c r="AW373" s="6">
        <f>[1]Results!AZ106</f>
        <v>742.70293519999996</v>
      </c>
      <c r="AX373" s="6">
        <f>[1]Results!BA106</f>
        <v>746.76132229999996</v>
      </c>
      <c r="AY373" s="6">
        <f>[1]Results!BB106</f>
        <v>750.81727430000001</v>
      </c>
      <c r="AZ373" s="6">
        <f>[1]Results!BC106</f>
        <v>754.87099579999995</v>
      </c>
      <c r="BA373" s="6">
        <f>[1]Results!BD106</f>
        <v>758.92263860000003</v>
      </c>
      <c r="BB373" s="6">
        <f>[1]Results!BE106</f>
        <v>1081.1689630000001</v>
      </c>
      <c r="BC373" s="6">
        <f>[1]Results!BF106</f>
        <v>1090.184426</v>
      </c>
      <c r="BD373" s="6">
        <f>[1]Results!BG106</f>
        <v>1099.142771</v>
      </c>
      <c r="BE373" s="6">
        <f>[1]Results!BH106</f>
        <v>1108.044478</v>
      </c>
      <c r="BF373" s="6">
        <f>[1]Results!BI106</f>
        <v>1116.890073</v>
      </c>
    </row>
    <row r="374" spans="1:58" x14ac:dyDescent="0.35">
      <c r="B374" t="s">
        <v>60</v>
      </c>
      <c r="C374" s="6">
        <f>[1]Results!F107</f>
        <v>954.38155940000001</v>
      </c>
      <c r="D374" s="6">
        <f>[1]Results!G107</f>
        <v>948.73785129999999</v>
      </c>
      <c r="E374" s="6">
        <f>[1]Results!H107</f>
        <v>944.12706630000002</v>
      </c>
      <c r="F374" s="6">
        <f>[1]Results!I107</f>
        <v>939.95266619999995</v>
      </c>
      <c r="G374" s="6">
        <f>[1]Results!J107</f>
        <v>935.65342269999996</v>
      </c>
      <c r="H374" s="6">
        <f>[1]Results!K107</f>
        <v>930.59731369999997</v>
      </c>
      <c r="I374" s="6">
        <f>[1]Results!L107</f>
        <v>927.6545304</v>
      </c>
      <c r="J374" s="6">
        <f>[1]Results!M107</f>
        <v>926.73878239999999</v>
      </c>
      <c r="K374" s="6">
        <f>[1]Results!N107</f>
        <v>926.47858689999998</v>
      </c>
      <c r="L374" s="6">
        <f>[1]Results!O107</f>
        <v>926.40606360000004</v>
      </c>
      <c r="M374" s="6">
        <f>[1]Results!P107</f>
        <v>926.37021040000002</v>
      </c>
      <c r="N374" s="6">
        <f>[1]Results!Q107</f>
        <v>926.32373089999999</v>
      </c>
      <c r="O374" s="6">
        <f>[1]Results!R107</f>
        <v>926.25251709999998</v>
      </c>
      <c r="P374" s="6">
        <f>[1]Results!S107</f>
        <v>926.15392210000005</v>
      </c>
      <c r="Q374" s="6">
        <f>[1]Results!T107</f>
        <v>926.02867370000001</v>
      </c>
      <c r="R374" s="6">
        <f>[1]Results!U107</f>
        <v>925.87828839999997</v>
      </c>
      <c r="S374" s="6">
        <f>[1]Results!V107</f>
        <v>925.70423219999998</v>
      </c>
      <c r="T374" s="6">
        <f>[1]Results!W107</f>
        <v>925.5077192</v>
      </c>
      <c r="U374" s="6">
        <f>[1]Results!X107</f>
        <v>925.28964759999997</v>
      </c>
      <c r="V374" s="6">
        <f>[1]Results!Y107</f>
        <v>925.05058959999997</v>
      </c>
      <c r="W374" s="6">
        <f>[1]Results!Z107</f>
        <v>924.79090329999997</v>
      </c>
      <c r="X374" s="6">
        <f>[1]Results!AA107</f>
        <v>924.51053230000002</v>
      </c>
      <c r="Y374" s="6">
        <f>[1]Results!AB107</f>
        <v>924.2096636</v>
      </c>
      <c r="Z374" s="6">
        <f>[1]Results!AC107</f>
        <v>923.88801149999995</v>
      </c>
      <c r="AA374" s="6">
        <f>[1]Results!AD107</f>
        <v>923.54517499999997</v>
      </c>
      <c r="AB374" s="6">
        <f>[1]Results!AE107</f>
        <v>923.18088620000003</v>
      </c>
      <c r="AC374" s="6">
        <f>[1]Results!AF107</f>
        <v>922.79444779999994</v>
      </c>
      <c r="AD374" s="6">
        <f>[1]Results!AG107</f>
        <v>922.38618540000004</v>
      </c>
      <c r="AE374" s="6">
        <f>[1]Results!AH107</f>
        <v>921.95592020000004</v>
      </c>
      <c r="AF374" s="6">
        <f>[1]Results!AI107</f>
        <v>921.50339039999994</v>
      </c>
      <c r="AG374" s="6">
        <f>[1]Results!AJ107</f>
        <v>921.02831149999997</v>
      </c>
      <c r="AH374" s="6">
        <f>[1]Results!AK107</f>
        <v>920.5304304</v>
      </c>
      <c r="AI374" s="6">
        <f>[1]Results!AL107</f>
        <v>920.00956429999997</v>
      </c>
      <c r="AJ374" s="6">
        <f>[1]Results!AM107</f>
        <v>919.4656268</v>
      </c>
      <c r="AK374" s="6">
        <f>[1]Results!AN107</f>
        <v>918.89864060000002</v>
      </c>
      <c r="AL374" s="6">
        <f>[1]Results!AO107</f>
        <v>918.30873550000001</v>
      </c>
      <c r="AM374" s="6">
        <f>[1]Results!AP107</f>
        <v>917.69615669999996</v>
      </c>
      <c r="AN374" s="6">
        <f>[1]Results!AQ107</f>
        <v>917.06112129999997</v>
      </c>
      <c r="AO374" s="6">
        <f>[1]Results!AR107</f>
        <v>916.40408239999999</v>
      </c>
      <c r="AP374" s="6">
        <f>[1]Results!AS107</f>
        <v>915.7255371</v>
      </c>
      <c r="AQ374" s="6">
        <f>[1]Results!AT107</f>
        <v>915.02599699999996</v>
      </c>
      <c r="AR374" s="6">
        <f>[1]Results!AU107</f>
        <v>914.30596439999999</v>
      </c>
      <c r="AS374" s="6">
        <f>[1]Results!AV107</f>
        <v>913.56591130000004</v>
      </c>
      <c r="AT374" s="6">
        <f>[1]Results!AW107</f>
        <v>912.80616469999995</v>
      </c>
      <c r="AU374" s="6">
        <f>[1]Results!AX107</f>
        <v>912.02736789999994</v>
      </c>
      <c r="AV374" s="6">
        <f>[1]Results!AY107</f>
        <v>911.23000009999998</v>
      </c>
      <c r="AW374" s="6">
        <f>[1]Results!AZ107</f>
        <v>910.41446659999997</v>
      </c>
      <c r="AX374" s="6">
        <f>[1]Results!BA107</f>
        <v>909.58114290000003</v>
      </c>
      <c r="AY374" s="6">
        <f>[1]Results!BB107</f>
        <v>908.73037720000002</v>
      </c>
      <c r="AZ374" s="6">
        <f>[1]Results!BC107</f>
        <v>907.86251449999997</v>
      </c>
      <c r="BA374" s="6">
        <f>[1]Results!BD107</f>
        <v>906.97789720000003</v>
      </c>
      <c r="BB374" s="6">
        <f>[1]Results!BE107</f>
        <v>524.96822689999999</v>
      </c>
      <c r="BC374" s="6">
        <f>[1]Results!BF107</f>
        <v>519.65419159999999</v>
      </c>
      <c r="BD374" s="6">
        <f>[1]Results!BG107</f>
        <v>514.41976720000002</v>
      </c>
      <c r="BE374" s="6">
        <f>[1]Results!BH107</f>
        <v>509.26440919999999</v>
      </c>
      <c r="BF374" s="6">
        <f>[1]Results!BI107</f>
        <v>504.18760109999999</v>
      </c>
    </row>
    <row r="375" spans="1:58" x14ac:dyDescent="0.35">
      <c r="B375" t="s">
        <v>61</v>
      </c>
      <c r="C375" s="6">
        <f>[1]Results!F108</f>
        <v>878.79999729999997</v>
      </c>
      <c r="D375" s="6">
        <f>[1]Results!G108</f>
        <v>868.20469969999999</v>
      </c>
      <c r="E375" s="6">
        <f>[1]Results!H108</f>
        <v>858.15598309999996</v>
      </c>
      <c r="F375" s="6">
        <f>[1]Results!I108</f>
        <v>848.48270349999996</v>
      </c>
      <c r="G375" s="6">
        <f>[1]Results!J108</f>
        <v>838.84516359999998</v>
      </c>
      <c r="H375" s="6">
        <f>[1]Results!K108</f>
        <v>828.75951320000001</v>
      </c>
      <c r="I375" s="6">
        <f>[1]Results!L108</f>
        <v>820.52994690000003</v>
      </c>
      <c r="J375" s="6">
        <f>[1]Results!M108</f>
        <v>813.85439199999996</v>
      </c>
      <c r="K375" s="6">
        <f>[1]Results!N108</f>
        <v>808.15353990000006</v>
      </c>
      <c r="L375" s="6">
        <f>[1]Results!O108</f>
        <v>803.01716499999998</v>
      </c>
      <c r="M375" s="6">
        <f>[1]Results!P108</f>
        <v>798.20154769999999</v>
      </c>
      <c r="N375" s="6">
        <f>[1]Results!Q108</f>
        <v>793.57071580000002</v>
      </c>
      <c r="O375" s="6">
        <f>[1]Results!R108</f>
        <v>789.0495985</v>
      </c>
      <c r="P375" s="6">
        <f>[1]Results!S108</f>
        <v>784.59762679999994</v>
      </c>
      <c r="Q375" s="6">
        <f>[1]Results!T108</f>
        <v>780.19273320000002</v>
      </c>
      <c r="R375" s="6">
        <f>[1]Results!U108</f>
        <v>775.82282139999995</v>
      </c>
      <c r="S375" s="6">
        <f>[1]Results!V108</f>
        <v>771.48117630000002</v>
      </c>
      <c r="T375" s="6">
        <f>[1]Results!W108</f>
        <v>767.16396259999999</v>
      </c>
      <c r="U375" s="6">
        <f>[1]Results!X108</f>
        <v>762.86894729999995</v>
      </c>
      <c r="V375" s="6">
        <f>[1]Results!Y108</f>
        <v>758.59484980000002</v>
      </c>
      <c r="W375" s="6">
        <f>[1]Results!Z108</f>
        <v>754.34091650000005</v>
      </c>
      <c r="X375" s="6">
        <f>[1]Results!AA108</f>
        <v>750.10642689999997</v>
      </c>
      <c r="Y375" s="6">
        <f>[1]Results!AB108</f>
        <v>745.89153950000002</v>
      </c>
      <c r="Z375" s="6">
        <f>[1]Results!AC108</f>
        <v>741.69641390000004</v>
      </c>
      <c r="AA375" s="6">
        <f>[1]Results!AD108</f>
        <v>737.52137570000002</v>
      </c>
      <c r="AB375" s="6">
        <f>[1]Results!AE108</f>
        <v>733.36667799999998</v>
      </c>
      <c r="AC375" s="6">
        <f>[1]Results!AF108</f>
        <v>729.23158799999999</v>
      </c>
      <c r="AD375" s="6">
        <f>[1]Results!AG108</f>
        <v>725.11655280000002</v>
      </c>
      <c r="AE375" s="6">
        <f>[1]Results!AH108</f>
        <v>721.02178040000001</v>
      </c>
      <c r="AF375" s="6">
        <f>[1]Results!AI108</f>
        <v>716.94760459999998</v>
      </c>
      <c r="AG375" s="6">
        <f>[1]Results!AJ108</f>
        <v>712.89442980000001</v>
      </c>
      <c r="AH375" s="6">
        <f>[1]Results!AK108</f>
        <v>708.86266790000002</v>
      </c>
      <c r="AI375" s="6">
        <f>[1]Results!AL108</f>
        <v>704.85269730000005</v>
      </c>
      <c r="AJ375" s="6">
        <f>[1]Results!AM108</f>
        <v>700.86483150000004</v>
      </c>
      <c r="AK375" s="6">
        <f>[1]Results!AN108</f>
        <v>696.89930059999995</v>
      </c>
      <c r="AL375" s="6">
        <f>[1]Results!AO108</f>
        <v>692.9562459</v>
      </c>
      <c r="AM375" s="6">
        <f>[1]Results!AP108</f>
        <v>689.0357047</v>
      </c>
      <c r="AN375" s="6">
        <f>[1]Results!AQ108</f>
        <v>685.13743969999996</v>
      </c>
      <c r="AO375" s="6">
        <f>[1]Results!AR108</f>
        <v>681.26128219999998</v>
      </c>
      <c r="AP375" s="6">
        <f>[1]Results!AS108</f>
        <v>677.40700979999997</v>
      </c>
      <c r="AQ375" s="6">
        <f>[1]Results!AT108</f>
        <v>673.5743741</v>
      </c>
      <c r="AR375" s="6">
        <f>[1]Results!AU108</f>
        <v>669.76312129999997</v>
      </c>
      <c r="AS375" s="6">
        <f>[1]Results!AV108</f>
        <v>665.9730055</v>
      </c>
      <c r="AT375" s="6">
        <f>[1]Results!AW108</f>
        <v>662.20379100000002</v>
      </c>
      <c r="AU375" s="6">
        <f>[1]Results!AX108</f>
        <v>658.45525080000004</v>
      </c>
      <c r="AV375" s="6">
        <f>[1]Results!AY108</f>
        <v>654.72716579999997</v>
      </c>
      <c r="AW375" s="6">
        <f>[1]Results!AZ108</f>
        <v>651.01933180000003</v>
      </c>
      <c r="AX375" s="6">
        <f>[1]Results!BA108</f>
        <v>647.33158160000005</v>
      </c>
      <c r="AY375" s="6">
        <f>[1]Results!BB108</f>
        <v>643.66374619999999</v>
      </c>
      <c r="AZ375" s="6">
        <f>[1]Results!BC108</f>
        <v>640.01565689999995</v>
      </c>
      <c r="BA375" s="6">
        <f>[1]Results!BD108</f>
        <v>636.38714230000005</v>
      </c>
      <c r="BB375" s="6">
        <f>[1]Results!BE108</f>
        <v>630.2942673</v>
      </c>
      <c r="BC375" s="6">
        <f>[1]Results!BF108</f>
        <v>626.75182099999995</v>
      </c>
      <c r="BD375" s="6">
        <f>[1]Results!BG108</f>
        <v>623.22951149999994</v>
      </c>
      <c r="BE375" s="6">
        <f>[1]Results!BH108</f>
        <v>619.72726850000004</v>
      </c>
      <c r="BF375" s="6">
        <f>[1]Results!BI108</f>
        <v>616.24502619999998</v>
      </c>
    </row>
    <row r="376" spans="1:58" x14ac:dyDescent="0.35">
      <c r="B376" t="s">
        <v>62</v>
      </c>
      <c r="C376" s="6">
        <f>[1]Results!F109</f>
        <v>139.85209269999999</v>
      </c>
      <c r="D376" s="6">
        <f>[1]Results!G109</f>
        <v>137.95012790000001</v>
      </c>
      <c r="E376" s="6">
        <f>[1]Results!H109</f>
        <v>136.07585399999999</v>
      </c>
      <c r="F376" s="6">
        <f>[1]Results!I109</f>
        <v>134.2374533</v>
      </c>
      <c r="G376" s="6">
        <f>[1]Results!J109</f>
        <v>132.44026270000001</v>
      </c>
      <c r="H376" s="6">
        <f>[1]Results!K109</f>
        <v>130.68535900000001</v>
      </c>
      <c r="I376" s="6">
        <f>[1]Results!L109</f>
        <v>128.97032540000001</v>
      </c>
      <c r="J376" s="6">
        <f>[1]Results!M109</f>
        <v>127.29099100000001</v>
      </c>
      <c r="K376" s="6">
        <f>[1]Results!N109</f>
        <v>125.64262119999999</v>
      </c>
      <c r="L376" s="6">
        <f>[1]Results!O109</f>
        <v>124.0208282</v>
      </c>
      <c r="M376" s="6">
        <f>[1]Results!P109</f>
        <v>122.42210679999999</v>
      </c>
      <c r="N376" s="6">
        <f>[1]Results!Q109</f>
        <v>120.8439111</v>
      </c>
      <c r="O376" s="6">
        <f>[1]Results!R109</f>
        <v>119.2843142</v>
      </c>
      <c r="P376" s="6">
        <f>[1]Results!S109</f>
        <v>117.74190780000001</v>
      </c>
      <c r="Q376" s="6">
        <f>[1]Results!T109</f>
        <v>116.21570560000001</v>
      </c>
      <c r="R376" s="6">
        <f>[1]Results!U109</f>
        <v>114.7050462</v>
      </c>
      <c r="S376" s="6">
        <f>[1]Results!V109</f>
        <v>113.20951599999999</v>
      </c>
      <c r="T376" s="6">
        <f>[1]Results!W109</f>
        <v>111.72890630000001</v>
      </c>
      <c r="U376" s="6">
        <f>[1]Results!X109</f>
        <v>110.2631892</v>
      </c>
      <c r="V376" s="6">
        <f>[1]Results!Y109</f>
        <v>108.81248600000001</v>
      </c>
      <c r="W376" s="6">
        <f>[1]Results!Z109</f>
        <v>107.3769977</v>
      </c>
      <c r="X376" s="6">
        <f>[1]Results!AA109</f>
        <v>105.95698280000001</v>
      </c>
      <c r="Y376" s="6">
        <f>[1]Results!AB109</f>
        <v>104.5527948</v>
      </c>
      <c r="Z376" s="6">
        <f>[1]Results!AC109</f>
        <v>103.1648172</v>
      </c>
      <c r="AA376" s="6">
        <f>[1]Results!AD109</f>
        <v>101.7934181</v>
      </c>
      <c r="AB376" s="6">
        <f>[1]Results!AE109</f>
        <v>100.4388458</v>
      </c>
      <c r="AC376" s="6">
        <f>[1]Results!AF109</f>
        <v>99.101222590000006</v>
      </c>
      <c r="AD376" s="6">
        <f>[1]Results!AG109</f>
        <v>97.780694659999995</v>
      </c>
      <c r="AE376" s="6">
        <f>[1]Results!AH109</f>
        <v>96.477404399999998</v>
      </c>
      <c r="AF376" s="6">
        <f>[1]Results!AI109</f>
        <v>95.191459550000005</v>
      </c>
      <c r="AG376" s="6">
        <f>[1]Results!AJ109</f>
        <v>93.922919039999996</v>
      </c>
      <c r="AH376" s="6">
        <f>[1]Results!AK109</f>
        <v>92.671791740000003</v>
      </c>
      <c r="AI376" s="6">
        <f>[1]Results!AL109</f>
        <v>91.438028259999996</v>
      </c>
      <c r="AJ376" s="6">
        <f>[1]Results!AM109</f>
        <v>90.22151728</v>
      </c>
      <c r="AK376" s="6">
        <f>[1]Results!AN109</f>
        <v>89.022087880000001</v>
      </c>
      <c r="AL376" s="6">
        <f>[1]Results!AO109</f>
        <v>87.839517479999998</v>
      </c>
      <c r="AM376" s="6">
        <f>[1]Results!AP109</f>
        <v>86.6735355</v>
      </c>
      <c r="AN376" s="6">
        <f>[1]Results!AQ109</f>
        <v>85.523826760000006</v>
      </c>
      <c r="AO376" s="6">
        <f>[1]Results!AR109</f>
        <v>84.390049919999996</v>
      </c>
      <c r="AP376" s="6">
        <f>[1]Results!AS109</f>
        <v>83.271852710000005</v>
      </c>
      <c r="AQ376" s="6">
        <f>[1]Results!AT109</f>
        <v>82.168884410000004</v>
      </c>
      <c r="AR376" s="6">
        <f>[1]Results!AU109</f>
        <v>81.080805560000002</v>
      </c>
      <c r="AS376" s="6">
        <f>[1]Results!AV109</f>
        <v>80.007293099999998</v>
      </c>
      <c r="AT376" s="6">
        <f>[1]Results!AW109</f>
        <v>78.948040629999994</v>
      </c>
      <c r="AU376" s="6">
        <f>[1]Results!AX109</f>
        <v>77.902758009999999</v>
      </c>
      <c r="AV376" s="6">
        <f>[1]Results!AY109</f>
        <v>76.871170919999997</v>
      </c>
      <c r="AW376" s="6">
        <f>[1]Results!AZ109</f>
        <v>75.853023339999993</v>
      </c>
      <c r="AX376" s="6">
        <f>[1]Results!BA109</f>
        <v>74.848076969999994</v>
      </c>
      <c r="AY376" s="6">
        <f>[1]Results!BB109</f>
        <v>73.856103790000006</v>
      </c>
      <c r="AZ376" s="6">
        <f>[1]Results!BC109</f>
        <v>72.876884200000006</v>
      </c>
      <c r="BA376" s="6">
        <f>[1]Results!BD109</f>
        <v>71.910208670000003</v>
      </c>
      <c r="BB376" s="6">
        <f>[1]Results!BE109</f>
        <v>73.136080030000002</v>
      </c>
      <c r="BC376" s="6">
        <f>[1]Results!BF109</f>
        <v>72.266466910000005</v>
      </c>
      <c r="BD376" s="6">
        <f>[1]Results!BG109</f>
        <v>71.408305409999997</v>
      </c>
      <c r="BE376" s="6">
        <f>[1]Results!BH109</f>
        <v>70.561469470000006</v>
      </c>
      <c r="BF376" s="6">
        <f>[1]Results!BI109</f>
        <v>69.725838089999996</v>
      </c>
    </row>
    <row r="377" spans="1:58" x14ac:dyDescent="0.35">
      <c r="B377" t="s">
        <v>63</v>
      </c>
      <c r="C377" s="6">
        <f>[1]Results!F110</f>
        <v>3.874567114</v>
      </c>
      <c r="D377" s="6">
        <f>[1]Results!G110</f>
        <v>3.7237254019999999</v>
      </c>
      <c r="E377" s="6">
        <f>[1]Results!H110</f>
        <v>3.579170661</v>
      </c>
      <c r="F377" s="6">
        <f>[1]Results!I110</f>
        <v>3.4412495000000001</v>
      </c>
      <c r="G377" s="6">
        <f>[1]Results!J110</f>
        <v>3.310097608</v>
      </c>
      <c r="H377" s="6">
        <f>[1]Results!K110</f>
        <v>3.1855412909999998</v>
      </c>
      <c r="I377" s="6">
        <f>[1]Results!L110</f>
        <v>3.067167253</v>
      </c>
      <c r="J377" s="6">
        <f>[1]Results!M110</f>
        <v>2.9544403620000002</v>
      </c>
      <c r="K377" s="6">
        <f>[1]Results!N110</f>
        <v>2.8468144839999998</v>
      </c>
      <c r="L377" s="6">
        <f>[1]Results!O110</f>
        <v>2.7437993189999998</v>
      </c>
      <c r="M377" s="6">
        <f>[1]Results!P110</f>
        <v>2.6449924679999999</v>
      </c>
      <c r="N377" s="6">
        <f>[1]Results!Q110</f>
        <v>2.5500771919999998</v>
      </c>
      <c r="O377" s="6">
        <f>[1]Results!R110</f>
        <v>2.4587933940000002</v>
      </c>
      <c r="P377" s="6">
        <f>[1]Results!S110</f>
        <v>2.3709267779999998</v>
      </c>
      <c r="Q377" s="6">
        <f>[1]Results!T110</f>
        <v>2.2862993540000001</v>
      </c>
      <c r="R377" s="6">
        <f>[1]Results!U110</f>
        <v>2.2047609709999998</v>
      </c>
      <c r="S377" s="6">
        <f>[1]Results!V110</f>
        <v>2.1261826159999999</v>
      </c>
      <c r="T377" s="6">
        <f>[1]Results!W110</f>
        <v>2.0504519000000001</v>
      </c>
      <c r="U377" s="6">
        <f>[1]Results!X110</f>
        <v>1.9774699069999999</v>
      </c>
      <c r="V377" s="6">
        <f>[1]Results!Y110</f>
        <v>1.9071481960000001</v>
      </c>
      <c r="W377" s="6">
        <f>[1]Results!Z110</f>
        <v>1.8394042530000001</v>
      </c>
      <c r="X377" s="6">
        <f>[1]Results!AA110</f>
        <v>1.774159971</v>
      </c>
      <c r="Y377" s="6">
        <f>[1]Results!AB110</f>
        <v>1.7113434679999999</v>
      </c>
      <c r="Z377" s="6">
        <f>[1]Results!AC110</f>
        <v>1.650885766</v>
      </c>
      <c r="AA377" s="6">
        <f>[1]Results!AD110</f>
        <v>1.592718614</v>
      </c>
      <c r="AB377" s="6">
        <f>[1]Results!AE110</f>
        <v>1.5367696230000001</v>
      </c>
      <c r="AC377" s="6">
        <f>[1]Results!AF110</f>
        <v>1.4829623409999999</v>
      </c>
      <c r="AD377" s="6">
        <f>[1]Results!AG110</f>
        <v>1.431223661</v>
      </c>
      <c r="AE377" s="6">
        <f>[1]Results!AH110</f>
        <v>1.381482887</v>
      </c>
      <c r="AF377" s="6">
        <f>[1]Results!AI110</f>
        <v>1.3336706380000001</v>
      </c>
      <c r="AG377" s="6">
        <f>[1]Results!AJ110</f>
        <v>1.2877184230000001</v>
      </c>
      <c r="AH377" s="6">
        <f>[1]Results!AK110</f>
        <v>1.2435585090000001</v>
      </c>
      <c r="AI377" s="6">
        <f>[1]Results!AL110</f>
        <v>1.2011236439999999</v>
      </c>
      <c r="AJ377" s="6">
        <f>[1]Results!AM110</f>
        <v>1.1603469769999999</v>
      </c>
      <c r="AK377" s="6">
        <f>[1]Results!AN110</f>
        <v>1.121162236</v>
      </c>
      <c r="AL377" s="6">
        <f>[1]Results!AO110</f>
        <v>1.083504075</v>
      </c>
      <c r="AM377" s="6">
        <f>[1]Results!AP110</f>
        <v>1.0473082250000001</v>
      </c>
      <c r="AN377" s="6">
        <f>[1]Results!AQ110</f>
        <v>1.012511613</v>
      </c>
      <c r="AO377" s="6">
        <f>[1]Results!AR110</f>
        <v>0.97905297769999999</v>
      </c>
      <c r="AP377" s="6">
        <f>[1]Results!AS110</f>
        <v>0.94687333799999995</v>
      </c>
      <c r="AQ377" s="6">
        <f>[1]Results!AT110</f>
        <v>0.91591632649999999</v>
      </c>
      <c r="AR377" s="6">
        <f>[1]Results!AU110</f>
        <v>0.88612839089999995</v>
      </c>
      <c r="AS377" s="6">
        <f>[1]Results!AV110</f>
        <v>0.85745882679999996</v>
      </c>
      <c r="AT377" s="6">
        <f>[1]Results!AW110</f>
        <v>0.82985962790000001</v>
      </c>
      <c r="AU377" s="6">
        <f>[1]Results!AX110</f>
        <v>0.80328532669999997</v>
      </c>
      <c r="AV377" s="6">
        <f>[1]Results!AY110</f>
        <v>0.77769284220000001</v>
      </c>
      <c r="AW377" s="6">
        <f>[1]Results!AZ110</f>
        <v>0.75304143059999995</v>
      </c>
      <c r="AX377" s="6">
        <f>[1]Results!BA110</f>
        <v>0.72929256080000004</v>
      </c>
      <c r="AY377" s="6">
        <f>[1]Results!BB110</f>
        <v>0.70640956359999996</v>
      </c>
      <c r="AZ377" s="6">
        <f>[1]Results!BC110</f>
        <v>0.68435746819999999</v>
      </c>
      <c r="BA377" s="6">
        <f>[1]Results!BD110</f>
        <v>0.66310294810000003</v>
      </c>
      <c r="BB377" s="6">
        <f>[1]Results!BE110</f>
        <v>0.72578483000000005</v>
      </c>
      <c r="BC377" s="6">
        <f>[1]Results!BF110</f>
        <v>0.70667312709999996</v>
      </c>
      <c r="BD377" s="6">
        <f>[1]Results!BG110</f>
        <v>0.68819737540000003</v>
      </c>
      <c r="BE377" s="6">
        <f>[1]Results!BH110</f>
        <v>0.67033503049999998</v>
      </c>
      <c r="BF377" s="6">
        <f>[1]Results!BI110</f>
        <v>0.65306457139999996</v>
      </c>
    </row>
    <row r="379" spans="1:58" x14ac:dyDescent="0.35">
      <c r="A379" s="12" t="s">
        <v>91</v>
      </c>
      <c r="C379" s="2">
        <v>42005</v>
      </c>
      <c r="D379" s="2">
        <v>42370</v>
      </c>
      <c r="E379" s="2">
        <v>42736</v>
      </c>
      <c r="F379" s="2">
        <v>43101</v>
      </c>
      <c r="G379" s="2">
        <v>43466</v>
      </c>
      <c r="H379" s="2">
        <v>43831</v>
      </c>
      <c r="I379" s="2">
        <v>44197</v>
      </c>
      <c r="J379" s="2">
        <v>44562</v>
      </c>
      <c r="K379" s="2">
        <v>44927</v>
      </c>
      <c r="L379" s="2">
        <v>45292</v>
      </c>
      <c r="M379" s="2">
        <v>45658</v>
      </c>
      <c r="N379" s="2">
        <v>46023</v>
      </c>
      <c r="O379" s="2">
        <v>46388</v>
      </c>
      <c r="P379" s="2">
        <v>46753</v>
      </c>
      <c r="Q379" s="2">
        <v>47119</v>
      </c>
      <c r="R379" s="2">
        <v>47484</v>
      </c>
      <c r="S379" s="2">
        <v>47849</v>
      </c>
      <c r="T379" s="2">
        <v>48214</v>
      </c>
      <c r="U379" s="2">
        <v>48580</v>
      </c>
      <c r="V379" s="2">
        <v>48945</v>
      </c>
      <c r="W379" s="2">
        <v>49310</v>
      </c>
      <c r="X379" s="2">
        <v>49675</v>
      </c>
      <c r="Y379" s="2">
        <v>50041</v>
      </c>
      <c r="Z379" s="2">
        <v>50406</v>
      </c>
      <c r="AA379" s="2">
        <v>50771</v>
      </c>
      <c r="AB379" s="2">
        <v>51136</v>
      </c>
      <c r="AC379" s="2">
        <v>51502</v>
      </c>
      <c r="AD379" s="2">
        <v>51867</v>
      </c>
      <c r="AE379" s="2">
        <v>52232</v>
      </c>
      <c r="AF379" s="2">
        <v>52597</v>
      </c>
      <c r="AG379" s="2">
        <v>52963</v>
      </c>
      <c r="AH379" s="2">
        <v>53328</v>
      </c>
      <c r="AI379" s="2">
        <v>53693</v>
      </c>
      <c r="AJ379" s="2">
        <v>54058</v>
      </c>
      <c r="AK379" s="2">
        <v>54424</v>
      </c>
      <c r="AL379" s="2">
        <v>54789</v>
      </c>
      <c r="AM379" s="2">
        <v>54790</v>
      </c>
      <c r="AN379" s="2">
        <v>54791</v>
      </c>
      <c r="AO379" s="2">
        <v>54792</v>
      </c>
      <c r="AP379" s="2">
        <v>54793</v>
      </c>
      <c r="AQ379" s="2">
        <v>54794</v>
      </c>
      <c r="AR379" s="2">
        <v>54795</v>
      </c>
      <c r="AS379" s="2">
        <v>54796</v>
      </c>
      <c r="AT379" s="2">
        <v>54797</v>
      </c>
      <c r="AU379" s="2">
        <v>54798</v>
      </c>
      <c r="AV379" s="2">
        <v>54799</v>
      </c>
      <c r="AW379" s="2">
        <v>54800</v>
      </c>
      <c r="AX379" s="2">
        <v>54801</v>
      </c>
      <c r="AY379" s="2">
        <v>54802</v>
      </c>
      <c r="AZ379" s="2">
        <v>54803</v>
      </c>
      <c r="BA379" s="2">
        <v>54804</v>
      </c>
      <c r="BB379" s="2">
        <v>54805</v>
      </c>
      <c r="BC379" s="2">
        <v>54806</v>
      </c>
      <c r="BD379" s="2">
        <v>54807</v>
      </c>
      <c r="BE379" s="2">
        <v>54808</v>
      </c>
      <c r="BF379" s="2">
        <v>54809</v>
      </c>
    </row>
    <row r="380" spans="1:58" x14ac:dyDescent="0.35">
      <c r="A380" t="s">
        <v>38</v>
      </c>
      <c r="B380" t="s">
        <v>57</v>
      </c>
      <c r="C380" s="6">
        <f>[1]Results!F112</f>
        <v>3.476542051</v>
      </c>
      <c r="D380" s="6">
        <f>[1]Results!G112</f>
        <v>5.7227179189999999</v>
      </c>
      <c r="E380" s="6">
        <f>[1]Results!H112</f>
        <v>7.9150348949999998</v>
      </c>
      <c r="F380" s="6">
        <f>[1]Results!I112</f>
        <v>9.8028889160000006</v>
      </c>
      <c r="G380" s="6">
        <f>[1]Results!J112</f>
        <v>11.155958780000001</v>
      </c>
      <c r="H380" s="6">
        <f>[1]Results!K112</f>
        <v>16.28488037</v>
      </c>
      <c r="I380" s="6">
        <f>[1]Results!L112</f>
        <v>22.964094190000001</v>
      </c>
      <c r="J380" s="6">
        <f>[1]Results!M112</f>
        <v>30.05221834</v>
      </c>
      <c r="K380" s="6">
        <f>[1]Results!N112</f>
        <v>37.200833660000001</v>
      </c>
      <c r="L380" s="6">
        <f>[1]Results!O112</f>
        <v>44.335329530000003</v>
      </c>
      <c r="M380" s="6">
        <f>[1]Results!P112</f>
        <v>51.492984210000003</v>
      </c>
      <c r="N380" s="6">
        <f>[1]Results!Q112</f>
        <v>58.603430709999998</v>
      </c>
      <c r="O380" s="6">
        <f>[1]Results!R112</f>
        <v>65.708606869999997</v>
      </c>
      <c r="P380" s="6">
        <f>[1]Results!S112</f>
        <v>72.804877169999997</v>
      </c>
      <c r="Q380" s="6">
        <f>[1]Results!T112</f>
        <v>79.885812259999994</v>
      </c>
      <c r="R380" s="6">
        <f>[1]Results!U112</f>
        <v>86.944139849999999</v>
      </c>
      <c r="S380" s="6">
        <f>[1]Results!V112</f>
        <v>93.972842810000003</v>
      </c>
      <c r="T380" s="6">
        <f>[1]Results!W112</f>
        <v>100.9657754</v>
      </c>
      <c r="U380" s="6">
        <f>[1]Results!X112</f>
        <v>107.9180073</v>
      </c>
      <c r="V380" s="6">
        <f>[1]Results!Y112</f>
        <v>114.8259831</v>
      </c>
      <c r="W380" s="6">
        <f>[1]Results!Z112</f>
        <v>121.6595921</v>
      </c>
      <c r="X380" s="6">
        <f>[1]Results!AA112</f>
        <v>128.46736949999999</v>
      </c>
      <c r="Y380" s="6">
        <f>[1]Results!AB112</f>
        <v>135.2216493</v>
      </c>
      <c r="Z380" s="6">
        <f>[1]Results!AC112</f>
        <v>141.92367049999999</v>
      </c>
      <c r="AA380" s="6">
        <f>[1]Results!AD112</f>
        <v>148.5762311</v>
      </c>
      <c r="AB380" s="6">
        <f>[1]Results!AE112</f>
        <v>155.1062891</v>
      </c>
      <c r="AC380" s="6">
        <f>[1]Results!AF112</f>
        <v>161.615756</v>
      </c>
      <c r="AD380" s="6">
        <f>[1]Results!AG112</f>
        <v>168.05795739999999</v>
      </c>
      <c r="AE380" s="6">
        <f>[1]Results!AH112</f>
        <v>174.4260285</v>
      </c>
      <c r="AF380" s="6">
        <f>[1]Results!AI112</f>
        <v>180.71520179999999</v>
      </c>
      <c r="AG380" s="6">
        <f>[1]Results!AJ112</f>
        <v>186.9231709</v>
      </c>
      <c r="AH380" s="6">
        <f>[1]Results!AK112</f>
        <v>193.04932539999999</v>
      </c>
      <c r="AI380" s="6">
        <f>[1]Results!AL112</f>
        <v>199.09376209999999</v>
      </c>
      <c r="AJ380" s="6">
        <f>[1]Results!AM112</f>
        <v>205.0564287</v>
      </c>
      <c r="AK380" s="6">
        <f>[1]Results!AN112</f>
        <v>210.93638999999999</v>
      </c>
      <c r="AL380" s="6">
        <f>[1]Results!AO112</f>
        <v>216.73123380000001</v>
      </c>
      <c r="AM380" s="6">
        <f>[1]Results!AP112</f>
        <v>222.41973250000001</v>
      </c>
      <c r="AN380" s="6">
        <f>[1]Results!AQ112</f>
        <v>228.00548140000001</v>
      </c>
      <c r="AO380" s="6">
        <f>[1]Results!AR112</f>
        <v>233.47151579999999</v>
      </c>
      <c r="AP380" s="6">
        <f>[1]Results!AS112</f>
        <v>238.7962038</v>
      </c>
      <c r="AQ380" s="6">
        <f>[1]Results!AT112</f>
        <v>243.9529723</v>
      </c>
      <c r="AR380" s="6">
        <f>[1]Results!AU112</f>
        <v>248.9090544</v>
      </c>
      <c r="AS380" s="6">
        <f>[1]Results!AV112</f>
        <v>253.62301289999999</v>
      </c>
      <c r="AT380" s="6">
        <f>[1]Results!AW112</f>
        <v>258.04007109999998</v>
      </c>
      <c r="AU380" s="6">
        <f>[1]Results!AX112</f>
        <v>262.08295290000001</v>
      </c>
      <c r="AV380" s="6">
        <f>[1]Results!AY112</f>
        <v>265.63298700000001</v>
      </c>
      <c r="AW380" s="6">
        <f>[1]Results!AZ112</f>
        <v>268.48912819999998</v>
      </c>
      <c r="AX380" s="6">
        <f>[1]Results!BA112</f>
        <v>272.33553769999997</v>
      </c>
      <c r="AY380" s="6">
        <f>[1]Results!BB112</f>
        <v>276.30533029999998</v>
      </c>
      <c r="AZ380" s="6">
        <f>[1]Results!BC112</f>
        <v>280.86258479999998</v>
      </c>
      <c r="BA380" s="6">
        <f>[1]Results!BD112</f>
        <v>285.93878819999998</v>
      </c>
      <c r="BB380" s="6">
        <f>[1]Results!BE112</f>
        <v>23.02165338</v>
      </c>
      <c r="BC380" s="6">
        <f>[1]Results!BF112</f>
        <v>23.098603359999998</v>
      </c>
      <c r="BD380" s="6">
        <f>[1]Results!BG112</f>
        <v>23.175166600000001</v>
      </c>
      <c r="BE380" s="6">
        <f>[1]Results!BH112</f>
        <v>23.251348539999999</v>
      </c>
      <c r="BF380" s="6">
        <f>[1]Results!BI112</f>
        <v>23.327155260000001</v>
      </c>
    </row>
    <row r="381" spans="1:58" x14ac:dyDescent="0.35">
      <c r="B381" t="s">
        <v>58</v>
      </c>
      <c r="C381" s="6">
        <f>[1]Results!F113</f>
        <v>68.80476281</v>
      </c>
      <c r="D381" s="6">
        <f>[1]Results!G113</f>
        <v>77.184615289999996</v>
      </c>
      <c r="E381" s="6">
        <f>[1]Results!H113</f>
        <v>86.226499009999998</v>
      </c>
      <c r="F381" s="6">
        <f>[1]Results!I113</f>
        <v>95.792889770000002</v>
      </c>
      <c r="G381" s="6">
        <f>[1]Results!J113</f>
        <v>106.74449850000001</v>
      </c>
      <c r="H381" s="6">
        <f>[1]Results!K113</f>
        <v>114.8133308</v>
      </c>
      <c r="I381" s="6">
        <f>[1]Results!L113</f>
        <v>120.3171086</v>
      </c>
      <c r="J381" s="6">
        <f>[1]Results!M113</f>
        <v>124.82554810000001</v>
      </c>
      <c r="K381" s="6">
        <f>[1]Results!N113</f>
        <v>128.83010440000001</v>
      </c>
      <c r="L381" s="6">
        <f>[1]Results!O113</f>
        <v>132.56910780000001</v>
      </c>
      <c r="M381" s="6">
        <f>[1]Results!P113</f>
        <v>137.19732300000001</v>
      </c>
      <c r="N381" s="6">
        <f>[1]Results!Q113</f>
        <v>140.70094019999999</v>
      </c>
      <c r="O381" s="6">
        <f>[1]Results!R113</f>
        <v>144.14778269999999</v>
      </c>
      <c r="P381" s="6">
        <f>[1]Results!S113</f>
        <v>147.55784109999999</v>
      </c>
      <c r="Q381" s="6">
        <f>[1]Results!T113</f>
        <v>150.94401210000001</v>
      </c>
      <c r="R381" s="6">
        <f>[1]Results!U113</f>
        <v>154.31513039999999</v>
      </c>
      <c r="S381" s="6">
        <f>[1]Results!V113</f>
        <v>157.67754410000001</v>
      </c>
      <c r="T381" s="6">
        <f>[1]Results!W113</f>
        <v>161.03592990000001</v>
      </c>
      <c r="U381" s="6">
        <f>[1]Results!X113</f>
        <v>164.3937172</v>
      </c>
      <c r="V381" s="6">
        <f>[1]Results!Y113</f>
        <v>167.75332460000001</v>
      </c>
      <c r="W381" s="6">
        <f>[1]Results!Z113</f>
        <v>170.42992169999999</v>
      </c>
      <c r="X381" s="6">
        <f>[1]Results!AA113</f>
        <v>173.7978956</v>
      </c>
      <c r="Y381" s="6">
        <f>[1]Results!AB113</f>
        <v>177.17332780000001</v>
      </c>
      <c r="Z381" s="6">
        <f>[1]Results!AC113</f>
        <v>180.55605299999999</v>
      </c>
      <c r="AA381" s="6">
        <f>[1]Results!AD113</f>
        <v>183.94515100000001</v>
      </c>
      <c r="AB381" s="6">
        <f>[1]Results!AE113</f>
        <v>185.4657254</v>
      </c>
      <c r="AC381" s="6">
        <f>[1]Results!AF113</f>
        <v>187.98608540000001</v>
      </c>
      <c r="AD381" s="6">
        <f>[1]Results!AG113</f>
        <v>190.5168242</v>
      </c>
      <c r="AE381" s="6">
        <f>[1]Results!AH113</f>
        <v>193.06143370000001</v>
      </c>
      <c r="AF381" s="6">
        <f>[1]Results!AI113</f>
        <v>195.62251459999999</v>
      </c>
      <c r="AG381" s="6">
        <f>[1]Results!AJ113</f>
        <v>198.20156560000001</v>
      </c>
      <c r="AH381" s="6">
        <f>[1]Results!AK113</f>
        <v>200.79930089999999</v>
      </c>
      <c r="AI381" s="6">
        <f>[1]Results!AL113</f>
        <v>203.4160756</v>
      </c>
      <c r="AJ381" s="6">
        <f>[1]Results!AM113</f>
        <v>206.052269</v>
      </c>
      <c r="AK381" s="6">
        <f>[1]Results!AN113</f>
        <v>208.70862410000001</v>
      </c>
      <c r="AL381" s="6">
        <f>[1]Results!AO113</f>
        <v>211.38653360000001</v>
      </c>
      <c r="AM381" s="6">
        <f>[1]Results!AP113</f>
        <v>213.68862110000001</v>
      </c>
      <c r="AN381" s="6">
        <f>[1]Results!AQ113</f>
        <v>216.01940959999999</v>
      </c>
      <c r="AO381" s="6">
        <f>[1]Results!AR113</f>
        <v>218.38701760000001</v>
      </c>
      <c r="AP381" s="6">
        <f>[1]Results!AS113</f>
        <v>220.80196570000001</v>
      </c>
      <c r="AQ381" s="6">
        <f>[1]Results!AT113</f>
        <v>223.2774555</v>
      </c>
      <c r="AR381" s="6">
        <f>[1]Results!AU113</f>
        <v>225.83021360000001</v>
      </c>
      <c r="AS381" s="6">
        <f>[1]Results!AV113</f>
        <v>228.48220240000001</v>
      </c>
      <c r="AT381" s="6">
        <f>[1]Results!AW113</f>
        <v>231.2640869</v>
      </c>
      <c r="AU381" s="6">
        <f>[1]Results!AX113</f>
        <v>234.222894</v>
      </c>
      <c r="AV381" s="6">
        <f>[1]Results!AY113</f>
        <v>237.4416028</v>
      </c>
      <c r="AW381" s="6">
        <f>[1]Results!AZ113</f>
        <v>241.1377549</v>
      </c>
      <c r="AX381" s="6">
        <f>[1]Results!BA113</f>
        <v>244.86308460000001</v>
      </c>
      <c r="AY381" s="6">
        <f>[1]Results!BB113</f>
        <v>249.31742120000001</v>
      </c>
      <c r="AZ381" s="6">
        <f>[1]Results!BC113</f>
        <v>253.31775619999999</v>
      </c>
      <c r="BA381" s="6">
        <f>[1]Results!BD113</f>
        <v>256.6196415</v>
      </c>
      <c r="BB381" s="6">
        <f>[1]Results!BE113</f>
        <v>505.70694400000002</v>
      </c>
      <c r="BC381" s="6">
        <f>[1]Results!BF113</f>
        <v>512.00260160000005</v>
      </c>
      <c r="BD381" s="6">
        <f>[1]Results!BG113</f>
        <v>518.24737849999997</v>
      </c>
      <c r="BE381" s="6">
        <f>[1]Results!BH113</f>
        <v>524.44232790000001</v>
      </c>
      <c r="BF381" s="6">
        <f>[1]Results!BI113</f>
        <v>530.58864100000005</v>
      </c>
    </row>
    <row r="382" spans="1:58" x14ac:dyDescent="0.35">
      <c r="B382" t="s">
        <v>59</v>
      </c>
      <c r="C382" s="6">
        <f>[1]Results!F114</f>
        <v>408.28039699999999</v>
      </c>
      <c r="D382" s="6">
        <f>[1]Results!G114</f>
        <v>425.47099200000002</v>
      </c>
      <c r="E382" s="6">
        <f>[1]Results!H114</f>
        <v>444.58496880000001</v>
      </c>
      <c r="F382" s="6">
        <f>[1]Results!I114</f>
        <v>464.5860394</v>
      </c>
      <c r="G382" s="6">
        <f>[1]Results!J114</f>
        <v>486.66936989999999</v>
      </c>
      <c r="H382" s="6">
        <f>[1]Results!K114</f>
        <v>503.40873290000002</v>
      </c>
      <c r="I382" s="6">
        <f>[1]Results!L114</f>
        <v>515.14712380000003</v>
      </c>
      <c r="J382" s="6">
        <f>[1]Results!M114</f>
        <v>525.29702680000003</v>
      </c>
      <c r="K382" s="6">
        <f>[1]Results!N114</f>
        <v>534.66997389999995</v>
      </c>
      <c r="L382" s="6">
        <f>[1]Results!O114</f>
        <v>543.64620609999997</v>
      </c>
      <c r="M382" s="6">
        <f>[1]Results!P114</f>
        <v>555.32225259999996</v>
      </c>
      <c r="N382" s="6">
        <f>[1]Results!Q114</f>
        <v>563.96919720000005</v>
      </c>
      <c r="O382" s="6">
        <f>[1]Results!R114</f>
        <v>572.54171029999998</v>
      </c>
      <c r="P382" s="6">
        <f>[1]Results!S114</f>
        <v>581.06943550000005</v>
      </c>
      <c r="Q382" s="6">
        <f>[1]Results!T114</f>
        <v>589.57126430000005</v>
      </c>
      <c r="R382" s="6">
        <f>[1]Results!U114</f>
        <v>598.06002439999997</v>
      </c>
      <c r="S382" s="6">
        <f>[1]Results!V114</f>
        <v>606.54488200000003</v>
      </c>
      <c r="T382" s="6">
        <f>[1]Results!W114</f>
        <v>615.03256439999996</v>
      </c>
      <c r="U382" s="6">
        <f>[1]Results!X114</f>
        <v>623.52797769999995</v>
      </c>
      <c r="V382" s="6">
        <f>[1]Results!Y114</f>
        <v>632.03453739999998</v>
      </c>
      <c r="W382" s="6">
        <f>[1]Results!Z114</f>
        <v>638.62632050000002</v>
      </c>
      <c r="X382" s="6">
        <f>[1]Results!AA114</f>
        <v>647.15867600000001</v>
      </c>
      <c r="Y382" s="6">
        <f>[1]Results!AB114</f>
        <v>655.71004900000003</v>
      </c>
      <c r="Z382" s="6">
        <f>[1]Results!AC114</f>
        <v>664.27985469999999</v>
      </c>
      <c r="AA382" s="6">
        <f>[1]Results!AD114</f>
        <v>672.86631350000005</v>
      </c>
      <c r="AB382" s="6">
        <f>[1]Results!AE114</f>
        <v>676.20416169999999</v>
      </c>
      <c r="AC382" s="6">
        <f>[1]Results!AF114</f>
        <v>682.34097229999998</v>
      </c>
      <c r="AD382" s="6">
        <f>[1]Results!AG114</f>
        <v>688.49381659999995</v>
      </c>
      <c r="AE382" s="6">
        <f>[1]Results!AH114</f>
        <v>694.6678445</v>
      </c>
      <c r="AF382" s="6">
        <f>[1]Results!AI114</f>
        <v>700.8667931</v>
      </c>
      <c r="AG382" s="6">
        <f>[1]Results!AJ114</f>
        <v>707.09270519999995</v>
      </c>
      <c r="AH382" s="6">
        <f>[1]Results!AK114</f>
        <v>713.34640239999999</v>
      </c>
      <c r="AI382" s="6">
        <f>[1]Results!AL114</f>
        <v>719.62816569999995</v>
      </c>
      <c r="AJ382" s="6">
        <f>[1]Results!AM114</f>
        <v>725.93835739999997</v>
      </c>
      <c r="AK382" s="6">
        <f>[1]Results!AN114</f>
        <v>732.27798150000001</v>
      </c>
      <c r="AL382" s="6">
        <f>[1]Results!AO114</f>
        <v>738.64915829999995</v>
      </c>
      <c r="AM382" s="6">
        <f>[1]Results!AP114</f>
        <v>743.93266989999995</v>
      </c>
      <c r="AN382" s="6">
        <f>[1]Results!AQ114</f>
        <v>749.25763459999996</v>
      </c>
      <c r="AO382" s="6">
        <f>[1]Results!AR114</f>
        <v>754.63760860000002</v>
      </c>
      <c r="AP382" s="6">
        <f>[1]Results!AS114</f>
        <v>760.0904554</v>
      </c>
      <c r="AQ382" s="6">
        <f>[1]Results!AT114</f>
        <v>765.63909909999995</v>
      </c>
      <c r="AR382" s="6">
        <f>[1]Results!AU114</f>
        <v>771.31344769999998</v>
      </c>
      <c r="AS382" s="6">
        <f>[1]Results!AV114</f>
        <v>777.15420830000005</v>
      </c>
      <c r="AT382" s="6">
        <f>[1]Results!AW114</f>
        <v>783.22068119999994</v>
      </c>
      <c r="AU382" s="6">
        <f>[1]Results!AX114</f>
        <v>789.60844069999996</v>
      </c>
      <c r="AV382" s="6">
        <f>[1]Results!AY114</f>
        <v>796.49702230000003</v>
      </c>
      <c r="AW382" s="6">
        <f>[1]Results!AZ114</f>
        <v>804.41562699999997</v>
      </c>
      <c r="AX382" s="6">
        <f>[1]Results!BA114</f>
        <v>811.47407699999997</v>
      </c>
      <c r="AY382" s="6">
        <f>[1]Results!BB114</f>
        <v>818.84510160000002</v>
      </c>
      <c r="AZ382" s="6">
        <f>[1]Results!BC114</f>
        <v>825.58329990000004</v>
      </c>
      <c r="BA382" s="6">
        <f>[1]Results!BD114</f>
        <v>831.54675859999998</v>
      </c>
      <c r="BB382" s="6">
        <f>[1]Results!BE114</f>
        <v>1097.5222470000001</v>
      </c>
      <c r="BC382" s="6">
        <f>[1]Results!BF114</f>
        <v>1106.9728580000001</v>
      </c>
      <c r="BD382" s="6">
        <f>[1]Results!BG114</f>
        <v>1116.3591220000001</v>
      </c>
      <c r="BE382" s="6">
        <f>[1]Results!BH114</f>
        <v>1125.682438</v>
      </c>
      <c r="BF382" s="6">
        <f>[1]Results!BI114</f>
        <v>1134.9443100000001</v>
      </c>
    </row>
    <row r="383" spans="1:58" x14ac:dyDescent="0.35">
      <c r="B383" t="s">
        <v>60</v>
      </c>
      <c r="C383" s="6">
        <f>[1]Results!F115</f>
        <v>954.38155940000001</v>
      </c>
      <c r="D383" s="6">
        <f>[1]Results!G115</f>
        <v>947.6977723</v>
      </c>
      <c r="E383" s="6">
        <f>[1]Results!H115</f>
        <v>940.93763730000001</v>
      </c>
      <c r="F383" s="6">
        <f>[1]Results!I115</f>
        <v>933.32371909999995</v>
      </c>
      <c r="G383" s="6">
        <f>[1]Results!J115</f>
        <v>923.4312261</v>
      </c>
      <c r="H383" s="6">
        <f>[1]Results!K115</f>
        <v>915.1606223</v>
      </c>
      <c r="I383" s="6">
        <f>[1]Results!L115</f>
        <v>908.60446669999999</v>
      </c>
      <c r="J383" s="6">
        <f>[1]Results!M115</f>
        <v>903.13095480000004</v>
      </c>
      <c r="K383" s="6">
        <f>[1]Results!N115</f>
        <v>898.2758407</v>
      </c>
      <c r="L383" s="6">
        <f>[1]Results!O115</f>
        <v>893.7657815</v>
      </c>
      <c r="M383" s="6">
        <f>[1]Results!P115</f>
        <v>889.45007210000006</v>
      </c>
      <c r="N383" s="6">
        <f>[1]Results!Q115</f>
        <v>885.24811350000004</v>
      </c>
      <c r="O383" s="6">
        <f>[1]Results!R115</f>
        <v>881.11614080000004</v>
      </c>
      <c r="P383" s="6">
        <f>[1]Results!S115</f>
        <v>877.03080499999999</v>
      </c>
      <c r="Q383" s="6">
        <f>[1]Results!T115</f>
        <v>872.97935970000003</v>
      </c>
      <c r="R383" s="6">
        <f>[1]Results!U115</f>
        <v>868.95468589999996</v>
      </c>
      <c r="S383" s="6">
        <f>[1]Results!V115</f>
        <v>864.95267469999999</v>
      </c>
      <c r="T383" s="6">
        <f>[1]Results!W115</f>
        <v>860.97085479999998</v>
      </c>
      <c r="U383" s="6">
        <f>[1]Results!X115</f>
        <v>857.0076722</v>
      </c>
      <c r="V383" s="6">
        <f>[1]Results!Y115</f>
        <v>853.06211229999997</v>
      </c>
      <c r="W383" s="6">
        <f>[1]Results!Z115</f>
        <v>849.13343499999996</v>
      </c>
      <c r="X383" s="6">
        <f>[1]Results!AA115</f>
        <v>845.22075529999995</v>
      </c>
      <c r="Y383" s="6">
        <f>[1]Results!AB115</f>
        <v>841.32390169999996</v>
      </c>
      <c r="Z383" s="6">
        <f>[1]Results!AC115</f>
        <v>837.44263599999999</v>
      </c>
      <c r="AA383" s="6">
        <f>[1]Results!AD115</f>
        <v>833.57688470000005</v>
      </c>
      <c r="AB383" s="6">
        <f>[1]Results!AE115</f>
        <v>829.72650510000005</v>
      </c>
      <c r="AC383" s="6">
        <f>[1]Results!AF115</f>
        <v>825.89028929999995</v>
      </c>
      <c r="AD383" s="6">
        <f>[1]Results!AG115</f>
        <v>822.06795480000005</v>
      </c>
      <c r="AE383" s="6">
        <f>[1]Results!AH115</f>
        <v>818.25879090000001</v>
      </c>
      <c r="AF383" s="6">
        <f>[1]Results!AI115</f>
        <v>814.46213360000002</v>
      </c>
      <c r="AG383" s="6">
        <f>[1]Results!AJ115</f>
        <v>810.67743819999998</v>
      </c>
      <c r="AH383" s="6">
        <f>[1]Results!AK115</f>
        <v>806.90428080000004</v>
      </c>
      <c r="AI383" s="6">
        <f>[1]Results!AL115</f>
        <v>803.14232049999998</v>
      </c>
      <c r="AJ383" s="6">
        <f>[1]Results!AM115</f>
        <v>799.39124379999998</v>
      </c>
      <c r="AK383" s="6">
        <f>[1]Results!AN115</f>
        <v>795.65069640000002</v>
      </c>
      <c r="AL383" s="6">
        <f>[1]Results!AO115</f>
        <v>791.92020749999995</v>
      </c>
      <c r="AM383" s="6">
        <f>[1]Results!AP115</f>
        <v>788.19901749999997</v>
      </c>
      <c r="AN383" s="6">
        <f>[1]Results!AQ115</f>
        <v>784.48563249999995</v>
      </c>
      <c r="AO383" s="6">
        <f>[1]Results!AR115</f>
        <v>780.77792020000004</v>
      </c>
      <c r="AP383" s="6">
        <f>[1]Results!AS115</f>
        <v>777.07271170000001</v>
      </c>
      <c r="AQ383" s="6">
        <f>[1]Results!AT115</f>
        <v>773.36539800000003</v>
      </c>
      <c r="AR383" s="6">
        <f>[1]Results!AU115</f>
        <v>769.64918869999997</v>
      </c>
      <c r="AS383" s="6">
        <f>[1]Results!AV115</f>
        <v>765.91371690000005</v>
      </c>
      <c r="AT383" s="6">
        <f>[1]Results!AW115</f>
        <v>762.14226829999996</v>
      </c>
      <c r="AU383" s="6">
        <f>[1]Results!AX115</f>
        <v>758.30581329999995</v>
      </c>
      <c r="AV383" s="6">
        <f>[1]Results!AY115</f>
        <v>754.34881499999995</v>
      </c>
      <c r="AW383" s="6">
        <f>[1]Results!AZ115</f>
        <v>750.15083849999996</v>
      </c>
      <c r="AX383" s="6">
        <f>[1]Results!BA115</f>
        <v>745.40454669999997</v>
      </c>
      <c r="AY383" s="6">
        <f>[1]Results!BB115</f>
        <v>739.19333540000002</v>
      </c>
      <c r="AZ383" s="6">
        <f>[1]Results!BC115</f>
        <v>733.29079000000002</v>
      </c>
      <c r="BA383" s="6">
        <f>[1]Results!BD115</f>
        <v>728.22375050000005</v>
      </c>
      <c r="BB383" s="6">
        <f>[1]Results!BE115</f>
        <v>484.04968780000002</v>
      </c>
      <c r="BC383" s="6">
        <f>[1]Results!BF115</f>
        <v>477.39374570000001</v>
      </c>
      <c r="BD383" s="6">
        <f>[1]Results!BG115</f>
        <v>470.83057000000002</v>
      </c>
      <c r="BE383" s="6">
        <f>[1]Results!BH115</f>
        <v>464.35802790000002</v>
      </c>
      <c r="BF383" s="6">
        <f>[1]Results!BI115</f>
        <v>457.97382290000002</v>
      </c>
    </row>
    <row r="384" spans="1:58" x14ac:dyDescent="0.35">
      <c r="B384" t="s">
        <v>61</v>
      </c>
      <c r="C384" s="6">
        <f>[1]Results!F116</f>
        <v>878.79999729999997</v>
      </c>
      <c r="D384" s="6">
        <f>[1]Results!G116</f>
        <v>867.97061589999998</v>
      </c>
      <c r="E384" s="6">
        <f>[1]Results!H116</f>
        <v>857.1768472</v>
      </c>
      <c r="F384" s="6">
        <f>[1]Results!I116</f>
        <v>846.13862830000005</v>
      </c>
      <c r="G384" s="6">
        <f>[1]Results!J116</f>
        <v>834.45323389999999</v>
      </c>
      <c r="H384" s="6">
        <f>[1]Results!K116</f>
        <v>825.60425850000001</v>
      </c>
      <c r="I384" s="6">
        <f>[1]Results!L116</f>
        <v>818.66440060000002</v>
      </c>
      <c r="J384" s="6">
        <f>[1]Results!M116</f>
        <v>812.81113870000001</v>
      </c>
      <c r="K384" s="6">
        <f>[1]Results!N116</f>
        <v>807.55773569999997</v>
      </c>
      <c r="L384" s="6">
        <f>[1]Results!O116</f>
        <v>802.63670790000003</v>
      </c>
      <c r="M384" s="6">
        <f>[1]Results!P116</f>
        <v>797.90478380000002</v>
      </c>
      <c r="N384" s="6">
        <f>[1]Results!Q116</f>
        <v>793.28649600000006</v>
      </c>
      <c r="O384" s="6">
        <f>[1]Results!R116</f>
        <v>788.74109539999995</v>
      </c>
      <c r="P384" s="6">
        <f>[1]Results!S116</f>
        <v>784.24687610000001</v>
      </c>
      <c r="Q384" s="6">
        <f>[1]Results!T116</f>
        <v>779.79192390000003</v>
      </c>
      <c r="R384" s="6">
        <f>[1]Results!U116</f>
        <v>775.3694911</v>
      </c>
      <c r="S384" s="6">
        <f>[1]Results!V116</f>
        <v>770.97558909999998</v>
      </c>
      <c r="T384" s="6">
        <f>[1]Results!W116</f>
        <v>766.60774100000003</v>
      </c>
      <c r="U384" s="6">
        <f>[1]Results!X116</f>
        <v>762.26433959999997</v>
      </c>
      <c r="V384" s="6">
        <f>[1]Results!Y116</f>
        <v>757.94431650000001</v>
      </c>
      <c r="W384" s="6">
        <f>[1]Results!Z116</f>
        <v>753.64685669999994</v>
      </c>
      <c r="X384" s="6">
        <f>[1]Results!AA116</f>
        <v>749.37097089999997</v>
      </c>
      <c r="Y384" s="6">
        <f>[1]Results!AB116</f>
        <v>745.11649190000003</v>
      </c>
      <c r="Z384" s="6">
        <f>[1]Results!AC116</f>
        <v>740.8832969</v>
      </c>
      <c r="AA384" s="6">
        <f>[1]Results!AD116</f>
        <v>736.67150709999999</v>
      </c>
      <c r="AB384" s="6">
        <f>[1]Results!AE116</f>
        <v>732.4810665</v>
      </c>
      <c r="AC384" s="6">
        <f>[1]Results!AF116</f>
        <v>728.31058259999998</v>
      </c>
      <c r="AD384" s="6">
        <f>[1]Results!AG116</f>
        <v>724.15957209999999</v>
      </c>
      <c r="AE384" s="6">
        <f>[1]Results!AH116</f>
        <v>720.02720639999995</v>
      </c>
      <c r="AF384" s="6">
        <f>[1]Results!AI116</f>
        <v>715.91281370000002</v>
      </c>
      <c r="AG384" s="6">
        <f>[1]Results!AJ116</f>
        <v>711.81595089999996</v>
      </c>
      <c r="AH384" s="6">
        <f>[1]Results!AK116</f>
        <v>707.73638240000002</v>
      </c>
      <c r="AI384" s="6">
        <f>[1]Results!AL116</f>
        <v>703.67400510000004</v>
      </c>
      <c r="AJ384" s="6">
        <f>[1]Results!AM116</f>
        <v>699.62875780000002</v>
      </c>
      <c r="AK384" s="6">
        <f>[1]Results!AN116</f>
        <v>695.60052450000001</v>
      </c>
      <c r="AL384" s="6">
        <f>[1]Results!AO116</f>
        <v>691.58904129999996</v>
      </c>
      <c r="AM384" s="6">
        <f>[1]Results!AP116</f>
        <v>687.59368519999998</v>
      </c>
      <c r="AN384" s="6">
        <f>[1]Results!AQ116</f>
        <v>683.61298910000005</v>
      </c>
      <c r="AO384" s="6">
        <f>[1]Results!AR116</f>
        <v>679.64479449999999</v>
      </c>
      <c r="AP384" s="6">
        <f>[1]Results!AS116</f>
        <v>675.68592460000002</v>
      </c>
      <c r="AQ384" s="6">
        <f>[1]Results!AT116</f>
        <v>671.73182150000002</v>
      </c>
      <c r="AR384" s="6">
        <f>[1]Results!AU116</f>
        <v>667.77576950000002</v>
      </c>
      <c r="AS384" s="6">
        <f>[1]Results!AV116</f>
        <v>663.80723820000003</v>
      </c>
      <c r="AT384" s="6">
        <f>[1]Results!AW116</f>
        <v>659.80806229999996</v>
      </c>
      <c r="AU384" s="6">
        <f>[1]Results!AX116</f>
        <v>655.7422378</v>
      </c>
      <c r="AV384" s="6">
        <f>[1]Results!AY116</f>
        <v>651.5217341</v>
      </c>
      <c r="AW384" s="6">
        <f>[1]Results!AZ116</f>
        <v>646.84565020000002</v>
      </c>
      <c r="AX384" s="6">
        <f>[1]Results!BA116</f>
        <v>642.55219360000001</v>
      </c>
      <c r="AY384" s="6">
        <f>[1]Results!BB116</f>
        <v>638.55247480000003</v>
      </c>
      <c r="AZ384" s="6">
        <f>[1]Results!BC116</f>
        <v>634.73741500000006</v>
      </c>
      <c r="BA384" s="6">
        <f>[1]Results!BD116</f>
        <v>631.0352312</v>
      </c>
      <c r="BB384" s="6">
        <f>[1]Results!BE116</f>
        <v>627.43126419999999</v>
      </c>
      <c r="BC384" s="6">
        <f>[1]Results!BF116</f>
        <v>623.80247299999996</v>
      </c>
      <c r="BD384" s="6">
        <f>[1]Results!BG116</f>
        <v>620.1914491</v>
      </c>
      <c r="BE384" s="6">
        <f>[1]Results!BH116</f>
        <v>616.59806479999997</v>
      </c>
      <c r="BF384" s="6">
        <f>[1]Results!BI116</f>
        <v>613.02212169999996</v>
      </c>
    </row>
    <row r="385" spans="1:58" x14ac:dyDescent="0.35">
      <c r="B385" t="s">
        <v>62</v>
      </c>
      <c r="C385" s="6">
        <f>[1]Results!F117</f>
        <v>139.85209269999999</v>
      </c>
      <c r="D385" s="6">
        <f>[1]Results!G117</f>
        <v>137.95542610000001</v>
      </c>
      <c r="E385" s="6">
        <f>[1]Results!H117</f>
        <v>136.0868151</v>
      </c>
      <c r="F385" s="6">
        <f>[1]Results!I117</f>
        <v>134.2500221</v>
      </c>
      <c r="G385" s="6">
        <f>[1]Results!J117</f>
        <v>132.44730100000001</v>
      </c>
      <c r="H385" s="6">
        <f>[1]Results!K117</f>
        <v>130.6786276</v>
      </c>
      <c r="I385" s="6">
        <f>[1]Results!L117</f>
        <v>128.94239920000001</v>
      </c>
      <c r="J385" s="6">
        <f>[1]Results!M117</f>
        <v>127.23581470000001</v>
      </c>
      <c r="K385" s="6">
        <f>[1]Results!N117</f>
        <v>125.55580550000001</v>
      </c>
      <c r="L385" s="6">
        <f>[1]Results!O117</f>
        <v>123.8997037</v>
      </c>
      <c r="M385" s="6">
        <f>[1]Results!P117</f>
        <v>122.26555</v>
      </c>
      <c r="N385" s="6">
        <f>[1]Results!Q117</f>
        <v>120.6520087</v>
      </c>
      <c r="O385" s="6">
        <f>[1]Results!R117</f>
        <v>119.0581193</v>
      </c>
      <c r="P385" s="6">
        <f>[1]Results!S117</f>
        <v>117.4832194</v>
      </c>
      <c r="Q385" s="6">
        <f>[1]Results!T117</f>
        <v>115.9268713</v>
      </c>
      <c r="R385" s="6">
        <f>[1]Results!U117</f>
        <v>114.38879660000001</v>
      </c>
      <c r="S385" s="6">
        <f>[1]Results!V117</f>
        <v>112.8688291</v>
      </c>
      <c r="T385" s="6">
        <f>[1]Results!W117</f>
        <v>111.36688289999999</v>
      </c>
      <c r="U385" s="6">
        <f>[1]Results!X117</f>
        <v>109.88293109999999</v>
      </c>
      <c r="V385" s="6">
        <f>[1]Results!Y117</f>
        <v>108.4169891</v>
      </c>
      <c r="W385" s="6">
        <f>[1]Results!Z117</f>
        <v>106.96906989999999</v>
      </c>
      <c r="X385" s="6">
        <f>[1]Results!AA117</f>
        <v>105.5391838</v>
      </c>
      <c r="Y385" s="6">
        <f>[1]Results!AB117</f>
        <v>104.1273893</v>
      </c>
      <c r="Z385" s="6">
        <f>[1]Results!AC117</f>
        <v>102.7337536</v>
      </c>
      <c r="AA385" s="6">
        <f>[1]Results!AD117</f>
        <v>101.35832480000001</v>
      </c>
      <c r="AB385" s="6">
        <f>[1]Results!AE117</f>
        <v>100.00104330000001</v>
      </c>
      <c r="AC385" s="6">
        <f>[1]Results!AF117</f>
        <v>98.66173981</v>
      </c>
      <c r="AD385" s="6">
        <f>[1]Results!AG117</f>
        <v>97.34026849</v>
      </c>
      <c r="AE385" s="6">
        <f>[1]Results!AH117</f>
        <v>96.036500630000006</v>
      </c>
      <c r="AF385" s="6">
        <f>[1]Results!AI117</f>
        <v>94.750307100000001</v>
      </c>
      <c r="AG385" s="6">
        <f>[1]Results!AJ117</f>
        <v>93.481543139999999</v>
      </c>
      <c r="AH385" s="6">
        <f>[1]Results!AK117</f>
        <v>92.230042839999996</v>
      </c>
      <c r="AI385" s="6">
        <f>[1]Results!AL117</f>
        <v>90.995615380000004</v>
      </c>
      <c r="AJ385" s="6">
        <f>[1]Results!AM117</f>
        <v>89.778041900000005</v>
      </c>
      <c r="AK385" s="6">
        <f>[1]Results!AN117</f>
        <v>88.577074749999994</v>
      </c>
      <c r="AL385" s="6">
        <f>[1]Results!AO117</f>
        <v>87.392439679999995</v>
      </c>
      <c r="AM385" s="6">
        <f>[1]Results!AP117</f>
        <v>86.223828100000006</v>
      </c>
      <c r="AN385" s="6">
        <f>[1]Results!AQ117</f>
        <v>85.070897919999993</v>
      </c>
      <c r="AO385" s="6">
        <f>[1]Results!AR117</f>
        <v>83.93330057</v>
      </c>
      <c r="AP385" s="6">
        <f>[1]Results!AS117</f>
        <v>82.810697160000004</v>
      </c>
      <c r="AQ385" s="6">
        <f>[1]Results!AT117</f>
        <v>81.702766479999994</v>
      </c>
      <c r="AR385" s="6">
        <f>[1]Results!AU117</f>
        <v>80.609208899999999</v>
      </c>
      <c r="AS385" s="6">
        <f>[1]Results!AV117</f>
        <v>79.529748409999996</v>
      </c>
      <c r="AT385" s="6">
        <f>[1]Results!AW117</f>
        <v>78.464131359999996</v>
      </c>
      <c r="AU385" s="6">
        <f>[1]Results!AX117</f>
        <v>77.412120950000002</v>
      </c>
      <c r="AV385" s="6">
        <f>[1]Results!AY117</f>
        <v>76.373492130000002</v>
      </c>
      <c r="AW385" s="6">
        <f>[1]Results!AZ117</f>
        <v>75.348025789999994</v>
      </c>
      <c r="AX385" s="6">
        <f>[1]Results!BA117</f>
        <v>74.335488909999995</v>
      </c>
      <c r="AY385" s="6">
        <f>[1]Results!BB117</f>
        <v>73.335748530000004</v>
      </c>
      <c r="AZ385" s="6">
        <f>[1]Results!BC117</f>
        <v>72.348674110000005</v>
      </c>
      <c r="BA385" s="6">
        <f>[1]Results!BD117</f>
        <v>71.374126410000002</v>
      </c>
      <c r="BB385" s="6">
        <f>[1]Results!BE117</f>
        <v>71.569973329999996</v>
      </c>
      <c r="BC385" s="6">
        <f>[1]Results!BF117</f>
        <v>70.642954649999993</v>
      </c>
      <c r="BD385" s="6">
        <f>[1]Results!BG117</f>
        <v>69.727825420000002</v>
      </c>
      <c r="BE385" s="6">
        <f>[1]Results!BH117</f>
        <v>68.824426950000003</v>
      </c>
      <c r="BF385" s="6">
        <f>[1]Results!BI117</f>
        <v>67.932590059999995</v>
      </c>
    </row>
    <row r="386" spans="1:58" x14ac:dyDescent="0.35">
      <c r="B386" t="s">
        <v>63</v>
      </c>
      <c r="C386" s="6">
        <f>[1]Results!F118</f>
        <v>3.874567114</v>
      </c>
      <c r="D386" s="6">
        <f>[1]Results!G118</f>
        <v>3.7242339809999998</v>
      </c>
      <c r="E386" s="6">
        <f>[1]Results!H118</f>
        <v>3.5803045739999999</v>
      </c>
      <c r="F386" s="6">
        <f>[1]Results!I118</f>
        <v>3.442797213</v>
      </c>
      <c r="G386" s="6">
        <f>[1]Results!J118</f>
        <v>3.3116253850000001</v>
      </c>
      <c r="H386" s="6">
        <f>[1]Results!K118</f>
        <v>3.186547204</v>
      </c>
      <c r="I386" s="6">
        <f>[1]Results!L118</f>
        <v>3.0671962050000001</v>
      </c>
      <c r="J386" s="6">
        <f>[1]Results!M118</f>
        <v>2.9531470999999998</v>
      </c>
      <c r="K386" s="6">
        <f>[1]Results!N118</f>
        <v>2.843983218</v>
      </c>
      <c r="L386" s="6">
        <f>[1]Results!O118</f>
        <v>2.7393390059999998</v>
      </c>
      <c r="M386" s="6">
        <f>[1]Results!P118</f>
        <v>2.6389157519999999</v>
      </c>
      <c r="N386" s="6">
        <f>[1]Results!Q118</f>
        <v>2.5424707350000002</v>
      </c>
      <c r="O386" s="6">
        <f>[1]Results!R118</f>
        <v>2.4497966799999999</v>
      </c>
      <c r="P386" s="6">
        <f>[1]Results!S118</f>
        <v>2.3607140210000002</v>
      </c>
      <c r="Q386" s="6">
        <f>[1]Results!T118</f>
        <v>2.2750643959999999</v>
      </c>
      <c r="R386" s="6">
        <f>[1]Results!U118</f>
        <v>2.1927053089999999</v>
      </c>
      <c r="S386" s="6">
        <f>[1]Results!V118</f>
        <v>2.113506288</v>
      </c>
      <c r="T386" s="6">
        <f>[1]Results!W118</f>
        <v>2.0373462839999998</v>
      </c>
      <c r="U386" s="6">
        <f>[1]Results!X118</f>
        <v>1.9641118689999999</v>
      </c>
      <c r="V386" s="6">
        <f>[1]Results!Y118</f>
        <v>1.893695881</v>
      </c>
      <c r="W386" s="6">
        <f>[1]Results!Z118</f>
        <v>1.8259947059999999</v>
      </c>
      <c r="X386" s="6">
        <f>[1]Results!AA118</f>
        <v>1.7609081680000001</v>
      </c>
      <c r="Y386" s="6">
        <f>[1]Results!AB118</f>
        <v>1.698342016</v>
      </c>
      <c r="Z386" s="6">
        <f>[1]Results!AC118</f>
        <v>1.638205935</v>
      </c>
      <c r="AA386" s="6">
        <f>[1]Results!AD118</f>
        <v>1.5804121010000001</v>
      </c>
      <c r="AB386" s="6">
        <f>[1]Results!AE118</f>
        <v>1.5248709760000001</v>
      </c>
      <c r="AC386" s="6">
        <f>[1]Results!AF118</f>
        <v>1.471491307</v>
      </c>
      <c r="AD386" s="6">
        <f>[1]Results!AG118</f>
        <v>1.420186401</v>
      </c>
      <c r="AE386" s="6">
        <f>[1]Results!AH118</f>
        <v>1.3708739379999999</v>
      </c>
      <c r="AF386" s="6">
        <f>[1]Results!AI118</f>
        <v>1.323475202</v>
      </c>
      <c r="AG386" s="6">
        <f>[1]Results!AJ118</f>
        <v>1.277914422</v>
      </c>
      <c r="AH386" s="6">
        <f>[1]Results!AK118</f>
        <v>1.234118461</v>
      </c>
      <c r="AI386" s="6">
        <f>[1]Results!AL118</f>
        <v>1.192016446</v>
      </c>
      <c r="AJ386" s="6">
        <f>[1]Results!AM118</f>
        <v>1.151539528</v>
      </c>
      <c r="AK386" s="6">
        <f>[1]Results!AN118</f>
        <v>1.112620774</v>
      </c>
      <c r="AL386" s="6">
        <f>[1]Results!AO118</f>
        <v>1.0751951799999999</v>
      </c>
      <c r="AM386" s="6">
        <f>[1]Results!AP118</f>
        <v>1.039199301</v>
      </c>
      <c r="AN386" s="6">
        <f>[1]Results!AQ118</f>
        <v>1.0045712040000001</v>
      </c>
      <c r="AO386" s="6">
        <f>[1]Results!AR118</f>
        <v>0.97125136069999995</v>
      </c>
      <c r="AP386" s="6">
        <f>[1]Results!AS118</f>
        <v>0.93918311929999998</v>
      </c>
      <c r="AQ386" s="6">
        <f>[1]Results!AT118</f>
        <v>0.90831284820000002</v>
      </c>
      <c r="AR386" s="6">
        <f>[1]Results!AU118</f>
        <v>0.87858991109999995</v>
      </c>
      <c r="AS386" s="6">
        <f>[1]Results!AV118</f>
        <v>0.84996657119999997</v>
      </c>
      <c r="AT386" s="6">
        <f>[1]Results!AW118</f>
        <v>0.82239779660000001</v>
      </c>
      <c r="AU386" s="6">
        <f>[1]Results!AX118</f>
        <v>0.79584096360000001</v>
      </c>
      <c r="AV386" s="6">
        <f>[1]Results!AY118</f>
        <v>0.7702556223</v>
      </c>
      <c r="AW386" s="6">
        <f>[1]Results!AZ118</f>
        <v>0.74560335899999997</v>
      </c>
      <c r="AX386" s="6">
        <f>[1]Results!BA118</f>
        <v>0.72184771530000003</v>
      </c>
      <c r="AY386" s="6">
        <f>[1]Results!BB118</f>
        <v>0.69895407129999998</v>
      </c>
      <c r="AZ386" s="6">
        <f>[1]Results!BC118</f>
        <v>0.67688945960000002</v>
      </c>
      <c r="BA386" s="6">
        <f>[1]Results!BD118</f>
        <v>0.65562223509999995</v>
      </c>
      <c r="BB386" s="6">
        <f>[1]Results!BE118</f>
        <v>0.67613615360000001</v>
      </c>
      <c r="BC386" s="6">
        <f>[1]Results!BF118</f>
        <v>0.65614706970000003</v>
      </c>
      <c r="BD386" s="6">
        <f>[1]Results!BG118</f>
        <v>0.6368516139</v>
      </c>
      <c r="BE386" s="6">
        <f>[1]Results!BH118</f>
        <v>0.61822360580000002</v>
      </c>
      <c r="BF386" s="6">
        <f>[1]Results!BI118</f>
        <v>0.6002375418</v>
      </c>
    </row>
    <row r="388" spans="1:58" x14ac:dyDescent="0.35">
      <c r="A388" s="12" t="s">
        <v>92</v>
      </c>
      <c r="B388" s="6" t="str">
        <f>[1]Emissions!A830</f>
        <v>ems_ci_co2_sagr_2</v>
      </c>
      <c r="C388" s="6">
        <f>[1]Emissions!B830</f>
        <v>13.948717869999999</v>
      </c>
      <c r="D388" s="6">
        <f>[1]Emissions!C830</f>
        <v>13.92661425</v>
      </c>
      <c r="E388" s="6">
        <f>[1]Emissions!D830</f>
        <v>13.955502490000001</v>
      </c>
      <c r="F388" s="6">
        <f>[1]Emissions!E830</f>
        <v>14.02537425</v>
      </c>
      <c r="G388" s="6">
        <f>[1]Emissions!F830</f>
        <v>14.13360441</v>
      </c>
      <c r="H388" s="6">
        <f>[1]Emissions!G830</f>
        <v>14.276324860000001</v>
      </c>
      <c r="I388" s="6">
        <f>[1]Emissions!H830</f>
        <v>14.44024958</v>
      </c>
      <c r="J388" s="6">
        <f>[1]Emissions!I830</f>
        <v>14.623904080000001</v>
      </c>
      <c r="K388" s="6">
        <f>[1]Emissions!J830</f>
        <v>14.82407989</v>
      </c>
      <c r="L388" s="6">
        <f>[1]Emissions!K830</f>
        <v>15.03765576</v>
      </c>
      <c r="M388" s="6">
        <f>[1]Emissions!L830</f>
        <v>15.275679950000001</v>
      </c>
      <c r="N388" s="6">
        <f>[1]Emissions!M830</f>
        <v>15.51513841</v>
      </c>
      <c r="O388" s="6">
        <f>[1]Emissions!N830</f>
        <v>15.75861183</v>
      </c>
      <c r="P388" s="6">
        <f>[1]Emissions!O830</f>
        <v>16.00568999</v>
      </c>
      <c r="Q388" s="6">
        <f>[1]Emissions!P830</f>
        <v>16.255611510000001</v>
      </c>
      <c r="R388" s="6">
        <f>[1]Emissions!Q830</f>
        <v>16.50778729</v>
      </c>
      <c r="S388" s="6">
        <f>[1]Emissions!R830</f>
        <v>16.760551329999998</v>
      </c>
      <c r="T388" s="6">
        <f>[1]Emissions!S830</f>
        <v>17.01452029</v>
      </c>
      <c r="U388" s="6">
        <f>[1]Emissions!T830</f>
        <v>17.269789750000001</v>
      </c>
      <c r="V388" s="6">
        <f>[1]Emissions!U830</f>
        <v>17.52643733</v>
      </c>
      <c r="W388" s="6">
        <f>[1]Emissions!V830</f>
        <v>17.774458840000001</v>
      </c>
      <c r="X388" s="6">
        <f>[1]Emissions!W830</f>
        <v>18.02839616</v>
      </c>
      <c r="Y388" s="6">
        <f>[1]Emissions!X830</f>
        <v>18.285869770000001</v>
      </c>
      <c r="Z388" s="6">
        <f>[1]Emissions!Y830</f>
        <v>18.546485499999999</v>
      </c>
      <c r="AA388" s="6">
        <f>[1]Emissions!Z830</f>
        <v>18.810258569999998</v>
      </c>
      <c r="AB388" s="6">
        <f>[1]Emissions!AA830</f>
        <v>19.048200120000001</v>
      </c>
      <c r="AC388" s="6">
        <f>[1]Emissions!AB830</f>
        <v>19.288307710000002</v>
      </c>
      <c r="AD388" s="6">
        <f>[1]Emissions!AC830</f>
        <v>19.52864658</v>
      </c>
      <c r="AE388" s="6">
        <f>[1]Emissions!AD830</f>
        <v>19.76977608</v>
      </c>
      <c r="AF388" s="6">
        <f>[1]Emissions!AE830</f>
        <v>20.012665859999998</v>
      </c>
      <c r="AG388" s="6">
        <f>[1]Emissions!AF830</f>
        <v>20.258189049999999</v>
      </c>
      <c r="AH388" s="6">
        <f>[1]Emissions!AG830</f>
        <v>20.50731231</v>
      </c>
      <c r="AI388" s="6">
        <f>[1]Emissions!AH830</f>
        <v>20.76034379</v>
      </c>
      <c r="AJ388" s="6">
        <f>[1]Emissions!AI830</f>
        <v>21.017578220000001</v>
      </c>
      <c r="AK388" s="6">
        <f>[1]Emissions!AJ830</f>
        <v>21.27921461</v>
      </c>
      <c r="AL388" s="6">
        <f>[1]Emissions!AK830</f>
        <v>21.545370590000001</v>
      </c>
      <c r="AM388" s="6">
        <f>[1]Emissions!AL830</f>
        <v>21.811718079999999</v>
      </c>
      <c r="AN388" s="6">
        <f>[1]Emissions!AM830</f>
        <v>22.07947927</v>
      </c>
      <c r="AO388" s="6">
        <f>[1]Emissions!AN830</f>
        <v>22.34943552</v>
      </c>
      <c r="AP388" s="6">
        <f>[1]Emissions!AO830</f>
        <v>22.622159960000001</v>
      </c>
      <c r="AQ388" s="6">
        <f>[1]Emissions!AP830</f>
        <v>22.89811791</v>
      </c>
      <c r="AR388" s="6">
        <f>[1]Emissions!AQ830</f>
        <v>23.178095070000001</v>
      </c>
      <c r="AS388" s="6">
        <f>[1]Emissions!AR830</f>
        <v>23.462133340000001</v>
      </c>
      <c r="AT388" s="6">
        <f>[1]Emissions!AS830</f>
        <v>23.75039086</v>
      </c>
      <c r="AU388" s="6">
        <f>[1]Emissions!AT830</f>
        <v>24.042987</v>
      </c>
      <c r="AV388" s="6">
        <f>[1]Emissions!AU830</f>
        <v>24.33998996</v>
      </c>
      <c r="AW388" s="6">
        <f>[1]Emissions!AV830</f>
        <v>24.643433000000002</v>
      </c>
      <c r="AX388" s="6">
        <f>[1]Emissions!AW830</f>
        <v>24.952222089999999</v>
      </c>
      <c r="AY388" s="6">
        <f>[1]Emissions!AX830</f>
        <v>25.266062760000001</v>
      </c>
      <c r="AZ388" s="6">
        <f>[1]Emissions!AY830</f>
        <v>25.584794550000002</v>
      </c>
      <c r="BA388" s="6">
        <f>[1]Emissions!AZ830</f>
        <v>25.908286820000001</v>
      </c>
      <c r="BB388" s="6">
        <f>[1]Emissions!BA830</f>
        <v>32.314755179999999</v>
      </c>
      <c r="BC388" s="6">
        <f>[1]Emissions!BB830</f>
        <v>32.851295200000003</v>
      </c>
      <c r="BD388" s="6">
        <f>[1]Emissions!BC830</f>
        <v>33.39604851</v>
      </c>
      <c r="BE388" s="6">
        <f>[1]Emissions!BD830</f>
        <v>33.949292190000001</v>
      </c>
      <c r="BF388" s="6">
        <f>[1]Emissions!BE830</f>
        <v>34.511300030000001</v>
      </c>
    </row>
    <row r="389" spans="1:58" x14ac:dyDescent="0.35">
      <c r="A389" t="s">
        <v>39</v>
      </c>
      <c r="B389" s="6" t="str">
        <f>[1]Emissions!A832</f>
        <v>ems_ci_co2_sfor_2</v>
      </c>
      <c r="C389" s="6">
        <f>[1]Emissions!B832</f>
        <v>0.53884936920000004</v>
      </c>
      <c r="D389" s="6">
        <f>[1]Emissions!C832</f>
        <v>0.53584159769999995</v>
      </c>
      <c r="E389" s="6">
        <f>[1]Emissions!D832</f>
        <v>0.53175909499999996</v>
      </c>
      <c r="F389" s="6">
        <f>[1]Emissions!E832</f>
        <v>0.52791534500000004</v>
      </c>
      <c r="G389" s="6">
        <f>[1]Emissions!F832</f>
        <v>0.52477778980000001</v>
      </c>
      <c r="H389" s="6">
        <f>[1]Emissions!G832</f>
        <v>0.52238026049999997</v>
      </c>
      <c r="I389" s="6">
        <f>[1]Emissions!H832</f>
        <v>0.52071528479999996</v>
      </c>
      <c r="J389" s="6">
        <f>[1]Emissions!I832</f>
        <v>0.51979038330000005</v>
      </c>
      <c r="K389" s="6">
        <f>[1]Emissions!J832</f>
        <v>0.51950122180000002</v>
      </c>
      <c r="L389" s="6">
        <f>[1]Emissions!K832</f>
        <v>0.51970687800000004</v>
      </c>
      <c r="M389" s="6">
        <f>[1]Emissions!L832</f>
        <v>0.52062452550000005</v>
      </c>
      <c r="N389" s="6">
        <f>[1]Emissions!M832</f>
        <v>0.52160185010000004</v>
      </c>
      <c r="O389" s="6">
        <f>[1]Emissions!N832</f>
        <v>0.52267393299999998</v>
      </c>
      <c r="P389" s="6">
        <f>[1]Emissions!O832</f>
        <v>0.52383805019999996</v>
      </c>
      <c r="Q389" s="6">
        <f>[1]Emissions!P832</f>
        <v>0.52507802459999997</v>
      </c>
      <c r="R389" s="6">
        <f>[1]Emissions!Q832</f>
        <v>0.52637633520000005</v>
      </c>
      <c r="S389" s="6">
        <f>[1]Emissions!R832</f>
        <v>0.52769890740000003</v>
      </c>
      <c r="T389" s="6">
        <f>[1]Emissions!S832</f>
        <v>0.52904722780000002</v>
      </c>
      <c r="U389" s="6">
        <f>[1]Emissions!T832</f>
        <v>0.53041373700000005</v>
      </c>
      <c r="V389" s="6">
        <f>[1]Emissions!U832</f>
        <v>0.53179405550000003</v>
      </c>
      <c r="W389" s="6">
        <f>[1]Emissions!V832</f>
        <v>0.53294689650000004</v>
      </c>
      <c r="X389" s="6">
        <f>[1]Emissions!W832</f>
        <v>0.53424117650000003</v>
      </c>
      <c r="Y389" s="6">
        <f>[1]Emissions!X832</f>
        <v>0.53561038530000005</v>
      </c>
      <c r="Z389" s="6">
        <f>[1]Emissions!Y832</f>
        <v>0.53702498779999996</v>
      </c>
      <c r="AA389" s="6">
        <f>[1]Emissions!Z832</f>
        <v>0.53847495980000004</v>
      </c>
      <c r="AB389" s="6">
        <f>[1]Emissions!AA832</f>
        <v>0.53929018439999998</v>
      </c>
      <c r="AC389" s="6">
        <f>[1]Emissions!AB832</f>
        <v>0.54018947819999996</v>
      </c>
      <c r="AD389" s="6">
        <f>[1]Emissions!AC832</f>
        <v>0.54114134270000003</v>
      </c>
      <c r="AE389" s="6">
        <f>[1]Emissions!AD832</f>
        <v>0.54213194170000001</v>
      </c>
      <c r="AF389" s="6">
        <f>[1]Emissions!AE832</f>
        <v>0.54315852099999995</v>
      </c>
      <c r="AG389" s="6">
        <f>[1]Emissions!AF832</f>
        <v>0.54422288110000006</v>
      </c>
      <c r="AH389" s="6">
        <f>[1]Emissions!AG832</f>
        <v>0.54533261150000001</v>
      </c>
      <c r="AI389" s="6">
        <f>[1]Emissions!AH832</f>
        <v>0.54648831539999998</v>
      </c>
      <c r="AJ389" s="6">
        <f>[1]Emissions!AI832</f>
        <v>0.54769249080000004</v>
      </c>
      <c r="AK389" s="6">
        <f>[1]Emissions!AJ832</f>
        <v>0.54894729060000003</v>
      </c>
      <c r="AL389" s="6">
        <f>[1]Emissions!AK832</f>
        <v>0.55025414979999998</v>
      </c>
      <c r="AM389" s="6">
        <f>[1]Emissions!AL832</f>
        <v>0.55150157200000005</v>
      </c>
      <c r="AN389" s="6">
        <f>[1]Emissions!AM832</f>
        <v>0.55274288739999999</v>
      </c>
      <c r="AO389" s="6">
        <f>[1]Emissions!AN832</f>
        <v>0.55400773410000004</v>
      </c>
      <c r="AP389" s="6">
        <f>[1]Emissions!AO832</f>
        <v>0.55530883819999999</v>
      </c>
      <c r="AQ389" s="6">
        <f>[1]Emissions!AP832</f>
        <v>0.55665100950000002</v>
      </c>
      <c r="AR389" s="6">
        <f>[1]Emissions!AQ832</f>
        <v>0.55804169979999996</v>
      </c>
      <c r="AS389" s="6">
        <f>[1]Emissions!AR832</f>
        <v>0.55947716049999996</v>
      </c>
      <c r="AT389" s="6">
        <f>[1]Emissions!AS832</f>
        <v>0.5609567486</v>
      </c>
      <c r="AU389" s="6">
        <f>[1]Emissions!AT832</f>
        <v>0.56247952400000001</v>
      </c>
      <c r="AV389" s="6">
        <f>[1]Emissions!AU832</f>
        <v>0.5640448683</v>
      </c>
      <c r="AW389" s="6">
        <f>[1]Emissions!AV832</f>
        <v>0.5656848995</v>
      </c>
      <c r="AX389" s="6">
        <f>[1]Emissions!AW832</f>
        <v>0.56737868540000003</v>
      </c>
      <c r="AY389" s="6">
        <f>[1]Emissions!AX832</f>
        <v>0.56912016949999999</v>
      </c>
      <c r="AZ389" s="6">
        <f>[1]Emissions!AY832</f>
        <v>0.57090677349999996</v>
      </c>
      <c r="BA389" s="6">
        <f>[1]Emissions!AZ832</f>
        <v>0.57273695120000001</v>
      </c>
      <c r="BB389" s="6">
        <f>[1]Emissions!BA832</f>
        <v>0.66328333900000003</v>
      </c>
      <c r="BC389" s="6">
        <f>[1]Emissions!BB832</f>
        <v>0.66823135369999997</v>
      </c>
      <c r="BD389" s="6">
        <f>[1]Emissions!BC832</f>
        <v>0.67327790379999997</v>
      </c>
      <c r="BE389" s="6">
        <f>[1]Emissions!BD832</f>
        <v>0.67842593929999995</v>
      </c>
      <c r="BF389" s="6">
        <f>[1]Emissions!BE832</f>
        <v>0.68367935170000005</v>
      </c>
    </row>
    <row r="390" spans="1:58" x14ac:dyDescent="0.35">
      <c r="B390" s="6" t="str">
        <f>[1]Emissions!A834</f>
        <v>ems_ci_co2_sfoo_2</v>
      </c>
      <c r="C390" s="6">
        <f>[1]Emissions!B834</f>
        <v>8.5972125100000003</v>
      </c>
      <c r="D390" s="6">
        <f>[1]Emissions!C834</f>
        <v>8.5904437199999997</v>
      </c>
      <c r="E390" s="6">
        <f>[1]Emissions!D834</f>
        <v>8.6059010580000006</v>
      </c>
      <c r="F390" s="6">
        <f>[1]Emissions!E834</f>
        <v>8.6444342009999993</v>
      </c>
      <c r="G390" s="6">
        <f>[1]Emissions!F834</f>
        <v>8.7075593990000009</v>
      </c>
      <c r="H390" s="6">
        <f>[1]Emissions!G834</f>
        <v>8.7941018320000008</v>
      </c>
      <c r="I390" s="6">
        <f>[1]Emissions!H834</f>
        <v>8.8962065839999998</v>
      </c>
      <c r="J390" s="6">
        <f>[1]Emissions!I834</f>
        <v>9.0125039109999996</v>
      </c>
      <c r="K390" s="6">
        <f>[1]Emissions!J834</f>
        <v>9.1406342929999997</v>
      </c>
      <c r="L390" s="6">
        <f>[1]Emissions!K834</f>
        <v>9.2783562879999995</v>
      </c>
      <c r="M390" s="6">
        <f>[1]Emissions!L834</f>
        <v>9.4321147130000007</v>
      </c>
      <c r="N390" s="6">
        <f>[1]Emissions!M834</f>
        <v>9.588212854</v>
      </c>
      <c r="O390" s="6">
        <f>[1]Emissions!N834</f>
        <v>9.7475216729999996</v>
      </c>
      <c r="P390" s="6">
        <f>[1]Emissions!O834</f>
        <v>9.9094233379999999</v>
      </c>
      <c r="Q390" s="6">
        <f>[1]Emissions!P834</f>
        <v>10.073224809999999</v>
      </c>
      <c r="R390" s="6">
        <f>[1]Emissions!Q834</f>
        <v>10.23839834</v>
      </c>
      <c r="S390" s="6">
        <f>[1]Emissions!R834</f>
        <v>10.403904280000001</v>
      </c>
      <c r="T390" s="6">
        <f>[1]Emissions!S834</f>
        <v>10.56986478</v>
      </c>
      <c r="U390" s="6">
        <f>[1]Emissions!T834</f>
        <v>10.736216049999999</v>
      </c>
      <c r="V390" s="6">
        <f>[1]Emissions!U834</f>
        <v>10.902940770000001</v>
      </c>
      <c r="W390" s="6">
        <f>[1]Emissions!V834</f>
        <v>11.06386416</v>
      </c>
      <c r="X390" s="6">
        <f>[1]Emissions!W834</f>
        <v>11.22755624</v>
      </c>
      <c r="Y390" s="6">
        <f>[1]Emissions!X834</f>
        <v>11.392811569999999</v>
      </c>
      <c r="Z390" s="6">
        <f>[1]Emissions!Y834</f>
        <v>11.55949781</v>
      </c>
      <c r="AA390" s="6">
        <f>[1]Emissions!Z834</f>
        <v>11.727677630000001</v>
      </c>
      <c r="AB390" s="6">
        <f>[1]Emissions!AA834</f>
        <v>11.879559970000001</v>
      </c>
      <c r="AC390" s="6">
        <f>[1]Emissions!AB834</f>
        <v>12.03139812</v>
      </c>
      <c r="AD390" s="6">
        <f>[1]Emissions!AC834</f>
        <v>12.18237646</v>
      </c>
      <c r="AE390" s="6">
        <f>[1]Emissions!AD834</f>
        <v>12.3330626</v>
      </c>
      <c r="AF390" s="6">
        <f>[1]Emissions!AE834</f>
        <v>12.484211370000001</v>
      </c>
      <c r="AG390" s="6">
        <f>[1]Emissions!AF834</f>
        <v>12.636488480000001</v>
      </c>
      <c r="AH390" s="6">
        <f>[1]Emissions!AG834</f>
        <v>12.790573910000001</v>
      </c>
      <c r="AI390" s="6">
        <f>[1]Emissions!AH834</f>
        <v>12.94678856</v>
      </c>
      <c r="AJ390" s="6">
        <f>[1]Emissions!AI834</f>
        <v>13.10540831</v>
      </c>
      <c r="AK390" s="6">
        <f>[1]Emissions!AJ834</f>
        <v>13.266629959999999</v>
      </c>
      <c r="AL390" s="6">
        <f>[1]Emissions!AK834</f>
        <v>13.430585929999999</v>
      </c>
      <c r="AM390" s="6">
        <f>[1]Emissions!AL834</f>
        <v>13.594429979999999</v>
      </c>
      <c r="AN390" s="6">
        <f>[1]Emissions!AM834</f>
        <v>13.759017569999999</v>
      </c>
      <c r="AO390" s="6">
        <f>[1]Emissions!AN834</f>
        <v>13.924869019999999</v>
      </c>
      <c r="AP390" s="6">
        <f>[1]Emissions!AO834</f>
        <v>14.09236267</v>
      </c>
      <c r="AQ390" s="6">
        <f>[1]Emissions!AP834</f>
        <v>14.26180987</v>
      </c>
      <c r="AR390" s="6">
        <f>[1]Emissions!AQ834</f>
        <v>14.433680839999999</v>
      </c>
      <c r="AS390" s="6">
        <f>[1]Emissions!AR834</f>
        <v>14.608069540000001</v>
      </c>
      <c r="AT390" s="6">
        <f>[1]Emissions!AS834</f>
        <v>14.78510384</v>
      </c>
      <c r="AU390" s="6">
        <f>[1]Emissions!AT834</f>
        <v>14.9648732</v>
      </c>
      <c r="AV390" s="6">
        <f>[1]Emissions!AU834</f>
        <v>15.14742903</v>
      </c>
      <c r="AW390" s="6">
        <f>[1]Emissions!AV834</f>
        <v>15.33389865</v>
      </c>
      <c r="AX390" s="6">
        <f>[1]Emissions!AW834</f>
        <v>15.52378481</v>
      </c>
      <c r="AY390" s="6">
        <f>[1]Emissions!AX834</f>
        <v>15.71694671</v>
      </c>
      <c r="AZ390" s="6">
        <f>[1]Emissions!AY834</f>
        <v>15.913279559999999</v>
      </c>
      <c r="BA390" s="6">
        <f>[1]Emissions!AZ834</f>
        <v>16.112683789999998</v>
      </c>
      <c r="BB390" s="6">
        <f>[1]Emissions!BA834</f>
        <v>19.880422360000001</v>
      </c>
      <c r="BC390" s="6">
        <f>[1]Emissions!BB834</f>
        <v>20.200756160000001</v>
      </c>
      <c r="BD390" s="6">
        <f>[1]Emissions!BC834</f>
        <v>20.52564692</v>
      </c>
      <c r="BE390" s="6">
        <f>[1]Emissions!BD834</f>
        <v>20.855267479999998</v>
      </c>
      <c r="BF390" s="6">
        <f>[1]Emissions!BE834</f>
        <v>21.189792629999999</v>
      </c>
    </row>
    <row r="391" spans="1:58" x14ac:dyDescent="0.35">
      <c r="B391" s="6" t="str">
        <f>[1]Emissions!A836</f>
        <v>ems_ci_co2_sveh_2</v>
      </c>
      <c r="C391" s="6">
        <f>[1]Emissions!B836</f>
        <v>1.0705020080000001</v>
      </c>
      <c r="D391" s="6">
        <f>[1]Emissions!C836</f>
        <v>1.058587583</v>
      </c>
      <c r="E391" s="6">
        <f>[1]Emissions!D836</f>
        <v>1.0538426190000001</v>
      </c>
      <c r="F391" s="6">
        <f>[1]Emissions!E836</f>
        <v>1.054745869</v>
      </c>
      <c r="G391" s="6">
        <f>[1]Emissions!F836</f>
        <v>1.0624759969999999</v>
      </c>
      <c r="H391" s="6">
        <f>[1]Emissions!G836</f>
        <v>1.0771549039999999</v>
      </c>
      <c r="I391" s="6">
        <f>[1]Emissions!H836</f>
        <v>1.0969196510000001</v>
      </c>
      <c r="J391" s="6">
        <f>[1]Emissions!I836</f>
        <v>1.1212050659999999</v>
      </c>
      <c r="K391" s="6">
        <f>[1]Emissions!J836</f>
        <v>1.1488777699999999</v>
      </c>
      <c r="L391" s="6">
        <f>[1]Emissions!K836</f>
        <v>1.1788771419999999</v>
      </c>
      <c r="M391" s="6">
        <f>[1]Emissions!L836</f>
        <v>1.212118378</v>
      </c>
      <c r="N391" s="6">
        <f>[1]Emissions!M836</f>
        <v>1.244659564</v>
      </c>
      <c r="O391" s="6">
        <f>[1]Emissions!N836</f>
        <v>1.276913822</v>
      </c>
      <c r="P391" s="6">
        <f>[1]Emissions!O836</f>
        <v>1.308449848</v>
      </c>
      <c r="Q391" s="6">
        <f>[1]Emissions!P836</f>
        <v>1.338837383</v>
      </c>
      <c r="R391" s="6">
        <f>[1]Emissions!Q836</f>
        <v>1.367745086</v>
      </c>
      <c r="S391" s="6">
        <f>[1]Emissions!R836</f>
        <v>1.3946645630000001</v>
      </c>
      <c r="T391" s="6">
        <f>[1]Emissions!S836</f>
        <v>1.4196370009999999</v>
      </c>
      <c r="U391" s="6">
        <f>[1]Emissions!T836</f>
        <v>1.442652091</v>
      </c>
      <c r="V391" s="6">
        <f>[1]Emissions!U836</f>
        <v>1.463772887</v>
      </c>
      <c r="W391" s="6">
        <f>[1]Emissions!V836</f>
        <v>1.4817098639999999</v>
      </c>
      <c r="X391" s="6">
        <f>[1]Emissions!W836</f>
        <v>1.498975001</v>
      </c>
      <c r="Y391" s="6">
        <f>[1]Emissions!X836</f>
        <v>1.5150500259999999</v>
      </c>
      <c r="Z391" s="6">
        <f>[1]Emissions!Y836</f>
        <v>1.5300942909999999</v>
      </c>
      <c r="AA391" s="6">
        <f>[1]Emissions!Z836</f>
        <v>1.5443451429999999</v>
      </c>
      <c r="AB391" s="6">
        <f>[1]Emissions!AA836</f>
        <v>1.5540262069999999</v>
      </c>
      <c r="AC391" s="6">
        <f>[1]Emissions!AB836</f>
        <v>1.5641691719999999</v>
      </c>
      <c r="AD391" s="6">
        <f>[1]Emissions!AC836</f>
        <v>1.5740072510000001</v>
      </c>
      <c r="AE391" s="6">
        <f>[1]Emissions!AD836</f>
        <v>1.5837194960000001</v>
      </c>
      <c r="AF391" s="6">
        <f>[1]Emissions!AE836</f>
        <v>1.5935701440000001</v>
      </c>
      <c r="AG391" s="6">
        <f>[1]Emissions!AF836</f>
        <v>1.60379402</v>
      </c>
      <c r="AH391" s="6">
        <f>[1]Emissions!AG836</f>
        <v>1.614647213</v>
      </c>
      <c r="AI391" s="6">
        <f>[1]Emissions!AH836</f>
        <v>1.6262481010000001</v>
      </c>
      <c r="AJ391" s="6">
        <f>[1]Emissions!AI836</f>
        <v>1.63871192</v>
      </c>
      <c r="AK391" s="6">
        <f>[1]Emissions!AJ836</f>
        <v>1.652121575</v>
      </c>
      <c r="AL391" s="6">
        <f>[1]Emissions!AK836</f>
        <v>1.6665275509999999</v>
      </c>
      <c r="AM391" s="6">
        <f>[1]Emissions!AL836</f>
        <v>1.681568341</v>
      </c>
      <c r="AN391" s="6">
        <f>[1]Emissions!AM836</f>
        <v>1.6974724329999999</v>
      </c>
      <c r="AO391" s="6">
        <f>[1]Emissions!AN836</f>
        <v>1.7142601719999999</v>
      </c>
      <c r="AP391" s="6">
        <f>[1]Emissions!AO836</f>
        <v>1.7319066350000001</v>
      </c>
      <c r="AQ391" s="6">
        <f>[1]Emissions!AP836</f>
        <v>1.7503744370000001</v>
      </c>
      <c r="AR391" s="6">
        <f>[1]Emissions!AQ836</f>
        <v>1.7697066429999999</v>
      </c>
      <c r="AS391" s="6">
        <f>[1]Emissions!AR836</f>
        <v>1.7898090680000001</v>
      </c>
      <c r="AT391" s="6">
        <f>[1]Emissions!AS836</f>
        <v>1.8106321080000001</v>
      </c>
      <c r="AU391" s="6">
        <f>[1]Emissions!AT836</f>
        <v>1.8321292810000001</v>
      </c>
      <c r="AV391" s="6">
        <f>[1]Emissions!AU836</f>
        <v>1.8542541370000001</v>
      </c>
      <c r="AW391" s="6">
        <f>[1]Emissions!AV836</f>
        <v>1.8773259</v>
      </c>
      <c r="AX391" s="6">
        <f>[1]Emissions!AW836</f>
        <v>1.90106989</v>
      </c>
      <c r="AY391" s="6">
        <f>[1]Emissions!AX836</f>
        <v>1.9254025800000001</v>
      </c>
      <c r="AZ391" s="6">
        <f>[1]Emissions!AY836</f>
        <v>1.9502554050000001</v>
      </c>
      <c r="BA391" s="6">
        <f>[1]Emissions!AZ836</f>
        <v>1.975562335</v>
      </c>
      <c r="BB391" s="6">
        <f>[1]Emissions!BA836</f>
        <v>2.502649833</v>
      </c>
      <c r="BC391" s="6">
        <f>[1]Emissions!BB836</f>
        <v>2.5424036750000001</v>
      </c>
      <c r="BD391" s="6">
        <f>[1]Emissions!BC836</f>
        <v>2.5831347830000002</v>
      </c>
      <c r="BE391" s="6">
        <f>[1]Emissions!BD836</f>
        <v>2.6249114059999998</v>
      </c>
      <c r="BF391" s="6">
        <f>[1]Emissions!BE836</f>
        <v>2.6677897210000001</v>
      </c>
    </row>
    <row r="392" spans="1:58" x14ac:dyDescent="0.35">
      <c r="B392" s="6" t="str">
        <f>[1]Emissions!A838</f>
        <v>ems_ci_co2_sgla_2</v>
      </c>
      <c r="C392" s="6">
        <f>[1]Emissions!B838</f>
        <v>7.6835403470000001</v>
      </c>
      <c r="D392" s="6">
        <f>[1]Emissions!C838</f>
        <v>7.7121128490000004</v>
      </c>
      <c r="E392" s="6">
        <f>[1]Emissions!D838</f>
        <v>7.7693590390000002</v>
      </c>
      <c r="F392" s="6">
        <f>[1]Emissions!E838</f>
        <v>7.8433470920000001</v>
      </c>
      <c r="G392" s="6">
        <f>[1]Emissions!F838</f>
        <v>7.9305478430000003</v>
      </c>
      <c r="H392" s="6">
        <f>[1]Emissions!G838</f>
        <v>8.0288574669999999</v>
      </c>
      <c r="I392" s="6">
        <f>[1]Emissions!H838</f>
        <v>8.1325191649999997</v>
      </c>
      <c r="J392" s="6">
        <f>[1]Emissions!I838</f>
        <v>8.2418275249999997</v>
      </c>
      <c r="K392" s="6">
        <f>[1]Emissions!J838</f>
        <v>8.3562398370000004</v>
      </c>
      <c r="L392" s="6">
        <f>[1]Emissions!K838</f>
        <v>8.4751205449999993</v>
      </c>
      <c r="M392" s="6">
        <f>[1]Emissions!L838</f>
        <v>8.6046400260000002</v>
      </c>
      <c r="N392" s="6">
        <f>[1]Emissions!M838</f>
        <v>8.7340500710000004</v>
      </c>
      <c r="O392" s="6">
        <f>[1]Emissions!N838</f>
        <v>8.8651281920000002</v>
      </c>
      <c r="P392" s="6">
        <f>[1]Emissions!O838</f>
        <v>8.9981309839999994</v>
      </c>
      <c r="Q392" s="6">
        <f>[1]Emissions!P838</f>
        <v>9.1330447469999996</v>
      </c>
      <c r="R392" s="6">
        <f>[1]Emissions!Q838</f>
        <v>9.2698478560000002</v>
      </c>
      <c r="S392" s="6">
        <f>[1]Emissions!R838</f>
        <v>9.4079172900000003</v>
      </c>
      <c r="T392" s="6">
        <f>[1]Emissions!S838</f>
        <v>9.5477334630000001</v>
      </c>
      <c r="U392" s="6">
        <f>[1]Emissions!T838</f>
        <v>9.6894971119999997</v>
      </c>
      <c r="V392" s="6">
        <f>[1]Emissions!U838</f>
        <v>9.8333665460000006</v>
      </c>
      <c r="W392" s="6">
        <f>[1]Emissions!V838</f>
        <v>9.9745241940000007</v>
      </c>
      <c r="X392" s="6">
        <f>[1]Emissions!W838</f>
        <v>10.120172500000001</v>
      </c>
      <c r="Y392" s="6">
        <f>[1]Emissions!X838</f>
        <v>10.269152739999999</v>
      </c>
      <c r="Z392" s="6">
        <f>[1]Emissions!Y838</f>
        <v>10.42125098</v>
      </c>
      <c r="AA392" s="6">
        <f>[1]Emissions!Z838</f>
        <v>10.57645808</v>
      </c>
      <c r="AB392" s="6">
        <f>[1]Emissions!AA838</f>
        <v>10.72053886</v>
      </c>
      <c r="AC392" s="6">
        <f>[1]Emissions!AB838</f>
        <v>10.86720373</v>
      </c>
      <c r="AD392" s="6">
        <f>[1]Emissions!AC838</f>
        <v>11.015360680000001</v>
      </c>
      <c r="AE392" s="6">
        <f>[1]Emissions!AD838</f>
        <v>11.16505203</v>
      </c>
      <c r="AF392" s="6">
        <f>[1]Emissions!AE838</f>
        <v>11.3165145</v>
      </c>
      <c r="AG392" s="6">
        <f>[1]Emissions!AF838</f>
        <v>11.46997623</v>
      </c>
      <c r="AH392" s="6">
        <f>[1]Emissions!AG838</f>
        <v>11.62575661</v>
      </c>
      <c r="AI392" s="6">
        <f>[1]Emissions!AH838</f>
        <v>11.78388</v>
      </c>
      <c r="AJ392" s="6">
        <f>[1]Emissions!AI838</f>
        <v>11.944384680000001</v>
      </c>
      <c r="AK392" s="6">
        <f>[1]Emissions!AJ838</f>
        <v>12.10727734</v>
      </c>
      <c r="AL392" s="6">
        <f>[1]Emissions!AK838</f>
        <v>12.272534309999999</v>
      </c>
      <c r="AM392" s="6">
        <f>[1]Emissions!AL838</f>
        <v>12.437957580000001</v>
      </c>
      <c r="AN392" s="6">
        <f>[1]Emissions!AM838</f>
        <v>12.604036799999999</v>
      </c>
      <c r="AO392" s="6">
        <f>[1]Emissions!AN838</f>
        <v>12.77102496</v>
      </c>
      <c r="AP392" s="6">
        <f>[1]Emissions!AO838</f>
        <v>12.939076549999999</v>
      </c>
      <c r="AQ392" s="6">
        <f>[1]Emissions!AP838</f>
        <v>13.108304240000001</v>
      </c>
      <c r="AR392" s="6">
        <f>[1]Emissions!AQ838</f>
        <v>13.278999410000001</v>
      </c>
      <c r="AS392" s="6">
        <f>[1]Emissions!AR838</f>
        <v>13.451102669999999</v>
      </c>
      <c r="AT392" s="6">
        <f>[1]Emissions!AS838</f>
        <v>13.624631450000001</v>
      </c>
      <c r="AU392" s="6">
        <f>[1]Emissions!AT838</f>
        <v>13.79960591</v>
      </c>
      <c r="AV392" s="6">
        <f>[1]Emissions!AU838</f>
        <v>13.976038730000001</v>
      </c>
      <c r="AW392" s="6">
        <f>[1]Emissions!AV838</f>
        <v>14.154935269999999</v>
      </c>
      <c r="AX392" s="6">
        <f>[1]Emissions!AW838</f>
        <v>14.335748799999999</v>
      </c>
      <c r="AY392" s="6">
        <f>[1]Emissions!AX838</f>
        <v>14.51832978</v>
      </c>
      <c r="AZ392" s="6">
        <f>[1]Emissions!AY838</f>
        <v>14.702615420000001</v>
      </c>
      <c r="BA392" s="6">
        <f>[1]Emissions!AZ838</f>
        <v>14.88857346</v>
      </c>
      <c r="BB392" s="6">
        <f>[1]Emissions!BA838</f>
        <v>18.902690150000002</v>
      </c>
      <c r="BC392" s="6">
        <f>[1]Emissions!BB838</f>
        <v>19.241249150000002</v>
      </c>
      <c r="BD392" s="6">
        <f>[1]Emissions!BC838</f>
        <v>19.583814780000001</v>
      </c>
      <c r="BE392" s="6">
        <f>[1]Emissions!BD838</f>
        <v>19.930375250000001</v>
      </c>
      <c r="BF392" s="6">
        <f>[1]Emissions!BE838</f>
        <v>20.28092526</v>
      </c>
    </row>
    <row r="393" spans="1:58" x14ac:dyDescent="0.35">
      <c r="B393" s="6" t="str">
        <f>[1]Emissions!A840</f>
        <v>ems_ci_co2_spap_2</v>
      </c>
      <c r="C393" s="6">
        <f>[1]Emissions!B840</f>
        <v>2.4861680810000002</v>
      </c>
      <c r="D393" s="6">
        <f>[1]Emissions!C840</f>
        <v>2.4920029659999998</v>
      </c>
      <c r="E393" s="6">
        <f>[1]Emissions!D840</f>
        <v>2.5103798689999999</v>
      </c>
      <c r="F393" s="6">
        <f>[1]Emissions!E840</f>
        <v>2.534539192</v>
      </c>
      <c r="G393" s="6">
        <f>[1]Emissions!F840</f>
        <v>2.5630326330000002</v>
      </c>
      <c r="H393" s="6">
        <f>[1]Emissions!G840</f>
        <v>2.5951938550000002</v>
      </c>
      <c r="I393" s="6">
        <f>[1]Emissions!H840</f>
        <v>2.6287161129999999</v>
      </c>
      <c r="J393" s="6">
        <f>[1]Emissions!I840</f>
        <v>2.6641391080000001</v>
      </c>
      <c r="K393" s="6">
        <f>[1]Emissions!J840</f>
        <v>2.7012676529999999</v>
      </c>
      <c r="L393" s="6">
        <f>[1]Emissions!K840</f>
        <v>2.7398000260000002</v>
      </c>
      <c r="M393" s="6">
        <f>[1]Emissions!L840</f>
        <v>2.782327268</v>
      </c>
      <c r="N393" s="6">
        <f>[1]Emissions!M840</f>
        <v>2.8236700099999998</v>
      </c>
      <c r="O393" s="6">
        <f>[1]Emissions!N840</f>
        <v>2.865174809</v>
      </c>
      <c r="P393" s="6">
        <f>[1]Emissions!O840</f>
        <v>2.9070094829999999</v>
      </c>
      <c r="Q393" s="6">
        <f>[1]Emissions!P840</f>
        <v>2.9491496709999998</v>
      </c>
      <c r="R393" s="6">
        <f>[1]Emissions!Q840</f>
        <v>2.9915644800000001</v>
      </c>
      <c r="S393" s="6">
        <f>[1]Emissions!R840</f>
        <v>3.0339279669999999</v>
      </c>
      <c r="T393" s="6">
        <f>[1]Emissions!S840</f>
        <v>3.0764992919999998</v>
      </c>
      <c r="U393" s="6">
        <f>[1]Emissions!T840</f>
        <v>3.1193524880000001</v>
      </c>
      <c r="V393" s="6">
        <f>[1]Emissions!U840</f>
        <v>3.1625374079999999</v>
      </c>
      <c r="W393" s="6">
        <f>[1]Emissions!V840</f>
        <v>3.2039997709999999</v>
      </c>
      <c r="X393" s="6">
        <f>[1]Emissions!W840</f>
        <v>3.2471777460000002</v>
      </c>
      <c r="Y393" s="6">
        <f>[1]Emissions!X840</f>
        <v>3.2911786749999998</v>
      </c>
      <c r="Z393" s="6">
        <f>[1]Emissions!Y840</f>
        <v>3.3358589620000001</v>
      </c>
      <c r="AA393" s="6">
        <f>[1]Emissions!Z840</f>
        <v>3.3812184319999998</v>
      </c>
      <c r="AB393" s="6">
        <f>[1]Emissions!AA840</f>
        <v>3.421259327</v>
      </c>
      <c r="AC393" s="6">
        <f>[1]Emissions!AB840</f>
        <v>3.4629550650000001</v>
      </c>
      <c r="AD393" s="6">
        <f>[1]Emissions!AC840</f>
        <v>3.5052408599999998</v>
      </c>
      <c r="AE393" s="6">
        <f>[1]Emissions!AD840</f>
        <v>3.5480224250000001</v>
      </c>
      <c r="AF393" s="6">
        <f>[1]Emissions!AE840</f>
        <v>3.5913791270000002</v>
      </c>
      <c r="AG393" s="6">
        <f>[1]Emissions!AF840</f>
        <v>3.635403851</v>
      </c>
      <c r="AH393" s="6">
        <f>[1]Emissions!AG840</f>
        <v>3.6802420250000001</v>
      </c>
      <c r="AI393" s="6">
        <f>[1]Emissions!AH840</f>
        <v>3.72589127</v>
      </c>
      <c r="AJ393" s="6">
        <f>[1]Emissions!AI840</f>
        <v>3.772373532</v>
      </c>
      <c r="AK393" s="6">
        <f>[1]Emissions!AJ840</f>
        <v>3.8197026169999999</v>
      </c>
      <c r="AL393" s="6">
        <f>[1]Emissions!AK840</f>
        <v>3.8678825450000001</v>
      </c>
      <c r="AM393" s="6">
        <f>[1]Emissions!AL840</f>
        <v>3.9160992110000001</v>
      </c>
      <c r="AN393" s="6">
        <f>[1]Emissions!AM840</f>
        <v>3.9647154709999999</v>
      </c>
      <c r="AO393" s="6">
        <f>[1]Emissions!AN840</f>
        <v>4.013860395</v>
      </c>
      <c r="AP393" s="6">
        <f>[1]Emissions!AO840</f>
        <v>4.0636001769999996</v>
      </c>
      <c r="AQ393" s="6">
        <f>[1]Emissions!AP840</f>
        <v>4.1139820189999998</v>
      </c>
      <c r="AR393" s="6">
        <f>[1]Emissions!AQ840</f>
        <v>4.1651431350000001</v>
      </c>
      <c r="AS393" s="6">
        <f>[1]Emissions!AR840</f>
        <v>4.2170363489999998</v>
      </c>
      <c r="AT393" s="6">
        <f>[1]Emissions!AS840</f>
        <v>4.2696678029999999</v>
      </c>
      <c r="AU393" s="6">
        <f>[1]Emissions!AT840</f>
        <v>4.3230466989999998</v>
      </c>
      <c r="AV393" s="6">
        <f>[1]Emissions!AU840</f>
        <v>4.3771783199999996</v>
      </c>
      <c r="AW393" s="6">
        <f>[1]Emissions!AV840</f>
        <v>4.4325325370000002</v>
      </c>
      <c r="AX393" s="6">
        <f>[1]Emissions!AW840</f>
        <v>4.4887771020000002</v>
      </c>
      <c r="AY393" s="6">
        <f>[1]Emissions!AX840</f>
        <v>4.5458422980000002</v>
      </c>
      <c r="AZ393" s="6">
        <f>[1]Emissions!AY840</f>
        <v>4.6037046869999996</v>
      </c>
      <c r="BA393" s="6">
        <f>[1]Emissions!AZ840</f>
        <v>4.6623508259999999</v>
      </c>
      <c r="BB393" s="6">
        <f>[1]Emissions!BA840</f>
        <v>5.7686918350000003</v>
      </c>
      <c r="BC393" s="6">
        <f>[1]Emissions!BB840</f>
        <v>5.8662594649999997</v>
      </c>
      <c r="BD393" s="6">
        <f>[1]Emissions!BC840</f>
        <v>5.9654531390000001</v>
      </c>
      <c r="BE393" s="6">
        <f>[1]Emissions!BD840</f>
        <v>6.0663068249999998</v>
      </c>
      <c r="BF393" s="6">
        <f>[1]Emissions!BE840</f>
        <v>6.1688547480000002</v>
      </c>
    </row>
    <row r="394" spans="1:58" x14ac:dyDescent="0.35">
      <c r="B394" s="6" t="str">
        <f>[1]Emissions!A842</f>
        <v>ems_ci_co2_sche_2</v>
      </c>
      <c r="C394" s="6">
        <f>[1]Emissions!B842</f>
        <v>13.123310249999999</v>
      </c>
      <c r="D394" s="6">
        <f>[1]Emissions!C842</f>
        <v>13.16973277</v>
      </c>
      <c r="E394" s="6">
        <f>[1]Emissions!D842</f>
        <v>13.29610557</v>
      </c>
      <c r="F394" s="6">
        <f>[1]Emissions!E842</f>
        <v>13.45051132</v>
      </c>
      <c r="G394" s="6">
        <f>[1]Emissions!F842</f>
        <v>13.6233735</v>
      </c>
      <c r="H394" s="6">
        <f>[1]Emissions!G842</f>
        <v>13.811003469999999</v>
      </c>
      <c r="I394" s="6">
        <f>[1]Emissions!H842</f>
        <v>13.999880839999999</v>
      </c>
      <c r="J394" s="6">
        <f>[1]Emissions!I842</f>
        <v>14.195415909999999</v>
      </c>
      <c r="K394" s="6">
        <f>[1]Emissions!J842</f>
        <v>14.39685931</v>
      </c>
      <c r="L394" s="6">
        <f>[1]Emissions!K842</f>
        <v>14.60277542</v>
      </c>
      <c r="M394" s="6">
        <f>[1]Emissions!L842</f>
        <v>14.829445979999999</v>
      </c>
      <c r="N394" s="6">
        <f>[1]Emissions!M842</f>
        <v>15.042960860000001</v>
      </c>
      <c r="O394" s="6">
        <f>[1]Emissions!N842</f>
        <v>15.255187619999999</v>
      </c>
      <c r="P394" s="6">
        <f>[1]Emissions!O842</f>
        <v>15.46759999</v>
      </c>
      <c r="Q394" s="6">
        <f>[1]Emissions!P842</f>
        <v>15.680299209999999</v>
      </c>
      <c r="R394" s="6">
        <f>[1]Emissions!Q842</f>
        <v>15.89333684</v>
      </c>
      <c r="S394" s="6">
        <f>[1]Emissions!R842</f>
        <v>16.104653649999999</v>
      </c>
      <c r="T394" s="6">
        <f>[1]Emissions!S842</f>
        <v>16.316431359999999</v>
      </c>
      <c r="U394" s="6">
        <f>[1]Emissions!T842</f>
        <v>16.529305610000002</v>
      </c>
      <c r="V394" s="6">
        <f>[1]Emissions!U842</f>
        <v>16.74371154</v>
      </c>
      <c r="W394" s="6">
        <f>[1]Emissions!V842</f>
        <v>16.947265829999999</v>
      </c>
      <c r="X394" s="6">
        <f>[1]Emissions!W842</f>
        <v>17.16277371</v>
      </c>
      <c r="Y394" s="6">
        <f>[1]Emissions!X842</f>
        <v>17.382774770000001</v>
      </c>
      <c r="Z394" s="6">
        <f>[1]Emissions!Y842</f>
        <v>17.606415770000002</v>
      </c>
      <c r="AA394" s="6">
        <f>[1]Emissions!Z842</f>
        <v>17.833803329999999</v>
      </c>
      <c r="AB394" s="6">
        <f>[1]Emissions!AA842</f>
        <v>18.028629930000001</v>
      </c>
      <c r="AC394" s="6">
        <f>[1]Emissions!AB842</f>
        <v>18.238517730000002</v>
      </c>
      <c r="AD394" s="6">
        <f>[1]Emissions!AC842</f>
        <v>18.45325974</v>
      </c>
      <c r="AE394" s="6">
        <f>[1]Emissions!AD842</f>
        <v>18.67178423</v>
      </c>
      <c r="AF394" s="6">
        <f>[1]Emissions!AE842</f>
        <v>18.8943151</v>
      </c>
      <c r="AG394" s="6">
        <f>[1]Emissions!AF842</f>
        <v>19.121188199999999</v>
      </c>
      <c r="AH394" s="6">
        <f>[1]Emissions!AG842</f>
        <v>19.35316048</v>
      </c>
      <c r="AI394" s="6">
        <f>[1]Emissions!AH842</f>
        <v>19.589973480000001</v>
      </c>
      <c r="AJ394" s="6">
        <f>[1]Emissions!AI842</f>
        <v>19.831638269999999</v>
      </c>
      <c r="AK394" s="6">
        <f>[1]Emissions!AJ842</f>
        <v>20.078150319999999</v>
      </c>
      <c r="AL394" s="6">
        <f>[1]Emissions!AK842</f>
        <v>20.329465119999998</v>
      </c>
      <c r="AM394" s="6">
        <f>[1]Emissions!AL842</f>
        <v>20.581192059999999</v>
      </c>
      <c r="AN394" s="6">
        <f>[1]Emissions!AM842</f>
        <v>20.835892189999999</v>
      </c>
      <c r="AO394" s="6">
        <f>[1]Emissions!AN842</f>
        <v>21.094077909999999</v>
      </c>
      <c r="AP394" s="6">
        <f>[1]Emissions!AO842</f>
        <v>21.355924049999999</v>
      </c>
      <c r="AQ394" s="6">
        <f>[1]Emissions!AP842</f>
        <v>21.6215391</v>
      </c>
      <c r="AR394" s="6">
        <f>[1]Emissions!AQ842</f>
        <v>21.891705980000001</v>
      </c>
      <c r="AS394" s="6">
        <f>[1]Emissions!AR842</f>
        <v>22.16589626</v>
      </c>
      <c r="AT394" s="6">
        <f>[1]Emissions!AS842</f>
        <v>22.444055250000002</v>
      </c>
      <c r="AU394" s="6">
        <f>[1]Emissions!AT842</f>
        <v>22.726180580000001</v>
      </c>
      <c r="AV394" s="6">
        <f>[1]Emissions!AU842</f>
        <v>23.012265410000001</v>
      </c>
      <c r="AW394" s="6">
        <f>[1]Emissions!AV842</f>
        <v>23.305454650000001</v>
      </c>
      <c r="AX394" s="6">
        <f>[1]Emissions!AW842</f>
        <v>23.603175740000001</v>
      </c>
      <c r="AY394" s="6">
        <f>[1]Emissions!AX842</f>
        <v>23.90500132</v>
      </c>
      <c r="AZ394" s="6">
        <f>[1]Emissions!AY842</f>
        <v>24.210826860000001</v>
      </c>
      <c r="BA394" s="6">
        <f>[1]Emissions!AZ842</f>
        <v>24.520606780000001</v>
      </c>
      <c r="BB394" s="6">
        <f>[1]Emissions!BA842</f>
        <v>30.561713749999999</v>
      </c>
      <c r="BC394" s="6">
        <f>[1]Emissions!BB842</f>
        <v>31.087305239999999</v>
      </c>
      <c r="BD394" s="6">
        <f>[1]Emissions!BC842</f>
        <v>31.622493739999999</v>
      </c>
      <c r="BE394" s="6">
        <f>[1]Emissions!BD842</f>
        <v>32.167449670000003</v>
      </c>
      <c r="BF394" s="6">
        <f>[1]Emissions!BE842</f>
        <v>32.722338440000001</v>
      </c>
    </row>
    <row r="395" spans="1:58" x14ac:dyDescent="0.35">
      <c r="B395" s="6" t="str">
        <f>[1]Emissions!A844</f>
        <v>ems_ci_co2_spla_2</v>
      </c>
      <c r="C395" s="6">
        <f>[1]Emissions!B844</f>
        <v>1.4550602210000001</v>
      </c>
      <c r="D395" s="6">
        <f>[1]Emissions!C844</f>
        <v>1.457231011</v>
      </c>
      <c r="E395" s="6">
        <f>[1]Emissions!D844</f>
        <v>1.468038935</v>
      </c>
      <c r="F395" s="6">
        <f>[1]Emissions!E844</f>
        <v>1.4823747350000001</v>
      </c>
      <c r="G395" s="6">
        <f>[1]Emissions!F844</f>
        <v>1.499326033</v>
      </c>
      <c r="H395" s="6">
        <f>[1]Emissions!G844</f>
        <v>1.5185435190000001</v>
      </c>
      <c r="I395" s="6">
        <f>[1]Emissions!H844</f>
        <v>1.538633159</v>
      </c>
      <c r="J395" s="6">
        <f>[1]Emissions!I844</f>
        <v>1.5599472059999999</v>
      </c>
      <c r="K395" s="6">
        <f>[1]Emissions!J844</f>
        <v>1.5823171009999999</v>
      </c>
      <c r="L395" s="6">
        <f>[1]Emissions!K844</f>
        <v>1.6055040819999999</v>
      </c>
      <c r="M395" s="6">
        <f>[1]Emissions!L844</f>
        <v>1.6310452150000001</v>
      </c>
      <c r="N395" s="6">
        <f>[1]Emissions!M844</f>
        <v>1.6556325249999999</v>
      </c>
      <c r="O395" s="6">
        <f>[1]Emissions!N844</f>
        <v>1.6801766</v>
      </c>
      <c r="P395" s="6">
        <f>[1]Emissions!O844</f>
        <v>1.7047730299999999</v>
      </c>
      <c r="Q395" s="6">
        <f>[1]Emissions!P844</f>
        <v>1.7293943199999999</v>
      </c>
      <c r="R395" s="6">
        <f>[1]Emissions!Q844</f>
        <v>1.754014629</v>
      </c>
      <c r="S395" s="6">
        <f>[1]Emissions!R844</f>
        <v>1.778401788</v>
      </c>
      <c r="T395" s="6">
        <f>[1]Emissions!S844</f>
        <v>1.802746967</v>
      </c>
      <c r="U395" s="6">
        <f>[1]Emissions!T844</f>
        <v>1.8271114669999999</v>
      </c>
      <c r="V395" s="6">
        <f>[1]Emissions!U844</f>
        <v>1.85154211</v>
      </c>
      <c r="W395" s="6">
        <f>[1]Emissions!V844</f>
        <v>1.874802554</v>
      </c>
      <c r="X395" s="6">
        <f>[1]Emissions!W844</f>
        <v>1.899073123</v>
      </c>
      <c r="Y395" s="6">
        <f>[1]Emissions!X844</f>
        <v>1.923759295</v>
      </c>
      <c r="Z395" s="6">
        <f>[1]Emissions!Y844</f>
        <v>1.948788116</v>
      </c>
      <c r="AA395" s="6">
        <f>[1]Emissions!Z844</f>
        <v>1.974180947</v>
      </c>
      <c r="AB395" s="6">
        <f>[1]Emissions!AA844</f>
        <v>1.9963043650000001</v>
      </c>
      <c r="AC395" s="6">
        <f>[1]Emissions!AB844</f>
        <v>2.0196080140000001</v>
      </c>
      <c r="AD395" s="6">
        <f>[1]Emissions!AC844</f>
        <v>2.0433246180000002</v>
      </c>
      <c r="AE395" s="6">
        <f>[1]Emissions!AD844</f>
        <v>2.0673766640000002</v>
      </c>
      <c r="AF395" s="6">
        <f>[1]Emissions!AE844</f>
        <v>2.091806633</v>
      </c>
      <c r="AG395" s="6">
        <f>[1]Emissions!AF844</f>
        <v>2.116668652</v>
      </c>
      <c r="AH395" s="6">
        <f>[1]Emissions!AG844</f>
        <v>2.1420581859999999</v>
      </c>
      <c r="AI395" s="6">
        <f>[1]Emissions!AH844</f>
        <v>2.1679683330000001</v>
      </c>
      <c r="AJ395" s="6">
        <f>[1]Emissions!AI844</f>
        <v>2.1944120279999999</v>
      </c>
      <c r="AK395" s="6">
        <f>[1]Emissions!AJ844</f>
        <v>2.2213972420000001</v>
      </c>
      <c r="AL395" s="6">
        <f>[1]Emissions!AK844</f>
        <v>2.2489246180000002</v>
      </c>
      <c r="AM395" s="6">
        <f>[1]Emissions!AL844</f>
        <v>2.2765623310000001</v>
      </c>
      <c r="AN395" s="6">
        <f>[1]Emissions!AM844</f>
        <v>2.304508765</v>
      </c>
      <c r="AO395" s="6">
        <f>[1]Emissions!AN844</f>
        <v>2.332817361</v>
      </c>
      <c r="AP395" s="6">
        <f>[1]Emissions!AO844</f>
        <v>2.3615073720000002</v>
      </c>
      <c r="AQ395" s="6">
        <f>[1]Emissions!AP844</f>
        <v>2.390589125</v>
      </c>
      <c r="AR395" s="6">
        <f>[1]Emissions!AQ844</f>
        <v>2.4201406109999999</v>
      </c>
      <c r="AS395" s="6">
        <f>[1]Emissions!AR844</f>
        <v>2.4501116490000001</v>
      </c>
      <c r="AT395" s="6">
        <f>[1]Emissions!AS844</f>
        <v>2.480494105</v>
      </c>
      <c r="AU395" s="6">
        <f>[1]Emissions!AT844</f>
        <v>2.5112852210000001</v>
      </c>
      <c r="AV395" s="6">
        <f>[1]Emissions!AU844</f>
        <v>2.542481805</v>
      </c>
      <c r="AW395" s="6">
        <f>[1]Emissions!AV844</f>
        <v>2.574399074</v>
      </c>
      <c r="AX395" s="6">
        <f>[1]Emissions!AW844</f>
        <v>2.6067986840000001</v>
      </c>
      <c r="AY395" s="6">
        <f>[1]Emissions!AX844</f>
        <v>2.639630146</v>
      </c>
      <c r="AZ395" s="6">
        <f>[1]Emissions!AY844</f>
        <v>2.672876203</v>
      </c>
      <c r="BA395" s="6">
        <f>[1]Emissions!AZ844</f>
        <v>2.706526615</v>
      </c>
      <c r="BB395" s="6">
        <f>[1]Emissions!BA844</f>
        <v>3.4308599389999999</v>
      </c>
      <c r="BC395" s="6">
        <f>[1]Emissions!BB844</f>
        <v>3.489882326</v>
      </c>
      <c r="BD395" s="6">
        <f>[1]Emissions!BC844</f>
        <v>3.5498856779999999</v>
      </c>
      <c r="BE395" s="6">
        <f>[1]Emissions!BD844</f>
        <v>3.6108895250000002</v>
      </c>
      <c r="BF395" s="6">
        <f>[1]Emissions!BE844</f>
        <v>3.6729123210000001</v>
      </c>
    </row>
    <row r="396" spans="1:58" x14ac:dyDescent="0.35">
      <c r="B396" s="6" t="str">
        <f>[1]Emissions!A846</f>
        <v>ems_ci_co2_smet_2</v>
      </c>
      <c r="C396" s="6">
        <f>[1]Emissions!B846</f>
        <v>19.07969907</v>
      </c>
      <c r="D396" s="6">
        <f>[1]Emissions!C846</f>
        <v>19.129976580000001</v>
      </c>
      <c r="E396" s="6">
        <f>[1]Emissions!D846</f>
        <v>19.30337098</v>
      </c>
      <c r="F396" s="6">
        <f>[1]Emissions!E846</f>
        <v>19.518355679999999</v>
      </c>
      <c r="G396" s="6">
        <f>[1]Emissions!F846</f>
        <v>19.755488490000001</v>
      </c>
      <c r="H396" s="6">
        <f>[1]Emissions!G846</f>
        <v>20.008659359999999</v>
      </c>
      <c r="I396" s="6">
        <f>[1]Emissions!H846</f>
        <v>20.261648430000001</v>
      </c>
      <c r="J396" s="6">
        <f>[1]Emissions!I846</f>
        <v>20.521705910000001</v>
      </c>
      <c r="K396" s="6">
        <f>[1]Emissions!J846</f>
        <v>20.789543770000002</v>
      </c>
      <c r="L396" s="6">
        <f>[1]Emissions!K846</f>
        <v>21.064474489999998</v>
      </c>
      <c r="M396" s="6">
        <f>[1]Emissions!L846</f>
        <v>21.367659790000001</v>
      </c>
      <c r="N396" s="6">
        <f>[1]Emissions!M846</f>
        <v>21.65840845</v>
      </c>
      <c r="O396" s="6">
        <f>[1]Emissions!N846</f>
        <v>21.949466009999998</v>
      </c>
      <c r="P396" s="6">
        <f>[1]Emissions!O846</f>
        <v>22.24320079</v>
      </c>
      <c r="Q396" s="6">
        <f>[1]Emissions!P846</f>
        <v>22.539988600000001</v>
      </c>
      <c r="R396" s="6">
        <f>[1]Emissions!Q846</f>
        <v>22.839940680000002</v>
      </c>
      <c r="S396" s="6">
        <f>[1]Emissions!R846</f>
        <v>23.14035539</v>
      </c>
      <c r="T396" s="6">
        <f>[1]Emissions!S846</f>
        <v>23.443812749999999</v>
      </c>
      <c r="U396" s="6">
        <f>[1]Emissions!T846</f>
        <v>23.75112863</v>
      </c>
      <c r="V396" s="6">
        <f>[1]Emissions!U846</f>
        <v>24.062791690000001</v>
      </c>
      <c r="W396" s="6">
        <f>[1]Emissions!V846</f>
        <v>24.363162519999999</v>
      </c>
      <c r="X396" s="6">
        <f>[1]Emissions!W846</f>
        <v>24.679495129999999</v>
      </c>
      <c r="Y396" s="6">
        <f>[1]Emissions!X846</f>
        <v>25.003987339999998</v>
      </c>
      <c r="Z396" s="6">
        <f>[1]Emissions!Y846</f>
        <v>25.335211480000002</v>
      </c>
      <c r="AA396" s="6">
        <f>[1]Emissions!Z846</f>
        <v>25.67305095</v>
      </c>
      <c r="AB396" s="6">
        <f>[1]Emissions!AA846</f>
        <v>25.97176198</v>
      </c>
      <c r="AC396" s="6">
        <f>[1]Emissions!AB846</f>
        <v>26.28740655</v>
      </c>
      <c r="AD396" s="6">
        <f>[1]Emissions!AC846</f>
        <v>26.610171609999998</v>
      </c>
      <c r="AE396" s="6">
        <f>[1]Emissions!AD846</f>
        <v>26.938407779999999</v>
      </c>
      <c r="AF396" s="6">
        <f>[1]Emissions!AE846</f>
        <v>27.27209886</v>
      </c>
      <c r="AG396" s="6">
        <f>[1]Emissions!AF846</f>
        <v>27.6114915</v>
      </c>
      <c r="AH396" s="6">
        <f>[1]Emissions!AG846</f>
        <v>27.957451880000001</v>
      </c>
      <c r="AI396" s="6">
        <f>[1]Emissions!AH846</f>
        <v>28.309612470000001</v>
      </c>
      <c r="AJ396" s="6">
        <f>[1]Emissions!AI846</f>
        <v>28.667923300000002</v>
      </c>
      <c r="AK396" s="6">
        <f>[1]Emissions!AJ846</f>
        <v>29.03234067</v>
      </c>
      <c r="AL396" s="6">
        <f>[1]Emissions!AK846</f>
        <v>29.402782699999999</v>
      </c>
      <c r="AM396" s="6">
        <f>[1]Emissions!AL846</f>
        <v>29.77387169</v>
      </c>
      <c r="AN396" s="6">
        <f>[1]Emissions!AM846</f>
        <v>30.14809266</v>
      </c>
      <c r="AO396" s="6">
        <f>[1]Emissions!AN846</f>
        <v>30.526133309999999</v>
      </c>
      <c r="AP396" s="6">
        <f>[1]Emissions!AO846</f>
        <v>30.90824061</v>
      </c>
      <c r="AQ396" s="6">
        <f>[1]Emissions!AP846</f>
        <v>31.294549289999999</v>
      </c>
      <c r="AR396" s="6">
        <f>[1]Emissions!AQ846</f>
        <v>31.686061680000002</v>
      </c>
      <c r="AS396" s="6">
        <f>[1]Emissions!AR846</f>
        <v>32.082142070000003</v>
      </c>
      <c r="AT396" s="6">
        <f>[1]Emissions!AS846</f>
        <v>32.482697760000001</v>
      </c>
      <c r="AU396" s="6">
        <f>[1]Emissions!AT846</f>
        <v>32.887728930000002</v>
      </c>
      <c r="AV396" s="6">
        <f>[1]Emissions!AU846</f>
        <v>33.297244069999998</v>
      </c>
      <c r="AW396" s="6">
        <f>[1]Emissions!AV846</f>
        <v>33.715299369999997</v>
      </c>
      <c r="AX396" s="6">
        <f>[1]Emissions!AW846</f>
        <v>34.138871199999997</v>
      </c>
      <c r="AY396" s="6">
        <f>[1]Emissions!AX846</f>
        <v>34.567323940000001</v>
      </c>
      <c r="AZ396" s="6">
        <f>[1]Emissions!AY846</f>
        <v>35.000512550000003</v>
      </c>
      <c r="BA396" s="6">
        <f>[1]Emissions!AZ846</f>
        <v>35.438406399999998</v>
      </c>
      <c r="BB396" s="6">
        <f>[1]Emissions!BA846</f>
        <v>45.68449012</v>
      </c>
      <c r="BC396" s="6">
        <f>[1]Emissions!BB846</f>
        <v>46.492077760000001</v>
      </c>
      <c r="BD396" s="6">
        <f>[1]Emissions!BC846</f>
        <v>47.312222509999998</v>
      </c>
      <c r="BE396" s="6">
        <f>[1]Emissions!BD846</f>
        <v>48.1450423</v>
      </c>
      <c r="BF396" s="6">
        <f>[1]Emissions!BE846</f>
        <v>48.99065882</v>
      </c>
    </row>
    <row r="397" spans="1:58" x14ac:dyDescent="0.35">
      <c r="B397" s="6" t="str">
        <f>[1]Emissions!A848</f>
        <v>ems_ci_co2_sigo_2</v>
      </c>
      <c r="C397" s="6">
        <f>[1]Emissions!B848</f>
        <v>1.1697921410000001</v>
      </c>
      <c r="D397" s="6">
        <f>[1]Emissions!C848</f>
        <v>1.171678145</v>
      </c>
      <c r="E397" s="6">
        <f>[1]Emissions!D848</f>
        <v>1.1807015670000001</v>
      </c>
      <c r="F397" s="6">
        <f>[1]Emissions!E848</f>
        <v>1.192088899</v>
      </c>
      <c r="G397" s="6">
        <f>[1]Emissions!F848</f>
        <v>1.2055682640000001</v>
      </c>
      <c r="H397" s="6">
        <f>[1]Emissions!G848</f>
        <v>1.221084168</v>
      </c>
      <c r="I397" s="6">
        <f>[1]Emissions!H848</f>
        <v>1.2373685800000001</v>
      </c>
      <c r="J397" s="6">
        <f>[1]Emissions!I848</f>
        <v>1.2549092369999999</v>
      </c>
      <c r="K397" s="6">
        <f>[1]Emissions!J848</f>
        <v>1.2734916350000001</v>
      </c>
      <c r="L397" s="6">
        <f>[1]Emissions!K848</f>
        <v>1.292846358</v>
      </c>
      <c r="M397" s="6">
        <f>[1]Emissions!L848</f>
        <v>1.314446658</v>
      </c>
      <c r="N397" s="6">
        <f>[1]Emissions!M848</f>
        <v>1.3348133289999999</v>
      </c>
      <c r="O397" s="6">
        <f>[1]Emissions!N848</f>
        <v>1.355136635</v>
      </c>
      <c r="P397" s="6">
        <f>[1]Emissions!O848</f>
        <v>1.375465057</v>
      </c>
      <c r="Q397" s="6">
        <f>[1]Emissions!P848</f>
        <v>1.3957309849999999</v>
      </c>
      <c r="R397" s="6">
        <f>[1]Emissions!Q848</f>
        <v>1.415878532</v>
      </c>
      <c r="S397" s="6">
        <f>[1]Emissions!R848</f>
        <v>1.4356210579999999</v>
      </c>
      <c r="T397" s="6">
        <f>[1]Emissions!S848</f>
        <v>1.4551627499999999</v>
      </c>
      <c r="U397" s="6">
        <f>[1]Emissions!T848</f>
        <v>1.4745426690000001</v>
      </c>
      <c r="V397" s="6">
        <f>[1]Emissions!U848</f>
        <v>1.4937932060000001</v>
      </c>
      <c r="W397" s="6">
        <f>[1]Emissions!V848</f>
        <v>1.5117019730000001</v>
      </c>
      <c r="X397" s="6">
        <f>[1]Emissions!W848</f>
        <v>1.5305558429999999</v>
      </c>
      <c r="Y397" s="6">
        <f>[1]Emissions!X848</f>
        <v>1.5495647180000001</v>
      </c>
      <c r="Z397" s="6">
        <f>[1]Emissions!Y848</f>
        <v>1.568679377</v>
      </c>
      <c r="AA397" s="6">
        <f>[1]Emissions!Z848</f>
        <v>1.5879432090000001</v>
      </c>
      <c r="AB397" s="6">
        <f>[1]Emissions!AA848</f>
        <v>1.603836035</v>
      </c>
      <c r="AC397" s="6">
        <f>[1]Emissions!AB848</f>
        <v>1.6211847290000001</v>
      </c>
      <c r="AD397" s="6">
        <f>[1]Emissions!AC848</f>
        <v>1.6388459390000001</v>
      </c>
      <c r="AE397" s="6">
        <f>[1]Emissions!AD848</f>
        <v>1.6567350869999999</v>
      </c>
      <c r="AF397" s="6">
        <f>[1]Emissions!AE848</f>
        <v>1.6748980499999999</v>
      </c>
      <c r="AG397" s="6">
        <f>[1]Emissions!AF848</f>
        <v>1.6933902190000001</v>
      </c>
      <c r="AH397" s="6">
        <f>[1]Emissions!AG848</f>
        <v>1.7123167480000001</v>
      </c>
      <c r="AI397" s="6">
        <f>[1]Emissions!AH848</f>
        <v>1.7316691500000001</v>
      </c>
      <c r="AJ397" s="6">
        <f>[1]Emissions!AI848</f>
        <v>1.7514701880000001</v>
      </c>
      <c r="AK397" s="6">
        <f>[1]Emissions!AJ848</f>
        <v>1.771738246</v>
      </c>
      <c r="AL397" s="6">
        <f>[1]Emissions!AK848</f>
        <v>1.7924838830000001</v>
      </c>
      <c r="AM397" s="6">
        <f>[1]Emissions!AL848</f>
        <v>1.8133674639999999</v>
      </c>
      <c r="AN397" s="6">
        <f>[1]Emissions!AM848</f>
        <v>1.8346166930000001</v>
      </c>
      <c r="AO397" s="6">
        <f>[1]Emissions!AN848</f>
        <v>1.8562603740000001</v>
      </c>
      <c r="AP397" s="6">
        <f>[1]Emissions!AO848</f>
        <v>1.8782985219999999</v>
      </c>
      <c r="AQ397" s="6">
        <f>[1]Emissions!AP848</f>
        <v>1.9007266810000001</v>
      </c>
      <c r="AR397" s="6">
        <f>[1]Emissions!AQ848</f>
        <v>1.923619543</v>
      </c>
      <c r="AS397" s="6">
        <f>[1]Emissions!AR848</f>
        <v>1.9469063099999999</v>
      </c>
      <c r="AT397" s="6">
        <f>[1]Emissions!AS848</f>
        <v>1.9705726610000001</v>
      </c>
      <c r="AU397" s="6">
        <f>[1]Emissions!AT848</f>
        <v>1.994610615</v>
      </c>
      <c r="AV397" s="6">
        <f>[1]Emissions!AU848</f>
        <v>2.0190125609999998</v>
      </c>
      <c r="AW397" s="6">
        <f>[1]Emissions!AV848</f>
        <v>2.0441166210000001</v>
      </c>
      <c r="AX397" s="6">
        <f>[1]Emissions!AW848</f>
        <v>2.0696366020000001</v>
      </c>
      <c r="AY397" s="6">
        <f>[1]Emissions!AX848</f>
        <v>2.095527299</v>
      </c>
      <c r="AZ397" s="6">
        <f>[1]Emissions!AY848</f>
        <v>2.1217728839999999</v>
      </c>
      <c r="BA397" s="6">
        <f>[1]Emissions!AZ848</f>
        <v>2.1483617079999999</v>
      </c>
      <c r="BB397" s="6">
        <f>[1]Emissions!BA848</f>
        <v>2.8515174139999999</v>
      </c>
      <c r="BC397" s="6">
        <f>[1]Emissions!BB848</f>
        <v>2.9011489689999999</v>
      </c>
      <c r="BD397" s="6">
        <f>[1]Emissions!BC848</f>
        <v>2.9516550380000002</v>
      </c>
      <c r="BE397" s="6">
        <f>[1]Emissions!BD848</f>
        <v>3.0030616079999999</v>
      </c>
      <c r="BF397" s="6">
        <f>[1]Emissions!BE848</f>
        <v>3.0553923369999998</v>
      </c>
    </row>
    <row r="398" spans="1:58" x14ac:dyDescent="0.35">
      <c r="B398" s="6" t="str">
        <f>[1]Emissions!A850</f>
        <v>ems_ci_co2_scgo_2</v>
      </c>
      <c r="C398" s="6">
        <f>[1]Emissions!B850</f>
        <v>2.2364002369999998</v>
      </c>
      <c r="D398" s="6">
        <f>[1]Emissions!C850</f>
        <v>2.2339833320000002</v>
      </c>
      <c r="E398" s="6">
        <f>[1]Emissions!D850</f>
        <v>2.2421698609999998</v>
      </c>
      <c r="F398" s="6">
        <f>[1]Emissions!E850</f>
        <v>2.2572304600000002</v>
      </c>
      <c r="G398" s="6">
        <f>[1]Emissions!F850</f>
        <v>2.278316792</v>
      </c>
      <c r="H398" s="6">
        <f>[1]Emissions!G850</f>
        <v>2.3047530570000001</v>
      </c>
      <c r="I398" s="6">
        <f>[1]Emissions!H850</f>
        <v>2.334300212</v>
      </c>
      <c r="J398" s="6">
        <f>[1]Emissions!I850</f>
        <v>2.3668554949999998</v>
      </c>
      <c r="K398" s="6">
        <f>[1]Emissions!J850</f>
        <v>2.4018954529999998</v>
      </c>
      <c r="L398" s="6">
        <f>[1]Emissions!K850</f>
        <v>2.438886187</v>
      </c>
      <c r="M398" s="6">
        <f>[1]Emissions!L850</f>
        <v>2.4797557650000002</v>
      </c>
      <c r="N398" s="6">
        <f>[1]Emissions!M850</f>
        <v>2.5202849129999998</v>
      </c>
      <c r="O398" s="6">
        <f>[1]Emissions!N850</f>
        <v>2.5611331800000001</v>
      </c>
      <c r="P398" s="6">
        <f>[1]Emissions!O850</f>
        <v>2.602278584</v>
      </c>
      <c r="Q398" s="6">
        <f>[1]Emissions!P850</f>
        <v>2.6435959800000002</v>
      </c>
      <c r="R398" s="6">
        <f>[1]Emissions!Q850</f>
        <v>2.6849796119999998</v>
      </c>
      <c r="S398" s="6">
        <f>[1]Emissions!R850</f>
        <v>2.726109761</v>
      </c>
      <c r="T398" s="6">
        <f>[1]Emissions!S850</f>
        <v>2.76712041</v>
      </c>
      <c r="U398" s="6">
        <f>[1]Emissions!T850</f>
        <v>2.8080540119999999</v>
      </c>
      <c r="V398" s="6">
        <f>[1]Emissions!U850</f>
        <v>2.8489557840000002</v>
      </c>
      <c r="W398" s="6">
        <f>[1]Emissions!V850</f>
        <v>2.8881167219999999</v>
      </c>
      <c r="X398" s="6">
        <f>[1]Emissions!W850</f>
        <v>2.92826685</v>
      </c>
      <c r="Y398" s="6">
        <f>[1]Emissions!X850</f>
        <v>2.9688829499999998</v>
      </c>
      <c r="Z398" s="6">
        <f>[1]Emissions!Y850</f>
        <v>3.0099063099999999</v>
      </c>
      <c r="AA398" s="6">
        <f>[1]Emissions!Z850</f>
        <v>3.05137934</v>
      </c>
      <c r="AB398" s="6">
        <f>[1]Emissions!AA850</f>
        <v>3.0882975049999999</v>
      </c>
      <c r="AC398" s="6">
        <f>[1]Emissions!AB850</f>
        <v>3.1260227270000001</v>
      </c>
      <c r="AD398" s="6">
        <f>[1]Emissions!AC850</f>
        <v>3.1640061159999999</v>
      </c>
      <c r="AE398" s="6">
        <f>[1]Emissions!AD850</f>
        <v>3.2022671489999999</v>
      </c>
      <c r="AF398" s="6">
        <f>[1]Emissions!AE850</f>
        <v>3.2409352239999998</v>
      </c>
      <c r="AG398" s="6">
        <f>[1]Emissions!AF850</f>
        <v>3.2801414389999999</v>
      </c>
      <c r="AH398" s="6">
        <f>[1]Emissions!AG850</f>
        <v>3.3200515249999998</v>
      </c>
      <c r="AI398" s="6">
        <f>[1]Emissions!AH850</f>
        <v>3.3607132320000002</v>
      </c>
      <c r="AJ398" s="6">
        <f>[1]Emissions!AI850</f>
        <v>3.402177558</v>
      </c>
      <c r="AK398" s="6">
        <f>[1]Emissions!AJ850</f>
        <v>3.444479431</v>
      </c>
      <c r="AL398" s="6">
        <f>[1]Emissions!AK850</f>
        <v>3.4876374870000002</v>
      </c>
      <c r="AM398" s="6">
        <f>[1]Emissions!AL850</f>
        <v>3.5309489329999999</v>
      </c>
      <c r="AN398" s="6">
        <f>[1]Emissions!AM850</f>
        <v>3.5746763330000002</v>
      </c>
      <c r="AO398" s="6">
        <f>[1]Emissions!AN850</f>
        <v>3.6189216960000001</v>
      </c>
      <c r="AP398" s="6">
        <f>[1]Emissions!AO850</f>
        <v>3.663734592</v>
      </c>
      <c r="AQ398" s="6">
        <f>[1]Emissions!AP850</f>
        <v>3.7091470110000002</v>
      </c>
      <c r="AR398" s="6">
        <f>[1]Emissions!AQ850</f>
        <v>3.7552618660000001</v>
      </c>
      <c r="AS398" s="6">
        <f>[1]Emissions!AR850</f>
        <v>3.8020460580000002</v>
      </c>
      <c r="AT398" s="6">
        <f>[1]Emissions!AS850</f>
        <v>3.8494980679999999</v>
      </c>
      <c r="AU398" s="6">
        <f>[1]Emissions!AT850</f>
        <v>3.8976175500000001</v>
      </c>
      <c r="AV398" s="6">
        <f>[1]Emissions!AU850</f>
        <v>3.9464009510000002</v>
      </c>
      <c r="AW398" s="6">
        <f>[1]Emissions!AV850</f>
        <v>3.9962197100000001</v>
      </c>
      <c r="AX398" s="6">
        <f>[1]Emissions!AW850</f>
        <v>4.0468451679999999</v>
      </c>
      <c r="AY398" s="6">
        <f>[1]Emissions!AX850</f>
        <v>4.0982106570000001</v>
      </c>
      <c r="AZ398" s="6">
        <f>[1]Emissions!AY850</f>
        <v>4.1502809450000004</v>
      </c>
      <c r="BA398" s="6">
        <f>[1]Emissions!AZ850</f>
        <v>4.2030294990000003</v>
      </c>
      <c r="BB398" s="6">
        <f>[1]Emissions!BA850</f>
        <v>5.2745794760000004</v>
      </c>
      <c r="BC398" s="6">
        <f>[1]Emissions!BB850</f>
        <v>5.3645123290000001</v>
      </c>
      <c r="BD398" s="6">
        <f>[1]Emissions!BC850</f>
        <v>5.4558339399999998</v>
      </c>
      <c r="BE398" s="6">
        <f>[1]Emissions!BD850</f>
        <v>5.5485816579999998</v>
      </c>
      <c r="BF398" s="6">
        <f>[1]Emissions!BE850</f>
        <v>5.642790593</v>
      </c>
    </row>
    <row r="399" spans="1:58" x14ac:dyDescent="0.35">
      <c r="B399" s="6" t="str">
        <f>[1]Emissions!A852</f>
        <v>ems_ci_co2_scon_2</v>
      </c>
      <c r="C399" s="6">
        <f>[1]Emissions!B852</f>
        <v>7.6343222209999997</v>
      </c>
      <c r="D399" s="6">
        <f>[1]Emissions!C852</f>
        <v>7.5529656689999998</v>
      </c>
      <c r="E399" s="6">
        <f>[1]Emissions!D852</f>
        <v>7.469131322</v>
      </c>
      <c r="F399" s="6">
        <f>[1]Emissions!E852</f>
        <v>7.4125544730000001</v>
      </c>
      <c r="G399" s="6">
        <f>[1]Emissions!F852</f>
        <v>7.3964304360000002</v>
      </c>
      <c r="H399" s="6">
        <f>[1]Emissions!G852</f>
        <v>7.422615521</v>
      </c>
      <c r="I399" s="6">
        <f>[1]Emissions!H852</f>
        <v>7.4841091359999998</v>
      </c>
      <c r="J399" s="6">
        <f>[1]Emissions!I852</f>
        <v>7.5748247170000003</v>
      </c>
      <c r="K399" s="6">
        <f>[1]Emissions!J852</f>
        <v>7.689271218</v>
      </c>
      <c r="L399" s="6">
        <f>[1]Emissions!K852</f>
        <v>7.8228894149999997</v>
      </c>
      <c r="M399" s="6">
        <f>[1]Emissions!L852</f>
        <v>7.9773566259999997</v>
      </c>
      <c r="N399" s="6">
        <f>[1]Emissions!M852</f>
        <v>8.1445755060000007</v>
      </c>
      <c r="O399" s="6">
        <f>[1]Emissions!N852</f>
        <v>8.3210108690000002</v>
      </c>
      <c r="P399" s="6">
        <f>[1]Emissions!O852</f>
        <v>8.5042036729999992</v>
      </c>
      <c r="Q399" s="6">
        <f>[1]Emissions!P852</f>
        <v>8.6922278540000004</v>
      </c>
      <c r="R399" s="6">
        <f>[1]Emissions!Q852</f>
        <v>8.8835313419999995</v>
      </c>
      <c r="S399" s="6">
        <f>[1]Emissions!R852</f>
        <v>9.0764178589999993</v>
      </c>
      <c r="T399" s="6">
        <f>[1]Emissions!S852</f>
        <v>9.2697794529999999</v>
      </c>
      <c r="U399" s="6">
        <f>[1]Emissions!T852</f>
        <v>9.4629162840000003</v>
      </c>
      <c r="V399" s="6">
        <f>[1]Emissions!U852</f>
        <v>9.6554483169999994</v>
      </c>
      <c r="W399" s="6">
        <f>[1]Emissions!V852</f>
        <v>9.8430441260000006</v>
      </c>
      <c r="X399" s="6">
        <f>[1]Emissions!W852</f>
        <v>10.02938921</v>
      </c>
      <c r="Y399" s="6">
        <f>[1]Emissions!X852</f>
        <v>10.215344529999999</v>
      </c>
      <c r="Z399" s="6">
        <f>[1]Emissions!Y852</f>
        <v>10.40141762</v>
      </c>
      <c r="AA399" s="6">
        <f>[1]Emissions!Z852</f>
        <v>10.58805212</v>
      </c>
      <c r="AB399" s="6">
        <f>[1]Emissions!AA852</f>
        <v>10.76339967</v>
      </c>
      <c r="AC399" s="6">
        <f>[1]Emissions!AB852</f>
        <v>10.932852649999999</v>
      </c>
      <c r="AD399" s="6">
        <f>[1]Emissions!AC852</f>
        <v>11.09796322</v>
      </c>
      <c r="AE399" s="6">
        <f>[1]Emissions!AD852</f>
        <v>11.259808789999999</v>
      </c>
      <c r="AF399" s="6">
        <f>[1]Emissions!AE852</f>
        <v>11.41932948</v>
      </c>
      <c r="AG399" s="6">
        <f>[1]Emissions!AF852</f>
        <v>11.57736115</v>
      </c>
      <c r="AH399" s="6">
        <f>[1]Emissions!AG852</f>
        <v>11.734756709999999</v>
      </c>
      <c r="AI399" s="6">
        <f>[1]Emissions!AH852</f>
        <v>11.89220935</v>
      </c>
      <c r="AJ399" s="6">
        <f>[1]Emissions!AI852</f>
        <v>12.050281050000001</v>
      </c>
      <c r="AK399" s="6">
        <f>[1]Emissions!AJ852</f>
        <v>12.209406169999999</v>
      </c>
      <c r="AL399" s="6">
        <f>[1]Emissions!AK852</f>
        <v>12.36989464</v>
      </c>
      <c r="AM399" s="6">
        <f>[1]Emissions!AL852</f>
        <v>12.529895420000001</v>
      </c>
      <c r="AN399" s="6">
        <f>[1]Emissions!AM852</f>
        <v>12.68933449</v>
      </c>
      <c r="AO399" s="6">
        <f>[1]Emissions!AN852</f>
        <v>12.84822439</v>
      </c>
      <c r="AP399" s="6">
        <f>[1]Emissions!AO852</f>
        <v>13.0065195</v>
      </c>
      <c r="AQ399" s="6">
        <f>[1]Emissions!AP852</f>
        <v>13.164142630000001</v>
      </c>
      <c r="AR399" s="6">
        <f>[1]Emissions!AQ852</f>
        <v>13.321160839999999</v>
      </c>
      <c r="AS399" s="6">
        <f>[1]Emissions!AR852</f>
        <v>13.47754845</v>
      </c>
      <c r="AT399" s="6">
        <f>[1]Emissions!AS852</f>
        <v>13.633245130000001</v>
      </c>
      <c r="AU399" s="6">
        <f>[1]Emissions!AT852</f>
        <v>13.78817939</v>
      </c>
      <c r="AV399" s="6">
        <f>[1]Emissions!AU852</f>
        <v>13.942282730000001</v>
      </c>
      <c r="AW399" s="6">
        <f>[1]Emissions!AV852</f>
        <v>14.096261419999999</v>
      </c>
      <c r="AX399" s="6">
        <f>[1]Emissions!AW852</f>
        <v>14.25025889</v>
      </c>
      <c r="AY399" s="6">
        <f>[1]Emissions!AX852</f>
        <v>14.404222580000001</v>
      </c>
      <c r="AZ399" s="6">
        <f>[1]Emissions!AY852</f>
        <v>14.55801982</v>
      </c>
      <c r="BA399" s="6">
        <f>[1]Emissions!AZ852</f>
        <v>14.711508630000001</v>
      </c>
      <c r="BB399" s="6">
        <f>[1]Emissions!BA852</f>
        <v>23.246582029999999</v>
      </c>
      <c r="BC399" s="6">
        <f>[1]Emissions!BB852</f>
        <v>23.652213870000001</v>
      </c>
      <c r="BD399" s="6">
        <f>[1]Emissions!BC852</f>
        <v>24.054386350000001</v>
      </c>
      <c r="BE399" s="6">
        <f>[1]Emissions!BD852</f>
        <v>24.453275439999999</v>
      </c>
      <c r="BF399" s="6">
        <f>[1]Emissions!BE852</f>
        <v>24.84906221</v>
      </c>
    </row>
    <row r="400" spans="1:58" x14ac:dyDescent="0.35">
      <c r="B400" s="6" t="str">
        <f>[1]Emissions!A854</f>
        <v>ems_ci_co2_srai_2</v>
      </c>
      <c r="C400" s="6">
        <f>[1]Emissions!B854</f>
        <v>1.707963363</v>
      </c>
      <c r="D400" s="6">
        <f>[1]Emissions!C854</f>
        <v>1.7153174360000001</v>
      </c>
      <c r="E400" s="6">
        <f>[1]Emissions!D854</f>
        <v>1.7276471499999999</v>
      </c>
      <c r="F400" s="6">
        <f>[1]Emissions!E854</f>
        <v>1.742843602</v>
      </c>
      <c r="G400" s="6">
        <f>[1]Emissions!F854</f>
        <v>1.760503841</v>
      </c>
      <c r="H400" s="6">
        <f>[1]Emissions!G854</f>
        <v>1.780373746</v>
      </c>
      <c r="I400" s="6">
        <f>[1]Emissions!H854</f>
        <v>1.8011952120000001</v>
      </c>
      <c r="J400" s="6">
        <f>[1]Emissions!I854</f>
        <v>1.8231829500000001</v>
      </c>
      <c r="K400" s="6">
        <f>[1]Emissions!J854</f>
        <v>1.846209588</v>
      </c>
      <c r="L400" s="6">
        <f>[1]Emissions!K854</f>
        <v>1.870087265</v>
      </c>
      <c r="M400" s="6">
        <f>[1]Emissions!L854</f>
        <v>1.896256189</v>
      </c>
      <c r="N400" s="6">
        <f>[1]Emissions!M854</f>
        <v>1.921935664</v>
      </c>
      <c r="O400" s="6">
        <f>[1]Emissions!N854</f>
        <v>1.9476939559999999</v>
      </c>
      <c r="P400" s="6">
        <f>[1]Emissions!O854</f>
        <v>1.9736102870000001</v>
      </c>
      <c r="Q400" s="6">
        <f>[1]Emissions!P854</f>
        <v>1.999670893</v>
      </c>
      <c r="R400" s="6">
        <f>[1]Emissions!Q854</f>
        <v>2.0258595220000002</v>
      </c>
      <c r="S400" s="6">
        <f>[1]Emissions!R854</f>
        <v>2.0520409540000002</v>
      </c>
      <c r="T400" s="6">
        <f>[1]Emissions!S854</f>
        <v>2.078315307</v>
      </c>
      <c r="U400" s="6">
        <f>[1]Emissions!T854</f>
        <v>2.1047208560000001</v>
      </c>
      <c r="V400" s="6">
        <f>[1]Emissions!U854</f>
        <v>2.1312866509999999</v>
      </c>
      <c r="W400" s="6">
        <f>[1]Emissions!V854</f>
        <v>2.1568562600000001</v>
      </c>
      <c r="X400" s="6">
        <f>[1]Emissions!W854</f>
        <v>2.1832942160000002</v>
      </c>
      <c r="Y400" s="6">
        <f>[1]Emissions!X854</f>
        <v>2.2101904110000001</v>
      </c>
      <c r="Z400" s="6">
        <f>[1]Emissions!Y854</f>
        <v>2.2374651270000001</v>
      </c>
      <c r="AA400" s="6">
        <f>[1]Emissions!Z854</f>
        <v>2.2651142050000002</v>
      </c>
      <c r="AB400" s="6">
        <f>[1]Emissions!AA854</f>
        <v>2.2897550400000002</v>
      </c>
      <c r="AC400" s="6">
        <f>[1]Emissions!AB854</f>
        <v>2.3150943590000002</v>
      </c>
      <c r="AD400" s="6">
        <f>[1]Emissions!AC854</f>
        <v>2.3407127189999999</v>
      </c>
      <c r="AE400" s="6">
        <f>[1]Emissions!AD854</f>
        <v>2.3665839590000002</v>
      </c>
      <c r="AF400" s="6">
        <f>[1]Emissions!AE854</f>
        <v>2.3927642210000002</v>
      </c>
      <c r="AG400" s="6">
        <f>[1]Emissions!AF854</f>
        <v>2.4193134230000002</v>
      </c>
      <c r="AH400" s="6">
        <f>[1]Emissions!AG854</f>
        <v>2.4463075700000001</v>
      </c>
      <c r="AI400" s="6">
        <f>[1]Emissions!AH854</f>
        <v>2.4737581739999999</v>
      </c>
      <c r="AJ400" s="6">
        <f>[1]Emissions!AI854</f>
        <v>2.5016795709999999</v>
      </c>
      <c r="AK400" s="6">
        <f>[1]Emissions!AJ854</f>
        <v>2.5300797140000002</v>
      </c>
      <c r="AL400" s="6">
        <f>[1]Emissions!AK854</f>
        <v>2.5589606979999999</v>
      </c>
      <c r="AM400" s="6">
        <f>[1]Emissions!AL854</f>
        <v>2.5877709119999999</v>
      </c>
      <c r="AN400" s="6">
        <f>[1]Emissions!AM854</f>
        <v>2.6167611549999998</v>
      </c>
      <c r="AO400" s="6">
        <f>[1]Emissions!AN854</f>
        <v>2.646024465</v>
      </c>
      <c r="AP400" s="6">
        <f>[1]Emissions!AO854</f>
        <v>2.6756091400000002</v>
      </c>
      <c r="AQ400" s="6">
        <f>[1]Emissions!AP854</f>
        <v>2.7055491630000001</v>
      </c>
      <c r="AR400" s="6">
        <f>[1]Emissions!AQ854</f>
        <v>2.7359120219999999</v>
      </c>
      <c r="AS400" s="6">
        <f>[1]Emissions!AR854</f>
        <v>2.7666889970000001</v>
      </c>
      <c r="AT400" s="6">
        <f>[1]Emissions!AS854</f>
        <v>2.7978868530000001</v>
      </c>
      <c r="AU400" s="6">
        <f>[1]Emissions!AT854</f>
        <v>2.8295115860000002</v>
      </c>
      <c r="AV400" s="6">
        <f>[1]Emissions!AU854</f>
        <v>2.8615662309999998</v>
      </c>
      <c r="AW400" s="6">
        <f>[1]Emissions!AV854</f>
        <v>2.8942641820000001</v>
      </c>
      <c r="AX400" s="6">
        <f>[1]Emissions!AW854</f>
        <v>2.927470381</v>
      </c>
      <c r="AY400" s="6">
        <f>[1]Emissions!AX854</f>
        <v>2.9611483609999998</v>
      </c>
      <c r="AZ400" s="6">
        <f>[1]Emissions!AY854</f>
        <v>2.9952828970000001</v>
      </c>
      <c r="BA400" s="6">
        <f>[1]Emissions!AZ854</f>
        <v>3.0298645049999999</v>
      </c>
      <c r="BB400" s="6">
        <f>[1]Emissions!BA854</f>
        <v>3.575424505</v>
      </c>
      <c r="BC400" s="6">
        <f>[1]Emissions!BB854</f>
        <v>3.6299902319999999</v>
      </c>
      <c r="BD400" s="6">
        <f>[1]Emissions!BC854</f>
        <v>3.6854330360000001</v>
      </c>
      <c r="BE400" s="6">
        <f>[1]Emissions!BD854</f>
        <v>3.7417713899999998</v>
      </c>
      <c r="BF400" s="6">
        <f>[1]Emissions!BE854</f>
        <v>3.7990240829999999</v>
      </c>
    </row>
    <row r="401" spans="2:58" x14ac:dyDescent="0.35">
      <c r="B401" s="6" t="str">
        <f>[1]Emissions!A856</f>
        <v>ems_ci_co2_sroa_2</v>
      </c>
      <c r="C401" s="6">
        <f>[1]Emissions!B856</f>
        <v>17.05309493</v>
      </c>
      <c r="D401" s="6">
        <f>[1]Emissions!C856</f>
        <v>17.129389740000001</v>
      </c>
      <c r="E401" s="6">
        <f>[1]Emissions!D856</f>
        <v>17.255722429999999</v>
      </c>
      <c r="F401" s="6">
        <f>[1]Emissions!E856</f>
        <v>17.410305699999999</v>
      </c>
      <c r="G401" s="6">
        <f>[1]Emissions!F856</f>
        <v>17.588743489999999</v>
      </c>
      <c r="H401" s="6">
        <f>[1]Emissions!G856</f>
        <v>17.788413819999999</v>
      </c>
      <c r="I401" s="6">
        <f>[1]Emissions!H856</f>
        <v>17.99684366</v>
      </c>
      <c r="J401" s="6">
        <f>[1]Emissions!I856</f>
        <v>18.216336720000001</v>
      </c>
      <c r="K401" s="6">
        <f>[1]Emissions!J856</f>
        <v>18.445777190000001</v>
      </c>
      <c r="L401" s="6">
        <f>[1]Emissions!K856</f>
        <v>18.683419839999999</v>
      </c>
      <c r="M401" s="6">
        <f>[1]Emissions!L856</f>
        <v>18.943730219999999</v>
      </c>
      <c r="N401" s="6">
        <f>[1]Emissions!M856</f>
        <v>19.199021250000001</v>
      </c>
      <c r="O401" s="6">
        <f>[1]Emissions!N856</f>
        <v>19.455053889999999</v>
      </c>
      <c r="P401" s="6">
        <f>[1]Emissions!O856</f>
        <v>19.712683250000001</v>
      </c>
      <c r="Q401" s="6">
        <f>[1]Emissions!P856</f>
        <v>19.971818129999999</v>
      </c>
      <c r="R401" s="6">
        <f>[1]Emissions!Q856</f>
        <v>20.232329329999999</v>
      </c>
      <c r="S401" s="6">
        <f>[1]Emissions!R856</f>
        <v>20.49289486</v>
      </c>
      <c r="T401" s="6">
        <f>[1]Emissions!S856</f>
        <v>20.75453302</v>
      </c>
      <c r="U401" s="6">
        <f>[1]Emissions!T856</f>
        <v>21.017634130000001</v>
      </c>
      <c r="V401" s="6">
        <f>[1]Emissions!U856</f>
        <v>21.282488239999999</v>
      </c>
      <c r="W401" s="6">
        <f>[1]Emissions!V856</f>
        <v>21.5375607</v>
      </c>
      <c r="X401" s="6">
        <f>[1]Emissions!W856</f>
        <v>21.80145602</v>
      </c>
      <c r="Y401" s="6">
        <f>[1]Emissions!X856</f>
        <v>22.07005663</v>
      </c>
      <c r="Z401" s="6">
        <f>[1]Emissions!Y856</f>
        <v>22.342545179999998</v>
      </c>
      <c r="AA401" s="6">
        <f>[1]Emissions!Z856</f>
        <v>22.618861519999999</v>
      </c>
      <c r="AB401" s="6">
        <f>[1]Emissions!AA856</f>
        <v>22.86526439</v>
      </c>
      <c r="AC401" s="6">
        <f>[1]Emissions!AB856</f>
        <v>23.118764519999999</v>
      </c>
      <c r="AD401" s="6">
        <f>[1]Emissions!AC856</f>
        <v>23.3751511</v>
      </c>
      <c r="AE401" s="6">
        <f>[1]Emissions!AD856</f>
        <v>23.634137129999999</v>
      </c>
      <c r="AF401" s="6">
        <f>[1]Emissions!AE856</f>
        <v>23.89625981</v>
      </c>
      <c r="AG401" s="6">
        <f>[1]Emissions!AF856</f>
        <v>24.16209714</v>
      </c>
      <c r="AH401" s="6">
        <f>[1]Emissions!AG856</f>
        <v>24.432389400000002</v>
      </c>
      <c r="AI401" s="6">
        <f>[1]Emissions!AH856</f>
        <v>24.70723551</v>
      </c>
      <c r="AJ401" s="6">
        <f>[1]Emissions!AI856</f>
        <v>24.986765699999999</v>
      </c>
      <c r="AK401" s="6">
        <f>[1]Emissions!AJ856</f>
        <v>25.271049399999999</v>
      </c>
      <c r="AL401" s="6">
        <f>[1]Emissions!AK856</f>
        <v>25.560100469999998</v>
      </c>
      <c r="AM401" s="6">
        <f>[1]Emissions!AL856</f>
        <v>25.848407569999999</v>
      </c>
      <c r="AN401" s="6">
        <f>[1]Emissions!AM856</f>
        <v>26.13847745</v>
      </c>
      <c r="AO401" s="6">
        <f>[1]Emissions!AN856</f>
        <v>26.431242690000001</v>
      </c>
      <c r="AP401" s="6">
        <f>[1]Emissions!AO856</f>
        <v>26.72718953</v>
      </c>
      <c r="AQ401" s="6">
        <f>[1]Emissions!AP856</f>
        <v>27.02666116</v>
      </c>
      <c r="AR401" s="6">
        <f>[1]Emissions!AQ856</f>
        <v>27.330333639999999</v>
      </c>
      <c r="AS401" s="6">
        <f>[1]Emissions!AR856</f>
        <v>27.63812184</v>
      </c>
      <c r="AT401" s="6">
        <f>[1]Emissions!AS856</f>
        <v>27.9500958</v>
      </c>
      <c r="AU401" s="6">
        <f>[1]Emissions!AT856</f>
        <v>28.266318250000001</v>
      </c>
      <c r="AV401" s="6">
        <f>[1]Emissions!AU856</f>
        <v>28.586822359999999</v>
      </c>
      <c r="AW401" s="6">
        <f>[1]Emissions!AV856</f>
        <v>28.913736270000001</v>
      </c>
      <c r="AX401" s="6">
        <f>[1]Emissions!AW856</f>
        <v>29.24570915</v>
      </c>
      <c r="AY401" s="6">
        <f>[1]Emissions!AX856</f>
        <v>29.582378670000001</v>
      </c>
      <c r="AZ401" s="6">
        <f>[1]Emissions!AY856</f>
        <v>29.923597090000001</v>
      </c>
      <c r="BA401" s="6">
        <f>[1]Emissions!AZ856</f>
        <v>30.269274800000002</v>
      </c>
      <c r="BB401" s="6">
        <f>[1]Emissions!BA856</f>
        <v>35.672975299999997</v>
      </c>
      <c r="BC401" s="6">
        <f>[1]Emissions!BB856</f>
        <v>36.217518470000002</v>
      </c>
      <c r="BD401" s="6">
        <f>[1]Emissions!BC856</f>
        <v>36.770833889999999</v>
      </c>
      <c r="BE401" s="6">
        <f>[1]Emissions!BD856</f>
        <v>37.33310058</v>
      </c>
      <c r="BF401" s="6">
        <f>[1]Emissions!BE856</f>
        <v>37.904501580000002</v>
      </c>
    </row>
    <row r="402" spans="2:58" x14ac:dyDescent="0.35">
      <c r="B402" s="6" t="str">
        <f>[1]Emissions!A858</f>
        <v>ems_ci_co2_swat_2</v>
      </c>
      <c r="C402" s="6">
        <f>[1]Emissions!B858</f>
        <v>3.6257118940000002</v>
      </c>
      <c r="D402" s="6">
        <f>[1]Emissions!C858</f>
        <v>3.6496775700000001</v>
      </c>
      <c r="E402" s="6">
        <f>[1]Emissions!D858</f>
        <v>3.7002722810000002</v>
      </c>
      <c r="F402" s="6">
        <f>[1]Emissions!E858</f>
        <v>3.7561651139999999</v>
      </c>
      <c r="G402" s="6">
        <f>[1]Emissions!F858</f>
        <v>3.814395712</v>
      </c>
      <c r="H402" s="6">
        <f>[1]Emissions!G858</f>
        <v>3.8740416</v>
      </c>
      <c r="I402" s="6">
        <f>[1]Emissions!H858</f>
        <v>3.9308433960000002</v>
      </c>
      <c r="J402" s="6">
        <f>[1]Emissions!I858</f>
        <v>3.9875311560000002</v>
      </c>
      <c r="K402" s="6">
        <f>[1]Emissions!J858</f>
        <v>4.0441631740000004</v>
      </c>
      <c r="L402" s="6">
        <f>[1]Emissions!K858</f>
        <v>4.1005840060000001</v>
      </c>
      <c r="M402" s="6">
        <f>[1]Emissions!L858</f>
        <v>4.1625727189999999</v>
      </c>
      <c r="N402" s="6">
        <f>[1]Emissions!M858</f>
        <v>4.2179890960000002</v>
      </c>
      <c r="O402" s="6">
        <f>[1]Emissions!N858</f>
        <v>4.272320219</v>
      </c>
      <c r="P402" s="6">
        <f>[1]Emissions!O858</f>
        <v>4.3262398969999998</v>
      </c>
      <c r="Q402" s="6">
        <f>[1]Emissions!P858</f>
        <v>4.3798839559999996</v>
      </c>
      <c r="R402" s="6">
        <f>[1]Emissions!Q858</f>
        <v>4.4333473330000004</v>
      </c>
      <c r="S402" s="6">
        <f>[1]Emissions!R858</f>
        <v>4.4858154289999996</v>
      </c>
      <c r="T402" s="6">
        <f>[1]Emissions!S858</f>
        <v>4.5382659859999999</v>
      </c>
      <c r="U402" s="6">
        <f>[1]Emissions!T858</f>
        <v>4.590932789</v>
      </c>
      <c r="V402" s="6">
        <f>[1]Emissions!U858</f>
        <v>4.6439652630000001</v>
      </c>
      <c r="W402" s="6">
        <f>[1]Emissions!V858</f>
        <v>4.6932516590000004</v>
      </c>
      <c r="X402" s="6">
        <f>[1]Emissions!W858</f>
        <v>4.7470278339999998</v>
      </c>
      <c r="Y402" s="6">
        <f>[1]Emissions!X858</f>
        <v>4.8020213419999997</v>
      </c>
      <c r="Z402" s="6">
        <f>[1]Emissions!Y858</f>
        <v>4.8579493310000004</v>
      </c>
      <c r="AA402" s="6">
        <f>[1]Emissions!Z858</f>
        <v>4.914867664</v>
      </c>
      <c r="AB402" s="6">
        <f>[1]Emissions!AA858</f>
        <v>4.9607756820000004</v>
      </c>
      <c r="AC402" s="6">
        <f>[1]Emissions!AB858</f>
        <v>5.0134081110000004</v>
      </c>
      <c r="AD402" s="6">
        <f>[1]Emissions!AC858</f>
        <v>5.0679274669999996</v>
      </c>
      <c r="AE402" s="6">
        <f>[1]Emissions!AD858</f>
        <v>5.1238227470000002</v>
      </c>
      <c r="AF402" s="6">
        <f>[1]Emissions!AE858</f>
        <v>5.1810746630000004</v>
      </c>
      <c r="AG402" s="6">
        <f>[1]Emissions!AF858</f>
        <v>5.2397081600000002</v>
      </c>
      <c r="AH402" s="6">
        <f>[1]Emissions!AG858</f>
        <v>5.2999464060000001</v>
      </c>
      <c r="AI402" s="6">
        <f>[1]Emissions!AH858</f>
        <v>5.3616063040000004</v>
      </c>
      <c r="AJ402" s="6">
        <f>[1]Emissions!AI858</f>
        <v>5.4246596140000003</v>
      </c>
      <c r="AK402" s="6">
        <f>[1]Emissions!AJ858</f>
        <v>5.4890881059999996</v>
      </c>
      <c r="AL402" s="6">
        <f>[1]Emissions!AK858</f>
        <v>5.5548686260000002</v>
      </c>
      <c r="AM402" s="6">
        <f>[1]Emissions!AL858</f>
        <v>5.6209199129999998</v>
      </c>
      <c r="AN402" s="6">
        <f>[1]Emissions!AM858</f>
        <v>5.6880911870000004</v>
      </c>
      <c r="AO402" s="6">
        <f>[1]Emissions!AN858</f>
        <v>5.7564570210000001</v>
      </c>
      <c r="AP402" s="6">
        <f>[1]Emissions!AO858</f>
        <v>5.826004009</v>
      </c>
      <c r="AQ402" s="6">
        <f>[1]Emissions!AP858</f>
        <v>5.8967113070000003</v>
      </c>
      <c r="AR402" s="6">
        <f>[1]Emissions!AQ858</f>
        <v>5.9688491770000001</v>
      </c>
      <c r="AS402" s="6">
        <f>[1]Emissions!AR858</f>
        <v>6.0421366790000004</v>
      </c>
      <c r="AT402" s="6">
        <f>[1]Emissions!AS858</f>
        <v>6.1165264659999998</v>
      </c>
      <c r="AU402" s="6">
        <f>[1]Emissions!AT858</f>
        <v>6.1920000650000002</v>
      </c>
      <c r="AV402" s="6">
        <f>[1]Emissions!AU858</f>
        <v>6.26854405</v>
      </c>
      <c r="AW402" s="6">
        <f>[1]Emissions!AV858</f>
        <v>6.3473870129999996</v>
      </c>
      <c r="AX402" s="6">
        <f>[1]Emissions!AW858</f>
        <v>6.4274025589999999</v>
      </c>
      <c r="AY402" s="6">
        <f>[1]Emissions!AX858</f>
        <v>6.5084514259999997</v>
      </c>
      <c r="AZ402" s="6">
        <f>[1]Emissions!AY858</f>
        <v>6.5905136249999998</v>
      </c>
      <c r="BA402" s="6">
        <f>[1]Emissions!AZ858</f>
        <v>6.6735870869999996</v>
      </c>
      <c r="BB402" s="6">
        <f>[1]Emissions!BA858</f>
        <v>8.6662657089999993</v>
      </c>
      <c r="BC402" s="6">
        <f>[1]Emissions!BB858</f>
        <v>8.818578381</v>
      </c>
      <c r="BD402" s="6">
        <f>[1]Emissions!BC858</f>
        <v>8.9739205159999997</v>
      </c>
      <c r="BE402" s="6">
        <f>[1]Emissions!BD858</f>
        <v>9.1323441750000001</v>
      </c>
      <c r="BF402" s="6">
        <f>[1]Emissions!BE858</f>
        <v>9.2938972399999997</v>
      </c>
    </row>
    <row r="403" spans="2:58" x14ac:dyDescent="0.35">
      <c r="B403" s="6" t="str">
        <f>[1]Emissions!A860</f>
        <v>ems_ci_co2_sair_2</v>
      </c>
      <c r="C403" s="6">
        <f>[1]Emissions!B860</f>
        <v>18.709301419999999</v>
      </c>
      <c r="D403" s="6">
        <f>[1]Emissions!C860</f>
        <v>18.842241340000001</v>
      </c>
      <c r="E403" s="6">
        <f>[1]Emissions!D860</f>
        <v>19.064570920000001</v>
      </c>
      <c r="F403" s="6">
        <f>[1]Emissions!E860</f>
        <v>19.321009190000002</v>
      </c>
      <c r="G403" s="6">
        <f>[1]Emissions!F860</f>
        <v>19.60506342</v>
      </c>
      <c r="H403" s="6">
        <f>[1]Emissions!G860</f>
        <v>19.915126959999998</v>
      </c>
      <c r="I403" s="6">
        <f>[1]Emissions!H860</f>
        <v>20.23361951</v>
      </c>
      <c r="J403" s="6">
        <f>[1]Emissions!I860</f>
        <v>20.566791439999999</v>
      </c>
      <c r="K403" s="6">
        <f>[1]Emissions!J860</f>
        <v>20.913521299999999</v>
      </c>
      <c r="L403" s="6">
        <f>[1]Emissions!K860</f>
        <v>21.271565549999998</v>
      </c>
      <c r="M403" s="6">
        <f>[1]Emissions!L860</f>
        <v>21.664519210000002</v>
      </c>
      <c r="N403" s="6">
        <f>[1]Emissions!M860</f>
        <v>22.046655099999999</v>
      </c>
      <c r="O403" s="6">
        <f>[1]Emissions!N860</f>
        <v>22.430208589999999</v>
      </c>
      <c r="P403" s="6">
        <f>[1]Emissions!O860</f>
        <v>22.81634451</v>
      </c>
      <c r="Q403" s="6">
        <f>[1]Emissions!P860</f>
        <v>23.204906699999999</v>
      </c>
      <c r="R403" s="6">
        <f>[1]Emissions!Q860</f>
        <v>23.595810650000001</v>
      </c>
      <c r="S403" s="6">
        <f>[1]Emissions!R860</f>
        <v>23.98642667</v>
      </c>
      <c r="T403" s="6">
        <f>[1]Emissions!S860</f>
        <v>24.379233450000001</v>
      </c>
      <c r="U403" s="6">
        <f>[1]Emissions!T860</f>
        <v>24.77495717</v>
      </c>
      <c r="V403" s="6">
        <f>[1]Emissions!U860</f>
        <v>25.174138429999999</v>
      </c>
      <c r="W403" s="6">
        <f>[1]Emissions!V860</f>
        <v>25.557958920000001</v>
      </c>
      <c r="X403" s="6">
        <f>[1]Emissions!W860</f>
        <v>25.957591399999998</v>
      </c>
      <c r="Y403" s="6">
        <f>[1]Emissions!X860</f>
        <v>26.36517405</v>
      </c>
      <c r="Z403" s="6">
        <f>[1]Emissions!Y860</f>
        <v>26.779820789999999</v>
      </c>
      <c r="AA403" s="6">
        <f>[1]Emissions!Z860</f>
        <v>27.20165879</v>
      </c>
      <c r="AB403" s="6">
        <f>[1]Emissions!AA860</f>
        <v>27.574943470000001</v>
      </c>
      <c r="AC403" s="6">
        <f>[1]Emissions!AB860</f>
        <v>27.962619870000001</v>
      </c>
      <c r="AD403" s="6">
        <f>[1]Emissions!AC860</f>
        <v>28.35515204</v>
      </c>
      <c r="AE403" s="6">
        <f>[1]Emissions!AD860</f>
        <v>28.752540799999998</v>
      </c>
      <c r="AF403" s="6">
        <f>[1]Emissions!AE860</f>
        <v>29.156000909999999</v>
      </c>
      <c r="AG403" s="6">
        <f>[1]Emissions!AF860</f>
        <v>29.56667813</v>
      </c>
      <c r="AH403" s="6">
        <f>[1]Emissions!AG860</f>
        <v>29.986068790000001</v>
      </c>
      <c r="AI403" s="6">
        <f>[1]Emissions!AH860</f>
        <v>30.41429772</v>
      </c>
      <c r="AJ403" s="6">
        <f>[1]Emissions!AI860</f>
        <v>30.851675610000001</v>
      </c>
      <c r="AK403" s="6">
        <f>[1]Emissions!AJ860</f>
        <v>31.298401370000001</v>
      </c>
      <c r="AL403" s="6">
        <f>[1]Emissions!AK860</f>
        <v>31.754570430000001</v>
      </c>
      <c r="AM403" s="6">
        <f>[1]Emissions!AL860</f>
        <v>32.212085020000004</v>
      </c>
      <c r="AN403" s="6">
        <f>[1]Emissions!AM860</f>
        <v>32.67419331</v>
      </c>
      <c r="AO403" s="6">
        <f>[1]Emissions!AN860</f>
        <v>33.142234360000003</v>
      </c>
      <c r="AP403" s="6">
        <f>[1]Emissions!AO860</f>
        <v>33.6170756</v>
      </c>
      <c r="AQ403" s="6">
        <f>[1]Emissions!AP860</f>
        <v>34.099406180000003</v>
      </c>
      <c r="AR403" s="6">
        <f>[1]Emissions!AQ860</f>
        <v>34.590667349999997</v>
      </c>
      <c r="AS403" s="6">
        <f>[1]Emissions!AR860</f>
        <v>35.090626479999997</v>
      </c>
      <c r="AT403" s="6">
        <f>[1]Emissions!AS860</f>
        <v>35.599501420000003</v>
      </c>
      <c r="AU403" s="6">
        <f>[1]Emissions!AT860</f>
        <v>36.117482340000002</v>
      </c>
      <c r="AV403" s="6">
        <f>[1]Emissions!AU860</f>
        <v>36.644692460000002</v>
      </c>
      <c r="AW403" s="6">
        <f>[1]Emissions!AV860</f>
        <v>37.185452640000001</v>
      </c>
      <c r="AX403" s="6">
        <f>[1]Emissions!AW860</f>
        <v>37.736879029999997</v>
      </c>
      <c r="AY403" s="6">
        <f>[1]Emissions!AX860</f>
        <v>38.298475770000003</v>
      </c>
      <c r="AZ403" s="6">
        <f>[1]Emissions!AY860</f>
        <v>38.870068410000002</v>
      </c>
      <c r="BA403" s="6">
        <f>[1]Emissions!AZ860</f>
        <v>39.45154488</v>
      </c>
      <c r="BB403" s="6">
        <f>[1]Emissions!BA860</f>
        <v>48.979044649999999</v>
      </c>
      <c r="BC403" s="6">
        <f>[1]Emissions!BB860</f>
        <v>49.925197480000001</v>
      </c>
      <c r="BD403" s="6">
        <f>[1]Emissions!BC860</f>
        <v>50.890454120000001</v>
      </c>
      <c r="BE403" s="6">
        <f>[1]Emissions!BD860</f>
        <v>51.87530229</v>
      </c>
      <c r="BF403" s="6">
        <f>[1]Emissions!BE860</f>
        <v>52.880249550000002</v>
      </c>
    </row>
    <row r="404" spans="2:58" x14ac:dyDescent="0.35">
      <c r="B404" s="6" t="str">
        <f>[1]Emissions!A862</f>
        <v>ems_ci_co2_spri_2</v>
      </c>
      <c r="C404" s="6">
        <f>[1]Emissions!B862</f>
        <v>30.724554000000001</v>
      </c>
      <c r="D404" s="6">
        <f>[1]Emissions!C862</f>
        <v>30.730618119999999</v>
      </c>
      <c r="E404" s="6">
        <f>[1]Emissions!D862</f>
        <v>30.82463933</v>
      </c>
      <c r="F404" s="6">
        <f>[1]Emissions!E862</f>
        <v>30.993776929999999</v>
      </c>
      <c r="G404" s="6">
        <f>[1]Emissions!F862</f>
        <v>31.240416209999999</v>
      </c>
      <c r="H404" s="6">
        <f>[1]Emissions!G862</f>
        <v>31.562027659999998</v>
      </c>
      <c r="I404" s="6">
        <f>[1]Emissions!H862</f>
        <v>31.932730230000001</v>
      </c>
      <c r="J404" s="6">
        <f>[1]Emissions!I862</f>
        <v>32.350236099999996</v>
      </c>
      <c r="K404" s="6">
        <f>[1]Emissions!J862</f>
        <v>32.807828039999997</v>
      </c>
      <c r="L404" s="6">
        <f>[1]Emissions!K862</f>
        <v>33.2984486</v>
      </c>
      <c r="M404" s="6">
        <f>[1]Emissions!L862</f>
        <v>33.846465670000001</v>
      </c>
      <c r="N404" s="6">
        <f>[1]Emissions!M862</f>
        <v>34.401385900000001</v>
      </c>
      <c r="O404" s="6">
        <f>[1]Emissions!N862</f>
        <v>34.967086469999998</v>
      </c>
      <c r="P404" s="6">
        <f>[1]Emissions!O862</f>
        <v>35.542149479999999</v>
      </c>
      <c r="Q404" s="6">
        <f>[1]Emissions!P862</f>
        <v>36.124373460000001</v>
      </c>
      <c r="R404" s="6">
        <f>[1]Emissions!Q862</f>
        <v>36.711913119999998</v>
      </c>
      <c r="S404" s="6">
        <f>[1]Emissions!R862</f>
        <v>37.30108224</v>
      </c>
      <c r="T404" s="6">
        <f>[1]Emissions!S862</f>
        <v>37.892100849999999</v>
      </c>
      <c r="U404" s="6">
        <f>[1]Emissions!T862</f>
        <v>38.484769729999996</v>
      </c>
      <c r="V404" s="6">
        <f>[1]Emissions!U862</f>
        <v>39.079040380000002</v>
      </c>
      <c r="W404" s="6">
        <f>[1]Emissions!V862</f>
        <v>39.652247549999998</v>
      </c>
      <c r="X404" s="6">
        <f>[1]Emissions!W862</f>
        <v>40.236587370000002</v>
      </c>
      <c r="Y404" s="6">
        <f>[1]Emissions!X862</f>
        <v>40.827182739999998</v>
      </c>
      <c r="Z404" s="6">
        <f>[1]Emissions!Y862</f>
        <v>41.4231573</v>
      </c>
      <c r="AA404" s="6">
        <f>[1]Emissions!Z862</f>
        <v>42.024665519999999</v>
      </c>
      <c r="AB404" s="6">
        <f>[1]Emissions!AA862</f>
        <v>42.566381479999997</v>
      </c>
      <c r="AC404" s="6">
        <f>[1]Emissions!AB862</f>
        <v>43.110116189999999</v>
      </c>
      <c r="AD404" s="6">
        <f>[1]Emissions!AC862</f>
        <v>43.65251276</v>
      </c>
      <c r="AE404" s="6">
        <f>[1]Emissions!AD862</f>
        <v>44.194722749999997</v>
      </c>
      <c r="AF404" s="6">
        <f>[1]Emissions!AE862</f>
        <v>44.738901429999999</v>
      </c>
      <c r="AG404" s="6">
        <f>[1]Emissions!AF862</f>
        <v>45.287102529999999</v>
      </c>
      <c r="AH404" s="6">
        <f>[1]Emissions!AG862</f>
        <v>45.841551930000001</v>
      </c>
      <c r="AI404" s="6">
        <f>[1]Emissions!AH862</f>
        <v>46.403333799999999</v>
      </c>
      <c r="AJ404" s="6">
        <f>[1]Emissions!AI862</f>
        <v>46.97337873</v>
      </c>
      <c r="AK404" s="6">
        <f>[1]Emissions!AJ862</f>
        <v>47.552375769999998</v>
      </c>
      <c r="AL404" s="6">
        <f>[1]Emissions!AK862</f>
        <v>48.140801310000001</v>
      </c>
      <c r="AM404" s="6">
        <f>[1]Emissions!AL862</f>
        <v>48.727904879999997</v>
      </c>
      <c r="AN404" s="6">
        <f>[1]Emissions!AM862</f>
        <v>49.317697750000001</v>
      </c>
      <c r="AO404" s="6">
        <f>[1]Emissions!AN862</f>
        <v>49.912081960000002</v>
      </c>
      <c r="AP404" s="6">
        <f>[1]Emissions!AO862</f>
        <v>50.512221920000002</v>
      </c>
      <c r="AQ404" s="6">
        <f>[1]Emissions!AP862</f>
        <v>51.118997110000002</v>
      </c>
      <c r="AR404" s="6">
        <f>[1]Emissions!AQ862</f>
        <v>51.73385081</v>
      </c>
      <c r="AS404" s="6">
        <f>[1]Emissions!AR862</f>
        <v>52.356995220000002</v>
      </c>
      <c r="AT404" s="6">
        <f>[1]Emissions!AS862</f>
        <v>52.988739250000002</v>
      </c>
      <c r="AU404" s="6">
        <f>[1]Emissions!AT862</f>
        <v>53.629308719999997</v>
      </c>
      <c r="AV404" s="6">
        <f>[1]Emissions!AU862</f>
        <v>54.278834510000003</v>
      </c>
      <c r="AW404" s="6">
        <f>[1]Emissions!AV862</f>
        <v>54.941281949999997</v>
      </c>
      <c r="AX404" s="6">
        <f>[1]Emissions!AW862</f>
        <v>55.614978440000002</v>
      </c>
      <c r="AY404" s="6">
        <f>[1]Emissions!AX862</f>
        <v>56.299339439999997</v>
      </c>
      <c r="AZ404" s="6">
        <f>[1]Emissions!AY862</f>
        <v>56.993989149999997</v>
      </c>
      <c r="BA404" s="6">
        <f>[1]Emissions!AZ862</f>
        <v>57.698606550000001</v>
      </c>
      <c r="BB404" s="6">
        <f>[1]Emissions!BA862</f>
        <v>72.575607649999995</v>
      </c>
      <c r="BC404" s="6">
        <f>[1]Emissions!BB862</f>
        <v>73.768639559999997</v>
      </c>
      <c r="BD404" s="6">
        <f>[1]Emissions!BC862</f>
        <v>74.977568120000001</v>
      </c>
      <c r="BE404" s="6">
        <f>[1]Emissions!BD862</f>
        <v>76.2029991</v>
      </c>
      <c r="BF404" s="6">
        <f>[1]Emissions!BE862</f>
        <v>77.445539460000006</v>
      </c>
    </row>
    <row r="405" spans="2:58" x14ac:dyDescent="0.35">
      <c r="B405" s="6" t="str">
        <f>[1]Emissions!A864</f>
        <v>ems_ci_co2_spub_2</v>
      </c>
      <c r="C405" s="6">
        <f>[1]Emissions!B864</f>
        <v>14.28179675</v>
      </c>
      <c r="D405" s="6">
        <f>[1]Emissions!C864</f>
        <v>14.419363389999999</v>
      </c>
      <c r="E405" s="6">
        <f>[1]Emissions!D864</f>
        <v>14.57065208</v>
      </c>
      <c r="F405" s="6">
        <f>[1]Emissions!E864</f>
        <v>14.73326033</v>
      </c>
      <c r="G405" s="6">
        <f>[1]Emissions!F864</f>
        <v>14.911532319999999</v>
      </c>
      <c r="H405" s="6">
        <f>[1]Emissions!G864</f>
        <v>15.107438399999999</v>
      </c>
      <c r="I405" s="6">
        <f>[1]Emissions!H864</f>
        <v>15.308304680000001</v>
      </c>
      <c r="J405" s="6">
        <f>[1]Emissions!I864</f>
        <v>15.522273480000001</v>
      </c>
      <c r="K405" s="6">
        <f>[1]Emissions!J864</f>
        <v>15.748867779999999</v>
      </c>
      <c r="L405" s="6">
        <f>[1]Emissions!K864</f>
        <v>15.986643989999999</v>
      </c>
      <c r="M405" s="6">
        <f>[1]Emissions!L864</f>
        <v>16.255727780000001</v>
      </c>
      <c r="N405" s="6">
        <f>[1]Emissions!M864</f>
        <v>16.516444360000001</v>
      </c>
      <c r="O405" s="6">
        <f>[1]Emissions!N864</f>
        <v>16.782337080000001</v>
      </c>
      <c r="P405" s="6">
        <f>[1]Emissions!O864</f>
        <v>17.054267840000001</v>
      </c>
      <c r="Q405" s="6">
        <f>[1]Emissions!P864</f>
        <v>17.33164859</v>
      </c>
      <c r="R405" s="6">
        <f>[1]Emissions!Q864</f>
        <v>17.61384494</v>
      </c>
      <c r="S405" s="6">
        <f>[1]Emissions!R864</f>
        <v>17.900064350000001</v>
      </c>
      <c r="T405" s="6">
        <f>[1]Emissions!S864</f>
        <v>18.18992166</v>
      </c>
      <c r="U405" s="6">
        <f>[1]Emissions!T864</f>
        <v>18.483109379999998</v>
      </c>
      <c r="V405" s="6">
        <f>[1]Emissions!U864</f>
        <v>18.779419690000001</v>
      </c>
      <c r="W405" s="6">
        <f>[1]Emissions!V864</f>
        <v>19.06260271</v>
      </c>
      <c r="X405" s="6">
        <f>[1]Emissions!W864</f>
        <v>19.361271299999999</v>
      </c>
      <c r="Y405" s="6">
        <f>[1]Emissions!X864</f>
        <v>19.664522959999999</v>
      </c>
      <c r="Z405" s="6">
        <f>[1]Emissions!Y864</f>
        <v>19.971103599999999</v>
      </c>
      <c r="AA405" s="6">
        <f>[1]Emissions!Z864</f>
        <v>20.280978739999998</v>
      </c>
      <c r="AB405" s="6">
        <f>[1]Emissions!AA864</f>
        <v>20.54750288</v>
      </c>
      <c r="AC405" s="6">
        <f>[1]Emissions!AB864</f>
        <v>20.83184662</v>
      </c>
      <c r="AD405" s="6">
        <f>[1]Emissions!AC864</f>
        <v>21.119458720000001</v>
      </c>
      <c r="AE405" s="6">
        <f>[1]Emissions!AD864</f>
        <v>21.408888869999998</v>
      </c>
      <c r="AF405" s="6">
        <f>[1]Emissions!AE864</f>
        <v>21.700351189999999</v>
      </c>
      <c r="AG405" s="6">
        <f>[1]Emissions!AF864</f>
        <v>21.994246149999999</v>
      </c>
      <c r="AH405" s="6">
        <f>[1]Emissions!AG864</f>
        <v>22.291023450000001</v>
      </c>
      <c r="AI405" s="6">
        <f>[1]Emissions!AH864</f>
        <v>22.591030109999998</v>
      </c>
      <c r="AJ405" s="6">
        <f>[1]Emissions!AI864</f>
        <v>22.89457896</v>
      </c>
      <c r="AK405" s="6">
        <f>[1]Emissions!AJ864</f>
        <v>23.201941659999999</v>
      </c>
      <c r="AL405" s="6">
        <f>[1]Emissions!AK864</f>
        <v>23.513350450000001</v>
      </c>
      <c r="AM405" s="6">
        <f>[1]Emissions!AL864</f>
        <v>23.818207879999999</v>
      </c>
      <c r="AN405" s="6">
        <f>[1]Emissions!AM864</f>
        <v>24.125301010000001</v>
      </c>
      <c r="AO405" s="6">
        <f>[1]Emissions!AN864</f>
        <v>24.435847890000002</v>
      </c>
      <c r="AP405" s="6">
        <f>[1]Emissions!AO864</f>
        <v>24.750113769999999</v>
      </c>
      <c r="AQ405" s="6">
        <f>[1]Emissions!AP864</f>
        <v>25.068244029999999</v>
      </c>
      <c r="AR405" s="6">
        <f>[1]Emissions!AQ864</f>
        <v>25.390451809999998</v>
      </c>
      <c r="AS405" s="6">
        <f>[1]Emissions!AR864</f>
        <v>25.716849109999998</v>
      </c>
      <c r="AT405" s="6">
        <f>[1]Emissions!AS864</f>
        <v>26.04754372</v>
      </c>
      <c r="AU405" s="6">
        <f>[1]Emissions!AT864</f>
        <v>26.382628140000001</v>
      </c>
      <c r="AV405" s="6">
        <f>[1]Emissions!AU864</f>
        <v>26.722180940000001</v>
      </c>
      <c r="AW405" s="6">
        <f>[1]Emissions!AV864</f>
        <v>27.06757872</v>
      </c>
      <c r="AX405" s="6">
        <f>[1]Emissions!AW864</f>
        <v>27.41806712</v>
      </c>
      <c r="AY405" s="6">
        <f>[1]Emissions!AX864</f>
        <v>27.773587419999998</v>
      </c>
      <c r="AZ405" s="6">
        <f>[1]Emissions!AY864</f>
        <v>28.134143259999998</v>
      </c>
      <c r="BA405" s="6">
        <f>[1]Emissions!AZ864</f>
        <v>28.499735090000001</v>
      </c>
      <c r="BB405" s="6">
        <f>[1]Emissions!BA864</f>
        <v>33.704159480000001</v>
      </c>
      <c r="BC405" s="6">
        <f>[1]Emissions!BB864</f>
        <v>34.277441899999999</v>
      </c>
      <c r="BD405" s="6">
        <f>[1]Emissions!BC864</f>
        <v>34.858916180000001</v>
      </c>
      <c r="BE405" s="6">
        <f>[1]Emissions!BD864</f>
        <v>35.448836919999998</v>
      </c>
      <c r="BF405" s="6">
        <f>[1]Emissions!BE864</f>
        <v>36.047462230000001</v>
      </c>
    </row>
    <row r="406" spans="2:58" x14ac:dyDescent="0.35">
      <c r="B406" s="6" t="str">
        <f>[1]Emissions!A866</f>
        <v>ems_ci_co2_smin_2</v>
      </c>
      <c r="C406" s="6">
        <f>[1]Emissions!B866</f>
        <v>1.0271013929999999</v>
      </c>
      <c r="D406" s="6">
        <f>[1]Emissions!C866</f>
        <v>1.0291651340000001</v>
      </c>
      <c r="E406" s="6">
        <f>[1]Emissions!D866</f>
        <v>1.036762025</v>
      </c>
      <c r="F406" s="6">
        <f>[1]Emissions!E866</f>
        <v>1.0472180689999999</v>
      </c>
      <c r="G406" s="6">
        <f>[1]Emissions!F866</f>
        <v>1.059678125</v>
      </c>
      <c r="H406" s="6">
        <f>[1]Emissions!G866</f>
        <v>1.0736912590000001</v>
      </c>
      <c r="I406" s="6">
        <f>[1]Emissions!H866</f>
        <v>1.0883041929999999</v>
      </c>
      <c r="J406" s="6">
        <f>[1]Emissions!I866</f>
        <v>1.10357449</v>
      </c>
      <c r="K406" s="6">
        <f>[1]Emissions!J866</f>
        <v>1.119402563</v>
      </c>
      <c r="L406" s="6">
        <f>[1]Emissions!K866</f>
        <v>1.13566225</v>
      </c>
      <c r="M406" s="6">
        <f>[1]Emissions!L866</f>
        <v>1.1532803549999999</v>
      </c>
      <c r="N406" s="6">
        <f>[1]Emissions!M866</f>
        <v>1.1704741110000001</v>
      </c>
      <c r="O406" s="6">
        <f>[1]Emissions!N866</f>
        <v>1.187591579</v>
      </c>
      <c r="P406" s="6">
        <f>[1]Emissions!O866</f>
        <v>1.204718929</v>
      </c>
      <c r="Q406" s="6">
        <f>[1]Emissions!P866</f>
        <v>1.2218715389999999</v>
      </c>
      <c r="R406" s="6">
        <f>[1]Emissions!Q866</f>
        <v>1.2390575539999999</v>
      </c>
      <c r="S406" s="6">
        <f>[1]Emissions!R866</f>
        <v>1.2561835189999999</v>
      </c>
      <c r="T406" s="6">
        <f>[1]Emissions!S866</f>
        <v>1.273350137</v>
      </c>
      <c r="U406" s="6">
        <f>[1]Emissions!T866</f>
        <v>1.2906066519999999</v>
      </c>
      <c r="V406" s="6">
        <f>[1]Emissions!U866</f>
        <v>1.307990003</v>
      </c>
      <c r="W406" s="6">
        <f>[1]Emissions!V866</f>
        <v>1.324773231</v>
      </c>
      <c r="X406" s="6">
        <f>[1]Emissions!W866</f>
        <v>1.342150457</v>
      </c>
      <c r="Y406" s="6">
        <f>[1]Emissions!X866</f>
        <v>1.359904953</v>
      </c>
      <c r="Z406" s="6">
        <f>[1]Emissions!Y866</f>
        <v>1.3779843060000001</v>
      </c>
      <c r="AA406" s="6">
        <f>[1]Emissions!Z866</f>
        <v>1.3963879809999999</v>
      </c>
      <c r="AB406" s="6">
        <f>[1]Emissions!AA866</f>
        <v>1.4129503880000001</v>
      </c>
      <c r="AC406" s="6">
        <f>[1]Emissions!AB866</f>
        <v>1.43001014</v>
      </c>
      <c r="AD406" s="6">
        <f>[1]Emissions!AC866</f>
        <v>1.4473711069999999</v>
      </c>
      <c r="AE406" s="6">
        <f>[1]Emissions!AD866</f>
        <v>1.4650074719999999</v>
      </c>
      <c r="AF406" s="6">
        <f>[1]Emissions!AE866</f>
        <v>1.4829469980000001</v>
      </c>
      <c r="AG406" s="6">
        <f>[1]Emissions!AF866</f>
        <v>1.501222549</v>
      </c>
      <c r="AH406" s="6">
        <f>[1]Emissions!AG866</f>
        <v>1.5198833780000001</v>
      </c>
      <c r="AI406" s="6">
        <f>[1]Emissions!AH866</f>
        <v>1.5389275520000001</v>
      </c>
      <c r="AJ406" s="6">
        <f>[1]Emissions!AI866</f>
        <v>1.55835689</v>
      </c>
      <c r="AK406" s="6">
        <f>[1]Emissions!AJ866</f>
        <v>1.5781697750000001</v>
      </c>
      <c r="AL406" s="6">
        <f>[1]Emissions!AK866</f>
        <v>1.5983607790000001</v>
      </c>
      <c r="AM406" s="6">
        <f>[1]Emissions!AL866</f>
        <v>1.618615377</v>
      </c>
      <c r="AN406" s="6">
        <f>[1]Emissions!AM866</f>
        <v>1.63903581</v>
      </c>
      <c r="AO406" s="6">
        <f>[1]Emissions!AN866</f>
        <v>1.659672405</v>
      </c>
      <c r="AP406" s="6">
        <f>[1]Emissions!AO866</f>
        <v>1.680551849</v>
      </c>
      <c r="AQ406" s="6">
        <f>[1]Emissions!AP866</f>
        <v>1.7016917739999999</v>
      </c>
      <c r="AR406" s="6">
        <f>[1]Emissions!AQ866</f>
        <v>1.7231391030000001</v>
      </c>
      <c r="AS406" s="6">
        <f>[1]Emissions!AR866</f>
        <v>1.744878704</v>
      </c>
      <c r="AT406" s="6">
        <f>[1]Emissions!AS866</f>
        <v>1.766909297</v>
      </c>
      <c r="AU406" s="6">
        <f>[1]Emissions!AT866</f>
        <v>1.789231258</v>
      </c>
      <c r="AV406" s="6">
        <f>[1]Emissions!AU866</f>
        <v>1.811843951</v>
      </c>
      <c r="AW406" s="6">
        <f>[1]Emissions!AV866</f>
        <v>1.8349086020000001</v>
      </c>
      <c r="AX406" s="6">
        <f>[1]Emissions!AW866</f>
        <v>1.8583182810000001</v>
      </c>
      <c r="AY406" s="6">
        <f>[1]Emissions!AX866</f>
        <v>1.8820390899999999</v>
      </c>
      <c r="AZ406" s="6">
        <f>[1]Emissions!AY866</f>
        <v>1.9060577919999999</v>
      </c>
      <c r="BA406" s="6">
        <f>[1]Emissions!AZ866</f>
        <v>1.930367452</v>
      </c>
      <c r="BB406" s="6">
        <f>[1]Emissions!BA866</f>
        <v>2.3194195799999999</v>
      </c>
      <c r="BC406" s="6">
        <f>[1]Emissions!BB866</f>
        <v>2.3587256729999999</v>
      </c>
      <c r="BD406" s="6">
        <f>[1]Emissions!BC866</f>
        <v>2.398702202</v>
      </c>
      <c r="BE406" s="6">
        <f>[1]Emissions!BD866</f>
        <v>2.4393586269999998</v>
      </c>
      <c r="BF406" s="6">
        <f>[1]Emissions!BE866</f>
        <v>2.4807043590000002</v>
      </c>
    </row>
    <row r="407" spans="2:58" x14ac:dyDescent="0.35">
      <c r="B407" s="6" t="str">
        <f>[1]Emissions!A868</f>
        <v>ems_ci_co2_soil_2</v>
      </c>
      <c r="C407" s="6">
        <f>[1]Emissions!B868</f>
        <v>16.249762799999999</v>
      </c>
      <c r="D407" s="6">
        <f>[1]Emissions!C868</f>
        <v>16.254537549999998</v>
      </c>
      <c r="E407" s="6">
        <f>[1]Emissions!D868</f>
        <v>16.301071650000001</v>
      </c>
      <c r="F407" s="6">
        <f>[1]Emissions!E868</f>
        <v>16.373120879999998</v>
      </c>
      <c r="G407" s="6">
        <f>[1]Emissions!F868</f>
        <v>16.471631410000001</v>
      </c>
      <c r="H407" s="6">
        <f>[1]Emissions!G868</f>
        <v>16.594831599999999</v>
      </c>
      <c r="I407" s="6">
        <f>[1]Emissions!H868</f>
        <v>16.731335229999999</v>
      </c>
      <c r="J407" s="6">
        <f>[1]Emissions!I868</f>
        <v>16.882765750000001</v>
      </c>
      <c r="K407" s="6">
        <f>[1]Emissions!J868</f>
        <v>17.046824489999999</v>
      </c>
      <c r="L407" s="6">
        <f>[1]Emissions!K868</f>
        <v>17.220832250000001</v>
      </c>
      <c r="M407" s="6">
        <f>[1]Emissions!L868</f>
        <v>17.416888159999999</v>
      </c>
      <c r="N407" s="6">
        <f>[1]Emissions!M868</f>
        <v>17.608402909999999</v>
      </c>
      <c r="O407" s="6">
        <f>[1]Emissions!N868</f>
        <v>17.80182864</v>
      </c>
      <c r="P407" s="6">
        <f>[1]Emissions!O868</f>
        <v>17.998004300000002</v>
      </c>
      <c r="Q407" s="6">
        <f>[1]Emissions!P868</f>
        <v>18.19664972</v>
      </c>
      <c r="R407" s="6">
        <f>[1]Emissions!Q868</f>
        <v>18.397394609999999</v>
      </c>
      <c r="S407" s="6">
        <f>[1]Emissions!R868</f>
        <v>18.598276009999999</v>
      </c>
      <c r="T407" s="6">
        <f>[1]Emissions!S868</f>
        <v>18.800477990000001</v>
      </c>
      <c r="U407" s="6">
        <f>[1]Emissions!T868</f>
        <v>19.004229169999999</v>
      </c>
      <c r="V407" s="6">
        <f>[1]Emissions!U868</f>
        <v>19.209608150000001</v>
      </c>
      <c r="W407" s="6">
        <f>[1]Emissions!V868</f>
        <v>19.406318049999999</v>
      </c>
      <c r="X407" s="6">
        <f>[1]Emissions!W868</f>
        <v>19.611282580000001</v>
      </c>
      <c r="Y407" s="6">
        <f>[1]Emissions!X868</f>
        <v>19.819942220000001</v>
      </c>
      <c r="Z407" s="6">
        <f>[1]Emissions!Y868</f>
        <v>20.031330749999999</v>
      </c>
      <c r="AA407" s="6">
        <f>[1]Emissions!Z868</f>
        <v>20.245328189999999</v>
      </c>
      <c r="AB407" s="6">
        <f>[1]Emissions!AA868</f>
        <v>20.43240363</v>
      </c>
      <c r="AC407" s="6">
        <f>[1]Emissions!AB868</f>
        <v>20.627195350000001</v>
      </c>
      <c r="AD407" s="6">
        <f>[1]Emissions!AC868</f>
        <v>20.824416339999999</v>
      </c>
      <c r="AE407" s="6">
        <f>[1]Emissions!AD868</f>
        <v>21.023231469999999</v>
      </c>
      <c r="AF407" s="6">
        <f>[1]Emissions!AE868</f>
        <v>21.22383503</v>
      </c>
      <c r="AG407" s="6">
        <f>[1]Emissions!AF868</f>
        <v>21.42658312</v>
      </c>
      <c r="AH407" s="6">
        <f>[1]Emissions!AG868</f>
        <v>21.632179440000002</v>
      </c>
      <c r="AI407" s="6">
        <f>[1]Emissions!AH868</f>
        <v>21.840580280000001</v>
      </c>
      <c r="AJ407" s="6">
        <f>[1]Emissions!AI868</f>
        <v>22.05190022</v>
      </c>
      <c r="AK407" s="6">
        <f>[1]Emissions!AJ868</f>
        <v>22.26623944</v>
      </c>
      <c r="AL407" s="6">
        <f>[1]Emissions!AK868</f>
        <v>22.483659379999999</v>
      </c>
      <c r="AM407" s="6">
        <f>[1]Emissions!AL868</f>
        <v>22.700573819999999</v>
      </c>
      <c r="AN407" s="6">
        <f>[1]Emissions!AM868</f>
        <v>22.918666900000002</v>
      </c>
      <c r="AO407" s="6">
        <f>[1]Emissions!AN868</f>
        <v>23.138554630000002</v>
      </c>
      <c r="AP407" s="6">
        <f>[1]Emissions!AO868</f>
        <v>23.360532389999999</v>
      </c>
      <c r="AQ407" s="6">
        <f>[1]Emissions!AP868</f>
        <v>23.584796740000002</v>
      </c>
      <c r="AR407" s="6">
        <f>[1]Emissions!AQ868</f>
        <v>23.812036939999999</v>
      </c>
      <c r="AS407" s="6">
        <f>[1]Emissions!AR868</f>
        <v>24.0419634</v>
      </c>
      <c r="AT407" s="6">
        <f>[1]Emissions!AS868</f>
        <v>24.274574650000002</v>
      </c>
      <c r="AU407" s="6">
        <f>[1]Emissions!AT868</f>
        <v>24.509902189999998</v>
      </c>
      <c r="AV407" s="6">
        <f>[1]Emissions!AU868</f>
        <v>24.747964249999999</v>
      </c>
      <c r="AW407" s="6">
        <f>[1]Emissions!AV868</f>
        <v>24.99120696</v>
      </c>
      <c r="AX407" s="6">
        <f>[1]Emissions!AW868</f>
        <v>25.237875219999999</v>
      </c>
      <c r="AY407" s="6">
        <f>[1]Emissions!AX868</f>
        <v>25.487561240000002</v>
      </c>
      <c r="AZ407" s="6">
        <f>[1]Emissions!AY868</f>
        <v>25.74013467</v>
      </c>
      <c r="BA407" s="6">
        <f>[1]Emissions!AZ868</f>
        <v>25.995517660000001</v>
      </c>
      <c r="BB407" s="6">
        <f>[1]Emissions!BA868</f>
        <v>31.883603999999998</v>
      </c>
      <c r="BC407" s="6">
        <f>[1]Emissions!BB868</f>
        <v>32.347674509999997</v>
      </c>
      <c r="BD407" s="6">
        <f>[1]Emissions!BC868</f>
        <v>32.819326539999999</v>
      </c>
      <c r="BE407" s="6">
        <f>[1]Emissions!BD868</f>
        <v>33.298744659999997</v>
      </c>
      <c r="BF407" s="6">
        <f>[1]Emissions!BE868</f>
        <v>33.786124770000001</v>
      </c>
    </row>
    <row r="408" spans="2:58" x14ac:dyDescent="0.35">
      <c r="B408" s="6" t="str">
        <f>[1]Emissions!A870</f>
        <v>ems_ci_co2_sbfu_2</v>
      </c>
      <c r="C408" s="6">
        <f>[1]Emissions!B870</f>
        <v>3.7943829490000001</v>
      </c>
      <c r="D408" s="6">
        <f>[1]Emissions!C870</f>
        <v>3.7925732000000001</v>
      </c>
      <c r="E408" s="6">
        <f>[1]Emissions!D870</f>
        <v>3.7955802969999999</v>
      </c>
      <c r="F408" s="6">
        <f>[1]Emissions!E870</f>
        <v>3.8044133809999998</v>
      </c>
      <c r="G408" s="6">
        <f>[1]Emissions!F870</f>
        <v>3.8206525679999999</v>
      </c>
      <c r="H408" s="6">
        <f>[1]Emissions!G870</f>
        <v>3.8440234420000001</v>
      </c>
      <c r="I408" s="6">
        <f>[1]Emissions!H870</f>
        <v>3.8716950080000001</v>
      </c>
      <c r="J408" s="6">
        <f>[1]Emissions!I870</f>
        <v>3.9035615020000001</v>
      </c>
      <c r="K408" s="6">
        <f>[1]Emissions!J870</f>
        <v>3.9388300310000002</v>
      </c>
      <c r="L408" s="6">
        <f>[1]Emissions!K870</f>
        <v>3.9767628770000001</v>
      </c>
      <c r="M408" s="6">
        <f>[1]Emissions!L870</f>
        <v>4.0196754639999996</v>
      </c>
      <c r="N408" s="6">
        <f>[1]Emissions!M870</f>
        <v>4.0621174079999998</v>
      </c>
      <c r="O408" s="6">
        <f>[1]Emissions!N870</f>
        <v>4.1053918070000002</v>
      </c>
      <c r="P408" s="6">
        <f>[1]Emissions!O870</f>
        <v>4.1495394330000002</v>
      </c>
      <c r="Q408" s="6">
        <f>[1]Emissions!P870</f>
        <v>4.194420526</v>
      </c>
      <c r="R408" s="6">
        <f>[1]Emissions!Q870</f>
        <v>4.2399055170000004</v>
      </c>
      <c r="S408" s="6">
        <f>[1]Emissions!R870</f>
        <v>4.2855398039999999</v>
      </c>
      <c r="T408" s="6">
        <f>[1]Emissions!S870</f>
        <v>4.331535261</v>
      </c>
      <c r="U408" s="6">
        <f>[1]Emissions!T870</f>
        <v>4.3778973619999997</v>
      </c>
      <c r="V408" s="6">
        <f>[1]Emissions!U870</f>
        <v>4.4246092170000004</v>
      </c>
      <c r="W408" s="6">
        <f>[1]Emissions!V870</f>
        <v>4.4695602049999996</v>
      </c>
      <c r="X408" s="6">
        <f>[1]Emissions!W870</f>
        <v>4.5161354740000004</v>
      </c>
      <c r="Y408" s="6">
        <f>[1]Emissions!X870</f>
        <v>4.5633512840000003</v>
      </c>
      <c r="Z408" s="6">
        <f>[1]Emissions!Y870</f>
        <v>4.6110394110000001</v>
      </c>
      <c r="AA408" s="6">
        <f>[1]Emissions!Z870</f>
        <v>4.6591821060000003</v>
      </c>
      <c r="AB408" s="6">
        <f>[1]Emissions!AA870</f>
        <v>4.701794992</v>
      </c>
      <c r="AC408" s="6">
        <f>[1]Emissions!AB870</f>
        <v>4.7458507330000002</v>
      </c>
      <c r="AD408" s="6">
        <f>[1]Emissions!AC870</f>
        <v>4.7901298929999996</v>
      </c>
      <c r="AE408" s="6">
        <f>[1]Emissions!AD870</f>
        <v>4.8345097719999996</v>
      </c>
      <c r="AF408" s="6">
        <f>[1]Emissions!AE870</f>
        <v>4.8790670680000003</v>
      </c>
      <c r="AG408" s="6">
        <f>[1]Emissions!AF870</f>
        <v>4.9239004350000002</v>
      </c>
      <c r="AH408" s="6">
        <f>[1]Emissions!AG870</f>
        <v>4.9691756800000002</v>
      </c>
      <c r="AI408" s="6">
        <f>[1]Emissions!AH870</f>
        <v>5.0148979560000004</v>
      </c>
      <c r="AJ408" s="6">
        <f>[1]Emissions!AI870</f>
        <v>5.061105435</v>
      </c>
      <c r="AK408" s="6">
        <f>[1]Emissions!AJ870</f>
        <v>5.107830162</v>
      </c>
      <c r="AL408" s="6">
        <f>[1]Emissions!AK870</f>
        <v>5.1550940790000004</v>
      </c>
      <c r="AM408" s="6">
        <f>[1]Emissions!AL870</f>
        <v>5.202200768</v>
      </c>
      <c r="AN408" s="6">
        <f>[1]Emissions!AM870</f>
        <v>5.249468437</v>
      </c>
      <c r="AO408" s="6">
        <f>[1]Emissions!AN870</f>
        <v>5.2970026839999997</v>
      </c>
      <c r="AP408" s="6">
        <f>[1]Emissions!AO870</f>
        <v>5.3448624440000003</v>
      </c>
      <c r="AQ408" s="6">
        <f>[1]Emissions!AP870</f>
        <v>5.3930941849999998</v>
      </c>
      <c r="AR408" s="6">
        <f>[1]Emissions!AQ870</f>
        <v>5.4418496809999999</v>
      </c>
      <c r="AS408" s="6">
        <f>[1]Emissions!AR870</f>
        <v>5.4910744410000003</v>
      </c>
      <c r="AT408" s="6">
        <f>[1]Emissions!AS870</f>
        <v>5.5407759619999997</v>
      </c>
      <c r="AU408" s="6">
        <f>[1]Emissions!AT870</f>
        <v>5.5909653849999996</v>
      </c>
      <c r="AV408" s="6">
        <f>[1]Emissions!AU870</f>
        <v>5.6416483990000001</v>
      </c>
      <c r="AW408" s="6">
        <f>[1]Emissions!AV870</f>
        <v>5.6933323099999997</v>
      </c>
      <c r="AX408" s="6">
        <f>[1]Emissions!AW870</f>
        <v>5.7456475119999997</v>
      </c>
      <c r="AY408" s="6">
        <f>[1]Emissions!AX870</f>
        <v>5.798516845</v>
      </c>
      <c r="AZ408" s="6">
        <f>[1]Emissions!AY870</f>
        <v>5.8519115939999997</v>
      </c>
      <c r="BA408" s="6">
        <f>[1]Emissions!AZ870</f>
        <v>5.90580967</v>
      </c>
      <c r="BB408" s="6">
        <f>[1]Emissions!BA870</f>
        <v>7.2498662630000004</v>
      </c>
      <c r="BC408" s="6">
        <f>[1]Emissions!BB870</f>
        <v>7.3506676459999998</v>
      </c>
      <c r="BD408" s="6">
        <f>[1]Emissions!BC870</f>
        <v>7.4530505619999996</v>
      </c>
      <c r="BE408" s="6">
        <f>[1]Emissions!BD870</f>
        <v>7.5570639120000003</v>
      </c>
      <c r="BF408" s="6">
        <f>[1]Emissions!BE870</f>
        <v>7.662759103</v>
      </c>
    </row>
    <row r="409" spans="2:58" x14ac:dyDescent="0.35">
      <c r="B409" s="6" t="str">
        <f>[1]Emissions!A872</f>
        <v>ems_ci_co2_seoi_2</v>
      </c>
      <c r="C409" s="6">
        <f>[1]Emissions!B872</f>
        <v>3.0073275210000001</v>
      </c>
      <c r="D409" s="6">
        <f>[1]Emissions!C872</f>
        <v>3.0117003360000001</v>
      </c>
      <c r="E409" s="6">
        <f>[1]Emissions!D872</f>
        <v>3.019817717</v>
      </c>
      <c r="F409" s="6">
        <f>[1]Emissions!E872</f>
        <v>3.0314399060000001</v>
      </c>
      <c r="G409" s="6">
        <f>[1]Emissions!F872</f>
        <v>3.0471231109999999</v>
      </c>
      <c r="H409" s="6">
        <f>[1]Emissions!G872</f>
        <v>3.0666178569999998</v>
      </c>
      <c r="I409" s="6">
        <f>[1]Emissions!H872</f>
        <v>3.0886789989999999</v>
      </c>
      <c r="J409" s="6">
        <f>[1]Emissions!I872</f>
        <v>3.1132969190000002</v>
      </c>
      <c r="K409" s="6">
        <f>[1]Emissions!J872</f>
        <v>3.1399478150000002</v>
      </c>
      <c r="L409" s="6">
        <f>[1]Emissions!K872</f>
        <v>3.1680119759999998</v>
      </c>
      <c r="M409" s="6">
        <f>[1]Emissions!L872</f>
        <v>3.1993158639999999</v>
      </c>
      <c r="N409" s="6">
        <f>[1]Emissions!M872</f>
        <v>3.2297495920000001</v>
      </c>
      <c r="O409" s="6">
        <f>[1]Emissions!N872</f>
        <v>3.259801087</v>
      </c>
      <c r="P409" s="6">
        <f>[1]Emissions!O872</f>
        <v>3.2896337</v>
      </c>
      <c r="Q409" s="6">
        <f>[1]Emissions!P872</f>
        <v>3.3192663809999998</v>
      </c>
      <c r="R409" s="6">
        <f>[1]Emissions!Q872</f>
        <v>3.3486998429999999</v>
      </c>
      <c r="S409" s="6">
        <f>[1]Emissions!R872</f>
        <v>3.3777613620000002</v>
      </c>
      <c r="T409" s="6">
        <f>[1]Emissions!S872</f>
        <v>3.4066119289999999</v>
      </c>
      <c r="U409" s="6">
        <f>[1]Emissions!T872</f>
        <v>3.435347809</v>
      </c>
      <c r="V409" s="6">
        <f>[1]Emissions!U872</f>
        <v>3.464052439</v>
      </c>
      <c r="W409" s="6">
        <f>[1]Emissions!V872</f>
        <v>3.4910981620000001</v>
      </c>
      <c r="X409" s="6">
        <f>[1]Emissions!W872</f>
        <v>3.5191438509999999</v>
      </c>
      <c r="Y409" s="6">
        <f>[1]Emissions!X872</f>
        <v>3.5478139309999999</v>
      </c>
      <c r="Z409" s="6">
        <f>[1]Emissions!Y872</f>
        <v>3.5769800819999999</v>
      </c>
      <c r="AA409" s="6">
        <f>[1]Emissions!Z872</f>
        <v>3.606643944</v>
      </c>
      <c r="AB409" s="6">
        <f>[1]Emissions!AA872</f>
        <v>3.631982088</v>
      </c>
      <c r="AC409" s="6">
        <f>[1]Emissions!AB872</f>
        <v>3.658111329</v>
      </c>
      <c r="AD409" s="6">
        <f>[1]Emissions!AC872</f>
        <v>3.6848431609999999</v>
      </c>
      <c r="AE409" s="6">
        <f>[1]Emissions!AD872</f>
        <v>3.7121276399999998</v>
      </c>
      <c r="AF409" s="6">
        <f>[1]Emissions!AE872</f>
        <v>3.7400247059999998</v>
      </c>
      <c r="AG409" s="6">
        <f>[1]Emissions!AF872</f>
        <v>3.7686117530000001</v>
      </c>
      <c r="AH409" s="6">
        <f>[1]Emissions!AG872</f>
        <v>3.7979973309999999</v>
      </c>
      <c r="AI409" s="6">
        <f>[1]Emissions!AH872</f>
        <v>3.8282024959999998</v>
      </c>
      <c r="AJ409" s="6">
        <f>[1]Emissions!AI872</f>
        <v>3.8592483280000001</v>
      </c>
      <c r="AK409" s="6">
        <f>[1]Emissions!AJ872</f>
        <v>3.891146113</v>
      </c>
      <c r="AL409" s="6">
        <f>[1]Emissions!AK872</f>
        <v>3.9238959430000002</v>
      </c>
      <c r="AM409" s="6">
        <f>[1]Emissions!AL872</f>
        <v>3.956720845</v>
      </c>
      <c r="AN409" s="6">
        <f>[1]Emissions!AM872</f>
        <v>3.9899252070000002</v>
      </c>
      <c r="AO409" s="6">
        <f>[1]Emissions!AN872</f>
        <v>4.0236705700000002</v>
      </c>
      <c r="AP409" s="6">
        <f>[1]Emissions!AO872</f>
        <v>4.058031476</v>
      </c>
      <c r="AQ409" s="6">
        <f>[1]Emissions!AP872</f>
        <v>4.0930477239999998</v>
      </c>
      <c r="AR409" s="6">
        <f>[1]Emissions!AQ872</f>
        <v>4.1288037329999998</v>
      </c>
      <c r="AS409" s="6">
        <f>[1]Emissions!AR872</f>
        <v>4.1652786329999998</v>
      </c>
      <c r="AT409" s="6">
        <f>[1]Emissions!AS872</f>
        <v>4.2024714999999997</v>
      </c>
      <c r="AU409" s="6">
        <f>[1]Emissions!AT872</f>
        <v>4.2403831240000001</v>
      </c>
      <c r="AV409" s="6">
        <f>[1]Emissions!AU872</f>
        <v>4.2790139890000001</v>
      </c>
      <c r="AW409" s="6">
        <f>[1]Emissions!AV872</f>
        <v>4.3186673600000001</v>
      </c>
      <c r="AX409" s="6">
        <f>[1]Emissions!AW872</f>
        <v>4.35916675</v>
      </c>
      <c r="AY409" s="6">
        <f>[1]Emissions!AX872</f>
        <v>4.4004479359999999</v>
      </c>
      <c r="AZ409" s="6">
        <f>[1]Emissions!AY872</f>
        <v>4.4424865120000003</v>
      </c>
      <c r="BA409" s="6">
        <f>[1]Emissions!AZ872</f>
        <v>4.4852717870000003</v>
      </c>
      <c r="BB409" s="6">
        <f>[1]Emissions!BA872</f>
        <v>4.9407715779999997</v>
      </c>
      <c r="BC409" s="6">
        <f>[1]Emissions!BB872</f>
        <v>5.0032921830000001</v>
      </c>
      <c r="BD409" s="6">
        <f>[1]Emissions!BC872</f>
        <v>5.0669809370000003</v>
      </c>
      <c r="BE409" s="6">
        <f>[1]Emissions!BD872</f>
        <v>5.1318433590000003</v>
      </c>
      <c r="BF409" s="6">
        <f>[1]Emissions!BE872</f>
        <v>5.197886574</v>
      </c>
    </row>
    <row r="410" spans="2:58" x14ac:dyDescent="0.35">
      <c r="B410" s="6" t="str">
        <f>[1]Emissions!A874</f>
        <v>ems_ci_co2_sega_2</v>
      </c>
      <c r="C410" s="6">
        <f>[1]Emissions!B874</f>
        <v>3.5581966810000001</v>
      </c>
      <c r="D410" s="6">
        <f>[1]Emissions!C874</f>
        <v>3.5633711469999998</v>
      </c>
      <c r="E410" s="6">
        <f>[1]Emissions!D874</f>
        <v>3.572976127</v>
      </c>
      <c r="F410" s="6">
        <f>[1]Emissions!E874</f>
        <v>3.5867277849999999</v>
      </c>
      <c r="G410" s="6">
        <f>[1]Emissions!F874</f>
        <v>3.6052841039999999</v>
      </c>
      <c r="H410" s="6">
        <f>[1]Emissions!G874</f>
        <v>3.6283498679999999</v>
      </c>
      <c r="I410" s="6">
        <f>[1]Emissions!H874</f>
        <v>3.654451865</v>
      </c>
      <c r="J410" s="6">
        <f>[1]Emissions!I874</f>
        <v>3.6835787529999999</v>
      </c>
      <c r="K410" s="6">
        <f>[1]Emissions!J874</f>
        <v>3.7151108339999999</v>
      </c>
      <c r="L410" s="6">
        <f>[1]Emissions!K874</f>
        <v>3.7483149349999998</v>
      </c>
      <c r="M410" s="6">
        <f>[1]Emissions!L874</f>
        <v>3.785352107</v>
      </c>
      <c r="N410" s="6">
        <f>[1]Emissions!M874</f>
        <v>3.8213596889999999</v>
      </c>
      <c r="O410" s="6">
        <f>[1]Emissions!N874</f>
        <v>3.8569150269999999</v>
      </c>
      <c r="P410" s="6">
        <f>[1]Emissions!O874</f>
        <v>3.8922114259999998</v>
      </c>
      <c r="Q410" s="6">
        <f>[1]Emissions!P874</f>
        <v>3.9272713289999999</v>
      </c>
      <c r="R410" s="6">
        <f>[1]Emissions!Q874</f>
        <v>3.9620955929999999</v>
      </c>
      <c r="S410" s="6">
        <f>[1]Emissions!R874</f>
        <v>3.996479865</v>
      </c>
      <c r="T410" s="6">
        <f>[1]Emissions!S874</f>
        <v>4.0306146299999996</v>
      </c>
      <c r="U410" s="6">
        <f>[1]Emissions!T874</f>
        <v>4.0646137849999997</v>
      </c>
      <c r="V410" s="6">
        <f>[1]Emissions!U874</f>
        <v>4.098576048</v>
      </c>
      <c r="W410" s="6">
        <f>[1]Emissions!V874</f>
        <v>4.1305756230000004</v>
      </c>
      <c r="X410" s="6">
        <f>[1]Emissions!W874</f>
        <v>4.163758402</v>
      </c>
      <c r="Y410" s="6">
        <f>[1]Emissions!X874</f>
        <v>4.1976800000000001</v>
      </c>
      <c r="Z410" s="6">
        <f>[1]Emissions!Y874</f>
        <v>4.2321885779999997</v>
      </c>
      <c r="AA410" s="6">
        <f>[1]Emissions!Z874</f>
        <v>4.2672860669999997</v>
      </c>
      <c r="AB410" s="6">
        <f>[1]Emissions!AA874</f>
        <v>4.2972655399999997</v>
      </c>
      <c r="AC410" s="6">
        <f>[1]Emissions!AB874</f>
        <v>4.3281810629999997</v>
      </c>
      <c r="AD410" s="6">
        <f>[1]Emissions!AC874</f>
        <v>4.3598095819999996</v>
      </c>
      <c r="AE410" s="6">
        <f>[1]Emissions!AD874</f>
        <v>4.3920919940000003</v>
      </c>
      <c r="AF410" s="6">
        <f>[1]Emissions!AE874</f>
        <v>4.4250992020000002</v>
      </c>
      <c r="AG410" s="6">
        <f>[1]Emissions!AF874</f>
        <v>4.458922769</v>
      </c>
      <c r="AH410" s="6">
        <f>[1]Emissions!AG874</f>
        <v>4.4936911220000004</v>
      </c>
      <c r="AI410" s="6">
        <f>[1]Emissions!AH874</f>
        <v>4.5294291649999998</v>
      </c>
      <c r="AJ410" s="6">
        <f>[1]Emissions!AI874</f>
        <v>4.5661618390000003</v>
      </c>
      <c r="AK410" s="6">
        <f>[1]Emissions!AJ874</f>
        <v>4.6039024919999996</v>
      </c>
      <c r="AL410" s="6">
        <f>[1]Emissions!AK874</f>
        <v>4.6426512329999996</v>
      </c>
      <c r="AM410" s="6">
        <f>[1]Emissions!AL874</f>
        <v>4.6814887729999999</v>
      </c>
      <c r="AN410" s="6">
        <f>[1]Emissions!AM874</f>
        <v>4.7207752579999998</v>
      </c>
      <c r="AO410" s="6">
        <f>[1]Emissions!AN874</f>
        <v>4.7607018229999998</v>
      </c>
      <c r="AP410" s="6">
        <f>[1]Emissions!AO874</f>
        <v>4.8013566640000001</v>
      </c>
      <c r="AQ410" s="6">
        <f>[1]Emissions!AP874</f>
        <v>4.8427868729999997</v>
      </c>
      <c r="AR410" s="6">
        <f>[1]Emissions!AQ874</f>
        <v>4.8850923330000002</v>
      </c>
      <c r="AS410" s="6">
        <f>[1]Emissions!AR874</f>
        <v>4.9282483529999999</v>
      </c>
      <c r="AT410" s="6">
        <f>[1]Emissions!AS874</f>
        <v>4.9722538409999997</v>
      </c>
      <c r="AU410" s="6">
        <f>[1]Emissions!AT874</f>
        <v>5.017109735</v>
      </c>
      <c r="AV410" s="6">
        <f>[1]Emissions!AU874</f>
        <v>5.0628166099999996</v>
      </c>
      <c r="AW410" s="6">
        <f>[1]Emissions!AV874</f>
        <v>5.1097332800000004</v>
      </c>
      <c r="AX410" s="6">
        <f>[1]Emissions!AW874</f>
        <v>5.157650931</v>
      </c>
      <c r="AY410" s="6">
        <f>[1]Emissions!AX874</f>
        <v>5.2064935769999998</v>
      </c>
      <c r="AZ410" s="6">
        <f>[1]Emissions!AY874</f>
        <v>5.2562323439999998</v>
      </c>
      <c r="BA410" s="6">
        <f>[1]Emissions!AZ874</f>
        <v>5.306854586</v>
      </c>
      <c r="BB410" s="6">
        <f>[1]Emissions!BA874</f>
        <v>5.8457940060000002</v>
      </c>
      <c r="BC410" s="6">
        <f>[1]Emissions!BB874</f>
        <v>5.9197668380000001</v>
      </c>
      <c r="BD410" s="6">
        <f>[1]Emissions!BC874</f>
        <v>5.9951217950000002</v>
      </c>
      <c r="BE410" s="6">
        <f>[1]Emissions!BD874</f>
        <v>6.0718654030000003</v>
      </c>
      <c r="BF410" s="6">
        <f>[1]Emissions!BE874</f>
        <v>6.150006093</v>
      </c>
    </row>
    <row r="411" spans="2:58" x14ac:dyDescent="0.35">
      <c r="B411" s="6" t="str">
        <f>[1]Emissions!A876</f>
        <v>ems_ci_co2_seco_2</v>
      </c>
      <c r="C411" s="6">
        <f>[1]Emissions!B876</f>
        <v>7.334420776</v>
      </c>
      <c r="D411" s="6">
        <f>[1]Emissions!C876</f>
        <v>7.3450867720000002</v>
      </c>
      <c r="E411" s="6">
        <f>[1]Emissions!D876</f>
        <v>7.3648852739999997</v>
      </c>
      <c r="F411" s="6">
        <f>[1]Emissions!E876</f>
        <v>7.3932312180000004</v>
      </c>
      <c r="G411" s="6">
        <f>[1]Emissions!F876</f>
        <v>7.4314808899999996</v>
      </c>
      <c r="H411" s="6">
        <f>[1]Emissions!G876</f>
        <v>7.4790257650000003</v>
      </c>
      <c r="I411" s="6">
        <f>[1]Emissions!H876</f>
        <v>7.5328291500000004</v>
      </c>
      <c r="J411" s="6">
        <f>[1]Emissions!I876</f>
        <v>7.5928676690000003</v>
      </c>
      <c r="K411" s="6">
        <f>[1]Emissions!J876</f>
        <v>7.6578639500000003</v>
      </c>
      <c r="L411" s="6">
        <f>[1]Emissions!K876</f>
        <v>7.7263067210000003</v>
      </c>
      <c r="M411" s="6">
        <f>[1]Emissions!L876</f>
        <v>7.8026505070000001</v>
      </c>
      <c r="N411" s="6">
        <f>[1]Emissions!M876</f>
        <v>7.8768720239999999</v>
      </c>
      <c r="O411" s="6">
        <f>[1]Emissions!N876</f>
        <v>7.9501613439999996</v>
      </c>
      <c r="P411" s="6">
        <f>[1]Emissions!O876</f>
        <v>8.022916918</v>
      </c>
      <c r="Q411" s="6">
        <f>[1]Emissions!P876</f>
        <v>8.0951850079999996</v>
      </c>
      <c r="R411" s="6">
        <f>[1]Emissions!Q876</f>
        <v>8.1669673829999994</v>
      </c>
      <c r="S411" s="6">
        <f>[1]Emissions!R876</f>
        <v>8.2378428120000002</v>
      </c>
      <c r="T411" s="6">
        <f>[1]Emissions!S876</f>
        <v>8.3082039390000002</v>
      </c>
      <c r="U411" s="6">
        <f>[1]Emissions!T876</f>
        <v>8.3782855380000001</v>
      </c>
      <c r="V411" s="6">
        <f>[1]Emissions!U876</f>
        <v>8.4482910909999998</v>
      </c>
      <c r="W411" s="6">
        <f>[1]Emissions!V876</f>
        <v>8.5142510040000001</v>
      </c>
      <c r="X411" s="6">
        <f>[1]Emissions!W876</f>
        <v>8.5826498269999991</v>
      </c>
      <c r="Y411" s="6">
        <f>[1]Emissions!X876</f>
        <v>8.652571558</v>
      </c>
      <c r="Z411" s="6">
        <f>[1]Emissions!Y876</f>
        <v>8.7237032170000006</v>
      </c>
      <c r="AA411" s="6">
        <f>[1]Emissions!Z876</f>
        <v>8.7960487839999999</v>
      </c>
      <c r="AB411" s="6">
        <f>[1]Emissions!AA876</f>
        <v>8.8578447120000003</v>
      </c>
      <c r="AC411" s="6">
        <f>[1]Emissions!AB876</f>
        <v>8.921570097</v>
      </c>
      <c r="AD411" s="6">
        <f>[1]Emissions!AC876</f>
        <v>8.9867651639999995</v>
      </c>
      <c r="AE411" s="6">
        <f>[1]Emissions!AD876</f>
        <v>9.0533080819999991</v>
      </c>
      <c r="AF411" s="6">
        <f>[1]Emissions!AE876</f>
        <v>9.1213450050000002</v>
      </c>
      <c r="AG411" s="6">
        <f>[1]Emissions!AF876</f>
        <v>9.1910646689999993</v>
      </c>
      <c r="AH411" s="6">
        <f>[1]Emissions!AG876</f>
        <v>9.2627317940000005</v>
      </c>
      <c r="AI411" s="6">
        <f>[1]Emissions!AH876</f>
        <v>9.3363977190000007</v>
      </c>
      <c r="AJ411" s="6">
        <f>[1]Emissions!AI876</f>
        <v>9.4121138480000006</v>
      </c>
      <c r="AK411" s="6">
        <f>[1]Emissions!AJ876</f>
        <v>9.489907702</v>
      </c>
      <c r="AL411" s="6">
        <f>[1]Emissions!AK876</f>
        <v>9.5697795019999994</v>
      </c>
      <c r="AM411" s="6">
        <f>[1]Emissions!AL876</f>
        <v>9.6498343389999999</v>
      </c>
      <c r="AN411" s="6">
        <f>[1]Emissions!AM876</f>
        <v>9.7308145770000003</v>
      </c>
      <c r="AO411" s="6">
        <f>[1]Emissions!AN876</f>
        <v>9.8131141950000007</v>
      </c>
      <c r="AP411" s="6">
        <f>[1]Emissions!AO876</f>
        <v>9.8969149900000009</v>
      </c>
      <c r="AQ411" s="6">
        <f>[1]Emissions!AP876</f>
        <v>9.9823140309999996</v>
      </c>
      <c r="AR411" s="6">
        <f>[1]Emissions!AQ876</f>
        <v>10.069517210000001</v>
      </c>
      <c r="AS411" s="6">
        <f>[1]Emissions!AR876</f>
        <v>10.158473620000001</v>
      </c>
      <c r="AT411" s="6">
        <f>[1]Emissions!AS876</f>
        <v>10.24918102</v>
      </c>
      <c r="AU411" s="6">
        <f>[1]Emissions!AT876</f>
        <v>10.341641340000001</v>
      </c>
      <c r="AV411" s="6">
        <f>[1]Emissions!AU876</f>
        <v>10.435855760000001</v>
      </c>
      <c r="AW411" s="6">
        <f>[1]Emissions!AV876</f>
        <v>10.53256391</v>
      </c>
      <c r="AX411" s="6">
        <f>[1]Emissions!AW876</f>
        <v>10.631335350000001</v>
      </c>
      <c r="AY411" s="6">
        <f>[1]Emissions!AX876</f>
        <v>10.732013459999999</v>
      </c>
      <c r="AZ411" s="6">
        <f>[1]Emissions!AY876</f>
        <v>10.834538719999999</v>
      </c>
      <c r="BA411" s="6">
        <f>[1]Emissions!AZ876</f>
        <v>10.93888507</v>
      </c>
      <c r="BB411" s="6">
        <f>[1]Emissions!BA876</f>
        <v>12.04978725</v>
      </c>
      <c r="BC411" s="6">
        <f>[1]Emissions!BB876</f>
        <v>12.202265580000001</v>
      </c>
      <c r="BD411" s="6">
        <f>[1]Emissions!BC876</f>
        <v>12.35759285</v>
      </c>
      <c r="BE411" s="6">
        <f>[1]Emissions!BD876</f>
        <v>12.5157825</v>
      </c>
      <c r="BF411" s="6">
        <f>[1]Emissions!BE876</f>
        <v>12.67685193</v>
      </c>
    </row>
    <row r="412" spans="2:58" x14ac:dyDescent="0.35">
      <c r="B412" s="6" t="str">
        <f>[1]Emissions!A878</f>
        <v>ems_ci_co2_sech_2</v>
      </c>
      <c r="C412" s="6">
        <f>[1]Emissions!B878</f>
        <v>9.5771217990000004</v>
      </c>
      <c r="D412" s="6">
        <f>[1]Emissions!C878</f>
        <v>9.6313005799999996</v>
      </c>
      <c r="E412" s="6">
        <f>[1]Emissions!D878</f>
        <v>9.6991128720000006</v>
      </c>
      <c r="F412" s="6">
        <f>[1]Emissions!E878</f>
        <v>9.7765458939999998</v>
      </c>
      <c r="G412" s="6">
        <f>[1]Emissions!F878</f>
        <v>9.8634554619999992</v>
      </c>
      <c r="H412" s="6">
        <f>[1]Emissions!G878</f>
        <v>9.9598057600000001</v>
      </c>
      <c r="I412" s="6">
        <f>[1]Emissions!H878</f>
        <v>10.054735340000001</v>
      </c>
      <c r="J412" s="6">
        <f>[1]Emissions!I878</f>
        <v>10.14745301</v>
      </c>
      <c r="K412" s="6">
        <f>[1]Emissions!J878</f>
        <v>10.239227059999999</v>
      </c>
      <c r="L412" s="6">
        <f>[1]Emissions!K878</f>
        <v>10.331122369999999</v>
      </c>
      <c r="M412" s="6">
        <f>[1]Emissions!L878</f>
        <v>10.434966319999999</v>
      </c>
      <c r="N412" s="6">
        <f>[1]Emissions!M878</f>
        <v>10.53360183</v>
      </c>
      <c r="O412" s="6">
        <f>[1]Emissions!N878</f>
        <v>10.629588439999999</v>
      </c>
      <c r="P412" s="6">
        <f>[1]Emissions!O878</f>
        <v>10.72458102</v>
      </c>
      <c r="Q412" s="6">
        <f>[1]Emissions!P878</f>
        <v>10.81923306</v>
      </c>
      <c r="R412" s="6">
        <f>[1]Emissions!Q878</f>
        <v>10.91377228</v>
      </c>
      <c r="S412" s="6">
        <f>[1]Emissions!R878</f>
        <v>11.00789352</v>
      </c>
      <c r="T412" s="6">
        <f>[1]Emissions!S878</f>
        <v>11.101861510000001</v>
      </c>
      <c r="U412" s="6">
        <f>[1]Emissions!T878</f>
        <v>11.195814349999999</v>
      </c>
      <c r="V412" s="6">
        <f>[1]Emissions!U878</f>
        <v>11.28987029</v>
      </c>
      <c r="W412" s="6">
        <f>[1]Emissions!V878</f>
        <v>11.376322849999999</v>
      </c>
      <c r="X412" s="6">
        <f>[1]Emissions!W878</f>
        <v>11.46701869</v>
      </c>
      <c r="Y412" s="6">
        <f>[1]Emissions!X878</f>
        <v>11.56040503</v>
      </c>
      <c r="Z412" s="6">
        <f>[1]Emissions!Y878</f>
        <v>11.655445690000001</v>
      </c>
      <c r="AA412" s="6">
        <f>[1]Emissions!Z878</f>
        <v>11.75175177</v>
      </c>
      <c r="AB412" s="6">
        <f>[1]Emissions!AA878</f>
        <v>11.82740708</v>
      </c>
      <c r="AC412" s="6">
        <f>[1]Emissions!AB878</f>
        <v>11.90489004</v>
      </c>
      <c r="AD412" s="6">
        <f>[1]Emissions!AC878</f>
        <v>11.98442079</v>
      </c>
      <c r="AE412" s="6">
        <f>[1]Emissions!AD878</f>
        <v>12.06557089</v>
      </c>
      <c r="AF412" s="6">
        <f>[1]Emissions!AE878</f>
        <v>12.148201780000001</v>
      </c>
      <c r="AG412" s="6">
        <f>[1]Emissions!AF878</f>
        <v>12.232313619999999</v>
      </c>
      <c r="AH412" s="6">
        <f>[1]Emissions!AG878</f>
        <v>12.31804019</v>
      </c>
      <c r="AI412" s="6">
        <f>[1]Emissions!AH878</f>
        <v>12.40538664</v>
      </c>
      <c r="AJ412" s="6">
        <f>[1]Emissions!AI878</f>
        <v>12.49437713</v>
      </c>
      <c r="AK412" s="6">
        <f>[1]Emissions!AJ878</f>
        <v>12.585027650000001</v>
      </c>
      <c r="AL412" s="6">
        <f>[1]Emissions!AK878</f>
        <v>12.677338669999999</v>
      </c>
      <c r="AM412" s="6">
        <f>[1]Emissions!AL878</f>
        <v>12.76714501</v>
      </c>
      <c r="AN412" s="6">
        <f>[1]Emissions!AM878</f>
        <v>12.856365220000001</v>
      </c>
      <c r="AO412" s="6">
        <f>[1]Emissions!AN878</f>
        <v>12.946136320000001</v>
      </c>
      <c r="AP412" s="6">
        <f>[1]Emissions!AO878</f>
        <v>13.036968379999999</v>
      </c>
      <c r="AQ412" s="6">
        <f>[1]Emissions!AP878</f>
        <v>13.129081190000001</v>
      </c>
      <c r="AR412" s="6">
        <f>[1]Emissions!AQ878</f>
        <v>13.22268656</v>
      </c>
      <c r="AS412" s="6">
        <f>[1]Emissions!AR878</f>
        <v>13.3177567</v>
      </c>
      <c r="AT412" s="6">
        <f>[1]Emissions!AS878</f>
        <v>13.4142914</v>
      </c>
      <c r="AU412" s="6">
        <f>[1]Emissions!AT878</f>
        <v>13.51227767</v>
      </c>
      <c r="AV412" s="6">
        <f>[1]Emissions!AU878</f>
        <v>13.611707259999999</v>
      </c>
      <c r="AW412" s="6">
        <f>[1]Emissions!AV878</f>
        <v>13.713383179999999</v>
      </c>
      <c r="AX412" s="6">
        <f>[1]Emissions!AW878</f>
        <v>13.816861980000001</v>
      </c>
      <c r="AY412" s="6">
        <f>[1]Emissions!AX878</f>
        <v>13.92194913</v>
      </c>
      <c r="AZ412" s="6">
        <f>[1]Emissions!AY878</f>
        <v>14.02856358</v>
      </c>
      <c r="BA412" s="6">
        <f>[1]Emissions!AZ878</f>
        <v>14.136668780000001</v>
      </c>
      <c r="BB412" s="6">
        <f>[1]Emissions!BA878</f>
        <v>14.959048920000001</v>
      </c>
      <c r="BC412" s="6">
        <f>[1]Emissions!BB878</f>
        <v>15.108809000000001</v>
      </c>
      <c r="BD412" s="6">
        <f>[1]Emissions!BC878</f>
        <v>15.2610198</v>
      </c>
      <c r="BE412" s="6">
        <f>[1]Emissions!BD878</f>
        <v>15.41566873</v>
      </c>
      <c r="BF412" s="6">
        <f>[1]Emissions!BE878</f>
        <v>15.57277088</v>
      </c>
    </row>
    <row r="413" spans="2:58" x14ac:dyDescent="0.35">
      <c r="B413" s="6" t="str">
        <f>[1]Emissions!A880</f>
        <v>ems_ci_co2_seot_2</v>
      </c>
      <c r="C413" s="6">
        <f>[1]Emissions!B880</f>
        <v>1.304699059</v>
      </c>
      <c r="D413" s="6">
        <f>[1]Emissions!C880</f>
        <v>1.306175944</v>
      </c>
      <c r="E413" s="6">
        <f>[1]Emissions!D880</f>
        <v>1.309049522</v>
      </c>
      <c r="F413" s="6">
        <f>[1]Emissions!E880</f>
        <v>1.313284012</v>
      </c>
      <c r="G413" s="6">
        <f>[1]Emissions!F880</f>
        <v>1.319198157</v>
      </c>
      <c r="H413" s="6">
        <f>[1]Emissions!G880</f>
        <v>1.3267507629999999</v>
      </c>
      <c r="I413" s="6">
        <f>[1]Emissions!H880</f>
        <v>1.335452562</v>
      </c>
      <c r="J413" s="6">
        <f>[1]Emissions!I880</f>
        <v>1.3453311029999999</v>
      </c>
      <c r="K413" s="6">
        <f>[1]Emissions!J880</f>
        <v>1.3561772780000001</v>
      </c>
      <c r="L413" s="6">
        <f>[1]Emissions!K880</f>
        <v>1.367730669</v>
      </c>
      <c r="M413" s="6">
        <f>[1]Emissions!L880</f>
        <v>1.3807821760000001</v>
      </c>
      <c r="N413" s="6">
        <f>[1]Emissions!M880</f>
        <v>1.3935555509999999</v>
      </c>
      <c r="O413" s="6">
        <f>[1]Emissions!N880</f>
        <v>1.406255413</v>
      </c>
      <c r="P413" s="6">
        <f>[1]Emissions!O880</f>
        <v>1.418944161</v>
      </c>
      <c r="Q413" s="6">
        <f>[1]Emissions!P880</f>
        <v>1.431621166</v>
      </c>
      <c r="R413" s="6">
        <f>[1]Emissions!Q880</f>
        <v>1.4442776900000001</v>
      </c>
      <c r="S413" s="6">
        <f>[1]Emissions!R880</f>
        <v>1.456829607</v>
      </c>
      <c r="T413" s="6">
        <f>[1]Emissions!S880</f>
        <v>1.4693366349999999</v>
      </c>
      <c r="U413" s="6">
        <f>[1]Emissions!T880</f>
        <v>1.4818309460000001</v>
      </c>
      <c r="V413" s="6">
        <f>[1]Emissions!U880</f>
        <v>1.4943397919999999</v>
      </c>
      <c r="W413" s="6">
        <f>[1]Emissions!V880</f>
        <v>1.5061514789999999</v>
      </c>
      <c r="X413" s="6">
        <f>[1]Emissions!W880</f>
        <v>1.5184046920000001</v>
      </c>
      <c r="Y413" s="6">
        <f>[1]Emissions!X880</f>
        <v>1.5309313099999999</v>
      </c>
      <c r="Z413" s="6">
        <f>[1]Emissions!Y880</f>
        <v>1.543671137</v>
      </c>
      <c r="AA413" s="6">
        <f>[1]Emissions!Z880</f>
        <v>1.556620874</v>
      </c>
      <c r="AB413" s="6">
        <f>[1]Emissions!AA880</f>
        <v>1.5676910529999999</v>
      </c>
      <c r="AC413" s="6">
        <f>[1]Emissions!AB880</f>
        <v>1.5790824729999999</v>
      </c>
      <c r="AD413" s="6">
        <f>[1]Emissions!AC880</f>
        <v>1.5907092490000001</v>
      </c>
      <c r="AE413" s="6">
        <f>[1]Emissions!AD880</f>
        <v>1.602547288</v>
      </c>
      <c r="AF413" s="6">
        <f>[1]Emissions!AE880</f>
        <v>1.6146211960000001</v>
      </c>
      <c r="AG413" s="6">
        <f>[1]Emissions!AF880</f>
        <v>1.6269640750000001</v>
      </c>
      <c r="AH413" s="6">
        <f>[1]Emissions!AG880</f>
        <v>1.639623415</v>
      </c>
      <c r="AI413" s="6">
        <f>[1]Emissions!AH880</f>
        <v>1.652609682</v>
      </c>
      <c r="AJ413" s="6">
        <f>[1]Emissions!AI880</f>
        <v>1.6659339010000001</v>
      </c>
      <c r="AK413" s="6">
        <f>[1]Emissions!AJ880</f>
        <v>1.6796032380000001</v>
      </c>
      <c r="AL413" s="6">
        <f>[1]Emissions!AK880</f>
        <v>1.6936202220000001</v>
      </c>
      <c r="AM413" s="6">
        <f>[1]Emissions!AL880</f>
        <v>1.7076519960000001</v>
      </c>
      <c r="AN413" s="6">
        <f>[1]Emissions!AM880</f>
        <v>1.721831908</v>
      </c>
      <c r="AO413" s="6">
        <f>[1]Emissions!AN880</f>
        <v>1.7362313170000001</v>
      </c>
      <c r="AP413" s="6">
        <f>[1]Emissions!AO880</f>
        <v>1.7508838289999999</v>
      </c>
      <c r="AQ413" s="6">
        <f>[1]Emissions!AP880</f>
        <v>1.7658079179999999</v>
      </c>
      <c r="AR413" s="6">
        <f>[1]Emissions!AQ880</f>
        <v>1.781041348</v>
      </c>
      <c r="AS413" s="6">
        <f>[1]Emissions!AR880</f>
        <v>1.7965764230000001</v>
      </c>
      <c r="AT413" s="6">
        <f>[1]Emissions!AS880</f>
        <v>1.8124139640000001</v>
      </c>
      <c r="AU413" s="6">
        <f>[1]Emissions!AT880</f>
        <v>1.8285554369999999</v>
      </c>
      <c r="AV413" s="6">
        <f>[1]Emissions!AU880</f>
        <v>1.8450020760000001</v>
      </c>
      <c r="AW413" s="6">
        <f>[1]Emissions!AV880</f>
        <v>1.8618861470000001</v>
      </c>
      <c r="AX413" s="6">
        <f>[1]Emissions!AW880</f>
        <v>1.8791331090000001</v>
      </c>
      <c r="AY413" s="6">
        <f>[1]Emissions!AX880</f>
        <v>1.8967165370000001</v>
      </c>
      <c r="AZ413" s="6">
        <f>[1]Emissions!AY880</f>
        <v>1.9146267960000001</v>
      </c>
      <c r="BA413" s="6">
        <f>[1]Emissions!AZ880</f>
        <v>1.9328598299999999</v>
      </c>
      <c r="BB413" s="6">
        <f>[1]Emissions!BA880</f>
        <v>2.1598708860000002</v>
      </c>
      <c r="BC413" s="6">
        <f>[1]Emissions!BB880</f>
        <v>2.187238834</v>
      </c>
      <c r="BD413" s="6">
        <f>[1]Emissions!BC880</f>
        <v>2.2150941770000001</v>
      </c>
      <c r="BE413" s="6">
        <f>[1]Emissions!BD880</f>
        <v>2.2434400540000001</v>
      </c>
      <c r="BF413" s="6">
        <f>[1]Emissions!BE880</f>
        <v>2.272280496</v>
      </c>
    </row>
    <row r="414" spans="2:58" x14ac:dyDescent="0.35">
      <c r="B414" s="6" t="str">
        <f>[1]Emissions!A882</f>
        <v>ems_y_co2_sagr_2</v>
      </c>
      <c r="C414" s="6">
        <f>[1]Emissions!B882</f>
        <v>2.6941842099999998E-2</v>
      </c>
      <c r="D414" s="6">
        <f>[1]Emissions!C882</f>
        <v>2.6988167699999999E-2</v>
      </c>
      <c r="E414" s="6">
        <f>[1]Emissions!D882</f>
        <v>2.7123363599999999E-2</v>
      </c>
      <c r="F414" s="6">
        <f>[1]Emissions!E882</f>
        <v>2.7330642700000001E-2</v>
      </c>
      <c r="G414" s="6">
        <f>[1]Emissions!F882</f>
        <v>2.7601364E-2</v>
      </c>
      <c r="H414" s="6">
        <f>[1]Emissions!G882</f>
        <v>2.7926168899999999E-2</v>
      </c>
      <c r="I414" s="6">
        <f>[1]Emissions!H882</f>
        <v>2.82782845E-2</v>
      </c>
      <c r="J414" s="6">
        <f>[1]Emissions!I882</f>
        <v>2.86590179E-2</v>
      </c>
      <c r="K414" s="6">
        <f>[1]Emissions!J882</f>
        <v>2.9063332099999999E-2</v>
      </c>
      <c r="L414" s="6">
        <f>[1]Emissions!K882</f>
        <v>2.94866433E-2</v>
      </c>
      <c r="M414" s="6">
        <f>[1]Emissions!L882</f>
        <v>2.9953922500000001E-2</v>
      </c>
      <c r="N414" s="6">
        <f>[1]Emissions!M882</f>
        <v>3.0414722299999999E-2</v>
      </c>
      <c r="O414" s="6">
        <f>[1]Emissions!N882</f>
        <v>3.0880997399999999E-2</v>
      </c>
      <c r="P414" s="6">
        <f>[1]Emissions!O882</f>
        <v>3.1352050100000001E-2</v>
      </c>
      <c r="Q414" s="6">
        <f>[1]Emissions!P882</f>
        <v>3.1827052299999999E-2</v>
      </c>
      <c r="R414" s="6">
        <f>[1]Emissions!Q882</f>
        <v>3.2305528999999999E-2</v>
      </c>
      <c r="S414" s="6">
        <f>[1]Emissions!R882</f>
        <v>3.2784694599999997E-2</v>
      </c>
      <c r="T414" s="6">
        <f>[1]Emissions!S882</f>
        <v>3.3266745799999997E-2</v>
      </c>
      <c r="U414" s="6">
        <f>[1]Emissions!T882</f>
        <v>3.37521109E-2</v>
      </c>
      <c r="V414" s="6">
        <f>[1]Emissions!U882</f>
        <v>3.4241204800000001E-2</v>
      </c>
      <c r="W414" s="6">
        <f>[1]Emissions!V882</f>
        <v>3.4713268499999998E-2</v>
      </c>
      <c r="X414" s="6">
        <f>[1]Emissions!W882</f>
        <v>3.5201521399999998E-2</v>
      </c>
      <c r="Y414" s="6">
        <f>[1]Emissions!X882</f>
        <v>3.5697449700000002E-2</v>
      </c>
      <c r="Z414" s="6">
        <f>[1]Emissions!Y882</f>
        <v>3.62007632E-2</v>
      </c>
      <c r="AA414" s="6">
        <f>[1]Emissions!Z882</f>
        <v>3.6711536000000003E-2</v>
      </c>
      <c r="AB414" s="6">
        <f>[1]Emissions!AA882</f>
        <v>3.7169089099999997E-2</v>
      </c>
      <c r="AC414" s="6">
        <f>[1]Emissions!AB882</f>
        <v>3.7639538700000003E-2</v>
      </c>
      <c r="AD414" s="6">
        <f>[1]Emissions!AC882</f>
        <v>3.8112036199999998E-2</v>
      </c>
      <c r="AE414" s="6">
        <f>[1]Emissions!AD882</f>
        <v>3.8588115100000001E-2</v>
      </c>
      <c r="AF414" s="6">
        <f>[1]Emissions!AE882</f>
        <v>3.9069539100000002E-2</v>
      </c>
      <c r="AG414" s="6">
        <f>[1]Emissions!AF882</f>
        <v>3.95577602E-2</v>
      </c>
      <c r="AH414" s="6">
        <f>[1]Emissions!AG882</f>
        <v>4.0054420899999998E-2</v>
      </c>
      <c r="AI414" s="6">
        <f>[1]Emissions!AH882</f>
        <v>4.0559748299999997E-2</v>
      </c>
      <c r="AJ414" s="6">
        <f>[1]Emissions!AI882</f>
        <v>4.1074105100000001E-2</v>
      </c>
      <c r="AK414" s="6">
        <f>[1]Emissions!AJ882</f>
        <v>4.1597668900000002E-2</v>
      </c>
      <c r="AL414" s="6">
        <f>[1]Emissions!AK882</f>
        <v>4.2130488600000002E-2</v>
      </c>
      <c r="AM414" s="6">
        <f>[1]Emissions!AL882</f>
        <v>4.2663220799999999E-2</v>
      </c>
      <c r="AN414" s="6">
        <f>[1]Emissions!AM882</f>
        <v>4.3199401800000002E-2</v>
      </c>
      <c r="AO414" s="6">
        <f>[1]Emissions!AN882</f>
        <v>4.3740368600000003E-2</v>
      </c>
      <c r="AP414" s="6">
        <f>[1]Emissions!AO882</f>
        <v>4.4287161800000002E-2</v>
      </c>
      <c r="AQ414" s="6">
        <f>[1]Emissions!AP882</f>
        <v>4.4840657200000002E-2</v>
      </c>
      <c r="AR414" s="6">
        <f>[1]Emissions!AQ882</f>
        <v>4.5402407999999998E-2</v>
      </c>
      <c r="AS414" s="6">
        <f>[1]Emissions!AR882</f>
        <v>4.5972319800000001E-2</v>
      </c>
      <c r="AT414" s="6">
        <f>[1]Emissions!AS882</f>
        <v>4.6550727399999998E-2</v>
      </c>
      <c r="AU414" s="6">
        <f>[1]Emissions!AT882</f>
        <v>4.7137856899999997E-2</v>
      </c>
      <c r="AV414" s="6">
        <f>[1]Emissions!AU882</f>
        <v>4.77338343E-2</v>
      </c>
      <c r="AW414" s="6">
        <f>[1]Emissions!AV882</f>
        <v>4.8342858099999997E-2</v>
      </c>
      <c r="AX414" s="6">
        <f>[1]Emissions!AW882</f>
        <v>4.89620609E-2</v>
      </c>
      <c r="AY414" s="6">
        <f>[1]Emissions!AX882</f>
        <v>4.9591071399999999E-2</v>
      </c>
      <c r="AZ414" s="6">
        <f>[1]Emissions!AY882</f>
        <v>5.0229643900000003E-2</v>
      </c>
      <c r="BA414" s="6">
        <f>[1]Emissions!AZ882</f>
        <v>5.0877580200000001E-2</v>
      </c>
      <c r="BB414" s="6">
        <f>[1]Emissions!BA882</f>
        <v>6.0330790299999999E-2</v>
      </c>
      <c r="BC414" s="6">
        <f>[1]Emissions!BB882</f>
        <v>6.1318025399999997E-2</v>
      </c>
      <c r="BD414" s="6">
        <f>[1]Emissions!BC882</f>
        <v>6.2321753899999999E-2</v>
      </c>
      <c r="BE414" s="6">
        <f>[1]Emissions!BD882</f>
        <v>6.3342322300000004E-2</v>
      </c>
      <c r="BF414" s="6">
        <f>[1]Emissions!BE882</f>
        <v>6.4380092700000002E-2</v>
      </c>
    </row>
    <row r="415" spans="2:58" x14ac:dyDescent="0.35">
      <c r="B415" s="6" t="str">
        <f>[1]Emissions!A883</f>
        <v>ems_mat_co2_spub_2</v>
      </c>
      <c r="C415" s="6">
        <f>[1]Emissions!B883</f>
        <v>4.2724157380000003</v>
      </c>
      <c r="D415" s="6">
        <f>[1]Emissions!C883</f>
        <v>4.3276007280000002</v>
      </c>
      <c r="E415" s="6">
        <f>[1]Emissions!D883</f>
        <v>4.3901035510000002</v>
      </c>
      <c r="F415" s="6">
        <f>[1]Emissions!E883</f>
        <v>4.456037061</v>
      </c>
      <c r="G415" s="6">
        <f>[1]Emissions!F883</f>
        <v>4.5247501469999998</v>
      </c>
      <c r="H415" s="6">
        <f>[1]Emissions!G883</f>
        <v>4.595981256</v>
      </c>
      <c r="I415" s="6">
        <f>[1]Emissions!H883</f>
        <v>4.6657746360000001</v>
      </c>
      <c r="J415" s="6">
        <f>[1]Emissions!I883</f>
        <v>4.7368698690000004</v>
      </c>
      <c r="K415" s="6">
        <f>[1]Emissions!J883</f>
        <v>4.8094974070000003</v>
      </c>
      <c r="L415" s="6">
        <f>[1]Emissions!K883</f>
        <v>4.8835861119999997</v>
      </c>
      <c r="M415" s="6">
        <f>[1]Emissions!L883</f>
        <v>4.9655149209999996</v>
      </c>
      <c r="N415" s="6">
        <f>[1]Emissions!M883</f>
        <v>5.043468496</v>
      </c>
      <c r="O415" s="6">
        <f>[1]Emissions!N883</f>
        <v>5.1219086479999998</v>
      </c>
      <c r="P415" s="6">
        <f>[1]Emissions!O883</f>
        <v>5.2013858749999997</v>
      </c>
      <c r="Q415" s="6">
        <f>[1]Emissions!P883</f>
        <v>5.2819634999999998</v>
      </c>
      <c r="R415" s="6">
        <f>[1]Emissions!Q883</f>
        <v>5.3636544620000004</v>
      </c>
      <c r="S415" s="6">
        <f>[1]Emissions!R883</f>
        <v>5.4464189740000002</v>
      </c>
      <c r="T415" s="6">
        <f>[1]Emissions!S883</f>
        <v>5.5303082229999996</v>
      </c>
      <c r="U415" s="6">
        <f>[1]Emissions!T883</f>
        <v>5.6153578250000002</v>
      </c>
      <c r="V415" s="6">
        <f>[1]Emissions!U883</f>
        <v>5.7015993260000002</v>
      </c>
      <c r="W415" s="6">
        <f>[1]Emissions!V883</f>
        <v>5.7842430970000001</v>
      </c>
      <c r="X415" s="6">
        <f>[1]Emissions!W883</f>
        <v>5.8720286039999996</v>
      </c>
      <c r="Y415" s="6">
        <f>[1]Emissions!X883</f>
        <v>5.9616413509999999</v>
      </c>
      <c r="Z415" s="6">
        <f>[1]Emissions!Y883</f>
        <v>6.0526823869999999</v>
      </c>
      <c r="AA415" s="6">
        <f>[1]Emissions!Z883</f>
        <v>6.1451210090000004</v>
      </c>
      <c r="AB415" s="6">
        <f>[1]Emissions!AA883</f>
        <v>6.22501762</v>
      </c>
      <c r="AC415" s="6">
        <f>[1]Emissions!AB883</f>
        <v>6.3110028219999998</v>
      </c>
      <c r="AD415" s="6">
        <f>[1]Emissions!AC883</f>
        <v>6.3986613380000001</v>
      </c>
      <c r="AE415" s="6">
        <f>[1]Emissions!AD883</f>
        <v>6.4875091520000003</v>
      </c>
      <c r="AF415" s="6">
        <f>[1]Emissions!AE883</f>
        <v>6.5775550860000003</v>
      </c>
      <c r="AG415" s="6">
        <f>[1]Emissions!AF883</f>
        <v>6.6688595880000001</v>
      </c>
      <c r="AH415" s="6">
        <f>[1]Emissions!AG883</f>
        <v>6.7614885359999999</v>
      </c>
      <c r="AI415" s="6">
        <f>[1]Emissions!AH883</f>
        <v>6.8554756680000004</v>
      </c>
      <c r="AJ415" s="6">
        <f>[1]Emissions!AI883</f>
        <v>6.9508477429999997</v>
      </c>
      <c r="AK415" s="6">
        <f>[1]Emissions!AJ883</f>
        <v>7.0476249270000002</v>
      </c>
      <c r="AL415" s="6">
        <f>[1]Emissions!AK883</f>
        <v>7.145823107</v>
      </c>
      <c r="AM415" s="6">
        <f>[1]Emissions!AL883</f>
        <v>7.2421768030000004</v>
      </c>
      <c r="AN415" s="6">
        <f>[1]Emissions!AM883</f>
        <v>7.3393403570000002</v>
      </c>
      <c r="AO415" s="6">
        <f>[1]Emissions!AN883</f>
        <v>7.4376838650000003</v>
      </c>
      <c r="AP415" s="6">
        <f>[1]Emissions!AO883</f>
        <v>7.5372926150000001</v>
      </c>
      <c r="AQ415" s="6">
        <f>[1]Emissions!AP883</f>
        <v>7.6382154519999998</v>
      </c>
      <c r="AR415" s="6">
        <f>[1]Emissions!AQ883</f>
        <v>7.7405115330000003</v>
      </c>
      <c r="AS415" s="6">
        <f>[1]Emissions!AR883</f>
        <v>7.844208203</v>
      </c>
      <c r="AT415" s="6">
        <f>[1]Emissions!AS883</f>
        <v>7.9493330430000002</v>
      </c>
      <c r="AU415" s="6">
        <f>[1]Emissions!AT883</f>
        <v>8.0559101159999997</v>
      </c>
      <c r="AV415" s="6">
        <f>[1]Emissions!AU883</f>
        <v>8.1639598390000003</v>
      </c>
      <c r="AW415" s="6">
        <f>[1]Emissions!AV883</f>
        <v>8.2738673360000003</v>
      </c>
      <c r="AX415" s="6">
        <f>[1]Emissions!AW883</f>
        <v>8.3853737580000001</v>
      </c>
      <c r="AY415" s="6">
        <f>[1]Emissions!AX883</f>
        <v>8.4984500779999994</v>
      </c>
      <c r="AZ415" s="6">
        <f>[1]Emissions!AY883</f>
        <v>8.6130995390000002</v>
      </c>
      <c r="BA415" s="6">
        <f>[1]Emissions!AZ883</f>
        <v>8.7293311899999999</v>
      </c>
      <c r="BB415" s="6">
        <f>[1]Emissions!BA883</f>
        <v>9.7775559039999997</v>
      </c>
      <c r="BC415" s="6">
        <f>[1]Emissions!BB883</f>
        <v>9.9451361689999995</v>
      </c>
      <c r="BD415" s="6">
        <f>[1]Emissions!BC883</f>
        <v>10.115565180000001</v>
      </c>
      <c r="BE415" s="6">
        <f>[1]Emissions!BD883</f>
        <v>10.288894020000001</v>
      </c>
      <c r="BF415" s="6">
        <f>[1]Emissions!BE883</f>
        <v>10.46517543</v>
      </c>
    </row>
    <row r="416" spans="2:58" x14ac:dyDescent="0.35">
      <c r="B416" s="6" t="str">
        <f>[1]Emissions!A884</f>
        <v>ems_mat_co2_sgla_2</v>
      </c>
      <c r="C416" s="6">
        <f>[1]Emissions!B884</f>
        <v>10.76097437</v>
      </c>
      <c r="D416" s="6">
        <f>[1]Emissions!C884</f>
        <v>10.817473250000001</v>
      </c>
      <c r="E416" s="6">
        <f>[1]Emissions!D884</f>
        <v>10.917745099999999</v>
      </c>
      <c r="F416" s="6">
        <f>[1]Emissions!E884</f>
        <v>11.04146094</v>
      </c>
      <c r="G416" s="6">
        <f>[1]Emissions!F884</f>
        <v>11.181483160000001</v>
      </c>
      <c r="H416" s="6">
        <f>[1]Emissions!G884</f>
        <v>11.33392999</v>
      </c>
      <c r="I416" s="6">
        <f>[1]Emissions!H884</f>
        <v>11.49060579</v>
      </c>
      <c r="J416" s="6">
        <f>[1]Emissions!I884</f>
        <v>11.65225379</v>
      </c>
      <c r="K416" s="6">
        <f>[1]Emissions!J884</f>
        <v>11.81854908</v>
      </c>
      <c r="L416" s="6">
        <f>[1]Emissions!K884</f>
        <v>11.98901908</v>
      </c>
      <c r="M416" s="6">
        <f>[1]Emissions!L884</f>
        <v>12.172669170000001</v>
      </c>
      <c r="N416" s="6">
        <f>[1]Emissions!M884</f>
        <v>12.35462869</v>
      </c>
      <c r="O416" s="6">
        <f>[1]Emissions!N884</f>
        <v>12.53776702</v>
      </c>
      <c r="P416" s="6">
        <f>[1]Emissions!O884</f>
        <v>12.722761999999999</v>
      </c>
      <c r="Q416" s="6">
        <f>[1]Emissions!P884</f>
        <v>12.90985961</v>
      </c>
      <c r="R416" s="6">
        <f>[1]Emissions!Q884</f>
        <v>13.099253279999999</v>
      </c>
      <c r="S416" s="6">
        <f>[1]Emissions!R884</f>
        <v>13.29028123</v>
      </c>
      <c r="T416" s="6">
        <f>[1]Emissions!S884</f>
        <v>13.483803200000001</v>
      </c>
      <c r="U416" s="6">
        <f>[1]Emissions!T884</f>
        <v>13.68023902</v>
      </c>
      <c r="V416" s="6">
        <f>[1]Emissions!U884</f>
        <v>13.879910150000001</v>
      </c>
      <c r="W416" s="6">
        <f>[1]Emissions!V884</f>
        <v>14.07615801</v>
      </c>
      <c r="X416" s="6">
        <f>[1]Emissions!W884</f>
        <v>14.27920911</v>
      </c>
      <c r="Y416" s="6">
        <f>[1]Emissions!X884</f>
        <v>14.487421599999999</v>
      </c>
      <c r="Z416" s="6">
        <f>[1]Emissions!Y884</f>
        <v>14.70047005</v>
      </c>
      <c r="AA416" s="6">
        <f>[1]Emissions!Z884</f>
        <v>14.91831635</v>
      </c>
      <c r="AB416" s="6">
        <f>[1]Emissions!AA884</f>
        <v>15.121064029999999</v>
      </c>
      <c r="AC416" s="6">
        <f>[1]Emissions!AB884</f>
        <v>15.328162300000001</v>
      </c>
      <c r="AD416" s="6">
        <f>[1]Emissions!AC884</f>
        <v>15.538069699999999</v>
      </c>
      <c r="AE416" s="6">
        <f>[1]Emissions!AD884</f>
        <v>15.750799710000001</v>
      </c>
      <c r="AF416" s="6">
        <f>[1]Emissions!AE884</f>
        <v>15.96662594</v>
      </c>
      <c r="AG416" s="6">
        <f>[1]Emissions!AF884</f>
        <v>16.185804040000001</v>
      </c>
      <c r="AH416" s="6">
        <f>[1]Emissions!AG884</f>
        <v>16.408707929999998</v>
      </c>
      <c r="AI416" s="6">
        <f>[1]Emissions!AH884</f>
        <v>16.63529445</v>
      </c>
      <c r="AJ416" s="6">
        <f>[1]Emissions!AI884</f>
        <v>16.865544239999998</v>
      </c>
      <c r="AK416" s="6">
        <f>[1]Emissions!AJ884</f>
        <v>17.0994001</v>
      </c>
      <c r="AL416" s="6">
        <f>[1]Emissions!AK884</f>
        <v>17.33677067</v>
      </c>
      <c r="AM416" s="6">
        <f>[1]Emissions!AL884</f>
        <v>17.57449694</v>
      </c>
      <c r="AN416" s="6">
        <f>[1]Emissions!AM884</f>
        <v>17.813252500000001</v>
      </c>
      <c r="AO416" s="6">
        <f>[1]Emissions!AN884</f>
        <v>18.05339545</v>
      </c>
      <c r="AP416" s="6">
        <f>[1]Emissions!AO884</f>
        <v>18.295150799999998</v>
      </c>
      <c r="AQ416" s="6">
        <f>[1]Emissions!AP884</f>
        <v>18.538684279999998</v>
      </c>
      <c r="AR416" s="6">
        <f>[1]Emissions!AQ884</f>
        <v>18.78440239</v>
      </c>
      <c r="AS416" s="6">
        <f>[1]Emissions!AR884</f>
        <v>19.032213989999999</v>
      </c>
      <c r="AT416" s="6">
        <f>[1]Emissions!AS884</f>
        <v>19.28213804</v>
      </c>
      <c r="AU416" s="6">
        <f>[1]Emissions!AT884</f>
        <v>19.534198610000001</v>
      </c>
      <c r="AV416" s="6">
        <f>[1]Emissions!AU884</f>
        <v>19.78840993</v>
      </c>
      <c r="AW416" s="6">
        <f>[1]Emissions!AV884</f>
        <v>20.0461569</v>
      </c>
      <c r="AX416" s="6">
        <f>[1]Emissions!AW884</f>
        <v>20.306634679999998</v>
      </c>
      <c r="AY416" s="6">
        <f>[1]Emissions!AX884</f>
        <v>20.569620140000001</v>
      </c>
      <c r="AZ416" s="6">
        <f>[1]Emissions!AY884</f>
        <v>20.835027950000001</v>
      </c>
      <c r="BA416" s="6">
        <f>[1]Emissions!AZ884</f>
        <v>21.102823860000001</v>
      </c>
      <c r="BB416" s="6">
        <f>[1]Emissions!BA884</f>
        <v>26.151007839999998</v>
      </c>
      <c r="BC416" s="6">
        <f>[1]Emissions!BB884</f>
        <v>26.62064466</v>
      </c>
      <c r="BD416" s="6">
        <f>[1]Emissions!BC884</f>
        <v>27.0963384</v>
      </c>
      <c r="BE416" s="6">
        <f>[1]Emissions!BD884</f>
        <v>27.578048559999999</v>
      </c>
      <c r="BF416" s="6">
        <f>[1]Emissions!BE884</f>
        <v>28.065744420000001</v>
      </c>
    </row>
    <row r="418" spans="1:58" x14ac:dyDescent="0.35">
      <c r="A418" s="12" t="s">
        <v>92</v>
      </c>
      <c r="B418" t="s">
        <v>7</v>
      </c>
      <c r="C418" s="6">
        <f>C388+C389+C414</f>
        <v>14.514509081299998</v>
      </c>
      <c r="D418" s="6">
        <f t="shared" ref="D418:AL418" si="228">D388+D389+D414</f>
        <v>14.4894440154</v>
      </c>
      <c r="E418" s="6">
        <f t="shared" si="228"/>
        <v>14.5143849486</v>
      </c>
      <c r="F418" s="6">
        <f t="shared" si="228"/>
        <v>14.580620237700002</v>
      </c>
      <c r="G418" s="6">
        <f t="shared" si="228"/>
        <v>14.685983563800001</v>
      </c>
      <c r="H418" s="6">
        <f t="shared" si="228"/>
        <v>14.826631289400002</v>
      </c>
      <c r="I418" s="6">
        <f t="shared" si="228"/>
        <v>14.9892431493</v>
      </c>
      <c r="J418" s="6">
        <f t="shared" si="228"/>
        <v>15.172353481200002</v>
      </c>
      <c r="K418" s="6">
        <f t="shared" si="228"/>
        <v>15.372644443900001</v>
      </c>
      <c r="L418" s="6">
        <f t="shared" si="228"/>
        <v>15.586849281300001</v>
      </c>
      <c r="M418" s="6">
        <f t="shared" si="228"/>
        <v>15.826258398000002</v>
      </c>
      <c r="N418" s="6">
        <f t="shared" si="228"/>
        <v>16.067154982400002</v>
      </c>
      <c r="O418" s="6">
        <f t="shared" si="228"/>
        <v>16.3121667604</v>
      </c>
      <c r="P418" s="6">
        <f t="shared" si="228"/>
        <v>16.5608800903</v>
      </c>
      <c r="Q418" s="6">
        <f t="shared" si="228"/>
        <v>16.812516586899999</v>
      </c>
      <c r="R418" s="6">
        <f t="shared" si="228"/>
        <v>17.066469154199996</v>
      </c>
      <c r="S418" s="6">
        <f t="shared" si="228"/>
        <v>17.321034932</v>
      </c>
      <c r="T418" s="6">
        <f t="shared" si="228"/>
        <v>17.576834263599999</v>
      </c>
      <c r="U418" s="6">
        <f t="shared" si="228"/>
        <v>17.833955597900001</v>
      </c>
      <c r="V418" s="6">
        <f t="shared" si="228"/>
        <v>18.092472590300002</v>
      </c>
      <c r="W418" s="6">
        <f t="shared" si="228"/>
        <v>18.342119005000001</v>
      </c>
      <c r="X418" s="6">
        <f t="shared" si="228"/>
        <v>18.597838857900001</v>
      </c>
      <c r="Y418" s="6">
        <f t="shared" si="228"/>
        <v>18.857177605</v>
      </c>
      <c r="Z418" s="6">
        <f t="shared" si="228"/>
        <v>19.119711250999998</v>
      </c>
      <c r="AA418" s="6">
        <f t="shared" si="228"/>
        <v>19.385445065799995</v>
      </c>
      <c r="AB418" s="6">
        <f t="shared" si="228"/>
        <v>19.6246593935</v>
      </c>
      <c r="AC418" s="6">
        <f t="shared" si="228"/>
        <v>19.866136726899999</v>
      </c>
      <c r="AD418" s="6">
        <f t="shared" si="228"/>
        <v>20.107899958900003</v>
      </c>
      <c r="AE418" s="6">
        <f t="shared" si="228"/>
        <v>20.3504961368</v>
      </c>
      <c r="AF418" s="6">
        <f t="shared" si="228"/>
        <v>20.594893920099999</v>
      </c>
      <c r="AG418" s="6">
        <f t="shared" si="228"/>
        <v>20.841969691300001</v>
      </c>
      <c r="AH418" s="6">
        <f t="shared" si="228"/>
        <v>21.0926993424</v>
      </c>
      <c r="AI418" s="6">
        <f t="shared" si="228"/>
        <v>21.347391853700003</v>
      </c>
      <c r="AJ418" s="6">
        <f t="shared" si="228"/>
        <v>21.606344815900002</v>
      </c>
      <c r="AK418" s="6">
        <f t="shared" si="228"/>
        <v>21.869759569500001</v>
      </c>
      <c r="AL418" s="6">
        <f t="shared" si="228"/>
        <v>22.137755228400003</v>
      </c>
      <c r="AM418" s="6">
        <f t="shared" ref="AM418:BC418" si="229">AM388+AM389+AM414</f>
        <v>22.405882872799999</v>
      </c>
      <c r="AN418" s="6">
        <f t="shared" si="229"/>
        <v>22.6754215592</v>
      </c>
      <c r="AO418" s="6">
        <f t="shared" si="229"/>
        <v>22.947183622700003</v>
      </c>
      <c r="AP418" s="6">
        <f t="shared" si="229"/>
        <v>23.221755959999999</v>
      </c>
      <c r="AQ418" s="6">
        <f t="shared" si="229"/>
        <v>23.499609576700003</v>
      </c>
      <c r="AR418" s="6">
        <f t="shared" si="229"/>
        <v>23.781539177800003</v>
      </c>
      <c r="AS418" s="6">
        <f t="shared" si="229"/>
        <v>24.0675828203</v>
      </c>
      <c r="AT418" s="6">
        <f t="shared" si="229"/>
        <v>24.357898335999998</v>
      </c>
      <c r="AU418" s="6">
        <f t="shared" si="229"/>
        <v>24.652604380900002</v>
      </c>
      <c r="AV418" s="6">
        <f t="shared" si="229"/>
        <v>24.951768662600003</v>
      </c>
      <c r="AW418" s="6">
        <f t="shared" si="229"/>
        <v>25.257460757600001</v>
      </c>
      <c r="AX418" s="6">
        <f t="shared" si="229"/>
        <v>25.5685628363</v>
      </c>
      <c r="AY418" s="6">
        <f t="shared" si="229"/>
        <v>25.884774000899998</v>
      </c>
      <c r="AZ418" s="6">
        <f t="shared" si="229"/>
        <v>26.2059309674</v>
      </c>
      <c r="BA418" s="6">
        <f t="shared" si="229"/>
        <v>26.531901351400002</v>
      </c>
      <c r="BB418" s="6">
        <f t="shared" si="229"/>
        <v>33.038369309300002</v>
      </c>
      <c r="BC418" s="6">
        <f t="shared" si="229"/>
        <v>33.580844579100003</v>
      </c>
      <c r="BD418" s="6">
        <f t="shared" ref="BD418:BF418" si="230">BD388+BD389+BD414</f>
        <v>34.1316481677</v>
      </c>
      <c r="BE418" s="6">
        <f t="shared" si="230"/>
        <v>34.691060451600002</v>
      </c>
      <c r="BF418" s="6">
        <f t="shared" si="230"/>
        <v>35.2593594744</v>
      </c>
    </row>
    <row r="419" spans="1:58" x14ac:dyDescent="0.35">
      <c r="A419" t="s">
        <v>39</v>
      </c>
      <c r="B419" t="s">
        <v>64</v>
      </c>
      <c r="C419" s="6">
        <f>C390</f>
        <v>8.5972125100000003</v>
      </c>
      <c r="D419" s="6">
        <f t="shared" ref="D419:AL419" si="231">D390</f>
        <v>8.5904437199999997</v>
      </c>
      <c r="E419" s="6">
        <f t="shared" si="231"/>
        <v>8.6059010580000006</v>
      </c>
      <c r="F419" s="6">
        <f t="shared" si="231"/>
        <v>8.6444342009999993</v>
      </c>
      <c r="G419" s="6">
        <f t="shared" si="231"/>
        <v>8.7075593990000009</v>
      </c>
      <c r="H419" s="6">
        <f t="shared" si="231"/>
        <v>8.7941018320000008</v>
      </c>
      <c r="I419" s="6">
        <f t="shared" si="231"/>
        <v>8.8962065839999998</v>
      </c>
      <c r="J419" s="6">
        <f t="shared" si="231"/>
        <v>9.0125039109999996</v>
      </c>
      <c r="K419" s="6">
        <f t="shared" si="231"/>
        <v>9.1406342929999997</v>
      </c>
      <c r="L419" s="6">
        <f t="shared" si="231"/>
        <v>9.2783562879999995</v>
      </c>
      <c r="M419" s="6">
        <f t="shared" si="231"/>
        <v>9.4321147130000007</v>
      </c>
      <c r="N419" s="6">
        <f t="shared" si="231"/>
        <v>9.588212854</v>
      </c>
      <c r="O419" s="6">
        <f t="shared" si="231"/>
        <v>9.7475216729999996</v>
      </c>
      <c r="P419" s="6">
        <f t="shared" si="231"/>
        <v>9.9094233379999999</v>
      </c>
      <c r="Q419" s="6">
        <f t="shared" si="231"/>
        <v>10.073224809999999</v>
      </c>
      <c r="R419" s="6">
        <f t="shared" si="231"/>
        <v>10.23839834</v>
      </c>
      <c r="S419" s="6">
        <f t="shared" si="231"/>
        <v>10.403904280000001</v>
      </c>
      <c r="T419" s="6">
        <f t="shared" si="231"/>
        <v>10.56986478</v>
      </c>
      <c r="U419" s="6">
        <f t="shared" si="231"/>
        <v>10.736216049999999</v>
      </c>
      <c r="V419" s="6">
        <f t="shared" si="231"/>
        <v>10.902940770000001</v>
      </c>
      <c r="W419" s="6">
        <f t="shared" si="231"/>
        <v>11.06386416</v>
      </c>
      <c r="X419" s="6">
        <f t="shared" si="231"/>
        <v>11.22755624</v>
      </c>
      <c r="Y419" s="6">
        <f t="shared" si="231"/>
        <v>11.392811569999999</v>
      </c>
      <c r="Z419" s="6">
        <f t="shared" si="231"/>
        <v>11.55949781</v>
      </c>
      <c r="AA419" s="6">
        <f t="shared" si="231"/>
        <v>11.727677630000001</v>
      </c>
      <c r="AB419" s="6">
        <f t="shared" si="231"/>
        <v>11.879559970000001</v>
      </c>
      <c r="AC419" s="6">
        <f t="shared" si="231"/>
        <v>12.03139812</v>
      </c>
      <c r="AD419" s="6">
        <f t="shared" si="231"/>
        <v>12.18237646</v>
      </c>
      <c r="AE419" s="6">
        <f t="shared" si="231"/>
        <v>12.3330626</v>
      </c>
      <c r="AF419" s="6">
        <f t="shared" si="231"/>
        <v>12.484211370000001</v>
      </c>
      <c r="AG419" s="6">
        <f t="shared" si="231"/>
        <v>12.636488480000001</v>
      </c>
      <c r="AH419" s="6">
        <f t="shared" si="231"/>
        <v>12.790573910000001</v>
      </c>
      <c r="AI419" s="6">
        <f t="shared" si="231"/>
        <v>12.94678856</v>
      </c>
      <c r="AJ419" s="6">
        <f t="shared" si="231"/>
        <v>13.10540831</v>
      </c>
      <c r="AK419" s="6">
        <f t="shared" si="231"/>
        <v>13.266629959999999</v>
      </c>
      <c r="AL419" s="6">
        <f t="shared" si="231"/>
        <v>13.430585929999999</v>
      </c>
      <c r="AM419" s="6">
        <f t="shared" ref="AM419:BC419" si="232">AM390</f>
        <v>13.594429979999999</v>
      </c>
      <c r="AN419" s="6">
        <f t="shared" si="232"/>
        <v>13.759017569999999</v>
      </c>
      <c r="AO419" s="6">
        <f t="shared" si="232"/>
        <v>13.924869019999999</v>
      </c>
      <c r="AP419" s="6">
        <f t="shared" si="232"/>
        <v>14.09236267</v>
      </c>
      <c r="AQ419" s="6">
        <f t="shared" si="232"/>
        <v>14.26180987</v>
      </c>
      <c r="AR419" s="6">
        <f t="shared" si="232"/>
        <v>14.433680839999999</v>
      </c>
      <c r="AS419" s="6">
        <f t="shared" si="232"/>
        <v>14.608069540000001</v>
      </c>
      <c r="AT419" s="6">
        <f t="shared" si="232"/>
        <v>14.78510384</v>
      </c>
      <c r="AU419" s="6">
        <f t="shared" si="232"/>
        <v>14.9648732</v>
      </c>
      <c r="AV419" s="6">
        <f t="shared" si="232"/>
        <v>15.14742903</v>
      </c>
      <c r="AW419" s="6">
        <f t="shared" si="232"/>
        <v>15.33389865</v>
      </c>
      <c r="AX419" s="6">
        <f t="shared" si="232"/>
        <v>15.52378481</v>
      </c>
      <c r="AY419" s="6">
        <f t="shared" si="232"/>
        <v>15.71694671</v>
      </c>
      <c r="AZ419" s="6">
        <f t="shared" si="232"/>
        <v>15.913279559999999</v>
      </c>
      <c r="BA419" s="6">
        <f t="shared" si="232"/>
        <v>16.112683789999998</v>
      </c>
      <c r="BB419" s="6">
        <f t="shared" si="232"/>
        <v>19.880422360000001</v>
      </c>
      <c r="BC419" s="6">
        <f t="shared" si="232"/>
        <v>20.200756160000001</v>
      </c>
      <c r="BD419" s="6">
        <f t="shared" ref="BD419:BF419" si="233">BD390</f>
        <v>20.52564692</v>
      </c>
      <c r="BE419" s="6">
        <f t="shared" si="233"/>
        <v>20.855267479999998</v>
      </c>
      <c r="BF419" s="6">
        <f t="shared" si="233"/>
        <v>21.189792629999999</v>
      </c>
    </row>
    <row r="420" spans="1:58" x14ac:dyDescent="0.35">
      <c r="B420" t="s">
        <v>65</v>
      </c>
      <c r="C420" s="6">
        <f>C392+C416</f>
        <v>18.444514717000001</v>
      </c>
      <c r="D420" s="6">
        <f t="shared" ref="D420:AL420" si="234">D392+D416</f>
        <v>18.529586098999999</v>
      </c>
      <c r="E420" s="6">
        <f t="shared" si="234"/>
        <v>18.687104138999999</v>
      </c>
      <c r="F420" s="6">
        <f t="shared" si="234"/>
        <v>18.884808032000002</v>
      </c>
      <c r="G420" s="6">
        <f t="shared" si="234"/>
        <v>19.112031003000002</v>
      </c>
      <c r="H420" s="6">
        <f t="shared" si="234"/>
        <v>19.362787457</v>
      </c>
      <c r="I420" s="6">
        <f t="shared" si="234"/>
        <v>19.623124955000002</v>
      </c>
      <c r="J420" s="6">
        <f t="shared" si="234"/>
        <v>19.894081315000001</v>
      </c>
      <c r="K420" s="6">
        <f t="shared" si="234"/>
        <v>20.174788917000001</v>
      </c>
      <c r="L420" s="6">
        <f t="shared" si="234"/>
        <v>20.464139625000001</v>
      </c>
      <c r="M420" s="6">
        <f t="shared" si="234"/>
        <v>20.777309196000001</v>
      </c>
      <c r="N420" s="6">
        <f t="shared" si="234"/>
        <v>21.088678761000001</v>
      </c>
      <c r="O420" s="6">
        <f t="shared" si="234"/>
        <v>21.402895212000001</v>
      </c>
      <c r="P420" s="6">
        <f t="shared" si="234"/>
        <v>21.720892983999999</v>
      </c>
      <c r="Q420" s="6">
        <f t="shared" si="234"/>
        <v>22.042904356999998</v>
      </c>
      <c r="R420" s="6">
        <f t="shared" si="234"/>
        <v>22.369101135999998</v>
      </c>
      <c r="S420" s="6">
        <f t="shared" si="234"/>
        <v>22.698198519999998</v>
      </c>
      <c r="T420" s="6">
        <f t="shared" si="234"/>
        <v>23.031536663000001</v>
      </c>
      <c r="U420" s="6">
        <f t="shared" si="234"/>
        <v>23.369736132</v>
      </c>
      <c r="V420" s="6">
        <f t="shared" si="234"/>
        <v>23.713276696000001</v>
      </c>
      <c r="W420" s="6">
        <f t="shared" si="234"/>
        <v>24.050682204000001</v>
      </c>
      <c r="X420" s="6">
        <f t="shared" si="234"/>
        <v>24.399381609999999</v>
      </c>
      <c r="Y420" s="6">
        <f t="shared" si="234"/>
        <v>24.75657434</v>
      </c>
      <c r="Z420" s="6">
        <f t="shared" si="234"/>
        <v>25.12172103</v>
      </c>
      <c r="AA420" s="6">
        <f t="shared" si="234"/>
        <v>25.49477443</v>
      </c>
      <c r="AB420" s="6">
        <f t="shared" si="234"/>
        <v>25.841602889999997</v>
      </c>
      <c r="AC420" s="6">
        <f t="shared" si="234"/>
        <v>26.195366030000002</v>
      </c>
      <c r="AD420" s="6">
        <f t="shared" si="234"/>
        <v>26.553430380000002</v>
      </c>
      <c r="AE420" s="6">
        <f t="shared" si="234"/>
        <v>26.915851740000001</v>
      </c>
      <c r="AF420" s="6">
        <f t="shared" si="234"/>
        <v>27.28314044</v>
      </c>
      <c r="AG420" s="6">
        <f t="shared" si="234"/>
        <v>27.655780270000001</v>
      </c>
      <c r="AH420" s="6">
        <f t="shared" si="234"/>
        <v>28.034464539999998</v>
      </c>
      <c r="AI420" s="6">
        <f t="shared" si="234"/>
        <v>28.41917445</v>
      </c>
      <c r="AJ420" s="6">
        <f t="shared" si="234"/>
        <v>28.809928919999997</v>
      </c>
      <c r="AK420" s="6">
        <f t="shared" si="234"/>
        <v>29.20667744</v>
      </c>
      <c r="AL420" s="6">
        <f t="shared" si="234"/>
        <v>29.609304979999997</v>
      </c>
      <c r="AM420" s="6">
        <f t="shared" ref="AM420:BC420" si="235">AM392+AM416</f>
        <v>30.012454519999999</v>
      </c>
      <c r="AN420" s="6">
        <f t="shared" si="235"/>
        <v>30.4172893</v>
      </c>
      <c r="AO420" s="6">
        <f t="shared" si="235"/>
        <v>30.824420410000002</v>
      </c>
      <c r="AP420" s="6">
        <f t="shared" si="235"/>
        <v>31.234227349999998</v>
      </c>
      <c r="AQ420" s="6">
        <f t="shared" si="235"/>
        <v>31.646988520000001</v>
      </c>
      <c r="AR420" s="6">
        <f t="shared" si="235"/>
        <v>32.063401800000001</v>
      </c>
      <c r="AS420" s="6">
        <f t="shared" si="235"/>
        <v>32.48331666</v>
      </c>
      <c r="AT420" s="6">
        <f t="shared" si="235"/>
        <v>32.906769490000002</v>
      </c>
      <c r="AU420" s="6">
        <f t="shared" si="235"/>
        <v>33.333804520000001</v>
      </c>
      <c r="AV420" s="6">
        <f t="shared" si="235"/>
        <v>33.764448659999999</v>
      </c>
      <c r="AW420" s="6">
        <f t="shared" si="235"/>
        <v>34.201092169999995</v>
      </c>
      <c r="AX420" s="6">
        <f t="shared" si="235"/>
        <v>34.642383479999999</v>
      </c>
      <c r="AY420" s="6">
        <f t="shared" si="235"/>
        <v>35.08794992</v>
      </c>
      <c r="AZ420" s="6">
        <f t="shared" si="235"/>
        <v>35.537643369999998</v>
      </c>
      <c r="BA420" s="6">
        <f t="shared" si="235"/>
        <v>35.991397320000004</v>
      </c>
      <c r="BB420" s="6">
        <f t="shared" si="235"/>
        <v>45.053697990000003</v>
      </c>
      <c r="BC420" s="6">
        <f t="shared" si="235"/>
        <v>45.861893809999998</v>
      </c>
      <c r="BD420" s="6">
        <f t="shared" ref="BD420:BF420" si="236">BD392+BD416</f>
        <v>46.680153180000005</v>
      </c>
      <c r="BE420" s="6">
        <f t="shared" si="236"/>
        <v>47.508423809999996</v>
      </c>
      <c r="BF420" s="6">
        <f t="shared" si="236"/>
        <v>48.346669680000005</v>
      </c>
    </row>
    <row r="421" spans="1:58" x14ac:dyDescent="0.35">
      <c r="B421" t="s">
        <v>66</v>
      </c>
      <c r="C421" s="6">
        <f>C394</f>
        <v>13.123310249999999</v>
      </c>
      <c r="D421" s="6">
        <f t="shared" ref="D421:AL421" si="237">D394</f>
        <v>13.16973277</v>
      </c>
      <c r="E421" s="6">
        <f t="shared" si="237"/>
        <v>13.29610557</v>
      </c>
      <c r="F421" s="6">
        <f t="shared" si="237"/>
        <v>13.45051132</v>
      </c>
      <c r="G421" s="6">
        <f t="shared" si="237"/>
        <v>13.6233735</v>
      </c>
      <c r="H421" s="6">
        <f t="shared" si="237"/>
        <v>13.811003469999999</v>
      </c>
      <c r="I421" s="6">
        <f t="shared" si="237"/>
        <v>13.999880839999999</v>
      </c>
      <c r="J421" s="6">
        <f t="shared" si="237"/>
        <v>14.195415909999999</v>
      </c>
      <c r="K421" s="6">
        <f t="shared" si="237"/>
        <v>14.39685931</v>
      </c>
      <c r="L421" s="6">
        <f t="shared" si="237"/>
        <v>14.60277542</v>
      </c>
      <c r="M421" s="6">
        <f t="shared" si="237"/>
        <v>14.829445979999999</v>
      </c>
      <c r="N421" s="6">
        <f t="shared" si="237"/>
        <v>15.042960860000001</v>
      </c>
      <c r="O421" s="6">
        <f t="shared" si="237"/>
        <v>15.255187619999999</v>
      </c>
      <c r="P421" s="6">
        <f t="shared" si="237"/>
        <v>15.46759999</v>
      </c>
      <c r="Q421" s="6">
        <f t="shared" si="237"/>
        <v>15.680299209999999</v>
      </c>
      <c r="R421" s="6">
        <f t="shared" si="237"/>
        <v>15.89333684</v>
      </c>
      <c r="S421" s="6">
        <f t="shared" si="237"/>
        <v>16.104653649999999</v>
      </c>
      <c r="T421" s="6">
        <f t="shared" si="237"/>
        <v>16.316431359999999</v>
      </c>
      <c r="U421" s="6">
        <f t="shared" si="237"/>
        <v>16.529305610000002</v>
      </c>
      <c r="V421" s="6">
        <f t="shared" si="237"/>
        <v>16.74371154</v>
      </c>
      <c r="W421" s="6">
        <f t="shared" si="237"/>
        <v>16.947265829999999</v>
      </c>
      <c r="X421" s="6">
        <f t="shared" si="237"/>
        <v>17.16277371</v>
      </c>
      <c r="Y421" s="6">
        <f t="shared" si="237"/>
        <v>17.382774770000001</v>
      </c>
      <c r="Z421" s="6">
        <f t="shared" si="237"/>
        <v>17.606415770000002</v>
      </c>
      <c r="AA421" s="6">
        <f t="shared" si="237"/>
        <v>17.833803329999999</v>
      </c>
      <c r="AB421" s="6">
        <f t="shared" si="237"/>
        <v>18.028629930000001</v>
      </c>
      <c r="AC421" s="6">
        <f t="shared" si="237"/>
        <v>18.238517730000002</v>
      </c>
      <c r="AD421" s="6">
        <f t="shared" si="237"/>
        <v>18.45325974</v>
      </c>
      <c r="AE421" s="6">
        <f t="shared" si="237"/>
        <v>18.67178423</v>
      </c>
      <c r="AF421" s="6">
        <f t="shared" si="237"/>
        <v>18.8943151</v>
      </c>
      <c r="AG421" s="6">
        <f t="shared" si="237"/>
        <v>19.121188199999999</v>
      </c>
      <c r="AH421" s="6">
        <f t="shared" si="237"/>
        <v>19.35316048</v>
      </c>
      <c r="AI421" s="6">
        <f t="shared" si="237"/>
        <v>19.589973480000001</v>
      </c>
      <c r="AJ421" s="6">
        <f t="shared" si="237"/>
        <v>19.831638269999999</v>
      </c>
      <c r="AK421" s="6">
        <f t="shared" si="237"/>
        <v>20.078150319999999</v>
      </c>
      <c r="AL421" s="6">
        <f t="shared" si="237"/>
        <v>20.329465119999998</v>
      </c>
      <c r="AM421" s="6">
        <f t="shared" ref="AM421:BC421" si="238">AM394</f>
        <v>20.581192059999999</v>
      </c>
      <c r="AN421" s="6">
        <f t="shared" si="238"/>
        <v>20.835892189999999</v>
      </c>
      <c r="AO421" s="6">
        <f t="shared" si="238"/>
        <v>21.094077909999999</v>
      </c>
      <c r="AP421" s="6">
        <f t="shared" si="238"/>
        <v>21.355924049999999</v>
      </c>
      <c r="AQ421" s="6">
        <f t="shared" si="238"/>
        <v>21.6215391</v>
      </c>
      <c r="AR421" s="6">
        <f t="shared" si="238"/>
        <v>21.891705980000001</v>
      </c>
      <c r="AS421" s="6">
        <f t="shared" si="238"/>
        <v>22.16589626</v>
      </c>
      <c r="AT421" s="6">
        <f t="shared" si="238"/>
        <v>22.444055250000002</v>
      </c>
      <c r="AU421" s="6">
        <f t="shared" si="238"/>
        <v>22.726180580000001</v>
      </c>
      <c r="AV421" s="6">
        <f t="shared" si="238"/>
        <v>23.012265410000001</v>
      </c>
      <c r="AW421" s="6">
        <f t="shared" si="238"/>
        <v>23.305454650000001</v>
      </c>
      <c r="AX421" s="6">
        <f t="shared" si="238"/>
        <v>23.603175740000001</v>
      </c>
      <c r="AY421" s="6">
        <f t="shared" si="238"/>
        <v>23.90500132</v>
      </c>
      <c r="AZ421" s="6">
        <f t="shared" si="238"/>
        <v>24.210826860000001</v>
      </c>
      <c r="BA421" s="6">
        <f t="shared" si="238"/>
        <v>24.520606780000001</v>
      </c>
      <c r="BB421" s="6">
        <f t="shared" si="238"/>
        <v>30.561713749999999</v>
      </c>
      <c r="BC421" s="6">
        <f t="shared" si="238"/>
        <v>31.087305239999999</v>
      </c>
      <c r="BD421" s="6">
        <f t="shared" ref="BD421:BF421" si="239">BD394</f>
        <v>31.622493739999999</v>
      </c>
      <c r="BE421" s="6">
        <f t="shared" si="239"/>
        <v>32.167449670000003</v>
      </c>
      <c r="BF421" s="6">
        <f t="shared" si="239"/>
        <v>32.722338440000001</v>
      </c>
    </row>
    <row r="422" spans="1:58" x14ac:dyDescent="0.35">
      <c r="B422" t="s">
        <v>67</v>
      </c>
      <c r="C422" s="6">
        <f>C396</f>
        <v>19.07969907</v>
      </c>
      <c r="D422" s="6">
        <f t="shared" ref="D422:AL422" si="240">D396</f>
        <v>19.129976580000001</v>
      </c>
      <c r="E422" s="6">
        <f t="shared" si="240"/>
        <v>19.30337098</v>
      </c>
      <c r="F422" s="6">
        <f t="shared" si="240"/>
        <v>19.518355679999999</v>
      </c>
      <c r="G422" s="6">
        <f t="shared" si="240"/>
        <v>19.755488490000001</v>
      </c>
      <c r="H422" s="6">
        <f t="shared" si="240"/>
        <v>20.008659359999999</v>
      </c>
      <c r="I422" s="6">
        <f t="shared" si="240"/>
        <v>20.261648430000001</v>
      </c>
      <c r="J422" s="6">
        <f t="shared" si="240"/>
        <v>20.521705910000001</v>
      </c>
      <c r="K422" s="6">
        <f t="shared" si="240"/>
        <v>20.789543770000002</v>
      </c>
      <c r="L422" s="6">
        <f t="shared" si="240"/>
        <v>21.064474489999998</v>
      </c>
      <c r="M422" s="6">
        <f t="shared" si="240"/>
        <v>21.367659790000001</v>
      </c>
      <c r="N422" s="6">
        <f t="shared" si="240"/>
        <v>21.65840845</v>
      </c>
      <c r="O422" s="6">
        <f t="shared" si="240"/>
        <v>21.949466009999998</v>
      </c>
      <c r="P422" s="6">
        <f t="shared" si="240"/>
        <v>22.24320079</v>
      </c>
      <c r="Q422" s="6">
        <f t="shared" si="240"/>
        <v>22.539988600000001</v>
      </c>
      <c r="R422" s="6">
        <f t="shared" si="240"/>
        <v>22.839940680000002</v>
      </c>
      <c r="S422" s="6">
        <f t="shared" si="240"/>
        <v>23.14035539</v>
      </c>
      <c r="T422" s="6">
        <f t="shared" si="240"/>
        <v>23.443812749999999</v>
      </c>
      <c r="U422" s="6">
        <f t="shared" si="240"/>
        <v>23.75112863</v>
      </c>
      <c r="V422" s="6">
        <f t="shared" si="240"/>
        <v>24.062791690000001</v>
      </c>
      <c r="W422" s="6">
        <f t="shared" si="240"/>
        <v>24.363162519999999</v>
      </c>
      <c r="X422" s="6">
        <f t="shared" si="240"/>
        <v>24.679495129999999</v>
      </c>
      <c r="Y422" s="6">
        <f t="shared" si="240"/>
        <v>25.003987339999998</v>
      </c>
      <c r="Z422" s="6">
        <f t="shared" si="240"/>
        <v>25.335211480000002</v>
      </c>
      <c r="AA422" s="6">
        <f t="shared" si="240"/>
        <v>25.67305095</v>
      </c>
      <c r="AB422" s="6">
        <f t="shared" si="240"/>
        <v>25.97176198</v>
      </c>
      <c r="AC422" s="6">
        <f t="shared" si="240"/>
        <v>26.28740655</v>
      </c>
      <c r="AD422" s="6">
        <f t="shared" si="240"/>
        <v>26.610171609999998</v>
      </c>
      <c r="AE422" s="6">
        <f t="shared" si="240"/>
        <v>26.938407779999999</v>
      </c>
      <c r="AF422" s="6">
        <f t="shared" si="240"/>
        <v>27.27209886</v>
      </c>
      <c r="AG422" s="6">
        <f t="shared" si="240"/>
        <v>27.6114915</v>
      </c>
      <c r="AH422" s="6">
        <f t="shared" si="240"/>
        <v>27.957451880000001</v>
      </c>
      <c r="AI422" s="6">
        <f t="shared" si="240"/>
        <v>28.309612470000001</v>
      </c>
      <c r="AJ422" s="6">
        <f t="shared" si="240"/>
        <v>28.667923300000002</v>
      </c>
      <c r="AK422" s="6">
        <f t="shared" si="240"/>
        <v>29.03234067</v>
      </c>
      <c r="AL422" s="6">
        <f t="shared" si="240"/>
        <v>29.402782699999999</v>
      </c>
      <c r="AM422" s="6">
        <f t="shared" ref="AM422:BC422" si="241">AM396</f>
        <v>29.77387169</v>
      </c>
      <c r="AN422" s="6">
        <f t="shared" si="241"/>
        <v>30.14809266</v>
      </c>
      <c r="AO422" s="6">
        <f t="shared" si="241"/>
        <v>30.526133309999999</v>
      </c>
      <c r="AP422" s="6">
        <f t="shared" si="241"/>
        <v>30.90824061</v>
      </c>
      <c r="AQ422" s="6">
        <f t="shared" si="241"/>
        <v>31.294549289999999</v>
      </c>
      <c r="AR422" s="6">
        <f t="shared" si="241"/>
        <v>31.686061680000002</v>
      </c>
      <c r="AS422" s="6">
        <f t="shared" si="241"/>
        <v>32.082142070000003</v>
      </c>
      <c r="AT422" s="6">
        <f t="shared" si="241"/>
        <v>32.482697760000001</v>
      </c>
      <c r="AU422" s="6">
        <f t="shared" si="241"/>
        <v>32.887728930000002</v>
      </c>
      <c r="AV422" s="6">
        <f t="shared" si="241"/>
        <v>33.297244069999998</v>
      </c>
      <c r="AW422" s="6">
        <f t="shared" si="241"/>
        <v>33.715299369999997</v>
      </c>
      <c r="AX422" s="6">
        <f t="shared" si="241"/>
        <v>34.138871199999997</v>
      </c>
      <c r="AY422" s="6">
        <f t="shared" si="241"/>
        <v>34.567323940000001</v>
      </c>
      <c r="AZ422" s="6">
        <f t="shared" si="241"/>
        <v>35.000512550000003</v>
      </c>
      <c r="BA422" s="6">
        <f t="shared" si="241"/>
        <v>35.438406399999998</v>
      </c>
      <c r="BB422" s="6">
        <f t="shared" si="241"/>
        <v>45.68449012</v>
      </c>
      <c r="BC422" s="6">
        <f t="shared" si="241"/>
        <v>46.492077760000001</v>
      </c>
      <c r="BD422" s="6">
        <f t="shared" ref="BD422:BF422" si="242">BD396</f>
        <v>47.312222509999998</v>
      </c>
      <c r="BE422" s="6">
        <f t="shared" si="242"/>
        <v>48.1450423</v>
      </c>
      <c r="BF422" s="6">
        <f t="shared" si="242"/>
        <v>48.99065882</v>
      </c>
    </row>
    <row r="423" spans="1:58" x14ac:dyDescent="0.35">
      <c r="B423" t="s">
        <v>71</v>
      </c>
      <c r="C423" s="6">
        <f>C391+C393+C395+C397+C398+C399</f>
        <v>16.052244909000002</v>
      </c>
      <c r="D423" s="6">
        <f t="shared" ref="D423:AL423" si="243">D391+D393+D395+D397+D398+D399</f>
        <v>15.966448705999998</v>
      </c>
      <c r="E423" s="6">
        <f t="shared" si="243"/>
        <v>15.924264172999997</v>
      </c>
      <c r="F423" s="6">
        <f t="shared" si="243"/>
        <v>15.933533628000001</v>
      </c>
      <c r="G423" s="6">
        <f t="shared" si="243"/>
        <v>16.005150154999999</v>
      </c>
      <c r="H423" s="6">
        <f t="shared" si="243"/>
        <v>16.139345024000001</v>
      </c>
      <c r="I423" s="6">
        <f t="shared" si="243"/>
        <v>16.320046851000001</v>
      </c>
      <c r="J423" s="6">
        <f t="shared" si="243"/>
        <v>16.541880829</v>
      </c>
      <c r="K423" s="6">
        <f t="shared" si="243"/>
        <v>16.797120829999997</v>
      </c>
      <c r="L423" s="6">
        <f t="shared" si="243"/>
        <v>17.07880321</v>
      </c>
      <c r="M423" s="6">
        <f t="shared" si="243"/>
        <v>17.39704991</v>
      </c>
      <c r="N423" s="6">
        <f t="shared" si="243"/>
        <v>17.723635847000001</v>
      </c>
      <c r="O423" s="6">
        <f t="shared" si="243"/>
        <v>18.059545915000001</v>
      </c>
      <c r="P423" s="6">
        <f t="shared" si="243"/>
        <v>18.402179674999999</v>
      </c>
      <c r="Q423" s="6">
        <f t="shared" si="243"/>
        <v>18.748936192999999</v>
      </c>
      <c r="R423" s="6">
        <f t="shared" si="243"/>
        <v>19.097713681000002</v>
      </c>
      <c r="S423" s="6">
        <f t="shared" si="243"/>
        <v>19.445142995999998</v>
      </c>
      <c r="T423" s="6">
        <f t="shared" si="243"/>
        <v>19.790945872999998</v>
      </c>
      <c r="U423" s="6">
        <f t="shared" si="243"/>
        <v>20.134629011000001</v>
      </c>
      <c r="V423" s="6">
        <f t="shared" si="243"/>
        <v>20.476049711999998</v>
      </c>
      <c r="W423" s="6">
        <f t="shared" si="243"/>
        <v>20.803375010000003</v>
      </c>
      <c r="X423" s="6">
        <f t="shared" si="243"/>
        <v>21.133437772999997</v>
      </c>
      <c r="Y423" s="6">
        <f t="shared" si="243"/>
        <v>21.463780194000002</v>
      </c>
      <c r="Z423" s="6">
        <f t="shared" si="243"/>
        <v>21.794744676000001</v>
      </c>
      <c r="AA423" s="6">
        <f t="shared" si="243"/>
        <v>22.127119190999998</v>
      </c>
      <c r="AB423" s="6">
        <f t="shared" si="243"/>
        <v>22.427123109</v>
      </c>
      <c r="AC423" s="6">
        <f t="shared" si="243"/>
        <v>22.726792357000001</v>
      </c>
      <c r="AD423" s="6">
        <f t="shared" si="243"/>
        <v>23.023388003999997</v>
      </c>
      <c r="AE423" s="6">
        <f t="shared" si="243"/>
        <v>23.317929610999997</v>
      </c>
      <c r="AF423" s="6">
        <f t="shared" si="243"/>
        <v>23.611918658</v>
      </c>
      <c r="AG423" s="6">
        <f t="shared" si="243"/>
        <v>23.906759330999996</v>
      </c>
      <c r="AH423" s="6">
        <f t="shared" si="243"/>
        <v>24.204072406999998</v>
      </c>
      <c r="AI423" s="6">
        <f t="shared" si="243"/>
        <v>24.504699435999999</v>
      </c>
      <c r="AJ423" s="6">
        <f t="shared" si="243"/>
        <v>24.809426276000003</v>
      </c>
      <c r="AK423" s="6">
        <f t="shared" si="243"/>
        <v>25.118845280999999</v>
      </c>
      <c r="AL423" s="6">
        <f t="shared" si="243"/>
        <v>25.433350724</v>
      </c>
      <c r="AM423" s="6">
        <f t="shared" ref="AM423:BC423" si="244">AM391+AM393+AM395+AM397+AM398+AM399</f>
        <v>25.748441700000001</v>
      </c>
      <c r="AN423" s="6">
        <f t="shared" si="244"/>
        <v>26.065324184999998</v>
      </c>
      <c r="AO423" s="6">
        <f t="shared" si="244"/>
        <v>26.384344388000002</v>
      </c>
      <c r="AP423" s="6">
        <f t="shared" si="244"/>
        <v>26.705566798</v>
      </c>
      <c r="AQ423" s="6">
        <f t="shared" si="244"/>
        <v>27.028961903000003</v>
      </c>
      <c r="AR423" s="6">
        <f t="shared" si="244"/>
        <v>27.355032638000001</v>
      </c>
      <c r="AS423" s="6">
        <f t="shared" si="244"/>
        <v>27.683457883999999</v>
      </c>
      <c r="AT423" s="6">
        <f t="shared" si="244"/>
        <v>28.014109875000003</v>
      </c>
      <c r="AU423" s="6">
        <f t="shared" si="244"/>
        <v>28.346868755999999</v>
      </c>
      <c r="AV423" s="6">
        <f t="shared" si="244"/>
        <v>28.681610503999998</v>
      </c>
      <c r="AW423" s="6">
        <f t="shared" si="244"/>
        <v>29.020855261999998</v>
      </c>
      <c r="AX423" s="6">
        <f t="shared" si="244"/>
        <v>29.363386335999998</v>
      </c>
      <c r="AY423" s="6">
        <f t="shared" si="244"/>
        <v>29.708835560000004</v>
      </c>
      <c r="AZ423" s="6">
        <f t="shared" si="244"/>
        <v>30.056909944000001</v>
      </c>
      <c r="BA423" s="6">
        <f t="shared" si="244"/>
        <v>30.407339613000001</v>
      </c>
      <c r="BB423" s="6">
        <f t="shared" si="244"/>
        <v>43.074880526999998</v>
      </c>
      <c r="BC423" s="6">
        <f t="shared" si="244"/>
        <v>43.816420633999996</v>
      </c>
      <c r="BD423" s="6">
        <f t="shared" ref="BD423:BF423" si="245">BD391+BD393+BD395+BD397+BD398+BD399</f>
        <v>44.560348927999996</v>
      </c>
      <c r="BE423" s="6">
        <f t="shared" si="245"/>
        <v>45.307026461999996</v>
      </c>
      <c r="BF423" s="6">
        <f t="shared" si="245"/>
        <v>46.056801929999999</v>
      </c>
    </row>
    <row r="424" spans="1:58" x14ac:dyDescent="0.35">
      <c r="B424" t="s">
        <v>68</v>
      </c>
      <c r="C424" s="6">
        <f>C401</f>
        <v>17.05309493</v>
      </c>
      <c r="D424" s="6">
        <f t="shared" ref="D424:AL424" si="246">D401</f>
        <v>17.129389740000001</v>
      </c>
      <c r="E424" s="6">
        <f t="shared" si="246"/>
        <v>17.255722429999999</v>
      </c>
      <c r="F424" s="6">
        <f t="shared" si="246"/>
        <v>17.410305699999999</v>
      </c>
      <c r="G424" s="6">
        <f t="shared" si="246"/>
        <v>17.588743489999999</v>
      </c>
      <c r="H424" s="6">
        <f t="shared" si="246"/>
        <v>17.788413819999999</v>
      </c>
      <c r="I424" s="6">
        <f t="shared" si="246"/>
        <v>17.99684366</v>
      </c>
      <c r="J424" s="6">
        <f t="shared" si="246"/>
        <v>18.216336720000001</v>
      </c>
      <c r="K424" s="6">
        <f t="shared" si="246"/>
        <v>18.445777190000001</v>
      </c>
      <c r="L424" s="6">
        <f t="shared" si="246"/>
        <v>18.683419839999999</v>
      </c>
      <c r="M424" s="6">
        <f t="shared" si="246"/>
        <v>18.943730219999999</v>
      </c>
      <c r="N424" s="6">
        <f t="shared" si="246"/>
        <v>19.199021250000001</v>
      </c>
      <c r="O424" s="6">
        <f t="shared" si="246"/>
        <v>19.455053889999999</v>
      </c>
      <c r="P424" s="6">
        <f t="shared" si="246"/>
        <v>19.712683250000001</v>
      </c>
      <c r="Q424" s="6">
        <f t="shared" si="246"/>
        <v>19.971818129999999</v>
      </c>
      <c r="R424" s="6">
        <f t="shared" si="246"/>
        <v>20.232329329999999</v>
      </c>
      <c r="S424" s="6">
        <f t="shared" si="246"/>
        <v>20.49289486</v>
      </c>
      <c r="T424" s="6">
        <f t="shared" si="246"/>
        <v>20.75453302</v>
      </c>
      <c r="U424" s="6">
        <f t="shared" si="246"/>
        <v>21.017634130000001</v>
      </c>
      <c r="V424" s="6">
        <f t="shared" si="246"/>
        <v>21.282488239999999</v>
      </c>
      <c r="W424" s="6">
        <f t="shared" si="246"/>
        <v>21.5375607</v>
      </c>
      <c r="X424" s="6">
        <f t="shared" si="246"/>
        <v>21.80145602</v>
      </c>
      <c r="Y424" s="6">
        <f t="shared" si="246"/>
        <v>22.07005663</v>
      </c>
      <c r="Z424" s="6">
        <f t="shared" si="246"/>
        <v>22.342545179999998</v>
      </c>
      <c r="AA424" s="6">
        <f t="shared" si="246"/>
        <v>22.618861519999999</v>
      </c>
      <c r="AB424" s="6">
        <f t="shared" si="246"/>
        <v>22.86526439</v>
      </c>
      <c r="AC424" s="6">
        <f t="shared" si="246"/>
        <v>23.118764519999999</v>
      </c>
      <c r="AD424" s="6">
        <f t="shared" si="246"/>
        <v>23.3751511</v>
      </c>
      <c r="AE424" s="6">
        <f t="shared" si="246"/>
        <v>23.634137129999999</v>
      </c>
      <c r="AF424" s="6">
        <f t="shared" si="246"/>
        <v>23.89625981</v>
      </c>
      <c r="AG424" s="6">
        <f t="shared" si="246"/>
        <v>24.16209714</v>
      </c>
      <c r="AH424" s="6">
        <f t="shared" si="246"/>
        <v>24.432389400000002</v>
      </c>
      <c r="AI424" s="6">
        <f t="shared" si="246"/>
        <v>24.70723551</v>
      </c>
      <c r="AJ424" s="6">
        <f t="shared" si="246"/>
        <v>24.986765699999999</v>
      </c>
      <c r="AK424" s="6">
        <f t="shared" si="246"/>
        <v>25.271049399999999</v>
      </c>
      <c r="AL424" s="6">
        <f t="shared" si="246"/>
        <v>25.560100469999998</v>
      </c>
      <c r="AM424" s="6">
        <f t="shared" ref="AM424:BC424" si="247">AM401</f>
        <v>25.848407569999999</v>
      </c>
      <c r="AN424" s="6">
        <f t="shared" si="247"/>
        <v>26.13847745</v>
      </c>
      <c r="AO424" s="6">
        <f t="shared" si="247"/>
        <v>26.431242690000001</v>
      </c>
      <c r="AP424" s="6">
        <f t="shared" si="247"/>
        <v>26.72718953</v>
      </c>
      <c r="AQ424" s="6">
        <f t="shared" si="247"/>
        <v>27.02666116</v>
      </c>
      <c r="AR424" s="6">
        <f t="shared" si="247"/>
        <v>27.330333639999999</v>
      </c>
      <c r="AS424" s="6">
        <f t="shared" si="247"/>
        <v>27.63812184</v>
      </c>
      <c r="AT424" s="6">
        <f t="shared" si="247"/>
        <v>27.9500958</v>
      </c>
      <c r="AU424" s="6">
        <f t="shared" si="247"/>
        <v>28.266318250000001</v>
      </c>
      <c r="AV424" s="6">
        <f t="shared" si="247"/>
        <v>28.586822359999999</v>
      </c>
      <c r="AW424" s="6">
        <f t="shared" si="247"/>
        <v>28.913736270000001</v>
      </c>
      <c r="AX424" s="6">
        <f t="shared" si="247"/>
        <v>29.24570915</v>
      </c>
      <c r="AY424" s="6">
        <f t="shared" si="247"/>
        <v>29.582378670000001</v>
      </c>
      <c r="AZ424" s="6">
        <f t="shared" si="247"/>
        <v>29.923597090000001</v>
      </c>
      <c r="BA424" s="6">
        <f t="shared" si="247"/>
        <v>30.269274800000002</v>
      </c>
      <c r="BB424" s="6">
        <f t="shared" si="247"/>
        <v>35.672975299999997</v>
      </c>
      <c r="BC424" s="6">
        <f t="shared" si="247"/>
        <v>36.217518470000002</v>
      </c>
      <c r="BD424" s="6">
        <f t="shared" ref="BD424:BF424" si="248">BD401</f>
        <v>36.770833889999999</v>
      </c>
      <c r="BE424" s="6">
        <f t="shared" si="248"/>
        <v>37.33310058</v>
      </c>
      <c r="BF424" s="6">
        <f t="shared" si="248"/>
        <v>37.904501580000002</v>
      </c>
    </row>
    <row r="425" spans="1:58" x14ac:dyDescent="0.35">
      <c r="B425" t="s">
        <v>69</v>
      </c>
      <c r="C425" s="6">
        <f>C403</f>
        <v>18.709301419999999</v>
      </c>
      <c r="D425" s="6">
        <f t="shared" ref="D425:AL425" si="249">D403</f>
        <v>18.842241340000001</v>
      </c>
      <c r="E425" s="6">
        <f t="shared" si="249"/>
        <v>19.064570920000001</v>
      </c>
      <c r="F425" s="6">
        <f t="shared" si="249"/>
        <v>19.321009190000002</v>
      </c>
      <c r="G425" s="6">
        <f t="shared" si="249"/>
        <v>19.60506342</v>
      </c>
      <c r="H425" s="6">
        <f t="shared" si="249"/>
        <v>19.915126959999998</v>
      </c>
      <c r="I425" s="6">
        <f t="shared" si="249"/>
        <v>20.23361951</v>
      </c>
      <c r="J425" s="6">
        <f t="shared" si="249"/>
        <v>20.566791439999999</v>
      </c>
      <c r="K425" s="6">
        <f t="shared" si="249"/>
        <v>20.913521299999999</v>
      </c>
      <c r="L425" s="6">
        <f t="shared" si="249"/>
        <v>21.271565549999998</v>
      </c>
      <c r="M425" s="6">
        <f t="shared" si="249"/>
        <v>21.664519210000002</v>
      </c>
      <c r="N425" s="6">
        <f t="shared" si="249"/>
        <v>22.046655099999999</v>
      </c>
      <c r="O425" s="6">
        <f t="shared" si="249"/>
        <v>22.430208589999999</v>
      </c>
      <c r="P425" s="6">
        <f t="shared" si="249"/>
        <v>22.81634451</v>
      </c>
      <c r="Q425" s="6">
        <f t="shared" si="249"/>
        <v>23.204906699999999</v>
      </c>
      <c r="R425" s="6">
        <f t="shared" si="249"/>
        <v>23.595810650000001</v>
      </c>
      <c r="S425" s="6">
        <f t="shared" si="249"/>
        <v>23.98642667</v>
      </c>
      <c r="T425" s="6">
        <f t="shared" si="249"/>
        <v>24.379233450000001</v>
      </c>
      <c r="U425" s="6">
        <f t="shared" si="249"/>
        <v>24.77495717</v>
      </c>
      <c r="V425" s="6">
        <f t="shared" si="249"/>
        <v>25.174138429999999</v>
      </c>
      <c r="W425" s="6">
        <f t="shared" si="249"/>
        <v>25.557958920000001</v>
      </c>
      <c r="X425" s="6">
        <f t="shared" si="249"/>
        <v>25.957591399999998</v>
      </c>
      <c r="Y425" s="6">
        <f t="shared" si="249"/>
        <v>26.36517405</v>
      </c>
      <c r="Z425" s="6">
        <f t="shared" si="249"/>
        <v>26.779820789999999</v>
      </c>
      <c r="AA425" s="6">
        <f t="shared" si="249"/>
        <v>27.20165879</v>
      </c>
      <c r="AB425" s="6">
        <f t="shared" si="249"/>
        <v>27.574943470000001</v>
      </c>
      <c r="AC425" s="6">
        <f t="shared" si="249"/>
        <v>27.962619870000001</v>
      </c>
      <c r="AD425" s="6">
        <f t="shared" si="249"/>
        <v>28.35515204</v>
      </c>
      <c r="AE425" s="6">
        <f t="shared" si="249"/>
        <v>28.752540799999998</v>
      </c>
      <c r="AF425" s="6">
        <f t="shared" si="249"/>
        <v>29.156000909999999</v>
      </c>
      <c r="AG425" s="6">
        <f t="shared" si="249"/>
        <v>29.56667813</v>
      </c>
      <c r="AH425" s="6">
        <f t="shared" si="249"/>
        <v>29.986068790000001</v>
      </c>
      <c r="AI425" s="6">
        <f t="shared" si="249"/>
        <v>30.41429772</v>
      </c>
      <c r="AJ425" s="6">
        <f t="shared" si="249"/>
        <v>30.851675610000001</v>
      </c>
      <c r="AK425" s="6">
        <f t="shared" si="249"/>
        <v>31.298401370000001</v>
      </c>
      <c r="AL425" s="6">
        <f t="shared" si="249"/>
        <v>31.754570430000001</v>
      </c>
      <c r="AM425" s="6">
        <f t="shared" ref="AM425:BC425" si="250">AM403</f>
        <v>32.212085020000004</v>
      </c>
      <c r="AN425" s="6">
        <f t="shared" si="250"/>
        <v>32.67419331</v>
      </c>
      <c r="AO425" s="6">
        <f t="shared" si="250"/>
        <v>33.142234360000003</v>
      </c>
      <c r="AP425" s="6">
        <f t="shared" si="250"/>
        <v>33.6170756</v>
      </c>
      <c r="AQ425" s="6">
        <f t="shared" si="250"/>
        <v>34.099406180000003</v>
      </c>
      <c r="AR425" s="6">
        <f t="shared" si="250"/>
        <v>34.590667349999997</v>
      </c>
      <c r="AS425" s="6">
        <f t="shared" si="250"/>
        <v>35.090626479999997</v>
      </c>
      <c r="AT425" s="6">
        <f t="shared" si="250"/>
        <v>35.599501420000003</v>
      </c>
      <c r="AU425" s="6">
        <f t="shared" si="250"/>
        <v>36.117482340000002</v>
      </c>
      <c r="AV425" s="6">
        <f t="shared" si="250"/>
        <v>36.644692460000002</v>
      </c>
      <c r="AW425" s="6">
        <f t="shared" si="250"/>
        <v>37.185452640000001</v>
      </c>
      <c r="AX425" s="6">
        <f t="shared" si="250"/>
        <v>37.736879029999997</v>
      </c>
      <c r="AY425" s="6">
        <f t="shared" si="250"/>
        <v>38.298475770000003</v>
      </c>
      <c r="AZ425" s="6">
        <f t="shared" si="250"/>
        <v>38.870068410000002</v>
      </c>
      <c r="BA425" s="6">
        <f t="shared" si="250"/>
        <v>39.45154488</v>
      </c>
      <c r="BB425" s="6">
        <f t="shared" si="250"/>
        <v>48.979044649999999</v>
      </c>
      <c r="BC425" s="6">
        <f t="shared" si="250"/>
        <v>49.925197480000001</v>
      </c>
      <c r="BD425" s="6">
        <f t="shared" ref="BD425:BF425" si="251">BD403</f>
        <v>50.890454120000001</v>
      </c>
      <c r="BE425" s="6">
        <f t="shared" si="251"/>
        <v>51.87530229</v>
      </c>
      <c r="BF425" s="6">
        <f t="shared" si="251"/>
        <v>52.880249550000002</v>
      </c>
    </row>
    <row r="426" spans="1:58" x14ac:dyDescent="0.35">
      <c r="B426" t="s">
        <v>70</v>
      </c>
      <c r="C426" s="6">
        <f>C402+C400</f>
        <v>5.3336752570000003</v>
      </c>
      <c r="D426" s="6">
        <f t="shared" ref="D426:AL426" si="252">D402+D400</f>
        <v>5.364995006</v>
      </c>
      <c r="E426" s="6">
        <f t="shared" si="252"/>
        <v>5.4279194310000003</v>
      </c>
      <c r="F426" s="6">
        <f t="shared" si="252"/>
        <v>5.4990087159999996</v>
      </c>
      <c r="G426" s="6">
        <f t="shared" si="252"/>
        <v>5.5748995529999998</v>
      </c>
      <c r="H426" s="6">
        <f t="shared" si="252"/>
        <v>5.6544153460000004</v>
      </c>
      <c r="I426" s="6">
        <f t="shared" si="252"/>
        <v>5.7320386079999999</v>
      </c>
      <c r="J426" s="6">
        <f t="shared" si="252"/>
        <v>5.8107141060000007</v>
      </c>
      <c r="K426" s="6">
        <f t="shared" si="252"/>
        <v>5.8903727620000002</v>
      </c>
      <c r="L426" s="6">
        <f t="shared" si="252"/>
        <v>5.9706712710000005</v>
      </c>
      <c r="M426" s="6">
        <f t="shared" si="252"/>
        <v>6.0588289079999997</v>
      </c>
      <c r="N426" s="6">
        <f t="shared" si="252"/>
        <v>6.1399247600000004</v>
      </c>
      <c r="O426" s="6">
        <f t="shared" si="252"/>
        <v>6.2200141750000002</v>
      </c>
      <c r="P426" s="6">
        <f t="shared" si="252"/>
        <v>6.2998501840000003</v>
      </c>
      <c r="Q426" s="6">
        <f t="shared" si="252"/>
        <v>6.3795548489999998</v>
      </c>
      <c r="R426" s="6">
        <f t="shared" si="252"/>
        <v>6.4592068550000006</v>
      </c>
      <c r="S426" s="6">
        <f t="shared" si="252"/>
        <v>6.5378563829999994</v>
      </c>
      <c r="T426" s="6">
        <f t="shared" si="252"/>
        <v>6.6165812929999994</v>
      </c>
      <c r="U426" s="6">
        <f t="shared" si="252"/>
        <v>6.6956536450000002</v>
      </c>
      <c r="V426" s="6">
        <f t="shared" si="252"/>
        <v>6.775251914</v>
      </c>
      <c r="W426" s="6">
        <f t="shared" si="252"/>
        <v>6.8501079190000009</v>
      </c>
      <c r="X426" s="6">
        <f t="shared" si="252"/>
        <v>6.93032205</v>
      </c>
      <c r="Y426" s="6">
        <f t="shared" si="252"/>
        <v>7.0122117529999999</v>
      </c>
      <c r="Z426" s="6">
        <f t="shared" si="252"/>
        <v>7.0954144580000005</v>
      </c>
      <c r="AA426" s="6">
        <f t="shared" si="252"/>
        <v>7.1799818690000006</v>
      </c>
      <c r="AB426" s="6">
        <f t="shared" si="252"/>
        <v>7.2505307220000006</v>
      </c>
      <c r="AC426" s="6">
        <f t="shared" si="252"/>
        <v>7.3285024700000001</v>
      </c>
      <c r="AD426" s="6">
        <f t="shared" si="252"/>
        <v>7.4086401859999995</v>
      </c>
      <c r="AE426" s="6">
        <f t="shared" si="252"/>
        <v>7.4904067059999999</v>
      </c>
      <c r="AF426" s="6">
        <f t="shared" si="252"/>
        <v>7.5738388840000006</v>
      </c>
      <c r="AG426" s="6">
        <f t="shared" si="252"/>
        <v>7.6590215830000004</v>
      </c>
      <c r="AH426" s="6">
        <f t="shared" si="252"/>
        <v>7.7462539760000002</v>
      </c>
      <c r="AI426" s="6">
        <f t="shared" si="252"/>
        <v>7.8353644780000007</v>
      </c>
      <c r="AJ426" s="6">
        <f t="shared" si="252"/>
        <v>7.9263391849999998</v>
      </c>
      <c r="AK426" s="6">
        <f t="shared" si="252"/>
        <v>8.0191678199999998</v>
      </c>
      <c r="AL426" s="6">
        <f t="shared" si="252"/>
        <v>8.113829324000001</v>
      </c>
      <c r="AM426" s="6">
        <f t="shared" ref="AM426:BC426" si="253">AM402+AM400</f>
        <v>8.2086908249999997</v>
      </c>
      <c r="AN426" s="6">
        <f t="shared" si="253"/>
        <v>8.3048523420000002</v>
      </c>
      <c r="AO426" s="6">
        <f t="shared" si="253"/>
        <v>8.4024814859999992</v>
      </c>
      <c r="AP426" s="6">
        <f t="shared" si="253"/>
        <v>8.5016131490000006</v>
      </c>
      <c r="AQ426" s="6">
        <f t="shared" si="253"/>
        <v>8.6022604700000009</v>
      </c>
      <c r="AR426" s="6">
        <f t="shared" si="253"/>
        <v>8.704761199</v>
      </c>
      <c r="AS426" s="6">
        <f t="shared" si="253"/>
        <v>8.8088256760000014</v>
      </c>
      <c r="AT426" s="6">
        <f t="shared" si="253"/>
        <v>8.9144133189999994</v>
      </c>
      <c r="AU426" s="6">
        <f t="shared" si="253"/>
        <v>9.0215116510000009</v>
      </c>
      <c r="AV426" s="6">
        <f t="shared" si="253"/>
        <v>9.1301102810000003</v>
      </c>
      <c r="AW426" s="6">
        <f t="shared" si="253"/>
        <v>9.2416511949999993</v>
      </c>
      <c r="AX426" s="6">
        <f t="shared" si="253"/>
        <v>9.3548729399999999</v>
      </c>
      <c r="AY426" s="6">
        <f t="shared" si="253"/>
        <v>9.4695997869999999</v>
      </c>
      <c r="AZ426" s="6">
        <f t="shared" si="253"/>
        <v>9.585796521999999</v>
      </c>
      <c r="BA426" s="6">
        <f t="shared" si="253"/>
        <v>9.7034515920000004</v>
      </c>
      <c r="BB426" s="6">
        <f t="shared" si="253"/>
        <v>12.241690213999998</v>
      </c>
      <c r="BC426" s="6">
        <f t="shared" si="253"/>
        <v>12.448568612999999</v>
      </c>
      <c r="BD426" s="6">
        <f t="shared" ref="BD426:BF426" si="254">BD402+BD400</f>
        <v>12.659353551999999</v>
      </c>
      <c r="BE426" s="6">
        <f t="shared" si="254"/>
        <v>12.874115565</v>
      </c>
      <c r="BF426" s="6">
        <f t="shared" si="254"/>
        <v>13.092921322999999</v>
      </c>
    </row>
    <row r="427" spans="1:58" x14ac:dyDescent="0.35">
      <c r="B427" t="s">
        <v>10</v>
      </c>
      <c r="C427" s="6">
        <f>C404+C405+C415</f>
        <v>49.278766488000002</v>
      </c>
      <c r="D427" s="6">
        <f t="shared" ref="D427:AL427" si="255">D404+D405+D415</f>
        <v>49.477582237999997</v>
      </c>
      <c r="E427" s="6">
        <f t="shared" si="255"/>
        <v>49.785394961000002</v>
      </c>
      <c r="F427" s="6">
        <f t="shared" si="255"/>
        <v>50.183074321000007</v>
      </c>
      <c r="G427" s="6">
        <f t="shared" si="255"/>
        <v>50.676698676999997</v>
      </c>
      <c r="H427" s="6">
        <f t="shared" si="255"/>
        <v>51.265447315999999</v>
      </c>
      <c r="I427" s="6">
        <f t="shared" si="255"/>
        <v>51.906809546000005</v>
      </c>
      <c r="J427" s="6">
        <f t="shared" si="255"/>
        <v>52.609379449000002</v>
      </c>
      <c r="K427" s="6">
        <f t="shared" si="255"/>
        <v>53.366193226999997</v>
      </c>
      <c r="L427" s="6">
        <f t="shared" si="255"/>
        <v>54.168678701999994</v>
      </c>
      <c r="M427" s="6">
        <f t="shared" si="255"/>
        <v>55.067708371000002</v>
      </c>
      <c r="N427" s="6">
        <f t="shared" si="255"/>
        <v>55.961298756000005</v>
      </c>
      <c r="O427" s="6">
        <f t="shared" si="255"/>
        <v>56.871332198000005</v>
      </c>
      <c r="P427" s="6">
        <f t="shared" si="255"/>
        <v>57.797803195</v>
      </c>
      <c r="Q427" s="6">
        <f t="shared" si="255"/>
        <v>58.737985550000005</v>
      </c>
      <c r="R427" s="6">
        <f t="shared" si="255"/>
        <v>59.689412521999998</v>
      </c>
      <c r="S427" s="6">
        <f t="shared" si="255"/>
        <v>60.647565564000004</v>
      </c>
      <c r="T427" s="6">
        <f t="shared" si="255"/>
        <v>61.612330733</v>
      </c>
      <c r="U427" s="6">
        <f t="shared" si="255"/>
        <v>62.583236935000002</v>
      </c>
      <c r="V427" s="6">
        <f t="shared" si="255"/>
        <v>63.560059396000007</v>
      </c>
      <c r="W427" s="6">
        <f t="shared" si="255"/>
        <v>64.499093356999992</v>
      </c>
      <c r="X427" s="6">
        <f t="shared" si="255"/>
        <v>65.469887274000001</v>
      </c>
      <c r="Y427" s="6">
        <f t="shared" si="255"/>
        <v>66.453347050999994</v>
      </c>
      <c r="Z427" s="6">
        <f t="shared" si="255"/>
        <v>67.446943286999996</v>
      </c>
      <c r="AA427" s="6">
        <f t="shared" si="255"/>
        <v>68.450765268999987</v>
      </c>
      <c r="AB427" s="6">
        <f t="shared" si="255"/>
        <v>69.338901980000003</v>
      </c>
      <c r="AC427" s="6">
        <f t="shared" si="255"/>
        <v>70.252965631999999</v>
      </c>
      <c r="AD427" s="6">
        <f t="shared" si="255"/>
        <v>71.170632818000001</v>
      </c>
      <c r="AE427" s="6">
        <f t="shared" si="255"/>
        <v>72.091120771999996</v>
      </c>
      <c r="AF427" s="6">
        <f t="shared" si="255"/>
        <v>73.016807705999994</v>
      </c>
      <c r="AG427" s="6">
        <f t="shared" si="255"/>
        <v>73.950208267999997</v>
      </c>
      <c r="AH427" s="6">
        <f t="shared" si="255"/>
        <v>74.894063916000007</v>
      </c>
      <c r="AI427" s="6">
        <f t="shared" si="255"/>
        <v>75.849839578000001</v>
      </c>
      <c r="AJ427" s="6">
        <f t="shared" si="255"/>
        <v>76.818805432999994</v>
      </c>
      <c r="AK427" s="6">
        <f t="shared" si="255"/>
        <v>77.801942357000001</v>
      </c>
      <c r="AL427" s="6">
        <f t="shared" si="255"/>
        <v>78.799974867000003</v>
      </c>
      <c r="AM427" s="6">
        <f t="shared" ref="AM427:BC427" si="256">AM404+AM405+AM415</f>
        <v>79.788289563000006</v>
      </c>
      <c r="AN427" s="6">
        <f t="shared" si="256"/>
        <v>80.782339116999992</v>
      </c>
      <c r="AO427" s="6">
        <f t="shared" si="256"/>
        <v>81.785613714999997</v>
      </c>
      <c r="AP427" s="6">
        <f t="shared" si="256"/>
        <v>82.799628304999999</v>
      </c>
      <c r="AQ427" s="6">
        <f t="shared" si="256"/>
        <v>83.825456591999995</v>
      </c>
      <c r="AR427" s="6">
        <f t="shared" si="256"/>
        <v>84.864814152999998</v>
      </c>
      <c r="AS427" s="6">
        <f t="shared" si="256"/>
        <v>85.918052532999994</v>
      </c>
      <c r="AT427" s="6">
        <f t="shared" si="256"/>
        <v>86.985616012999998</v>
      </c>
      <c r="AU427" s="6">
        <f t="shared" si="256"/>
        <v>88.067846975999998</v>
      </c>
      <c r="AV427" s="6">
        <f t="shared" si="256"/>
        <v>89.164975289000012</v>
      </c>
      <c r="AW427" s="6">
        <f t="shared" si="256"/>
        <v>90.282728005999985</v>
      </c>
      <c r="AX427" s="6">
        <f t="shared" si="256"/>
        <v>91.418419318000005</v>
      </c>
      <c r="AY427" s="6">
        <f t="shared" si="256"/>
        <v>92.571376938</v>
      </c>
      <c r="AZ427" s="6">
        <f t="shared" si="256"/>
        <v>93.741231948999996</v>
      </c>
      <c r="BA427" s="6">
        <f t="shared" si="256"/>
        <v>94.927672829999992</v>
      </c>
      <c r="BB427" s="6">
        <f t="shared" si="256"/>
        <v>116.05732303399999</v>
      </c>
      <c r="BC427" s="6">
        <f t="shared" si="256"/>
        <v>117.99121762899999</v>
      </c>
      <c r="BD427" s="6">
        <f t="shared" ref="BD427:BF427" si="257">BD404+BD405+BD415</f>
        <v>119.95204948</v>
      </c>
      <c r="BE427" s="6">
        <f t="shared" si="257"/>
        <v>121.94073003999999</v>
      </c>
      <c r="BF427" s="6">
        <f t="shared" si="257"/>
        <v>123.95817712</v>
      </c>
    </row>
    <row r="428" spans="1:58" x14ac:dyDescent="0.35">
      <c r="B428" t="s">
        <v>29</v>
      </c>
      <c r="C428" s="6">
        <f>C407+C408+C406</f>
        <v>21.071247141999997</v>
      </c>
      <c r="D428" s="6">
        <f t="shared" ref="D428:AL428" si="258">D407+D408+D406</f>
        <v>21.076275883999998</v>
      </c>
      <c r="E428" s="6">
        <f t="shared" si="258"/>
        <v>21.133413972000003</v>
      </c>
      <c r="F428" s="6">
        <f t="shared" si="258"/>
        <v>21.224752329999998</v>
      </c>
      <c r="G428" s="6">
        <f t="shared" si="258"/>
        <v>21.351962103000002</v>
      </c>
      <c r="H428" s="6">
        <f t="shared" si="258"/>
        <v>21.512546301</v>
      </c>
      <c r="I428" s="6">
        <f t="shared" si="258"/>
        <v>21.691334430999998</v>
      </c>
      <c r="J428" s="6">
        <f t="shared" si="258"/>
        <v>21.889901741999999</v>
      </c>
      <c r="K428" s="6">
        <f t="shared" si="258"/>
        <v>22.105057084000002</v>
      </c>
      <c r="L428" s="6">
        <f t="shared" si="258"/>
        <v>22.333257376999999</v>
      </c>
      <c r="M428" s="6">
        <f t="shared" si="258"/>
        <v>22.589843978999998</v>
      </c>
      <c r="N428" s="6">
        <f t="shared" si="258"/>
        <v>22.840994428999998</v>
      </c>
      <c r="O428" s="6">
        <f t="shared" si="258"/>
        <v>23.094812026</v>
      </c>
      <c r="P428" s="6">
        <f t="shared" si="258"/>
        <v>23.352262662000001</v>
      </c>
      <c r="Q428" s="6">
        <f t="shared" si="258"/>
        <v>23.612941784999997</v>
      </c>
      <c r="R428" s="6">
        <f t="shared" si="258"/>
        <v>23.876357680999998</v>
      </c>
      <c r="S428" s="6">
        <f t="shared" si="258"/>
        <v>24.139999332999999</v>
      </c>
      <c r="T428" s="6">
        <f t="shared" si="258"/>
        <v>24.405363388000001</v>
      </c>
      <c r="U428" s="6">
        <f t="shared" si="258"/>
        <v>24.672733183999998</v>
      </c>
      <c r="V428" s="6">
        <f t="shared" si="258"/>
        <v>24.942207370000002</v>
      </c>
      <c r="W428" s="6">
        <f t="shared" si="258"/>
        <v>25.200651485999998</v>
      </c>
      <c r="X428" s="6">
        <f t="shared" si="258"/>
        <v>25.469568511000002</v>
      </c>
      <c r="Y428" s="6">
        <f t="shared" si="258"/>
        <v>25.743198457000002</v>
      </c>
      <c r="Z428" s="6">
        <f t="shared" si="258"/>
        <v>26.020354466999997</v>
      </c>
      <c r="AA428" s="6">
        <f t="shared" si="258"/>
        <v>26.300898276999998</v>
      </c>
      <c r="AB428" s="6">
        <f t="shared" si="258"/>
        <v>26.547149009999998</v>
      </c>
      <c r="AC428" s="6">
        <f t="shared" si="258"/>
        <v>26.803056223000002</v>
      </c>
      <c r="AD428" s="6">
        <f t="shared" si="258"/>
        <v>27.061917339999997</v>
      </c>
      <c r="AE428" s="6">
        <f t="shared" si="258"/>
        <v>27.322748713999999</v>
      </c>
      <c r="AF428" s="6">
        <f t="shared" si="258"/>
        <v>27.585849096</v>
      </c>
      <c r="AG428" s="6">
        <f t="shared" si="258"/>
        <v>27.851706104000002</v>
      </c>
      <c r="AH428" s="6">
        <f t="shared" si="258"/>
        <v>28.121238498</v>
      </c>
      <c r="AI428" s="6">
        <f t="shared" si="258"/>
        <v>28.394405788000004</v>
      </c>
      <c r="AJ428" s="6">
        <f t="shared" si="258"/>
        <v>28.671362545000001</v>
      </c>
      <c r="AK428" s="6">
        <f t="shared" si="258"/>
        <v>28.952239376999998</v>
      </c>
      <c r="AL428" s="6">
        <f t="shared" si="258"/>
        <v>29.237114238</v>
      </c>
      <c r="AM428" s="6">
        <f t="shared" ref="AM428:BC428" si="259">AM407+AM408+AM406</f>
        <v>29.521389965000001</v>
      </c>
      <c r="AN428" s="6">
        <f t="shared" si="259"/>
        <v>29.807171147000002</v>
      </c>
      <c r="AO428" s="6">
        <f t="shared" si="259"/>
        <v>30.095229718999999</v>
      </c>
      <c r="AP428" s="6">
        <f t="shared" si="259"/>
        <v>30.385946683</v>
      </c>
      <c r="AQ428" s="6">
        <f t="shared" si="259"/>
        <v>30.679582699000001</v>
      </c>
      <c r="AR428" s="6">
        <f t="shared" si="259"/>
        <v>30.977025724000001</v>
      </c>
      <c r="AS428" s="6">
        <f t="shared" si="259"/>
        <v>31.277916545000004</v>
      </c>
      <c r="AT428" s="6">
        <f t="shared" si="259"/>
        <v>31.582259909000005</v>
      </c>
      <c r="AU428" s="6">
        <f t="shared" si="259"/>
        <v>31.890098833</v>
      </c>
      <c r="AV428" s="6">
        <f t="shared" si="259"/>
        <v>32.2014566</v>
      </c>
      <c r="AW428" s="6">
        <f t="shared" si="259"/>
        <v>32.519447872000001</v>
      </c>
      <c r="AX428" s="6">
        <f t="shared" si="259"/>
        <v>32.841841013</v>
      </c>
      <c r="AY428" s="6">
        <f t="shared" si="259"/>
        <v>33.168117174999999</v>
      </c>
      <c r="AZ428" s="6">
        <f t="shared" si="259"/>
        <v>33.498104056000003</v>
      </c>
      <c r="BA428" s="6">
        <f t="shared" si="259"/>
        <v>33.831694782</v>
      </c>
      <c r="BB428" s="6">
        <f t="shared" si="259"/>
        <v>41.452889843000001</v>
      </c>
      <c r="BC428" s="6">
        <f t="shared" si="259"/>
        <v>42.057067828999998</v>
      </c>
      <c r="BD428" s="6">
        <f t="shared" ref="BD428:BF428" si="260">BD407+BD408+BD406</f>
        <v>42.671079304000003</v>
      </c>
      <c r="BE428" s="6">
        <f t="shared" si="260"/>
        <v>43.295167198999998</v>
      </c>
      <c r="BF428" s="6">
        <f t="shared" si="260"/>
        <v>43.929588232</v>
      </c>
    </row>
    <row r="429" spans="1:58" x14ac:dyDescent="0.35">
      <c r="B429" t="s">
        <v>33</v>
      </c>
      <c r="C429" s="6">
        <f>SUM(C409:C413)</f>
        <v>24.781765836000002</v>
      </c>
      <c r="D429" s="6">
        <f t="shared" ref="D429:AL429" si="261">SUM(D409:D413)</f>
        <v>24.857634778999998</v>
      </c>
      <c r="E429" s="6">
        <f t="shared" si="261"/>
        <v>24.965841512000001</v>
      </c>
      <c r="F429" s="6">
        <f t="shared" si="261"/>
        <v>25.101228815000002</v>
      </c>
      <c r="G429" s="6">
        <f t="shared" si="261"/>
        <v>25.266541723999996</v>
      </c>
      <c r="H429" s="6">
        <f t="shared" si="261"/>
        <v>25.460550013000002</v>
      </c>
      <c r="I429" s="6">
        <f t="shared" si="261"/>
        <v>25.666147916</v>
      </c>
      <c r="J429" s="6">
        <f t="shared" si="261"/>
        <v>25.882527453999998</v>
      </c>
      <c r="K429" s="6">
        <f t="shared" si="261"/>
        <v>26.108326936999998</v>
      </c>
      <c r="L429" s="6">
        <f t="shared" si="261"/>
        <v>26.341486670999998</v>
      </c>
      <c r="M429" s="6">
        <f t="shared" si="261"/>
        <v>26.603066973999997</v>
      </c>
      <c r="N429" s="6">
        <f t="shared" si="261"/>
        <v>26.855138685999997</v>
      </c>
      <c r="O429" s="6">
        <f t="shared" si="261"/>
        <v>27.102721311</v>
      </c>
      <c r="P429" s="6">
        <f t="shared" si="261"/>
        <v>27.348287225</v>
      </c>
      <c r="Q429" s="6">
        <f t="shared" si="261"/>
        <v>27.592576944000001</v>
      </c>
      <c r="R429" s="6">
        <f t="shared" si="261"/>
        <v>27.835812788999998</v>
      </c>
      <c r="S429" s="6">
        <f t="shared" si="261"/>
        <v>28.076807165999998</v>
      </c>
      <c r="T429" s="6">
        <f t="shared" si="261"/>
        <v>28.316628643000001</v>
      </c>
      <c r="U429" s="6">
        <f t="shared" si="261"/>
        <v>28.555892427999996</v>
      </c>
      <c r="V429" s="6">
        <f t="shared" si="261"/>
        <v>28.795129660000001</v>
      </c>
      <c r="W429" s="6">
        <f t="shared" si="261"/>
        <v>29.018399118000001</v>
      </c>
      <c r="X429" s="6">
        <f t="shared" si="261"/>
        <v>29.250975462</v>
      </c>
      <c r="Y429" s="6">
        <f t="shared" si="261"/>
        <v>29.489401829000002</v>
      </c>
      <c r="Z429" s="6">
        <f t="shared" si="261"/>
        <v>29.731988703999999</v>
      </c>
      <c r="AA429" s="6">
        <f t="shared" si="261"/>
        <v>29.978351438999997</v>
      </c>
      <c r="AB429" s="6">
        <f t="shared" si="261"/>
        <v>30.182190473000002</v>
      </c>
      <c r="AC429" s="6">
        <f t="shared" si="261"/>
        <v>30.391835002000001</v>
      </c>
      <c r="AD429" s="6">
        <f t="shared" si="261"/>
        <v>30.606547945999999</v>
      </c>
      <c r="AE429" s="6">
        <f t="shared" si="261"/>
        <v>30.825645893999997</v>
      </c>
      <c r="AF429" s="6">
        <f t="shared" si="261"/>
        <v>31.049291889000003</v>
      </c>
      <c r="AG429" s="6">
        <f t="shared" si="261"/>
        <v>31.277876885999998</v>
      </c>
      <c r="AH429" s="6">
        <f t="shared" si="261"/>
        <v>31.512083852</v>
      </c>
      <c r="AI429" s="6">
        <f t="shared" si="261"/>
        <v>31.752025702000001</v>
      </c>
      <c r="AJ429" s="6">
        <f t="shared" si="261"/>
        <v>31.997835045999999</v>
      </c>
      <c r="AK429" s="6">
        <f t="shared" si="261"/>
        <v>32.249587194999997</v>
      </c>
      <c r="AL429" s="6">
        <f t="shared" si="261"/>
        <v>32.507285570000001</v>
      </c>
      <c r="AM429" s="6">
        <f t="shared" ref="AM429:BC429" si="262">SUM(AM409:AM413)</f>
        <v>32.762840963000002</v>
      </c>
      <c r="AN429" s="6">
        <f t="shared" si="262"/>
        <v>33.019712169999998</v>
      </c>
      <c r="AO429" s="6">
        <f t="shared" si="262"/>
        <v>33.279854225000001</v>
      </c>
      <c r="AP429" s="6">
        <f t="shared" si="262"/>
        <v>33.544155339</v>
      </c>
      <c r="AQ429" s="6">
        <f t="shared" si="262"/>
        <v>33.813037735999998</v>
      </c>
      <c r="AR429" s="6">
        <f t="shared" si="262"/>
        <v>34.087141184000004</v>
      </c>
      <c r="AS429" s="6">
        <f t="shared" si="262"/>
        <v>34.366333728999997</v>
      </c>
      <c r="AT429" s="6">
        <f t="shared" si="262"/>
        <v>34.650611725000005</v>
      </c>
      <c r="AU429" s="6">
        <f t="shared" si="262"/>
        <v>34.939967305999993</v>
      </c>
      <c r="AV429" s="6">
        <f t="shared" si="262"/>
        <v>35.234395695000003</v>
      </c>
      <c r="AW429" s="6">
        <f t="shared" si="262"/>
        <v>35.536233877000001</v>
      </c>
      <c r="AX429" s="6">
        <f t="shared" si="262"/>
        <v>35.84414812</v>
      </c>
      <c r="AY429" s="6">
        <f t="shared" si="262"/>
        <v>36.157620640000005</v>
      </c>
      <c r="AZ429" s="6">
        <f t="shared" si="262"/>
        <v>36.476447951999994</v>
      </c>
      <c r="BA429" s="6">
        <f t="shared" si="262"/>
        <v>36.800540052999999</v>
      </c>
      <c r="BB429" s="6">
        <f t="shared" si="262"/>
        <v>39.955272639999997</v>
      </c>
      <c r="BC429" s="6">
        <f t="shared" si="262"/>
        <v>40.421372435000002</v>
      </c>
      <c r="BD429" s="6">
        <f t="shared" ref="BD429:BF429" si="263">SUM(BD409:BD413)</f>
        <v>40.895809559</v>
      </c>
      <c r="BE429" s="6">
        <f t="shared" si="263"/>
        <v>41.378600045999995</v>
      </c>
      <c r="BF429" s="6">
        <f t="shared" si="263"/>
        <v>41.869795973000002</v>
      </c>
    </row>
    <row r="431" spans="1:58" x14ac:dyDescent="0.35">
      <c r="A431" s="12" t="s">
        <v>92</v>
      </c>
      <c r="C431" s="7" t="s">
        <v>72</v>
      </c>
      <c r="D431" s="7" t="s">
        <v>15</v>
      </c>
      <c r="E431" s="7" t="s">
        <v>16</v>
      </c>
      <c r="F431" s="7" t="s">
        <v>17</v>
      </c>
    </row>
    <row r="432" spans="1:58" x14ac:dyDescent="0.35">
      <c r="A432" t="s">
        <v>39</v>
      </c>
      <c r="B432" t="s">
        <v>7</v>
      </c>
      <c r="C432" s="6">
        <f>H418</f>
        <v>14.826631289400002</v>
      </c>
      <c r="D432" s="6">
        <f>R418</f>
        <v>17.066469154199996</v>
      </c>
      <c r="E432" s="6">
        <f>AB418</f>
        <v>19.6246593935</v>
      </c>
      <c r="F432" s="6">
        <f>AL418</f>
        <v>22.137755228400003</v>
      </c>
    </row>
    <row r="433" spans="1:58" x14ac:dyDescent="0.35">
      <c r="B433" t="s">
        <v>64</v>
      </c>
      <c r="C433" s="6">
        <f t="shared" ref="C433:C443" si="264">H419</f>
        <v>8.7941018320000008</v>
      </c>
      <c r="D433" s="6">
        <f t="shared" ref="D433:D443" si="265">R419</f>
        <v>10.23839834</v>
      </c>
      <c r="E433" s="6">
        <f t="shared" ref="E433:E443" si="266">AB419</f>
        <v>11.879559970000001</v>
      </c>
      <c r="F433" s="6">
        <f t="shared" ref="F433:F443" si="267">AL419</f>
        <v>13.430585929999999</v>
      </c>
    </row>
    <row r="434" spans="1:58" x14ac:dyDescent="0.35">
      <c r="B434" t="s">
        <v>65</v>
      </c>
      <c r="C434" s="6">
        <f t="shared" si="264"/>
        <v>19.362787457</v>
      </c>
      <c r="D434" s="6">
        <f t="shared" si="265"/>
        <v>22.369101135999998</v>
      </c>
      <c r="E434" s="6">
        <f t="shared" si="266"/>
        <v>25.841602889999997</v>
      </c>
      <c r="F434" s="6">
        <f t="shared" si="267"/>
        <v>29.609304979999997</v>
      </c>
    </row>
    <row r="435" spans="1:58" x14ac:dyDescent="0.35">
      <c r="B435" t="s">
        <v>66</v>
      </c>
      <c r="C435" s="6">
        <f t="shared" si="264"/>
        <v>13.811003469999999</v>
      </c>
      <c r="D435" s="6">
        <f t="shared" si="265"/>
        <v>15.89333684</v>
      </c>
      <c r="E435" s="6">
        <f t="shared" si="266"/>
        <v>18.028629930000001</v>
      </c>
      <c r="F435" s="6">
        <f t="shared" si="267"/>
        <v>20.329465119999998</v>
      </c>
    </row>
    <row r="436" spans="1:58" x14ac:dyDescent="0.35">
      <c r="B436" t="s">
        <v>67</v>
      </c>
      <c r="C436" s="6">
        <f t="shared" si="264"/>
        <v>20.008659359999999</v>
      </c>
      <c r="D436" s="6">
        <f t="shared" si="265"/>
        <v>22.839940680000002</v>
      </c>
      <c r="E436" s="6">
        <f t="shared" si="266"/>
        <v>25.97176198</v>
      </c>
      <c r="F436" s="6">
        <f t="shared" si="267"/>
        <v>29.402782699999999</v>
      </c>
    </row>
    <row r="437" spans="1:58" x14ac:dyDescent="0.35">
      <c r="B437" t="s">
        <v>71</v>
      </c>
      <c r="C437" s="6">
        <f t="shared" si="264"/>
        <v>16.139345024000001</v>
      </c>
      <c r="D437" s="6">
        <f t="shared" si="265"/>
        <v>19.097713681000002</v>
      </c>
      <c r="E437" s="6">
        <f t="shared" si="266"/>
        <v>22.427123109</v>
      </c>
      <c r="F437" s="6">
        <f t="shared" si="267"/>
        <v>25.433350724</v>
      </c>
    </row>
    <row r="438" spans="1:58" x14ac:dyDescent="0.35">
      <c r="B438" t="s">
        <v>68</v>
      </c>
      <c r="C438" s="6">
        <f t="shared" si="264"/>
        <v>17.788413819999999</v>
      </c>
      <c r="D438" s="6">
        <f t="shared" si="265"/>
        <v>20.232329329999999</v>
      </c>
      <c r="E438" s="6">
        <f t="shared" si="266"/>
        <v>22.86526439</v>
      </c>
      <c r="F438" s="6">
        <f t="shared" si="267"/>
        <v>25.560100469999998</v>
      </c>
    </row>
    <row r="439" spans="1:58" x14ac:dyDescent="0.35">
      <c r="B439" t="s">
        <v>69</v>
      </c>
      <c r="C439" s="6">
        <f t="shared" si="264"/>
        <v>19.915126959999998</v>
      </c>
      <c r="D439" s="6">
        <f t="shared" si="265"/>
        <v>23.595810650000001</v>
      </c>
      <c r="E439" s="6">
        <f t="shared" si="266"/>
        <v>27.574943470000001</v>
      </c>
      <c r="F439" s="6">
        <f t="shared" si="267"/>
        <v>31.754570430000001</v>
      </c>
    </row>
    <row r="440" spans="1:58" x14ac:dyDescent="0.35">
      <c r="B440" t="s">
        <v>70</v>
      </c>
      <c r="C440" s="6">
        <f t="shared" si="264"/>
        <v>5.6544153460000004</v>
      </c>
      <c r="D440" s="6">
        <f t="shared" si="265"/>
        <v>6.4592068550000006</v>
      </c>
      <c r="E440" s="6">
        <f t="shared" si="266"/>
        <v>7.2505307220000006</v>
      </c>
      <c r="F440" s="6">
        <f t="shared" si="267"/>
        <v>8.113829324000001</v>
      </c>
    </row>
    <row r="441" spans="1:58" x14ac:dyDescent="0.35">
      <c r="B441" t="s">
        <v>10</v>
      </c>
      <c r="C441" s="6">
        <f t="shared" si="264"/>
        <v>51.265447315999999</v>
      </c>
      <c r="D441" s="6">
        <f t="shared" si="265"/>
        <v>59.689412521999998</v>
      </c>
      <c r="E441" s="6">
        <f t="shared" si="266"/>
        <v>69.338901980000003</v>
      </c>
      <c r="F441" s="6">
        <f t="shared" si="267"/>
        <v>78.799974867000003</v>
      </c>
    </row>
    <row r="442" spans="1:58" x14ac:dyDescent="0.35">
      <c r="B442" t="s">
        <v>29</v>
      </c>
      <c r="C442" s="6">
        <f t="shared" si="264"/>
        <v>21.512546301</v>
      </c>
      <c r="D442" s="6">
        <f t="shared" si="265"/>
        <v>23.876357680999998</v>
      </c>
      <c r="E442" s="6">
        <f t="shared" si="266"/>
        <v>26.547149009999998</v>
      </c>
      <c r="F442" s="6">
        <f t="shared" si="267"/>
        <v>29.237114238</v>
      </c>
    </row>
    <row r="443" spans="1:58" x14ac:dyDescent="0.35">
      <c r="B443" t="s">
        <v>33</v>
      </c>
      <c r="C443" s="6">
        <f t="shared" si="264"/>
        <v>25.460550013000002</v>
      </c>
      <c r="D443" s="6">
        <f t="shared" si="265"/>
        <v>27.835812788999998</v>
      </c>
      <c r="E443" s="6">
        <f t="shared" si="266"/>
        <v>30.182190473000002</v>
      </c>
      <c r="F443" s="6">
        <f t="shared" si="267"/>
        <v>32.507285570000001</v>
      </c>
    </row>
    <row r="445" spans="1:58" x14ac:dyDescent="0.35">
      <c r="A445" s="12" t="s">
        <v>93</v>
      </c>
      <c r="B445" t="s">
        <v>73</v>
      </c>
      <c r="C445" s="6">
        <f>[1]Results!F281</f>
        <v>159.96963149999999</v>
      </c>
      <c r="D445" s="6">
        <f>[1]Results!G281</f>
        <v>160.1493155</v>
      </c>
      <c r="E445" s="6">
        <f>[1]Results!H281</f>
        <v>160.50317319999999</v>
      </c>
      <c r="F445" s="6">
        <f>[1]Results!I281</f>
        <v>161.07301509999999</v>
      </c>
      <c r="G445" s="6">
        <f>[1]Results!J281</f>
        <v>161.89400620000001</v>
      </c>
      <c r="H445" s="6">
        <f>[1]Results!K281</f>
        <v>162.95042559999999</v>
      </c>
      <c r="I445" s="6">
        <f>[1]Results!L281</f>
        <v>164.155663</v>
      </c>
      <c r="J445" s="6">
        <f>[1]Results!M281</f>
        <v>165.51816199999999</v>
      </c>
      <c r="K445" s="6">
        <f>[1]Results!N281</f>
        <v>167.0109052</v>
      </c>
      <c r="L445" s="6">
        <f>[1]Results!O281</f>
        <v>168.60390699999999</v>
      </c>
      <c r="M445" s="6">
        <f>[1]Results!P281</f>
        <v>170.4066564</v>
      </c>
      <c r="N445" s="6">
        <f>[1]Results!Q281</f>
        <v>172.17955470000001</v>
      </c>
      <c r="O445" s="6">
        <f>[1]Results!R281</f>
        <v>173.9675068</v>
      </c>
      <c r="P445" s="6">
        <f>[1]Results!S281</f>
        <v>175.77336349999999</v>
      </c>
      <c r="Q445" s="6">
        <f>[1]Results!T281</f>
        <v>177.5933216</v>
      </c>
      <c r="R445" s="6">
        <f>[1]Results!U281</f>
        <v>179.4236492</v>
      </c>
      <c r="S445" s="6">
        <f>[1]Results!V281</f>
        <v>181.25198839999999</v>
      </c>
      <c r="T445" s="6">
        <f>[1]Results!W281</f>
        <v>183.08464530000001</v>
      </c>
      <c r="U445" s="6">
        <f>[1]Results!X281</f>
        <v>184.92318990000001</v>
      </c>
      <c r="V445" s="6">
        <f>[1]Results!Y281</f>
        <v>186.76903830000001</v>
      </c>
      <c r="W445" s="6">
        <f>[1]Results!Z281</f>
        <v>188.52664369999999</v>
      </c>
      <c r="X445" s="6">
        <f>[1]Results!AA281</f>
        <v>190.3499588</v>
      </c>
      <c r="Y445" s="6">
        <f>[1]Results!AB281</f>
        <v>192.20324489999999</v>
      </c>
      <c r="Z445" s="6">
        <f>[1]Results!AC281</f>
        <v>194.0801951</v>
      </c>
      <c r="AA445" s="6">
        <f>[1]Results!AD281</f>
        <v>195.9805207</v>
      </c>
      <c r="AB445" s="6">
        <f>[1]Results!AE281</f>
        <v>197.62880200000001</v>
      </c>
      <c r="AC445" s="6">
        <f>[1]Results!AF281</f>
        <v>199.33044960000001</v>
      </c>
      <c r="AD445" s="6">
        <f>[1]Results!AG281</f>
        <v>201.0478708</v>
      </c>
      <c r="AE445" s="6">
        <f>[1]Results!AH281</f>
        <v>202.7790139</v>
      </c>
      <c r="AF445" s="6">
        <f>[1]Results!AI281</f>
        <v>204.52782199999999</v>
      </c>
      <c r="AG445" s="6">
        <f>[1]Results!AJ281</f>
        <v>206.29876590000001</v>
      </c>
      <c r="AH445" s="6">
        <f>[1]Results!AK281</f>
        <v>208.09791240000001</v>
      </c>
      <c r="AI445" s="6">
        <f>[1]Results!AL281</f>
        <v>209.92656400000001</v>
      </c>
      <c r="AJ445" s="6">
        <f>[1]Results!AM281</f>
        <v>211.78641239999999</v>
      </c>
      <c r="AK445" s="6">
        <f>[1]Results!AN281</f>
        <v>213.67861389999999</v>
      </c>
      <c r="AL445" s="6">
        <f>[1]Results!AO281</f>
        <v>215.6037748</v>
      </c>
      <c r="AM445" s="6">
        <f>[1]Results!AP281</f>
        <v>217.51739839999999</v>
      </c>
      <c r="AN445" s="6">
        <f>[1]Results!AQ281</f>
        <v>219.44085150000001</v>
      </c>
      <c r="AO445" s="6">
        <f>[1]Results!AR281</f>
        <v>221.38167079999999</v>
      </c>
      <c r="AP445" s="6">
        <f>[1]Results!AS281</f>
        <v>223.34355650000001</v>
      </c>
      <c r="AQ445" s="6">
        <f>[1]Results!AT281</f>
        <v>225.32885630000001</v>
      </c>
      <c r="AR445" s="6">
        <f>[1]Results!AU281</f>
        <v>227.34244609999999</v>
      </c>
      <c r="AS445" s="6">
        <f>[1]Results!AV281</f>
        <v>229.3833381</v>
      </c>
      <c r="AT445" s="6">
        <f>[1]Results!AW281</f>
        <v>231.45192950000001</v>
      </c>
      <c r="AU445" s="6">
        <f>[1]Results!AX281</f>
        <v>233.54851650000001</v>
      </c>
      <c r="AV445" s="6">
        <f>[1]Results!AY281</f>
        <v>235.67321910000001</v>
      </c>
      <c r="AW445" s="6">
        <f>[1]Results!AZ281</f>
        <v>237.84257310000001</v>
      </c>
      <c r="AX445" s="6">
        <f>[1]Results!BA281</f>
        <v>240.04589970000001</v>
      </c>
      <c r="AY445" s="6">
        <f>[1]Results!BB281</f>
        <v>242.2805788</v>
      </c>
      <c r="AZ445" s="6">
        <f>[1]Results!BC281</f>
        <v>244.54540700000001</v>
      </c>
      <c r="BA445" s="6">
        <f>[1]Results!BD281</f>
        <v>246.83952350000001</v>
      </c>
      <c r="BB445" s="6">
        <f>[1]Results!BE281</f>
        <v>283.96565909999998</v>
      </c>
      <c r="BC445" s="6">
        <f>[1]Results!BF281</f>
        <v>287.72227379999998</v>
      </c>
      <c r="BD445" s="6">
        <f>[1]Results!BG281</f>
        <v>291.5392842</v>
      </c>
      <c r="BE445" s="6">
        <f>[1]Results!BH281</f>
        <v>295.41791599999999</v>
      </c>
      <c r="BF445" s="6">
        <f>[1]Results!BI281</f>
        <v>299.35954529999998</v>
      </c>
    </row>
    <row r="446" spans="1:58" x14ac:dyDescent="0.35">
      <c r="A446" t="s">
        <v>39</v>
      </c>
      <c r="B446" s="6" t="str">
        <f>[1]Results!E282</f>
        <v>CF_toe_ccoa_2</v>
      </c>
      <c r="C446" s="6">
        <f>[1]Results!F282</f>
        <v>5.3077262740000002</v>
      </c>
      <c r="D446" s="6">
        <f>[1]Results!G282</f>
        <v>5.3211315199999998</v>
      </c>
      <c r="E446" s="6">
        <f>[1]Results!H282</f>
        <v>5.3653648900000004</v>
      </c>
      <c r="F446" s="6">
        <f>[1]Results!I282</f>
        <v>5.4213121979999999</v>
      </c>
      <c r="G446" s="6">
        <f>[1]Results!J282</f>
        <v>5.4845742670000002</v>
      </c>
      <c r="H446" s="6">
        <f>[1]Results!K282</f>
        <v>5.5535713370000002</v>
      </c>
      <c r="I446" s="6">
        <f>[1]Results!L282</f>
        <v>5.6237462699999998</v>
      </c>
      <c r="J446" s="6">
        <f>[1]Results!M282</f>
        <v>5.6967322490000001</v>
      </c>
      <c r="K446" s="6">
        <f>[1]Results!N282</f>
        <v>5.7724577540000004</v>
      </c>
      <c r="L446" s="6">
        <f>[1]Results!O282</f>
        <v>5.8505398900000003</v>
      </c>
      <c r="M446" s="6">
        <f>[1]Results!P282</f>
        <v>5.9366042700000001</v>
      </c>
      <c r="N446" s="6">
        <f>[1]Results!Q282</f>
        <v>6.019643565</v>
      </c>
      <c r="O446" s="6">
        <f>[1]Results!R282</f>
        <v>6.1028843889999997</v>
      </c>
      <c r="P446" s="6">
        <f>[1]Results!S282</f>
        <v>6.1868472639999998</v>
      </c>
      <c r="Q446" s="6">
        <f>[1]Results!T282</f>
        <v>6.2715750029999997</v>
      </c>
      <c r="R446" s="6">
        <f>[1]Results!U282</f>
        <v>6.3570654070000003</v>
      </c>
      <c r="S446" s="6">
        <f>[1]Results!V282</f>
        <v>6.4426011980000002</v>
      </c>
      <c r="T446" s="6">
        <f>[1]Results!W282</f>
        <v>6.5288345019999996</v>
      </c>
      <c r="U446" s="6">
        <f>[1]Results!X282</f>
        <v>6.6159716900000003</v>
      </c>
      <c r="V446" s="6">
        <f>[1]Results!Y282</f>
        <v>6.7041452530000001</v>
      </c>
      <c r="W446" s="6">
        <f>[1]Results!Z282</f>
        <v>6.7890838410000001</v>
      </c>
      <c r="X446" s="6">
        <f>[1]Results!AA282</f>
        <v>6.8781339370000003</v>
      </c>
      <c r="Y446" s="6">
        <f>[1]Results!AB282</f>
        <v>6.9692712999999999</v>
      </c>
      <c r="Z446" s="6">
        <f>[1]Results!AC282</f>
        <v>7.0621575129999998</v>
      </c>
      <c r="AA446" s="6">
        <f>[1]Results!AD282</f>
        <v>7.156782132</v>
      </c>
      <c r="AB446" s="6">
        <f>[1]Results!AE282</f>
        <v>7.240638691</v>
      </c>
      <c r="AC446" s="6">
        <f>[1]Results!AF282</f>
        <v>7.3287327429999998</v>
      </c>
      <c r="AD446" s="6">
        <f>[1]Results!AG282</f>
        <v>7.4185352440000001</v>
      </c>
      <c r="AE446" s="6">
        <f>[1]Results!AH282</f>
        <v>7.5097006530000003</v>
      </c>
      <c r="AF446" s="6">
        <f>[1]Results!AI282</f>
        <v>7.6022896219999998</v>
      </c>
      <c r="AG446" s="6">
        <f>[1]Results!AJ282</f>
        <v>7.6964150939999998</v>
      </c>
      <c r="AH446" s="6">
        <f>[1]Results!AK282</f>
        <v>7.7923378799999998</v>
      </c>
      <c r="AI446" s="6">
        <f>[1]Results!AL282</f>
        <v>7.88999103</v>
      </c>
      <c r="AJ446" s="6">
        <f>[1]Results!AM282</f>
        <v>7.9893809339999997</v>
      </c>
      <c r="AK446" s="6">
        <f>[1]Results!AN282</f>
        <v>8.0905081810000006</v>
      </c>
      <c r="AL446" s="6">
        <f>[1]Results!AO282</f>
        <v>8.1933585040000008</v>
      </c>
      <c r="AM446" s="6">
        <f>[1]Results!AP282</f>
        <v>8.2963817130000006</v>
      </c>
      <c r="AN446" s="6">
        <f>[1]Results!AQ282</f>
        <v>8.4002680810000001</v>
      </c>
      <c r="AO446" s="6">
        <f>[1]Results!AR282</f>
        <v>8.5052185120000008</v>
      </c>
      <c r="AP446" s="6">
        <f>[1]Results!AS282</f>
        <v>8.6113163789999998</v>
      </c>
      <c r="AQ446" s="6">
        <f>[1]Results!AT282</f>
        <v>8.7186136399999992</v>
      </c>
      <c r="AR446" s="6">
        <f>[1]Results!AU282</f>
        <v>8.8273840690000007</v>
      </c>
      <c r="AS446" s="6">
        <f>[1]Results!AV282</f>
        <v>8.9374763559999995</v>
      </c>
      <c r="AT446" s="6">
        <f>[1]Results!AW282</f>
        <v>9.0488750709999994</v>
      </c>
      <c r="AU446" s="6">
        <f>[1]Results!AX282</f>
        <v>9.1615840669999997</v>
      </c>
      <c r="AV446" s="6">
        <f>[1]Results!AY282</f>
        <v>9.2756064429999991</v>
      </c>
      <c r="AW446" s="6">
        <f>[1]Results!AZ282</f>
        <v>9.3920072520000009</v>
      </c>
      <c r="AX446" s="6">
        <f>[1]Results!BA282</f>
        <v>9.5100080200000008</v>
      </c>
      <c r="AY446" s="6">
        <f>[1]Results!BB282</f>
        <v>9.6294449370000006</v>
      </c>
      <c r="AZ446" s="6">
        <f>[1]Results!BC282</f>
        <v>9.7502739639999998</v>
      </c>
      <c r="BA446" s="6">
        <f>[1]Results!BD282</f>
        <v>9.8724788649999997</v>
      </c>
      <c r="BB446" s="6">
        <f>[1]Results!BE282</f>
        <v>12.585566829999999</v>
      </c>
      <c r="BC446" s="6">
        <f>[1]Results!BF282</f>
        <v>12.805525859999999</v>
      </c>
      <c r="BD446" s="6">
        <f>[1]Results!BG282</f>
        <v>13.02890981</v>
      </c>
      <c r="BE446" s="6">
        <f>[1]Results!BH282</f>
        <v>13.25575914</v>
      </c>
      <c r="BF446" s="6">
        <f>[1]Results!BI282</f>
        <v>13.48611507</v>
      </c>
    </row>
    <row r="447" spans="1:58" x14ac:dyDescent="0.35">
      <c r="B447" s="6" t="s">
        <v>74</v>
      </c>
      <c r="C447" s="6">
        <f>C448+C449+C450</f>
        <v>61.604254341699999</v>
      </c>
      <c r="D447" s="6">
        <f t="shared" ref="D447:AL447" si="268">D448+D449+D450</f>
        <v>61.572717499900001</v>
      </c>
      <c r="E447" s="6">
        <f t="shared" si="268"/>
        <v>61.554828195900001</v>
      </c>
      <c r="F447" s="6">
        <f t="shared" si="268"/>
        <v>61.633549216600002</v>
      </c>
      <c r="G447" s="6">
        <f t="shared" si="268"/>
        <v>61.8355621197</v>
      </c>
      <c r="H447" s="6">
        <f t="shared" si="268"/>
        <v>62.153914396900007</v>
      </c>
      <c r="I447" s="6">
        <f t="shared" si="268"/>
        <v>62.553556223999998</v>
      </c>
      <c r="J447" s="6">
        <f t="shared" si="268"/>
        <v>63.028070099200001</v>
      </c>
      <c r="K447" s="6">
        <f t="shared" si="268"/>
        <v>63.563227568499997</v>
      </c>
      <c r="L447" s="6">
        <f t="shared" si="268"/>
        <v>64.145595020599998</v>
      </c>
      <c r="M447" s="6">
        <f t="shared" si="268"/>
        <v>64.804451538600006</v>
      </c>
      <c r="N447" s="6">
        <f t="shared" si="268"/>
        <v>65.468862601799998</v>
      </c>
      <c r="O447" s="6">
        <f t="shared" si="268"/>
        <v>66.147607767099998</v>
      </c>
      <c r="P447" s="6">
        <f t="shared" si="268"/>
        <v>66.839071843100001</v>
      </c>
      <c r="Q447" s="6">
        <f t="shared" si="268"/>
        <v>67.5404836668</v>
      </c>
      <c r="R447" s="6">
        <f t="shared" si="268"/>
        <v>68.249496971599996</v>
      </c>
      <c r="S447" s="6">
        <f t="shared" si="268"/>
        <v>68.96138387309999</v>
      </c>
      <c r="T447" s="6">
        <f t="shared" si="268"/>
        <v>69.677232577400005</v>
      </c>
      <c r="U447" s="6">
        <f t="shared" si="268"/>
        <v>70.396880787200004</v>
      </c>
      <c r="V447" s="6">
        <f t="shared" si="268"/>
        <v>71.120192624699996</v>
      </c>
      <c r="W447" s="6">
        <f t="shared" si="268"/>
        <v>71.81796032119999</v>
      </c>
      <c r="X447" s="6">
        <f t="shared" si="268"/>
        <v>72.533711183700007</v>
      </c>
      <c r="Y447" s="6">
        <f t="shared" si="268"/>
        <v>73.258183121900004</v>
      </c>
      <c r="Z447" s="6">
        <f t="shared" si="268"/>
        <v>73.9897154306</v>
      </c>
      <c r="AA447" s="6">
        <f t="shared" si="268"/>
        <v>74.728170915299998</v>
      </c>
      <c r="AB447" s="6">
        <f t="shared" si="268"/>
        <v>75.390279374599999</v>
      </c>
      <c r="AC447" s="6">
        <f t="shared" si="268"/>
        <v>76.061586432399992</v>
      </c>
      <c r="AD447" s="6">
        <f t="shared" si="268"/>
        <v>76.7329058901</v>
      </c>
      <c r="AE447" s="6">
        <f t="shared" si="268"/>
        <v>77.404554931999996</v>
      </c>
      <c r="AF447" s="6">
        <f t="shared" si="268"/>
        <v>78.078489827700011</v>
      </c>
      <c r="AG447" s="6">
        <f t="shared" si="268"/>
        <v>78.756701805200009</v>
      </c>
      <c r="AH447" s="6">
        <f t="shared" si="268"/>
        <v>79.441542577899995</v>
      </c>
      <c r="AI447" s="6">
        <f t="shared" si="268"/>
        <v>80.133803670800006</v>
      </c>
      <c r="AJ447" s="6">
        <f t="shared" si="268"/>
        <v>80.834284660600005</v>
      </c>
      <c r="AK447" s="6">
        <f t="shared" si="268"/>
        <v>81.543550636299997</v>
      </c>
      <c r="AL447" s="6">
        <f t="shared" si="268"/>
        <v>82.261953142599992</v>
      </c>
      <c r="AM447" s="6">
        <f t="shared" ref="AM447:BC447" si="269">AM448+AM449+AM450</f>
        <v>82.976209486300007</v>
      </c>
      <c r="AN447" s="6">
        <f t="shared" si="269"/>
        <v>83.691652758900005</v>
      </c>
      <c r="AO447" s="6">
        <f t="shared" si="269"/>
        <v>84.410475091500004</v>
      </c>
      <c r="AP447" s="6">
        <f t="shared" si="269"/>
        <v>85.133996863700006</v>
      </c>
      <c r="AQ447" s="6">
        <f t="shared" si="269"/>
        <v>85.863224442900005</v>
      </c>
      <c r="AR447" s="6">
        <f t="shared" si="269"/>
        <v>86.599953123099993</v>
      </c>
      <c r="AS447" s="6">
        <f t="shared" si="269"/>
        <v>87.344157663599987</v>
      </c>
      <c r="AT447" s="6">
        <f t="shared" si="269"/>
        <v>88.096141987099998</v>
      </c>
      <c r="AU447" s="6">
        <f t="shared" si="269"/>
        <v>88.856113737200005</v>
      </c>
      <c r="AV447" s="6">
        <f t="shared" si="269"/>
        <v>89.624157532299989</v>
      </c>
      <c r="AW447" s="6">
        <f t="shared" si="269"/>
        <v>90.405364680399998</v>
      </c>
      <c r="AX447" s="6">
        <f t="shared" si="269"/>
        <v>91.196649433199994</v>
      </c>
      <c r="AY447" s="6">
        <f t="shared" si="269"/>
        <v>91.997160979800015</v>
      </c>
      <c r="AZ447" s="6">
        <f t="shared" si="269"/>
        <v>92.806404321600013</v>
      </c>
      <c r="BA447" s="6">
        <f t="shared" si="269"/>
        <v>93.623943931700012</v>
      </c>
      <c r="BB447" s="6">
        <f t="shared" si="269"/>
        <v>109.0311715487</v>
      </c>
      <c r="BC447" s="6">
        <f t="shared" si="269"/>
        <v>110.4310746978</v>
      </c>
      <c r="BD447" s="6">
        <f t="shared" ref="BD447:BF447" si="270">BD448+BD449+BD450</f>
        <v>111.85228779740001</v>
      </c>
      <c r="BE447" s="6">
        <f t="shared" si="270"/>
        <v>113.2955042848</v>
      </c>
      <c r="BF447" s="6">
        <f t="shared" si="270"/>
        <v>114.76147677599999</v>
      </c>
    </row>
    <row r="448" spans="1:58" x14ac:dyDescent="0.35">
      <c r="B448" s="6" t="str">
        <f>[1]Results!E285</f>
        <v>CF_toe_ccoi_2</v>
      </c>
      <c r="C448" s="6">
        <f>[1]Results!F285</f>
        <v>8.2821051699999995E-2</v>
      </c>
      <c r="D448" s="6">
        <f>[1]Results!G285</f>
        <v>8.2932899899999996E-2</v>
      </c>
      <c r="E448" s="6">
        <f>[1]Results!H285</f>
        <v>8.3348475899999996E-2</v>
      </c>
      <c r="F448" s="6">
        <f>[1]Results!I285</f>
        <v>8.39471366E-2</v>
      </c>
      <c r="G448" s="6">
        <f>[1]Results!J285</f>
        <v>8.4721009700000002E-2</v>
      </c>
      <c r="H448" s="6">
        <f>[1]Results!K285</f>
        <v>8.5661766900000005E-2</v>
      </c>
      <c r="I448" s="6">
        <f>[1]Results!L285</f>
        <v>8.6696133999999994E-2</v>
      </c>
      <c r="J448" s="6">
        <f>[1]Results!M285</f>
        <v>8.7833479199999995E-2</v>
      </c>
      <c r="K448" s="6">
        <f>[1]Results!N285</f>
        <v>8.9060398499999999E-2</v>
      </c>
      <c r="L448" s="6">
        <f>[1]Results!O285</f>
        <v>9.0361310599999994E-2</v>
      </c>
      <c r="M448" s="6">
        <f>[1]Results!P285</f>
        <v>9.1815228600000007E-2</v>
      </c>
      <c r="N448" s="6">
        <f>[1]Results!Q285</f>
        <v>9.3257441799999993E-2</v>
      </c>
      <c r="O448" s="6">
        <f>[1]Results!R285</f>
        <v>9.4722097099999999E-2</v>
      </c>
      <c r="P448" s="6">
        <f>[1]Results!S285</f>
        <v>9.6209223100000005E-2</v>
      </c>
      <c r="Q448" s="6">
        <f>[1]Results!T285</f>
        <v>9.77144868E-2</v>
      </c>
      <c r="R448" s="6">
        <f>[1]Results!U285</f>
        <v>9.9234101599999999E-2</v>
      </c>
      <c r="S448" s="6">
        <f>[1]Results!V285</f>
        <v>0.1007565431</v>
      </c>
      <c r="T448" s="6">
        <f>[1]Results!W285</f>
        <v>0.1022861774</v>
      </c>
      <c r="U448" s="6">
        <f>[1]Results!X285</f>
        <v>0.1038233972</v>
      </c>
      <c r="V448" s="6">
        <f>[1]Results!Y285</f>
        <v>0.1053685647</v>
      </c>
      <c r="W448" s="6">
        <f>[1]Results!Z285</f>
        <v>0.1068536412</v>
      </c>
      <c r="X448" s="6">
        <f>[1]Results!AA285</f>
        <v>0.1083863437</v>
      </c>
      <c r="Y448" s="6">
        <f>[1]Results!AB285</f>
        <v>0.10994017189999999</v>
      </c>
      <c r="Z448" s="6">
        <f>[1]Results!AC285</f>
        <v>0.1115117306</v>
      </c>
      <c r="AA448" s="6">
        <f>[1]Results!AD285</f>
        <v>0.1131015653</v>
      </c>
      <c r="AB448" s="6">
        <f>[1]Results!AE285</f>
        <v>0.1145130746</v>
      </c>
      <c r="AC448" s="6">
        <f>[1]Results!AF285</f>
        <v>0.11596278240000001</v>
      </c>
      <c r="AD448" s="6">
        <f>[1]Results!AG285</f>
        <v>0.1174196701</v>
      </c>
      <c r="AE448" s="6">
        <f>[1]Results!AH285</f>
        <v>0.11888320199999999</v>
      </c>
      <c r="AF448" s="6">
        <f>[1]Results!AI285</f>
        <v>0.1203575477</v>
      </c>
      <c r="AG448" s="6">
        <f>[1]Results!AJ285</f>
        <v>0.1218469752</v>
      </c>
      <c r="AH448" s="6">
        <f>[1]Results!AK285</f>
        <v>0.1233570279</v>
      </c>
      <c r="AI448" s="6">
        <f>[1]Results!AL285</f>
        <v>0.1248891508</v>
      </c>
      <c r="AJ448" s="6">
        <f>[1]Results!AM285</f>
        <v>0.12644514060000001</v>
      </c>
      <c r="AK448" s="6">
        <f>[1]Results!AN285</f>
        <v>0.12802634630000001</v>
      </c>
      <c r="AL448" s="6">
        <f>[1]Results!AO285</f>
        <v>0.12963365260000001</v>
      </c>
      <c r="AM448" s="6">
        <f>[1]Results!AP285</f>
        <v>0.13123783629999999</v>
      </c>
      <c r="AN448" s="6">
        <f>[1]Results!AQ285</f>
        <v>0.1328525689</v>
      </c>
      <c r="AO448" s="6">
        <f>[1]Results!AR285</f>
        <v>0.1344821615</v>
      </c>
      <c r="AP448" s="6">
        <f>[1]Results!AS285</f>
        <v>0.1361288437</v>
      </c>
      <c r="AQ448" s="6">
        <f>[1]Results!AT285</f>
        <v>0.13779422290000001</v>
      </c>
      <c r="AR448" s="6">
        <f>[1]Results!AU285</f>
        <v>0.1394823731</v>
      </c>
      <c r="AS448" s="6">
        <f>[1]Results!AV285</f>
        <v>0.14119245359999999</v>
      </c>
      <c r="AT448" s="6">
        <f>[1]Results!AW285</f>
        <v>0.14292483710000001</v>
      </c>
      <c r="AU448" s="6">
        <f>[1]Results!AX285</f>
        <v>0.1446798772</v>
      </c>
      <c r="AV448" s="6">
        <f>[1]Results!AY285</f>
        <v>0.14645777230000001</v>
      </c>
      <c r="AW448" s="6">
        <f>[1]Results!AZ285</f>
        <v>0.14827234040000001</v>
      </c>
      <c r="AX448" s="6">
        <f>[1]Results!BA285</f>
        <v>0.15011516320000001</v>
      </c>
      <c r="AY448" s="6">
        <f>[1]Results!BB285</f>
        <v>0.15198441979999999</v>
      </c>
      <c r="AZ448" s="6">
        <f>[1]Results!BC285</f>
        <v>0.1538792916</v>
      </c>
      <c r="BA448" s="6">
        <f>[1]Results!BD285</f>
        <v>0.15579916169999999</v>
      </c>
      <c r="BB448" s="6">
        <f>[1]Results!BE285</f>
        <v>0.19860557870000001</v>
      </c>
      <c r="BC448" s="6">
        <f>[1]Results!BF285</f>
        <v>0.20196968779999999</v>
      </c>
      <c r="BD448" s="6">
        <f>[1]Results!BG285</f>
        <v>0.20537931740000001</v>
      </c>
      <c r="BE448" s="6">
        <f>[1]Results!BH285</f>
        <v>0.2088358948</v>
      </c>
      <c r="BF448" s="6">
        <f>[1]Results!BI285</f>
        <v>0.21234085599999999</v>
      </c>
    </row>
    <row r="449" spans="1:58" x14ac:dyDescent="0.35">
      <c r="B449" s="6" t="str">
        <f>[1]Results!E288</f>
        <v>CF_toe_cfut_2</v>
      </c>
      <c r="C449" s="6">
        <f>[1]Results!F288</f>
        <v>46.846668260000001</v>
      </c>
      <c r="D449" s="6">
        <f>[1]Results!G288</f>
        <v>46.796542860000002</v>
      </c>
      <c r="E449" s="6">
        <f>[1]Results!H288</f>
        <v>46.760545319999999</v>
      </c>
      <c r="F449" s="6">
        <f>[1]Results!I288</f>
        <v>46.812158289999999</v>
      </c>
      <c r="G449" s="6">
        <f>[1]Results!J288</f>
        <v>46.972366059999999</v>
      </c>
      <c r="H449" s="6">
        <f>[1]Results!K288</f>
        <v>47.23418736</v>
      </c>
      <c r="I449" s="6">
        <f>[1]Results!L288</f>
        <v>47.564459509999999</v>
      </c>
      <c r="J449" s="6">
        <f>[1]Results!M288</f>
        <v>47.954311019999999</v>
      </c>
      <c r="K449" s="6">
        <f>[1]Results!N288</f>
        <v>48.391631769999996</v>
      </c>
      <c r="L449" s="6">
        <f>[1]Results!O288</f>
        <v>48.865984879999999</v>
      </c>
      <c r="M449" s="6">
        <f>[1]Results!P288</f>
        <v>49.397808910000002</v>
      </c>
      <c r="N449" s="6">
        <f>[1]Results!Q288</f>
        <v>49.936538609999999</v>
      </c>
      <c r="O449" s="6">
        <f>[1]Results!R288</f>
        <v>50.487855709999998</v>
      </c>
      <c r="P449" s="6">
        <f>[1]Results!S288</f>
        <v>51.049902039999999</v>
      </c>
      <c r="Q449" s="6">
        <f>[1]Results!T288</f>
        <v>51.620211439999999</v>
      </c>
      <c r="R449" s="6">
        <f>[1]Results!U288</f>
        <v>52.196853959999999</v>
      </c>
      <c r="S449" s="6">
        <f>[1]Results!V288</f>
        <v>52.776019509999998</v>
      </c>
      <c r="T449" s="6">
        <f>[1]Results!W288</f>
        <v>53.358435569999997</v>
      </c>
      <c r="U449" s="6">
        <f>[1]Results!X288</f>
        <v>53.943857149999999</v>
      </c>
      <c r="V449" s="6">
        <f>[1]Results!Y288</f>
        <v>54.532078599999998</v>
      </c>
      <c r="W449" s="6">
        <f>[1]Results!Z288</f>
        <v>55.101984250000001</v>
      </c>
      <c r="X449" s="6">
        <f>[1]Results!AA288</f>
        <v>55.684347870000003</v>
      </c>
      <c r="Y449" s="6">
        <f>[1]Results!AB288</f>
        <v>56.272706710000001</v>
      </c>
      <c r="Z449" s="6">
        <f>[1]Results!AC288</f>
        <v>56.866079480000003</v>
      </c>
      <c r="AA449" s="6">
        <f>[1]Results!AD288</f>
        <v>57.46447233</v>
      </c>
      <c r="AB449" s="6">
        <f>[1]Results!AE288</f>
        <v>58.007787090000001</v>
      </c>
      <c r="AC449" s="6">
        <f>[1]Results!AF288</f>
        <v>58.556439279999999</v>
      </c>
      <c r="AD449" s="6">
        <f>[1]Results!AG288</f>
        <v>59.103774659999999</v>
      </c>
      <c r="AE449" s="6">
        <f>[1]Results!AH288</f>
        <v>59.650377020000001</v>
      </c>
      <c r="AF449" s="6">
        <f>[1]Results!AI288</f>
        <v>60.198024250000003</v>
      </c>
      <c r="AG449" s="6">
        <f>[1]Results!AJ288</f>
        <v>60.748429010000002</v>
      </c>
      <c r="AH449" s="6">
        <f>[1]Results!AK288</f>
        <v>61.30352963</v>
      </c>
      <c r="AI449" s="6">
        <f>[1]Results!AL288</f>
        <v>61.86401086</v>
      </c>
      <c r="AJ449" s="6">
        <f>[1]Results!AM288</f>
        <v>62.430539690000003</v>
      </c>
      <c r="AK449" s="6">
        <f>[1]Results!AN288</f>
        <v>63.00358095</v>
      </c>
      <c r="AL449" s="6">
        <f>[1]Results!AO288</f>
        <v>63.583420179999997</v>
      </c>
      <c r="AM449" s="6">
        <f>[1]Results!AP288</f>
        <v>64.160752770000002</v>
      </c>
      <c r="AN449" s="6">
        <f>[1]Results!AQ288</f>
        <v>64.738922860000002</v>
      </c>
      <c r="AO449" s="6">
        <f>[1]Results!AR288</f>
        <v>65.319343200000006</v>
      </c>
      <c r="AP449" s="6">
        <f>[1]Results!AS288</f>
        <v>65.902953519999997</v>
      </c>
      <c r="AQ449" s="6">
        <f>[1]Results!AT288</f>
        <v>66.490532450000003</v>
      </c>
      <c r="AR449" s="6">
        <f>[1]Results!AU288</f>
        <v>67.0835024</v>
      </c>
      <c r="AS449" s="6">
        <f>[1]Results!AV288</f>
        <v>67.681871009999995</v>
      </c>
      <c r="AT449" s="6">
        <f>[1]Results!AW288</f>
        <v>68.285896969999996</v>
      </c>
      <c r="AU449" s="6">
        <f>[1]Results!AX288</f>
        <v>68.895758979999997</v>
      </c>
      <c r="AV449" s="6">
        <f>[1]Results!AY288</f>
        <v>69.511523920000002</v>
      </c>
      <c r="AW449" s="6">
        <f>[1]Results!AZ288</f>
        <v>70.137060149999996</v>
      </c>
      <c r="AX449" s="6">
        <f>[1]Results!BA288</f>
        <v>70.770005319999996</v>
      </c>
      <c r="AY449" s="6">
        <f>[1]Results!BB288</f>
        <v>71.409702190000004</v>
      </c>
      <c r="AZ449" s="6">
        <f>[1]Results!BC288</f>
        <v>72.055742390000006</v>
      </c>
      <c r="BA449" s="6">
        <f>[1]Results!BD288</f>
        <v>72.707748190000004</v>
      </c>
      <c r="BB449" s="6">
        <f>[1]Results!BE288</f>
        <v>85.552448339999998</v>
      </c>
      <c r="BC449" s="6">
        <f>[1]Results!BF288</f>
        <v>86.679266389999995</v>
      </c>
      <c r="BD449" s="6">
        <f>[1]Results!BG288</f>
        <v>87.82308707</v>
      </c>
      <c r="BE449" s="6">
        <f>[1]Results!BH288</f>
        <v>88.984520930000002</v>
      </c>
      <c r="BF449" s="6">
        <f>[1]Results!BI288</f>
        <v>90.16421339</v>
      </c>
    </row>
    <row r="450" spans="1:58" x14ac:dyDescent="0.35">
      <c r="B450" s="6" t="str">
        <f>[1]Results!E291</f>
        <v>CF_toe_cfuh_2</v>
      </c>
      <c r="C450" s="6">
        <f>[1]Results!F291</f>
        <v>14.67476503</v>
      </c>
      <c r="D450" s="6">
        <f>[1]Results!G291</f>
        <v>14.693241739999999</v>
      </c>
      <c r="E450" s="6">
        <f>[1]Results!H291</f>
        <v>14.710934399999999</v>
      </c>
      <c r="F450" s="6">
        <f>[1]Results!I291</f>
        <v>14.73744379</v>
      </c>
      <c r="G450" s="6">
        <f>[1]Results!J291</f>
        <v>14.778475050000001</v>
      </c>
      <c r="H450" s="6">
        <f>[1]Results!K291</f>
        <v>14.83406527</v>
      </c>
      <c r="I450" s="6">
        <f>[1]Results!L291</f>
        <v>14.90240058</v>
      </c>
      <c r="J450" s="6">
        <f>[1]Results!M291</f>
        <v>14.9859256</v>
      </c>
      <c r="K450" s="6">
        <f>[1]Results!N291</f>
        <v>15.082535399999999</v>
      </c>
      <c r="L450" s="6">
        <f>[1]Results!O291</f>
        <v>15.18924883</v>
      </c>
      <c r="M450" s="6">
        <f>[1]Results!P291</f>
        <v>15.3148274</v>
      </c>
      <c r="N450" s="6">
        <f>[1]Results!Q291</f>
        <v>15.43906655</v>
      </c>
      <c r="O450" s="6">
        <f>[1]Results!R291</f>
        <v>15.56502996</v>
      </c>
      <c r="P450" s="6">
        <f>[1]Results!S291</f>
        <v>15.692960579999999</v>
      </c>
      <c r="Q450" s="6">
        <f>[1]Results!T291</f>
        <v>15.822557740000001</v>
      </c>
      <c r="R450" s="6">
        <f>[1]Results!U291</f>
        <v>15.95340891</v>
      </c>
      <c r="S450" s="6">
        <f>[1]Results!V291</f>
        <v>16.084607819999999</v>
      </c>
      <c r="T450" s="6">
        <f>[1]Results!W291</f>
        <v>16.216510830000001</v>
      </c>
      <c r="U450" s="6">
        <f>[1]Results!X291</f>
        <v>16.349200239999998</v>
      </c>
      <c r="V450" s="6">
        <f>[1]Results!Y291</f>
        <v>16.48274546</v>
      </c>
      <c r="W450" s="6">
        <f>[1]Results!Z291</f>
        <v>16.609122429999999</v>
      </c>
      <c r="X450" s="6">
        <f>[1]Results!AA291</f>
        <v>16.740976969999998</v>
      </c>
      <c r="Y450" s="6">
        <f>[1]Results!AB291</f>
        <v>16.875536239999999</v>
      </c>
      <c r="Z450" s="6">
        <f>[1]Results!AC291</f>
        <v>17.01212422</v>
      </c>
      <c r="AA450" s="6">
        <f>[1]Results!AD291</f>
        <v>17.150597019999999</v>
      </c>
      <c r="AB450" s="6">
        <f>[1]Results!AE291</f>
        <v>17.26797921</v>
      </c>
      <c r="AC450" s="6">
        <f>[1]Results!AF291</f>
        <v>17.389184369999999</v>
      </c>
      <c r="AD450" s="6">
        <f>[1]Results!AG291</f>
        <v>17.511711559999998</v>
      </c>
      <c r="AE450" s="6">
        <f>[1]Results!AH291</f>
        <v>17.63529471</v>
      </c>
      <c r="AF450" s="6">
        <f>[1]Results!AI291</f>
        <v>17.760108030000001</v>
      </c>
      <c r="AG450" s="6">
        <f>[1]Results!AJ291</f>
        <v>17.886425819999999</v>
      </c>
      <c r="AH450" s="6">
        <f>[1]Results!AK291</f>
        <v>18.014655919999999</v>
      </c>
      <c r="AI450" s="6">
        <f>[1]Results!AL291</f>
        <v>18.144903660000001</v>
      </c>
      <c r="AJ450" s="6">
        <f>[1]Results!AM291</f>
        <v>18.27729983</v>
      </c>
      <c r="AK450" s="6">
        <f>[1]Results!AN291</f>
        <v>18.411943340000001</v>
      </c>
      <c r="AL450" s="6">
        <f>[1]Results!AO291</f>
        <v>18.548899309999999</v>
      </c>
      <c r="AM450" s="6">
        <f>[1]Results!AP291</f>
        <v>18.68421888</v>
      </c>
      <c r="AN450" s="6">
        <f>[1]Results!AQ291</f>
        <v>18.819877330000001</v>
      </c>
      <c r="AO450" s="6">
        <f>[1]Results!AR291</f>
        <v>18.956649729999999</v>
      </c>
      <c r="AP450" s="6">
        <f>[1]Results!AS291</f>
        <v>19.094914500000002</v>
      </c>
      <c r="AQ450" s="6">
        <f>[1]Results!AT291</f>
        <v>19.23489777</v>
      </c>
      <c r="AR450" s="6">
        <f>[1]Results!AU291</f>
        <v>19.376968349999999</v>
      </c>
      <c r="AS450" s="6">
        <f>[1]Results!AV291</f>
        <v>19.5210942</v>
      </c>
      <c r="AT450" s="6">
        <f>[1]Results!AW291</f>
        <v>19.667320180000001</v>
      </c>
      <c r="AU450" s="6">
        <f>[1]Results!AX291</f>
        <v>19.81567488</v>
      </c>
      <c r="AV450" s="6">
        <f>[1]Results!AY291</f>
        <v>19.966175839999998</v>
      </c>
      <c r="AW450" s="6">
        <f>[1]Results!AZ291</f>
        <v>20.12003219</v>
      </c>
      <c r="AX450" s="6">
        <f>[1]Results!BA291</f>
        <v>20.276528949999999</v>
      </c>
      <c r="AY450" s="6">
        <f>[1]Results!BB291</f>
        <v>20.435474370000001</v>
      </c>
      <c r="AZ450" s="6">
        <f>[1]Results!BC291</f>
        <v>20.596782640000001</v>
      </c>
      <c r="BA450" s="6">
        <f>[1]Results!BD291</f>
        <v>20.760396579999998</v>
      </c>
      <c r="BB450" s="6">
        <f>[1]Results!BE291</f>
        <v>23.280117629999999</v>
      </c>
      <c r="BC450" s="6">
        <f>[1]Results!BF291</f>
        <v>23.549838619999999</v>
      </c>
      <c r="BD450" s="6">
        <f>[1]Results!BG291</f>
        <v>23.823821410000001</v>
      </c>
      <c r="BE450" s="6">
        <f>[1]Results!BH291</f>
        <v>24.102147460000001</v>
      </c>
      <c r="BF450" s="6">
        <f>[1]Results!BI291</f>
        <v>24.384922530000001</v>
      </c>
    </row>
    <row r="451" spans="1:58" x14ac:dyDescent="0.35">
      <c r="B451" s="6" t="str">
        <f>[1]Results!E293</f>
        <v>CF_toe_cgas_2</v>
      </c>
      <c r="C451" s="6">
        <f>[1]Results!F293</f>
        <v>33.938259670000001</v>
      </c>
      <c r="D451" s="6">
        <f>[1]Results!G293</f>
        <v>33.998114190000003</v>
      </c>
      <c r="E451" s="6">
        <f>[1]Results!H293</f>
        <v>34.097715569999998</v>
      </c>
      <c r="F451" s="6">
        <f>[1]Results!I293</f>
        <v>34.231605080000001</v>
      </c>
      <c r="G451" s="6">
        <f>[1]Results!J293</f>
        <v>34.406862609999997</v>
      </c>
      <c r="H451" s="6">
        <f>[1]Results!K293</f>
        <v>34.62281265</v>
      </c>
      <c r="I451" s="6">
        <f>[1]Results!L293</f>
        <v>34.865814610000001</v>
      </c>
      <c r="J451" s="6">
        <f>[1]Results!M293</f>
        <v>35.145300540000001</v>
      </c>
      <c r="K451" s="6">
        <f>[1]Results!N293</f>
        <v>35.456133809999997</v>
      </c>
      <c r="L451" s="6">
        <f>[1]Results!O293</f>
        <v>35.791502569999999</v>
      </c>
      <c r="M451" s="6">
        <f>[1]Results!P293</f>
        <v>36.178577679999997</v>
      </c>
      <c r="N451" s="6">
        <f>[1]Results!Q293</f>
        <v>36.558958869999998</v>
      </c>
      <c r="O451" s="6">
        <f>[1]Results!R293</f>
        <v>36.944231760000001</v>
      </c>
      <c r="P451" s="6">
        <f>[1]Results!S293</f>
        <v>37.335386739999997</v>
      </c>
      <c r="Q451" s="6">
        <f>[1]Results!T293</f>
        <v>37.7314425</v>
      </c>
      <c r="R451" s="6">
        <f>[1]Results!U293</f>
        <v>38.131273190000002</v>
      </c>
      <c r="S451" s="6">
        <f>[1]Results!V293</f>
        <v>38.531961029999998</v>
      </c>
      <c r="T451" s="6">
        <f>[1]Results!W293</f>
        <v>38.934553630000003</v>
      </c>
      <c r="U451" s="6">
        <f>[1]Results!X293</f>
        <v>39.339125529999997</v>
      </c>
      <c r="V451" s="6">
        <f>[1]Results!Y293</f>
        <v>39.74574312</v>
      </c>
      <c r="W451" s="6">
        <f>[1]Results!Z293</f>
        <v>40.131004150000003</v>
      </c>
      <c r="X451" s="6">
        <f>[1]Results!AA293</f>
        <v>40.53244299</v>
      </c>
      <c r="Y451" s="6">
        <f>[1]Results!AB293</f>
        <v>40.940714829999997</v>
      </c>
      <c r="Z451" s="6">
        <f>[1]Results!AC293</f>
        <v>41.353956910000001</v>
      </c>
      <c r="AA451" s="6">
        <f>[1]Results!AD293</f>
        <v>41.771869840000001</v>
      </c>
      <c r="AB451" s="6">
        <f>[1]Results!AE293</f>
        <v>42.127704899999998</v>
      </c>
      <c r="AC451" s="6">
        <f>[1]Results!AF293</f>
        <v>42.496523289999999</v>
      </c>
      <c r="AD451" s="6">
        <f>[1]Results!AG293</f>
        <v>42.868583719999997</v>
      </c>
      <c r="AE451" s="6">
        <f>[1]Results!AH293</f>
        <v>43.24294055</v>
      </c>
      <c r="AF451" s="6">
        <f>[1]Results!AI293</f>
        <v>43.620115460000001</v>
      </c>
      <c r="AG451" s="6">
        <f>[1]Results!AJ293</f>
        <v>44.000912479999997</v>
      </c>
      <c r="AH451" s="6">
        <f>[1]Results!AK293</f>
        <v>44.3865847</v>
      </c>
      <c r="AI451" s="6">
        <f>[1]Results!AL293</f>
        <v>44.77744972</v>
      </c>
      <c r="AJ451" s="6">
        <f>[1]Results!AM293</f>
        <v>45.173955990000003</v>
      </c>
      <c r="AK451" s="6">
        <f>[1]Results!AN293</f>
        <v>45.576465779999999</v>
      </c>
      <c r="AL451" s="6">
        <f>[1]Results!AO293</f>
        <v>45.98523934</v>
      </c>
      <c r="AM451" s="6">
        <f>[1]Results!AP293</f>
        <v>46.389201110000002</v>
      </c>
      <c r="AN451" s="6">
        <f>[1]Results!AQ293</f>
        <v>46.794399769999998</v>
      </c>
      <c r="AO451" s="6">
        <f>[1]Results!AR293</f>
        <v>47.202878920000003</v>
      </c>
      <c r="AP451" s="6">
        <f>[1]Results!AS293</f>
        <v>47.61558187</v>
      </c>
      <c r="AQ451" s="6">
        <f>[1]Results!AT293</f>
        <v>48.033057489999997</v>
      </c>
      <c r="AR451" s="6">
        <f>[1]Results!AU293</f>
        <v>48.45636116</v>
      </c>
      <c r="AS451" s="6">
        <f>[1]Results!AV293</f>
        <v>48.885299269999997</v>
      </c>
      <c r="AT451" s="6">
        <f>[1]Results!AW293</f>
        <v>49.319968860000003</v>
      </c>
      <c r="AU451" s="6">
        <f>[1]Results!AX293</f>
        <v>49.760458720000003</v>
      </c>
      <c r="AV451" s="6">
        <f>[1]Results!AY293</f>
        <v>50.206821900000001</v>
      </c>
      <c r="AW451" s="6">
        <f>[1]Results!AZ293</f>
        <v>50.66277977</v>
      </c>
      <c r="AX451" s="6">
        <f>[1]Results!BA293</f>
        <v>51.126037850000003</v>
      </c>
      <c r="AY451" s="6">
        <f>[1]Results!BB293</f>
        <v>51.596077100000002</v>
      </c>
      <c r="AZ451" s="6">
        <f>[1]Results!BC293</f>
        <v>52.072673719999997</v>
      </c>
      <c r="BA451" s="6">
        <f>[1]Results!BD293</f>
        <v>52.5556695</v>
      </c>
      <c r="BB451" s="6">
        <f>[1]Results!BE293</f>
        <v>60.448364050000002</v>
      </c>
      <c r="BC451" s="6">
        <f>[1]Results!BF293</f>
        <v>61.25071707</v>
      </c>
      <c r="BD451" s="6">
        <f>[1]Results!BG293</f>
        <v>62.065198590000001</v>
      </c>
      <c r="BE451" s="6">
        <f>[1]Results!BH293</f>
        <v>62.89208069</v>
      </c>
      <c r="BF451" s="6">
        <f>[1]Results!BI293</f>
        <v>63.731686179999997</v>
      </c>
    </row>
    <row r="452" spans="1:58" x14ac:dyDescent="0.35">
      <c r="B452" s="6" t="str">
        <f>[1]Results!E299</f>
        <v>CF_toe_cele_2</v>
      </c>
      <c r="C452" s="6">
        <f>[1]Results!F299</f>
        <v>37.442984000000003</v>
      </c>
      <c r="D452" s="6">
        <f>[1]Results!G299</f>
        <v>37.50393734</v>
      </c>
      <c r="E452" s="6">
        <f>[1]Results!H299</f>
        <v>37.611563539999999</v>
      </c>
      <c r="F452" s="6">
        <f>[1]Results!I299</f>
        <v>37.770864889999999</v>
      </c>
      <c r="G452" s="6">
        <f>[1]Results!J299</f>
        <v>37.98878809</v>
      </c>
      <c r="H452" s="6">
        <f>[1]Results!K299</f>
        <v>38.260579790000001</v>
      </c>
      <c r="I452" s="6">
        <f>[1]Results!L299</f>
        <v>38.568207899999997</v>
      </c>
      <c r="J452" s="6">
        <f>[1]Results!M299</f>
        <v>38.911365500000002</v>
      </c>
      <c r="K452" s="6">
        <f>[1]Results!N299</f>
        <v>39.28225303</v>
      </c>
      <c r="L452" s="6">
        <f>[1]Results!O299</f>
        <v>39.672677800000002</v>
      </c>
      <c r="M452" s="6">
        <f>[1]Results!P299</f>
        <v>40.107666520000002</v>
      </c>
      <c r="N452" s="6">
        <f>[1]Results!Q299</f>
        <v>40.530272240000002</v>
      </c>
      <c r="O452" s="6">
        <f>[1]Results!R299</f>
        <v>40.950711009999999</v>
      </c>
      <c r="P452" s="6">
        <f>[1]Results!S299</f>
        <v>41.369783400000003</v>
      </c>
      <c r="Q452" s="6">
        <f>[1]Results!T299</f>
        <v>41.786943209999997</v>
      </c>
      <c r="R452" s="6">
        <f>[1]Results!U299</f>
        <v>42.20179383</v>
      </c>
      <c r="S452" s="6">
        <f>[1]Results!V299</f>
        <v>42.611942380000002</v>
      </c>
      <c r="T452" s="6">
        <f>[1]Results!W299</f>
        <v>43.019335179999999</v>
      </c>
      <c r="U452" s="6">
        <f>[1]Results!X299</f>
        <v>43.424963269999999</v>
      </c>
      <c r="V452" s="6">
        <f>[1]Results!Y299</f>
        <v>43.829808489999998</v>
      </c>
      <c r="W452" s="6">
        <f>[1]Results!Z299</f>
        <v>44.211701269999999</v>
      </c>
      <c r="X452" s="6">
        <f>[1]Results!AA299</f>
        <v>44.608031169999997</v>
      </c>
      <c r="Y452" s="6">
        <f>[1]Results!AB299</f>
        <v>45.011026790000003</v>
      </c>
      <c r="Z452" s="6">
        <f>[1]Results!AC299</f>
        <v>45.419745849999998</v>
      </c>
      <c r="AA452" s="6">
        <f>[1]Results!AD299</f>
        <v>45.834611170000002</v>
      </c>
      <c r="AB452" s="6">
        <f>[1]Results!AE299</f>
        <v>46.190179149999999</v>
      </c>
      <c r="AC452" s="6">
        <f>[1]Results!AF299</f>
        <v>46.559802169999998</v>
      </c>
      <c r="AD452" s="6">
        <f>[1]Results!AG299</f>
        <v>46.935293850000001</v>
      </c>
      <c r="AE452" s="6">
        <f>[1]Results!AH299</f>
        <v>47.316651589999999</v>
      </c>
      <c r="AF452" s="6">
        <f>[1]Results!AI299</f>
        <v>47.705202419999999</v>
      </c>
      <c r="AG452" s="6">
        <f>[1]Results!AJ299</f>
        <v>48.10225509</v>
      </c>
      <c r="AH452" s="6">
        <f>[1]Results!AK299</f>
        <v>48.50939116</v>
      </c>
      <c r="AI452" s="6">
        <f>[1]Results!AL299</f>
        <v>48.927013889999998</v>
      </c>
      <c r="AJ452" s="6">
        <f>[1]Results!AM299</f>
        <v>49.355526900000001</v>
      </c>
      <c r="AK452" s="6">
        <f>[1]Results!AN299</f>
        <v>49.795153149999997</v>
      </c>
      <c r="AL452" s="6">
        <f>[1]Results!AO299</f>
        <v>50.245939929999999</v>
      </c>
      <c r="AM452" s="6">
        <f>[1]Results!AP299</f>
        <v>50.696905460000004</v>
      </c>
      <c r="AN452" s="6">
        <f>[1]Results!AQ299</f>
        <v>51.153221989999999</v>
      </c>
      <c r="AO452" s="6">
        <f>[1]Results!AR299</f>
        <v>51.616595959999998</v>
      </c>
      <c r="AP452" s="6">
        <f>[1]Results!AS299</f>
        <v>52.087807210000001</v>
      </c>
      <c r="AQ452" s="6">
        <f>[1]Results!AT299</f>
        <v>52.567325840000002</v>
      </c>
      <c r="AR452" s="6">
        <f>[1]Results!AU299</f>
        <v>53.056220930000002</v>
      </c>
      <c r="AS452" s="6">
        <f>[1]Results!AV299</f>
        <v>53.554226630000002</v>
      </c>
      <c r="AT452" s="6">
        <f>[1]Results!AW299</f>
        <v>54.061383829999997</v>
      </c>
      <c r="AU452" s="6">
        <f>[1]Results!AX299</f>
        <v>54.577712980000001</v>
      </c>
      <c r="AV452" s="6">
        <f>[1]Results!AY299</f>
        <v>55.103213490000002</v>
      </c>
      <c r="AW452" s="6">
        <f>[1]Results!AZ299</f>
        <v>55.641777300000001</v>
      </c>
      <c r="AX452" s="6">
        <f>[1]Results!BA299</f>
        <v>56.19095746</v>
      </c>
      <c r="AY452" s="6">
        <f>[1]Results!BB299</f>
        <v>56.750110210000003</v>
      </c>
      <c r="AZ452" s="6">
        <f>[1]Results!BC299</f>
        <v>57.318946820000001</v>
      </c>
      <c r="BA452" s="6">
        <f>[1]Results!BD299</f>
        <v>57.897295939999999</v>
      </c>
      <c r="BB452" s="6">
        <f>[1]Results!BE299</f>
        <v>64.359417219999997</v>
      </c>
      <c r="BC452" s="6">
        <f>[1]Results!BF299</f>
        <v>65.209907079999994</v>
      </c>
      <c r="BD452" s="6">
        <f>[1]Results!BG299</f>
        <v>66.075298020000005</v>
      </c>
      <c r="BE452" s="6">
        <f>[1]Results!BH299</f>
        <v>66.955731420000006</v>
      </c>
      <c r="BF452" s="6">
        <f>[1]Results!BI299</f>
        <v>67.851352849999998</v>
      </c>
    </row>
    <row r="453" spans="1:58" x14ac:dyDescent="0.35">
      <c r="B453" s="6" t="s">
        <v>75</v>
      </c>
      <c r="C453" s="6">
        <f>SUM(C454:C456)</f>
        <v>21.676407249</v>
      </c>
      <c r="D453" s="6">
        <f t="shared" ref="D453:AL453" si="271">SUM(D454:D456)</f>
        <v>21.753414951</v>
      </c>
      <c r="E453" s="6">
        <f t="shared" si="271"/>
        <v>21.873700992</v>
      </c>
      <c r="F453" s="6">
        <f t="shared" si="271"/>
        <v>22.015683686999999</v>
      </c>
      <c r="G453" s="6">
        <f t="shared" si="271"/>
        <v>22.178219147</v>
      </c>
      <c r="H453" s="6">
        <f t="shared" si="271"/>
        <v>22.359547399</v>
      </c>
      <c r="I453" s="6">
        <f t="shared" si="271"/>
        <v>22.544337959</v>
      </c>
      <c r="J453" s="6">
        <f t="shared" si="271"/>
        <v>22.736693590999998</v>
      </c>
      <c r="K453" s="6">
        <f t="shared" si="271"/>
        <v>22.936832992999999</v>
      </c>
      <c r="L453" s="6">
        <f t="shared" si="271"/>
        <v>23.143591725</v>
      </c>
      <c r="M453" s="6">
        <f t="shared" si="271"/>
        <v>23.379356434000002</v>
      </c>
      <c r="N453" s="6">
        <f t="shared" si="271"/>
        <v>23.601817427</v>
      </c>
      <c r="O453" s="6">
        <f t="shared" si="271"/>
        <v>23.822071876999999</v>
      </c>
      <c r="P453" s="6">
        <f t="shared" si="271"/>
        <v>24.042274236000001</v>
      </c>
      <c r="Q453" s="6">
        <f t="shared" si="271"/>
        <v>24.262877262</v>
      </c>
      <c r="R453" s="6">
        <f t="shared" si="271"/>
        <v>24.484019786000001</v>
      </c>
      <c r="S453" s="6">
        <f t="shared" si="271"/>
        <v>24.704099962999997</v>
      </c>
      <c r="T453" s="6">
        <f t="shared" si="271"/>
        <v>24.924689366999999</v>
      </c>
      <c r="U453" s="6">
        <f t="shared" si="271"/>
        <v>25.146248652000001</v>
      </c>
      <c r="V453" s="6">
        <f t="shared" si="271"/>
        <v>25.369148805999998</v>
      </c>
      <c r="W453" s="6">
        <f t="shared" si="271"/>
        <v>25.576894072999998</v>
      </c>
      <c r="X453" s="6">
        <f t="shared" si="271"/>
        <v>25.797639528000001</v>
      </c>
      <c r="Y453" s="6">
        <f t="shared" si="271"/>
        <v>26.024048831999998</v>
      </c>
      <c r="Z453" s="6">
        <f t="shared" si="271"/>
        <v>26.254619384999998</v>
      </c>
      <c r="AA453" s="6">
        <f t="shared" si="271"/>
        <v>26.489086661999998</v>
      </c>
      <c r="AB453" s="6">
        <f t="shared" si="271"/>
        <v>26.679999903000002</v>
      </c>
      <c r="AC453" s="6">
        <f t="shared" si="271"/>
        <v>26.883804948000002</v>
      </c>
      <c r="AD453" s="6">
        <f t="shared" si="271"/>
        <v>27.092552101999999</v>
      </c>
      <c r="AE453" s="6">
        <f t="shared" si="271"/>
        <v>27.305166186999998</v>
      </c>
      <c r="AF453" s="6">
        <f t="shared" si="271"/>
        <v>27.521724620000001</v>
      </c>
      <c r="AG453" s="6">
        <f t="shared" si="271"/>
        <v>27.742481486000003</v>
      </c>
      <c r="AH453" s="6">
        <f t="shared" si="271"/>
        <v>27.968056023000003</v>
      </c>
      <c r="AI453" s="6">
        <f t="shared" si="271"/>
        <v>28.198305683000001</v>
      </c>
      <c r="AJ453" s="6">
        <f t="shared" si="271"/>
        <v>28.433263902</v>
      </c>
      <c r="AK453" s="6">
        <f t="shared" si="271"/>
        <v>28.672936190000001</v>
      </c>
      <c r="AL453" s="6">
        <f t="shared" si="271"/>
        <v>28.917283853000001</v>
      </c>
      <c r="AM453" s="6">
        <f t="shared" ref="AM453:BC453" si="272">SUM(AM454:AM456)</f>
        <v>29.158700633000002</v>
      </c>
      <c r="AN453" s="6">
        <f t="shared" si="272"/>
        <v>29.401308862</v>
      </c>
      <c r="AO453" s="6">
        <f t="shared" si="272"/>
        <v>29.646502264999999</v>
      </c>
      <c r="AP453" s="6">
        <f t="shared" si="272"/>
        <v>29.894854156999997</v>
      </c>
      <c r="AQ453" s="6">
        <f t="shared" si="272"/>
        <v>30.146634873000004</v>
      </c>
      <c r="AR453" s="6">
        <f t="shared" si="272"/>
        <v>30.402526850000001</v>
      </c>
      <c r="AS453" s="6">
        <f t="shared" si="272"/>
        <v>30.662178204999996</v>
      </c>
      <c r="AT453" s="6">
        <f t="shared" si="272"/>
        <v>30.925559782000001</v>
      </c>
      <c r="AU453" s="6">
        <f t="shared" si="272"/>
        <v>31.192646987000003</v>
      </c>
      <c r="AV453" s="6">
        <f t="shared" si="272"/>
        <v>31.463419752999997</v>
      </c>
      <c r="AW453" s="6">
        <f t="shared" si="272"/>
        <v>31.740644089</v>
      </c>
      <c r="AX453" s="6">
        <f t="shared" si="272"/>
        <v>32.022246908999996</v>
      </c>
      <c r="AY453" s="6">
        <f t="shared" si="272"/>
        <v>32.307785581999994</v>
      </c>
      <c r="AZ453" s="6">
        <f t="shared" si="272"/>
        <v>32.597108142000003</v>
      </c>
      <c r="BA453" s="6">
        <f t="shared" si="272"/>
        <v>32.890135291</v>
      </c>
      <c r="BB453" s="6">
        <f t="shared" si="272"/>
        <v>37.541139481999998</v>
      </c>
      <c r="BC453" s="6">
        <f t="shared" si="272"/>
        <v>38.025049056999997</v>
      </c>
      <c r="BD453" s="6">
        <f t="shared" ref="BD453:BF453" si="273">SUM(BD454:BD456)</f>
        <v>38.517590014</v>
      </c>
      <c r="BE453" s="6">
        <f t="shared" si="273"/>
        <v>39.018840425</v>
      </c>
      <c r="BF453" s="6">
        <f t="shared" si="273"/>
        <v>39.528914427000004</v>
      </c>
    </row>
    <row r="454" spans="1:58" x14ac:dyDescent="0.35">
      <c r="B454" s="6" t="str">
        <f>[1]Results!E309</f>
        <v>CF_toe_chea_2</v>
      </c>
      <c r="C454" s="6">
        <f>[1]Results!F309</f>
        <v>5.0876439720000004</v>
      </c>
      <c r="D454" s="6">
        <f>[1]Results!G309</f>
        <v>5.1288721669999999</v>
      </c>
      <c r="E454" s="6">
        <f>[1]Results!H309</f>
        <v>5.1829753309999997</v>
      </c>
      <c r="F454" s="6">
        <f>[1]Results!I309</f>
        <v>5.2431637289999999</v>
      </c>
      <c r="G454" s="6">
        <f>[1]Results!J309</f>
        <v>5.3081929370000003</v>
      </c>
      <c r="H454" s="6">
        <f>[1]Results!K309</f>
        <v>5.3780994089999998</v>
      </c>
      <c r="I454" s="6">
        <f>[1]Results!L309</f>
        <v>5.4438883169999999</v>
      </c>
      <c r="J454" s="6">
        <f>[1]Results!M309</f>
        <v>5.5058793489999998</v>
      </c>
      <c r="K454" s="6">
        <f>[1]Results!N309</f>
        <v>5.5657085080000002</v>
      </c>
      <c r="L454" s="6">
        <f>[1]Results!O309</f>
        <v>5.6246827530000001</v>
      </c>
      <c r="M454" s="6">
        <f>[1]Results!P309</f>
        <v>5.6916165100000002</v>
      </c>
      <c r="N454" s="6">
        <f>[1]Results!Q309</f>
        <v>5.7537391690000002</v>
      </c>
      <c r="O454" s="6">
        <f>[1]Results!R309</f>
        <v>5.8143171579999997</v>
      </c>
      <c r="P454" s="6">
        <f>[1]Results!S309</f>
        <v>5.8744450910000001</v>
      </c>
      <c r="Q454" s="6">
        <f>[1]Results!T309</f>
        <v>5.934509909</v>
      </c>
      <c r="R454" s="6">
        <f>[1]Results!U309</f>
        <v>5.9946397869999997</v>
      </c>
      <c r="S454" s="6">
        <f>[1]Results!V309</f>
        <v>6.054624639</v>
      </c>
      <c r="T454" s="6">
        <f>[1]Results!W309</f>
        <v>6.1146334629999997</v>
      </c>
      <c r="U454" s="6">
        <f>[1]Results!X309</f>
        <v>6.1747162839999996</v>
      </c>
      <c r="V454" s="6">
        <f>[1]Results!Y309</f>
        <v>6.2349151320000002</v>
      </c>
      <c r="W454" s="6">
        <f>[1]Results!Z309</f>
        <v>6.2897558849999999</v>
      </c>
      <c r="X454" s="6">
        <f>[1]Results!AA309</f>
        <v>6.3481423059999997</v>
      </c>
      <c r="Y454" s="6">
        <f>[1]Results!AB309</f>
        <v>6.4080649520000001</v>
      </c>
      <c r="Z454" s="6">
        <f>[1]Results!AC309</f>
        <v>6.4688646329999999</v>
      </c>
      <c r="AA454" s="6">
        <f>[1]Results!AD309</f>
        <v>6.5303140849999997</v>
      </c>
      <c r="AB454" s="6">
        <f>[1]Results!AE309</f>
        <v>6.5770171260000003</v>
      </c>
      <c r="AC454" s="6">
        <f>[1]Results!AF309</f>
        <v>6.6263938680000001</v>
      </c>
      <c r="AD454" s="6">
        <f>[1]Results!AG309</f>
        <v>6.6769306359999998</v>
      </c>
      <c r="AE454" s="6">
        <f>[1]Results!AH309</f>
        <v>6.7282612449999997</v>
      </c>
      <c r="AF454" s="6">
        <f>[1]Results!AI309</f>
        <v>6.7802847210000001</v>
      </c>
      <c r="AG454" s="6">
        <f>[1]Results!AJ309</f>
        <v>6.8329831150000002</v>
      </c>
      <c r="AH454" s="6">
        <f>[1]Results!AK309</f>
        <v>6.8864237590000004</v>
      </c>
      <c r="AI454" s="6">
        <f>[1]Results!AL309</f>
        <v>6.9405916269999999</v>
      </c>
      <c r="AJ454" s="6">
        <f>[1]Results!AM309</f>
        <v>6.9954966819999997</v>
      </c>
      <c r="AK454" s="6">
        <f>[1]Results!AN309</f>
        <v>7.0511462959999998</v>
      </c>
      <c r="AL454" s="6">
        <f>[1]Results!AO309</f>
        <v>7.1075412</v>
      </c>
      <c r="AM454" s="6">
        <f>[1]Results!AP309</f>
        <v>7.1617324250000003</v>
      </c>
      <c r="AN454" s="6">
        <f>[1]Results!AQ309</f>
        <v>7.2154143050000004</v>
      </c>
      <c r="AO454" s="6">
        <f>[1]Results!AR309</f>
        <v>7.2692533859999999</v>
      </c>
      <c r="AP454" s="6">
        <f>[1]Results!AS309</f>
        <v>7.3235252309999996</v>
      </c>
      <c r="AQ454" s="6">
        <f>[1]Results!AT309</f>
        <v>7.3783438529999996</v>
      </c>
      <c r="AR454" s="6">
        <f>[1]Results!AU309</f>
        <v>7.433828321</v>
      </c>
      <c r="AS454" s="6">
        <f>[1]Results!AV309</f>
        <v>7.4899444629999996</v>
      </c>
      <c r="AT454" s="6">
        <f>[1]Results!AW309</f>
        <v>7.5466902410000003</v>
      </c>
      <c r="AU454" s="6">
        <f>[1]Results!AX309</f>
        <v>7.6040528639999998</v>
      </c>
      <c r="AV454" s="6">
        <f>[1]Results!AY309</f>
        <v>7.6620239860000003</v>
      </c>
      <c r="AW454" s="6">
        <f>[1]Results!AZ309</f>
        <v>7.7211298829999997</v>
      </c>
      <c r="AX454" s="6">
        <f>[1]Results!BA309</f>
        <v>7.7810185399999998</v>
      </c>
      <c r="AY454" s="6">
        <f>[1]Results!BB309</f>
        <v>7.8415846379999996</v>
      </c>
      <c r="AZ454" s="6">
        <f>[1]Results!BC309</f>
        <v>7.902783866</v>
      </c>
      <c r="BA454" s="6">
        <f>[1]Results!BD309</f>
        <v>7.9645923190000003</v>
      </c>
      <c r="BB454" s="6">
        <f>[1]Results!BE309</f>
        <v>8.5768502299999998</v>
      </c>
      <c r="BC454" s="6">
        <f>[1]Results!BF309</f>
        <v>8.666396185</v>
      </c>
      <c r="BD454" s="6">
        <f>[1]Results!BG309</f>
        <v>8.7572674819999996</v>
      </c>
      <c r="BE454" s="6">
        <f>[1]Results!BH309</f>
        <v>8.8494687390000006</v>
      </c>
      <c r="BF454" s="6">
        <f>[1]Results!BI309</f>
        <v>8.9430200129999999</v>
      </c>
    </row>
    <row r="455" spans="1:58" x14ac:dyDescent="0.35">
      <c r="B455" s="6" t="str">
        <f>[1]Results!E311</f>
        <v>CF_toe_cbio_2</v>
      </c>
      <c r="C455" s="6">
        <f>[1]Results!F311</f>
        <v>8.1640858089999995</v>
      </c>
      <c r="D455" s="6">
        <f>[1]Results!G311</f>
        <v>8.1679804239999996</v>
      </c>
      <c r="E455" s="6">
        <f>[1]Results!H311</f>
        <v>8.1538125820000005</v>
      </c>
      <c r="F455" s="6">
        <f>[1]Results!I311</f>
        <v>8.1369288290000004</v>
      </c>
      <c r="G455" s="6">
        <f>[1]Results!J311</f>
        <v>8.1233812459999992</v>
      </c>
      <c r="H455" s="6">
        <f>[1]Results!K311</f>
        <v>8.1138688830000003</v>
      </c>
      <c r="I455" s="6">
        <f>[1]Results!L311</f>
        <v>8.1104266190000001</v>
      </c>
      <c r="J455" s="6">
        <f>[1]Results!M311</f>
        <v>8.1139601129999992</v>
      </c>
      <c r="K455" s="6">
        <f>[1]Results!N311</f>
        <v>8.1235712529999997</v>
      </c>
      <c r="L455" s="6">
        <f>[1]Results!O311</f>
        <v>8.1376734810000002</v>
      </c>
      <c r="M455" s="6">
        <f>[1]Results!P311</f>
        <v>8.1599939730000006</v>
      </c>
      <c r="N455" s="6">
        <f>[1]Results!Q311</f>
        <v>8.1810612789999997</v>
      </c>
      <c r="O455" s="6">
        <f>[1]Results!R311</f>
        <v>8.2020502260000008</v>
      </c>
      <c r="P455" s="6">
        <f>[1]Results!S311</f>
        <v>8.2231634769999999</v>
      </c>
      <c r="Q455" s="6">
        <f>[1]Results!T311</f>
        <v>8.2443907129999996</v>
      </c>
      <c r="R455" s="6">
        <f>[1]Results!U311</f>
        <v>8.2656952889999999</v>
      </c>
      <c r="S455" s="6">
        <f>[1]Results!V311</f>
        <v>8.2868770339999998</v>
      </c>
      <c r="T455" s="6">
        <f>[1]Results!W311</f>
        <v>8.3080607339999997</v>
      </c>
      <c r="U455" s="6">
        <f>[1]Results!X311</f>
        <v>8.3292572180000004</v>
      </c>
      <c r="V455" s="6">
        <f>[1]Results!Y311</f>
        <v>8.3505124039999998</v>
      </c>
      <c r="W455" s="6">
        <f>[1]Results!Z311</f>
        <v>8.3682926480000006</v>
      </c>
      <c r="X455" s="6">
        <f>[1]Results!AA311</f>
        <v>8.3883272420000008</v>
      </c>
      <c r="Y455" s="6">
        <f>[1]Results!AB311</f>
        <v>8.4094518899999997</v>
      </c>
      <c r="Z455" s="6">
        <f>[1]Results!AC311</f>
        <v>8.4313072120000001</v>
      </c>
      <c r="AA455" s="6">
        <f>[1]Results!AD311</f>
        <v>8.4537925069999993</v>
      </c>
      <c r="AB455" s="6">
        <f>[1]Results!AE311</f>
        <v>8.4668784969999997</v>
      </c>
      <c r="AC455" s="6">
        <f>[1]Results!AF311</f>
        <v>8.4816415700000007</v>
      </c>
      <c r="AD455" s="6">
        <f>[1]Results!AG311</f>
        <v>8.4972464559999992</v>
      </c>
      <c r="AE455" s="6">
        <f>[1]Results!AH311</f>
        <v>8.5135362820000005</v>
      </c>
      <c r="AF455" s="6">
        <f>[1]Results!AI311</f>
        <v>8.5305203790000004</v>
      </c>
      <c r="AG455" s="6">
        <f>[1]Results!AJ311</f>
        <v>8.5482464809999996</v>
      </c>
      <c r="AH455" s="6">
        <f>[1]Results!AK311</f>
        <v>8.5668030240000004</v>
      </c>
      <c r="AI455" s="6">
        <f>[1]Results!AL311</f>
        <v>8.5861981059999994</v>
      </c>
      <c r="AJ455" s="6">
        <f>[1]Results!AM311</f>
        <v>8.6064462699999993</v>
      </c>
      <c r="AK455" s="6">
        <f>[1]Results!AN311</f>
        <v>8.6275520839999995</v>
      </c>
      <c r="AL455" s="6">
        <f>[1]Results!AO311</f>
        <v>8.6495101529999996</v>
      </c>
      <c r="AM455" s="6">
        <f>[1]Results!AP311</f>
        <v>8.6704259480000001</v>
      </c>
      <c r="AN455" s="6">
        <f>[1]Results!AQ311</f>
        <v>8.6912843370000008</v>
      </c>
      <c r="AO455" s="6">
        <f>[1]Results!AR311</f>
        <v>8.7124927589999999</v>
      </c>
      <c r="AP455" s="6">
        <f>[1]Results!AS311</f>
        <v>8.7342271759999992</v>
      </c>
      <c r="AQ455" s="6">
        <f>[1]Results!AT311</f>
        <v>8.7565656700000005</v>
      </c>
      <c r="AR455" s="6">
        <f>[1]Results!AU311</f>
        <v>8.7796004490000001</v>
      </c>
      <c r="AS455" s="6">
        <f>[1]Results!AV311</f>
        <v>8.8033084719999994</v>
      </c>
      <c r="AT455" s="6">
        <f>[1]Results!AW311</f>
        <v>8.8276905110000001</v>
      </c>
      <c r="AU455" s="6">
        <f>[1]Results!AX311</f>
        <v>8.8527342929999993</v>
      </c>
      <c r="AV455" s="6">
        <f>[1]Results!AY311</f>
        <v>8.8784313269999995</v>
      </c>
      <c r="AW455" s="6">
        <f>[1]Results!AZ311</f>
        <v>8.9051567760000001</v>
      </c>
      <c r="AX455" s="6">
        <f>[1]Results!BA311</f>
        <v>8.9326669289999998</v>
      </c>
      <c r="AY455" s="6">
        <f>[1]Results!BB311</f>
        <v>8.9608841439999996</v>
      </c>
      <c r="AZ455" s="6">
        <f>[1]Results!BC311</f>
        <v>8.9897708860000005</v>
      </c>
      <c r="BA455" s="6">
        <f>[1]Results!BD311</f>
        <v>9.0193035219999995</v>
      </c>
      <c r="BB455" s="6">
        <f>[1]Results!BE311</f>
        <v>9.1587507319999997</v>
      </c>
      <c r="BC455" s="6">
        <f>[1]Results!BF311</f>
        <v>9.2090429220000001</v>
      </c>
      <c r="BD455" s="6">
        <f>[1]Results!BG311</f>
        <v>9.2606713220000003</v>
      </c>
      <c r="BE455" s="6">
        <f>[1]Results!BH311</f>
        <v>9.3136211660000008</v>
      </c>
      <c r="BF455" s="6">
        <f>[1]Results!BI311</f>
        <v>9.3679002540000003</v>
      </c>
    </row>
    <row r="456" spans="1:58" x14ac:dyDescent="0.35">
      <c r="B456" s="6" t="str">
        <f>[1]Results!E314</f>
        <v>CF_toe_cote_2</v>
      </c>
      <c r="C456" s="6">
        <f>[1]Results!F314</f>
        <v>8.4246774680000005</v>
      </c>
      <c r="D456" s="6">
        <f>[1]Results!G314</f>
        <v>8.4565623599999995</v>
      </c>
      <c r="E456" s="6">
        <f>[1]Results!H314</f>
        <v>8.5369130789999996</v>
      </c>
      <c r="F456" s="6">
        <f>[1]Results!I314</f>
        <v>8.6355911289999998</v>
      </c>
      <c r="G456" s="6">
        <f>[1]Results!J314</f>
        <v>8.7466449639999997</v>
      </c>
      <c r="H456" s="6">
        <f>[1]Results!K314</f>
        <v>8.8675791069999992</v>
      </c>
      <c r="I456" s="6">
        <f>[1]Results!L314</f>
        <v>8.9900230229999991</v>
      </c>
      <c r="J456" s="6">
        <f>[1]Results!M314</f>
        <v>9.116854129</v>
      </c>
      <c r="K456" s="6">
        <f>[1]Results!N314</f>
        <v>9.2475532319999996</v>
      </c>
      <c r="L456" s="6">
        <f>[1]Results!O314</f>
        <v>9.381235491</v>
      </c>
      <c r="M456" s="6">
        <f>[1]Results!P314</f>
        <v>9.527745951</v>
      </c>
      <c r="N456" s="6">
        <f>[1]Results!Q314</f>
        <v>9.6670169789999996</v>
      </c>
      <c r="O456" s="6">
        <f>[1]Results!R314</f>
        <v>9.8057044930000004</v>
      </c>
      <c r="P456" s="6">
        <f>[1]Results!S314</f>
        <v>9.9446656680000007</v>
      </c>
      <c r="Q456" s="6">
        <f>[1]Results!T314</f>
        <v>10.083976639999999</v>
      </c>
      <c r="R456" s="6">
        <f>[1]Results!U314</f>
        <v>10.223684710000001</v>
      </c>
      <c r="S456" s="6">
        <f>[1]Results!V314</f>
        <v>10.362598289999999</v>
      </c>
      <c r="T456" s="6">
        <f>[1]Results!W314</f>
        <v>10.501995170000001</v>
      </c>
      <c r="U456" s="6">
        <f>[1]Results!X314</f>
        <v>10.64227515</v>
      </c>
      <c r="V456" s="6">
        <f>[1]Results!Y314</f>
        <v>10.783721269999999</v>
      </c>
      <c r="W456" s="6">
        <f>[1]Results!Z314</f>
        <v>10.91884554</v>
      </c>
      <c r="X456" s="6">
        <f>[1]Results!AA314</f>
        <v>11.061169980000001</v>
      </c>
      <c r="Y456" s="6">
        <f>[1]Results!AB314</f>
        <v>11.20653199</v>
      </c>
      <c r="Z456" s="6">
        <f>[1]Results!AC314</f>
        <v>11.354447540000001</v>
      </c>
      <c r="AA456" s="6">
        <f>[1]Results!AD314</f>
        <v>11.50498007</v>
      </c>
      <c r="AB456" s="6">
        <f>[1]Results!AE314</f>
        <v>11.63610428</v>
      </c>
      <c r="AC456" s="6">
        <f>[1]Results!AF314</f>
        <v>11.77576951</v>
      </c>
      <c r="AD456" s="6">
        <f>[1]Results!AG314</f>
        <v>11.91837501</v>
      </c>
      <c r="AE456" s="6">
        <f>[1]Results!AH314</f>
        <v>12.06336866</v>
      </c>
      <c r="AF456" s="6">
        <f>[1]Results!AI314</f>
        <v>12.210919519999999</v>
      </c>
      <c r="AG456" s="6">
        <f>[1]Results!AJ314</f>
        <v>12.36125189</v>
      </c>
      <c r="AH456" s="6">
        <f>[1]Results!AK314</f>
        <v>12.514829239999999</v>
      </c>
      <c r="AI456" s="6">
        <f>[1]Results!AL314</f>
        <v>12.67151595</v>
      </c>
      <c r="AJ456" s="6">
        <f>[1]Results!AM314</f>
        <v>12.83132095</v>
      </c>
      <c r="AK456" s="6">
        <f>[1]Results!AN314</f>
        <v>12.99423781</v>
      </c>
      <c r="AL456" s="6">
        <f>[1]Results!AO314</f>
        <v>13.160232499999999</v>
      </c>
      <c r="AM456" s="6">
        <f>[1]Results!AP314</f>
        <v>13.32654226</v>
      </c>
      <c r="AN456" s="6">
        <f>[1]Results!AQ314</f>
        <v>13.49461022</v>
      </c>
      <c r="AO456" s="6">
        <f>[1]Results!AR314</f>
        <v>13.66475612</v>
      </c>
      <c r="AP456" s="6">
        <f>[1]Results!AS314</f>
        <v>13.83710175</v>
      </c>
      <c r="AQ456" s="6">
        <f>[1]Results!AT314</f>
        <v>14.011725350000001</v>
      </c>
      <c r="AR456" s="6">
        <f>[1]Results!AU314</f>
        <v>14.189098080000001</v>
      </c>
      <c r="AS456" s="6">
        <f>[1]Results!AV314</f>
        <v>14.36892527</v>
      </c>
      <c r="AT456" s="6">
        <f>[1]Results!AW314</f>
        <v>14.55117903</v>
      </c>
      <c r="AU456" s="6">
        <f>[1]Results!AX314</f>
        <v>14.735859830000001</v>
      </c>
      <c r="AV456" s="6">
        <f>[1]Results!AY314</f>
        <v>14.922964439999999</v>
      </c>
      <c r="AW456" s="6">
        <f>[1]Results!AZ314</f>
        <v>15.11435743</v>
      </c>
      <c r="AX456" s="6">
        <f>[1]Results!BA314</f>
        <v>15.30856144</v>
      </c>
      <c r="AY456" s="6">
        <f>[1]Results!BB314</f>
        <v>15.505316799999999</v>
      </c>
      <c r="AZ456" s="6">
        <f>[1]Results!BC314</f>
        <v>15.704553389999999</v>
      </c>
      <c r="BA456" s="6">
        <f>[1]Results!BD314</f>
        <v>15.906239449999999</v>
      </c>
      <c r="BB456" s="6">
        <f>[1]Results!BE314</f>
        <v>19.805538519999999</v>
      </c>
      <c r="BC456" s="6">
        <f>[1]Results!BF314</f>
        <v>20.149609949999999</v>
      </c>
      <c r="BD456" s="6">
        <f>[1]Results!BG314</f>
        <v>20.49965121</v>
      </c>
      <c r="BE456" s="6">
        <f>[1]Results!BH314</f>
        <v>20.855750520000001</v>
      </c>
      <c r="BF456" s="6">
        <f>[1]Results!BI314</f>
        <v>21.21799416</v>
      </c>
    </row>
    <row r="457" spans="1:58" x14ac:dyDescent="0.35"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</row>
    <row r="458" spans="1:58" x14ac:dyDescent="0.35">
      <c r="A458" s="12" t="s">
        <v>93</v>
      </c>
      <c r="B458" s="6" t="str">
        <f>[1]Results!E317</f>
        <v>CF_toe_0</v>
      </c>
      <c r="C458" s="6">
        <f>[1]Results!F317</f>
        <v>162.32540449999999</v>
      </c>
      <c r="D458" s="6">
        <f>[1]Results!G317</f>
        <v>163.4156279</v>
      </c>
      <c r="E458" s="6">
        <f>[1]Results!H317</f>
        <v>164.401116</v>
      </c>
      <c r="F458" s="6">
        <f>[1]Results!I317</f>
        <v>165.49306659999999</v>
      </c>
      <c r="G458" s="6">
        <f>[1]Results!J317</f>
        <v>166.7450049</v>
      </c>
      <c r="H458" s="6">
        <f>[1]Results!K317</f>
        <v>168.1815799</v>
      </c>
      <c r="I458" s="6">
        <f>[1]Results!L317</f>
        <v>169.71105230000001</v>
      </c>
      <c r="J458" s="6">
        <f>[1]Results!M317</f>
        <v>171.35065489999999</v>
      </c>
      <c r="K458" s="6">
        <f>[1]Results!N317</f>
        <v>173.08313810000001</v>
      </c>
      <c r="L458" s="6">
        <f>[1]Results!O317</f>
        <v>174.88787880000001</v>
      </c>
      <c r="M458" s="6">
        <f>[1]Results!P317</f>
        <v>176.88940719999999</v>
      </c>
      <c r="N458" s="6">
        <f>[1]Results!Q317</f>
        <v>178.85549979999999</v>
      </c>
      <c r="O458" s="6">
        <f>[1]Results!R317</f>
        <v>180.83299880000001</v>
      </c>
      <c r="P458" s="6">
        <f>[1]Results!S317</f>
        <v>182.82848559999999</v>
      </c>
      <c r="Q458" s="6">
        <f>[1]Results!T317</f>
        <v>184.8416052</v>
      </c>
      <c r="R458" s="6">
        <f>[1]Results!U317</f>
        <v>186.87145649999999</v>
      </c>
      <c r="S458" s="6">
        <f>[1]Results!V317</f>
        <v>188.9177612</v>
      </c>
      <c r="T458" s="6">
        <f>[1]Results!W317</f>
        <v>190.9809482</v>
      </c>
      <c r="U458" s="6">
        <f>[1]Results!X317</f>
        <v>193.06201369999999</v>
      </c>
      <c r="V458" s="6">
        <f>[1]Results!Y317</f>
        <v>195.16235209999999</v>
      </c>
      <c r="W458" s="6">
        <f>[1]Results!Z317</f>
        <v>197.18068400000001</v>
      </c>
      <c r="X458" s="6">
        <f>[1]Results!AA317</f>
        <v>199.27933429999999</v>
      </c>
      <c r="Y458" s="6">
        <f>[1]Results!AB317</f>
        <v>201.4196584</v>
      </c>
      <c r="Z458" s="6">
        <f>[1]Results!AC317</f>
        <v>203.59457269999999</v>
      </c>
      <c r="AA458" s="6">
        <f>[1]Results!AD317</f>
        <v>205.803291</v>
      </c>
      <c r="AB458" s="6">
        <f>[1]Results!AE317</f>
        <v>207.75171499999999</v>
      </c>
      <c r="AC458" s="6">
        <f>[1]Results!AF317</f>
        <v>209.76024630000001</v>
      </c>
      <c r="AD458" s="6">
        <f>[1]Results!AG317</f>
        <v>211.79003309999999</v>
      </c>
      <c r="AE458" s="6">
        <f>[1]Results!AH317</f>
        <v>213.83877219999999</v>
      </c>
      <c r="AF458" s="6">
        <f>[1]Results!AI317</f>
        <v>215.91022390000001</v>
      </c>
      <c r="AG458" s="6">
        <f>[1]Results!AJ317</f>
        <v>218.00870990000001</v>
      </c>
      <c r="AH458" s="6">
        <f>[1]Results!AK317</f>
        <v>220.13788270000001</v>
      </c>
      <c r="AI458" s="6">
        <f>[1]Results!AL317</f>
        <v>222.3004622</v>
      </c>
      <c r="AJ458" s="6">
        <f>[1]Results!AM317</f>
        <v>224.49828110000001</v>
      </c>
      <c r="AK458" s="6">
        <f>[1]Results!AN317</f>
        <v>226.73243160000001</v>
      </c>
      <c r="AL458" s="6">
        <f>[1]Results!AO317</f>
        <v>229.00343839999999</v>
      </c>
      <c r="AM458" s="6">
        <f>[1]Results!AP317</f>
        <v>231.2414564</v>
      </c>
      <c r="AN458" s="6">
        <f>[1]Results!AQ317</f>
        <v>233.48483590000001</v>
      </c>
      <c r="AO458" s="6">
        <f>[1]Results!AR317</f>
        <v>235.74448129999999</v>
      </c>
      <c r="AP458" s="6">
        <f>[1]Results!AS317</f>
        <v>238.02541500000001</v>
      </c>
      <c r="AQ458" s="6">
        <f>[1]Results!AT317</f>
        <v>240.3310578</v>
      </c>
      <c r="AR458" s="6">
        <f>[1]Results!AU317</f>
        <v>242.66410959999999</v>
      </c>
      <c r="AS458" s="6">
        <f>[1]Results!AV317</f>
        <v>245.0267279</v>
      </c>
      <c r="AT458" s="6">
        <f>[1]Results!AW317</f>
        <v>247.42056729999999</v>
      </c>
      <c r="AU458" s="6">
        <f>[1]Results!AX317</f>
        <v>249.8467536</v>
      </c>
      <c r="AV458" s="6">
        <f>[1]Results!AY317</f>
        <v>252.30570349999999</v>
      </c>
      <c r="AW458" s="6">
        <f>[1]Results!AZ317</f>
        <v>254.8022617</v>
      </c>
      <c r="AX458" s="6">
        <f>[1]Results!BA317</f>
        <v>257.32966340000002</v>
      </c>
      <c r="AY458" s="6">
        <f>[1]Results!BB317</f>
        <v>259.88363349999997</v>
      </c>
      <c r="AZ458" s="6">
        <f>[1]Results!BC317</f>
        <v>262.47046760000001</v>
      </c>
      <c r="BA458" s="6">
        <f>[1]Results!BD317</f>
        <v>265.0955371</v>
      </c>
      <c r="BB458" s="6">
        <f>[1]Results!BE317</f>
        <v>285.81156920000001</v>
      </c>
      <c r="BC458" s="6">
        <f>[1]Results!BF317</f>
        <v>289.59841449999999</v>
      </c>
      <c r="BD458" s="6">
        <f>[1]Results!BG317</f>
        <v>293.44403879999999</v>
      </c>
      <c r="BE458" s="6">
        <f>[1]Results!BH317</f>
        <v>297.34999809999999</v>
      </c>
      <c r="BF458" s="6">
        <f>[1]Results!BI317</f>
        <v>301.31780850000001</v>
      </c>
    </row>
    <row r="459" spans="1:58" x14ac:dyDescent="0.35">
      <c r="A459" t="s">
        <v>38</v>
      </c>
      <c r="B459" s="6" t="str">
        <f>[1]Results!E318</f>
        <v>CF_toe_ccoa_0</v>
      </c>
      <c r="C459" s="6">
        <f>[1]Results!F318</f>
        <v>5.4830683029999996</v>
      </c>
      <c r="D459" s="6">
        <f>[1]Results!G318</f>
        <v>5.5492793799999998</v>
      </c>
      <c r="E459" s="6">
        <f>[1]Results!H318</f>
        <v>5.6226819600000004</v>
      </c>
      <c r="F459" s="6">
        <f>[1]Results!I318</f>
        <v>5.7019175280000001</v>
      </c>
      <c r="G459" s="6">
        <f>[1]Results!J318</f>
        <v>5.7861248319999996</v>
      </c>
      <c r="H459" s="6">
        <f>[1]Results!K318</f>
        <v>5.8747395659999997</v>
      </c>
      <c r="I459" s="6">
        <f>[1]Results!L318</f>
        <v>5.9635537010000004</v>
      </c>
      <c r="J459" s="6">
        <f>[1]Results!M318</f>
        <v>6.0544641639999996</v>
      </c>
      <c r="K459" s="6">
        <f>[1]Results!N318</f>
        <v>6.1476467250000004</v>
      </c>
      <c r="L459" s="6">
        <f>[1]Results!O318</f>
        <v>6.2429638360000004</v>
      </c>
      <c r="M459" s="6">
        <f>[1]Results!P318</f>
        <v>6.3467157179999996</v>
      </c>
      <c r="N459" s="6">
        <f>[1]Results!Q318</f>
        <v>6.4481039600000001</v>
      </c>
      <c r="O459" s="6">
        <f>[1]Results!R318</f>
        <v>6.5501806460000003</v>
      </c>
      <c r="P459" s="6">
        <f>[1]Results!S318</f>
        <v>6.6535140009999996</v>
      </c>
      <c r="Q459" s="6">
        <f>[1]Results!T318</f>
        <v>6.7582072530000001</v>
      </c>
      <c r="R459" s="6">
        <f>[1]Results!U318</f>
        <v>6.8642977370000002</v>
      </c>
      <c r="S459" s="6">
        <f>[1]Results!V318</f>
        <v>6.9718316839999996</v>
      </c>
      <c r="T459" s="6">
        <f>[1]Results!W318</f>
        <v>7.0808734839999996</v>
      </c>
      <c r="U459" s="6">
        <f>[1]Results!X318</f>
        <v>7.1915011849999999</v>
      </c>
      <c r="V459" s="6">
        <f>[1]Results!Y318</f>
        <v>7.3037997629999998</v>
      </c>
      <c r="W459" s="6">
        <f>[1]Results!Z318</f>
        <v>7.4130387679999998</v>
      </c>
      <c r="X459" s="6">
        <f>[1]Results!AA318</f>
        <v>7.5272154479999998</v>
      </c>
      <c r="Y459" s="6">
        <f>[1]Results!AB318</f>
        <v>7.6440588519999997</v>
      </c>
      <c r="Z459" s="6">
        <f>[1]Results!AC318</f>
        <v>7.7631628270000004</v>
      </c>
      <c r="AA459" s="6">
        <f>[1]Results!AD318</f>
        <v>7.8844808649999996</v>
      </c>
      <c r="AB459" s="6">
        <f>[1]Results!AE318</f>
        <v>7.9940915869999998</v>
      </c>
      <c r="AC459" s="6">
        <f>[1]Results!AF318</f>
        <v>8.1082709439999991</v>
      </c>
      <c r="AD459" s="6">
        <f>[1]Results!AG318</f>
        <v>8.2244082330000001</v>
      </c>
      <c r="AE459" s="6">
        <f>[1]Results!AH318</f>
        <v>8.3421332610000007</v>
      </c>
      <c r="AF459" s="6">
        <f>[1]Results!AI318</f>
        <v>8.4614956259999996</v>
      </c>
      <c r="AG459" s="6">
        <f>[1]Results!AJ318</f>
        <v>8.5826001220000006</v>
      </c>
      <c r="AH459" s="6">
        <f>[1]Results!AK318</f>
        <v>8.7055333929999996</v>
      </c>
      <c r="AI459" s="6">
        <f>[1]Results!AL318</f>
        <v>8.8303500479999997</v>
      </c>
      <c r="AJ459" s="6">
        <f>[1]Results!AM318</f>
        <v>8.9570736610000008</v>
      </c>
      <c r="AK459" s="6">
        <f>[1]Results!AN318</f>
        <v>9.0857025070000006</v>
      </c>
      <c r="AL459" s="6">
        <f>[1]Results!AO318</f>
        <v>9.2162167089999993</v>
      </c>
      <c r="AM459" s="6">
        <f>[1]Results!AP318</f>
        <v>9.3451920049999995</v>
      </c>
      <c r="AN459" s="6">
        <f>[1]Results!AQ318</f>
        <v>9.474724105</v>
      </c>
      <c r="AO459" s="6">
        <f>[1]Results!AR318</f>
        <v>9.6052880070000004</v>
      </c>
      <c r="AP459" s="6">
        <f>[1]Results!AS318</f>
        <v>9.7370358269999997</v>
      </c>
      <c r="AQ459" s="6">
        <f>[1]Results!AT318</f>
        <v>9.8700524569999999</v>
      </c>
      <c r="AR459" s="6">
        <f>[1]Results!AU318</f>
        <v>10.004404190000001</v>
      </c>
      <c r="AS459" s="6">
        <f>[1]Results!AV318</f>
        <v>10.140146639999999</v>
      </c>
      <c r="AT459" s="6">
        <f>[1]Results!AW318</f>
        <v>10.277325230000001</v>
      </c>
      <c r="AU459" s="6">
        <f>[1]Results!AX318</f>
        <v>10.41597535</v>
      </c>
      <c r="AV459" s="6">
        <f>[1]Results!AY318</f>
        <v>10.556122820000001</v>
      </c>
      <c r="AW459" s="6">
        <f>[1]Results!AZ318</f>
        <v>10.69809186</v>
      </c>
      <c r="AX459" s="6">
        <f>[1]Results!BA318</f>
        <v>10.84172141</v>
      </c>
      <c r="AY459" s="6">
        <f>[1]Results!BB318</f>
        <v>10.98698583</v>
      </c>
      <c r="AZ459" s="6">
        <f>[1]Results!BC318</f>
        <v>11.13388226</v>
      </c>
      <c r="BA459" s="6">
        <f>[1]Results!BD318</f>
        <v>11.28241703</v>
      </c>
      <c r="BB459" s="6">
        <f>[1]Results!BE318</f>
        <v>12.5681329</v>
      </c>
      <c r="BC459" s="6">
        <f>[1]Results!BF318</f>
        <v>12.78677233</v>
      </c>
      <c r="BD459" s="6">
        <f>[1]Results!BG318</f>
        <v>13.00876092</v>
      </c>
      <c r="BE459" s="6">
        <f>[1]Results!BH318</f>
        <v>13.23413545</v>
      </c>
      <c r="BF459" s="6">
        <f>[1]Results!BI318</f>
        <v>13.462935549999999</v>
      </c>
    </row>
    <row r="460" spans="1:58" x14ac:dyDescent="0.35">
      <c r="B460" s="6" t="s">
        <v>74</v>
      </c>
      <c r="C460" s="6">
        <f>C461+C462+C463</f>
        <v>62.315390064900001</v>
      </c>
      <c r="D460" s="6">
        <f t="shared" ref="D460:AI460" si="274">D461+D462+D463</f>
        <v>62.583346593300007</v>
      </c>
      <c r="E460" s="6">
        <f t="shared" si="274"/>
        <v>62.795814122499998</v>
      </c>
      <c r="F460" s="6">
        <f t="shared" si="274"/>
        <v>63.082021249</v>
      </c>
      <c r="G460" s="6">
        <f t="shared" si="274"/>
        <v>63.470170120299997</v>
      </c>
      <c r="H460" s="6">
        <f t="shared" si="274"/>
        <v>63.9606636456</v>
      </c>
      <c r="I460" s="6">
        <f t="shared" si="274"/>
        <v>64.514941140299996</v>
      </c>
      <c r="J460" s="6">
        <f t="shared" si="274"/>
        <v>65.126747491299994</v>
      </c>
      <c r="K460" s="6">
        <f t="shared" si="274"/>
        <v>65.783745677400006</v>
      </c>
      <c r="L460" s="6">
        <f t="shared" si="274"/>
        <v>66.475115318899995</v>
      </c>
      <c r="M460" s="6">
        <f t="shared" si="274"/>
        <v>67.234859936199996</v>
      </c>
      <c r="N460" s="6">
        <f t="shared" si="274"/>
        <v>67.994732511300001</v>
      </c>
      <c r="O460" s="6">
        <f t="shared" si="274"/>
        <v>68.764468194599999</v>
      </c>
      <c r="P460" s="6">
        <f t="shared" si="274"/>
        <v>69.543923941700001</v>
      </c>
      <c r="Q460" s="6">
        <f t="shared" si="274"/>
        <v>70.331634634699995</v>
      </c>
      <c r="R460" s="6">
        <f t="shared" si="274"/>
        <v>71.126409337300004</v>
      </c>
      <c r="S460" s="6">
        <f t="shared" si="274"/>
        <v>71.927518923400001</v>
      </c>
      <c r="T460" s="6">
        <f t="shared" si="274"/>
        <v>72.734618150700001</v>
      </c>
      <c r="U460" s="6">
        <f t="shared" si="274"/>
        <v>73.547639637200007</v>
      </c>
      <c r="V460" s="6">
        <f t="shared" si="274"/>
        <v>74.366706782199998</v>
      </c>
      <c r="W460" s="6">
        <f t="shared" si="274"/>
        <v>75.161052607100004</v>
      </c>
      <c r="X460" s="6">
        <f t="shared" si="274"/>
        <v>75.9770215307</v>
      </c>
      <c r="Y460" s="6">
        <f t="shared" si="274"/>
        <v>76.804758865899998</v>
      </c>
      <c r="Z460" s="6">
        <f t="shared" si="274"/>
        <v>77.642608641099997</v>
      </c>
      <c r="AA460" s="6">
        <f t="shared" si="274"/>
        <v>78.490494935300006</v>
      </c>
      <c r="AB460" s="6">
        <f t="shared" si="274"/>
        <v>79.259413518999992</v>
      </c>
      <c r="AC460" s="6">
        <f t="shared" si="274"/>
        <v>80.039553610900001</v>
      </c>
      <c r="AD460" s="6">
        <f t="shared" si="274"/>
        <v>80.821508258500003</v>
      </c>
      <c r="AE460" s="6">
        <f t="shared" si="274"/>
        <v>81.605653655400005</v>
      </c>
      <c r="AF460" s="6">
        <f t="shared" si="274"/>
        <v>82.394030917899997</v>
      </c>
      <c r="AG460" s="6">
        <f t="shared" si="274"/>
        <v>83.188681013000007</v>
      </c>
      <c r="AH460" s="6">
        <f t="shared" si="274"/>
        <v>83.991292888399997</v>
      </c>
      <c r="AI460" s="6">
        <f t="shared" si="274"/>
        <v>84.803141569100006</v>
      </c>
      <c r="AJ460" s="6">
        <f>AJ461+AJ462+AJ463</f>
        <v>85.625129319500004</v>
      </c>
      <c r="AK460" s="6">
        <f t="shared" ref="AK460" si="275">AK461+AK462+AK463</f>
        <v>86.45785732729999</v>
      </c>
      <c r="AL460" s="6">
        <f t="shared" ref="AL460:BC460" si="276">AL461+AL462+AL463</f>
        <v>87.301701334899988</v>
      </c>
      <c r="AM460" s="6">
        <f t="shared" si="276"/>
        <v>88.135527627900004</v>
      </c>
      <c r="AN460" s="6">
        <f t="shared" si="276"/>
        <v>88.969642785000005</v>
      </c>
      <c r="AO460" s="6">
        <f t="shared" si="276"/>
        <v>89.807267684500005</v>
      </c>
      <c r="AP460" s="6">
        <f t="shared" si="276"/>
        <v>90.650183856399991</v>
      </c>
      <c r="AQ460" s="6">
        <f t="shared" si="276"/>
        <v>91.49981303509999</v>
      </c>
      <c r="AR460" s="6">
        <f t="shared" si="276"/>
        <v>92.357377839799994</v>
      </c>
      <c r="AS460" s="6">
        <f t="shared" si="276"/>
        <v>93.223898496700002</v>
      </c>
      <c r="AT460" s="6">
        <f t="shared" si="276"/>
        <v>94.100177143899998</v>
      </c>
      <c r="AU460" s="6">
        <f t="shared" si="276"/>
        <v>94.986785893800004</v>
      </c>
      <c r="AV460" s="6">
        <f t="shared" si="276"/>
        <v>95.884016769699997</v>
      </c>
      <c r="AW460" s="6">
        <f t="shared" si="276"/>
        <v>96.793479734100003</v>
      </c>
      <c r="AX460" s="6">
        <f t="shared" si="276"/>
        <v>97.714495741699992</v>
      </c>
      <c r="AY460" s="6">
        <f t="shared" si="276"/>
        <v>98.646587254999986</v>
      </c>
      <c r="AZ460" s="6">
        <f t="shared" si="276"/>
        <v>99.590707812000005</v>
      </c>
      <c r="BA460" s="6">
        <f t="shared" si="276"/>
        <v>100.5475946609</v>
      </c>
      <c r="BB460" s="6">
        <f t="shared" si="276"/>
        <v>108.96271776330001</v>
      </c>
      <c r="BC460" s="6">
        <f t="shared" si="276"/>
        <v>110.34745505659998</v>
      </c>
      <c r="BD460" s="6">
        <f t="shared" ref="BD460:BF460" si="277">BD461+BD462+BD463</f>
        <v>111.7525966617</v>
      </c>
      <c r="BE460" s="6">
        <f t="shared" si="277"/>
        <v>113.1788236631</v>
      </c>
      <c r="BF460" s="6">
        <f t="shared" si="277"/>
        <v>114.6268495106</v>
      </c>
    </row>
    <row r="461" spans="1:58" x14ac:dyDescent="0.35">
      <c r="B461" s="6" t="str">
        <f>[1]Results!E321</f>
        <v>CF_toe_ccoi_0</v>
      </c>
      <c r="C461" s="6">
        <f>[1]Results!F321</f>
        <v>8.4917494900000001E-2</v>
      </c>
      <c r="D461" s="6">
        <f>[1]Results!G321</f>
        <v>8.5904173299999997E-2</v>
      </c>
      <c r="E461" s="6">
        <f>[1]Results!H321</f>
        <v>8.6975202500000001E-2</v>
      </c>
      <c r="F461" s="6">
        <f>[1]Results!I321</f>
        <v>8.8142268999999995E-2</v>
      </c>
      <c r="G461" s="6">
        <f>[1]Results!J321</f>
        <v>8.9414280299999996E-2</v>
      </c>
      <c r="H461" s="6">
        <f>[1]Results!K321</f>
        <v>9.0790635600000003E-2</v>
      </c>
      <c r="I461" s="6">
        <f>[1]Results!L321</f>
        <v>9.2207440299999999E-2</v>
      </c>
      <c r="J461" s="6">
        <f>[1]Results!M321</f>
        <v>9.3684891300000003E-2</v>
      </c>
      <c r="K461" s="6">
        <f>[1]Results!N321</f>
        <v>9.5219327399999998E-2</v>
      </c>
      <c r="L461" s="6">
        <f>[1]Results!O321</f>
        <v>9.68034589E-2</v>
      </c>
      <c r="M461" s="6">
        <f>[1]Results!P321</f>
        <v>9.8529666200000005E-2</v>
      </c>
      <c r="N461" s="6">
        <f>[1]Results!Q321</f>
        <v>0.1002378513</v>
      </c>
      <c r="O461" s="6">
        <f>[1]Results!R321</f>
        <v>0.1019637946</v>
      </c>
      <c r="P461" s="6">
        <f>[1]Results!S321</f>
        <v>0.10371059169999999</v>
      </c>
      <c r="Q461" s="6">
        <f>[1]Results!T321</f>
        <v>0.10547654469999999</v>
      </c>
      <c r="R461" s="6">
        <f>[1]Results!U321</f>
        <v>0.10725994730000001</v>
      </c>
      <c r="S461" s="6">
        <f>[1]Results!V321</f>
        <v>0.1090597834</v>
      </c>
      <c r="T461" s="6">
        <f>[1]Results!W321</f>
        <v>0.1108757007</v>
      </c>
      <c r="U461" s="6">
        <f>[1]Results!X321</f>
        <v>0.1127078772</v>
      </c>
      <c r="V461" s="6">
        <f>[1]Results!Y321</f>
        <v>0.1145568922</v>
      </c>
      <c r="W461" s="6">
        <f>[1]Results!Z321</f>
        <v>0.11634893709999999</v>
      </c>
      <c r="X461" s="6">
        <f>[1]Results!AA321</f>
        <v>0.1182004707</v>
      </c>
      <c r="Y461" s="6">
        <f>[1]Results!AB321</f>
        <v>0.1200823359</v>
      </c>
      <c r="Z461" s="6">
        <f>[1]Results!AC321</f>
        <v>0.1219905511</v>
      </c>
      <c r="AA461" s="6">
        <f>[1]Results!AD321</f>
        <v>0.1239253453</v>
      </c>
      <c r="AB461" s="6">
        <f>[1]Results!AE321</f>
        <v>0.12567097899999999</v>
      </c>
      <c r="AC461" s="6">
        <f>[1]Results!AF321</f>
        <v>0.1274595409</v>
      </c>
      <c r="AD461" s="6">
        <f>[1]Results!AG321</f>
        <v>0.12925843849999999</v>
      </c>
      <c r="AE461" s="6">
        <f>[1]Results!AH321</f>
        <v>0.1310666754</v>
      </c>
      <c r="AF461" s="6">
        <f>[1]Results!AI321</f>
        <v>0.1328882679</v>
      </c>
      <c r="AG461" s="6">
        <f>[1]Results!AJ321</f>
        <v>0.13472742300000001</v>
      </c>
      <c r="AH461" s="6">
        <f>[1]Results!AK321</f>
        <v>0.13658764840000001</v>
      </c>
      <c r="AI461" s="6">
        <f>[1]Results!AL321</f>
        <v>0.13847164910000001</v>
      </c>
      <c r="AJ461" s="6">
        <f>[1]Results!AM321</f>
        <v>0.1403813995</v>
      </c>
      <c r="AK461" s="6">
        <f>[1]Results!AN321</f>
        <v>0.1423182573</v>
      </c>
      <c r="AL461" s="6">
        <f>[1]Results!AO321</f>
        <v>0.1442830849</v>
      </c>
      <c r="AM461" s="6">
        <f>[1]Results!AP321</f>
        <v>0.1462237579</v>
      </c>
      <c r="AN461" s="6">
        <f>[1]Results!AQ321</f>
        <v>0.14816847499999999</v>
      </c>
      <c r="AO461" s="6">
        <f>[1]Results!AR321</f>
        <v>0.15012431449999999</v>
      </c>
      <c r="AP461" s="6">
        <f>[1]Results!AS321</f>
        <v>0.1520946564</v>
      </c>
      <c r="AQ461" s="6">
        <f>[1]Results!AT321</f>
        <v>0.1540821151</v>
      </c>
      <c r="AR461" s="6">
        <f>[1]Results!AU321</f>
        <v>0.15608895980000001</v>
      </c>
      <c r="AS461" s="6">
        <f>[1]Results!AV321</f>
        <v>0.15811713669999999</v>
      </c>
      <c r="AT461" s="6">
        <f>[1]Results!AW321</f>
        <v>0.1601682639</v>
      </c>
      <c r="AU461" s="6">
        <f>[1]Results!AX321</f>
        <v>0.1622436538</v>
      </c>
      <c r="AV461" s="6">
        <f>[1]Results!AY321</f>
        <v>0.1643443597</v>
      </c>
      <c r="AW461" s="6">
        <f>[1]Results!AZ321</f>
        <v>0.16647602410000001</v>
      </c>
      <c r="AX461" s="6">
        <f>[1]Results!BA321</f>
        <v>0.1686368617</v>
      </c>
      <c r="AY461" s="6">
        <f>[1]Results!BB321</f>
        <v>0.17082688500000001</v>
      </c>
      <c r="AZ461" s="6">
        <f>[1]Results!BC321</f>
        <v>0.17304623199999999</v>
      </c>
      <c r="BA461" s="6">
        <f>[1]Results!BD321</f>
        <v>0.17529506089999999</v>
      </c>
      <c r="BB461" s="6">
        <f>[1]Results!BE321</f>
        <v>0.1973296433</v>
      </c>
      <c r="BC461" s="6">
        <f>[1]Results!BF321</f>
        <v>0.2006222366</v>
      </c>
      <c r="BD461" s="6">
        <f>[1]Results!BG321</f>
        <v>0.2039584817</v>
      </c>
      <c r="BE461" s="6">
        <f>[1]Results!BH321</f>
        <v>0.20733960309999999</v>
      </c>
      <c r="BF461" s="6">
        <f>[1]Results!BI321</f>
        <v>0.21076692059999999</v>
      </c>
    </row>
    <row r="462" spans="1:58" x14ac:dyDescent="0.35">
      <c r="B462" s="6" t="str">
        <f>[1]Results!E324</f>
        <v>CF_toe_cfut_0</v>
      </c>
      <c r="C462" s="6">
        <f>[1]Results!F324</f>
        <v>47.396219530000003</v>
      </c>
      <c r="D462" s="6">
        <f>[1]Results!G324</f>
        <v>47.572488130000004</v>
      </c>
      <c r="E462" s="6">
        <f>[1]Results!H324</f>
        <v>47.715054289999998</v>
      </c>
      <c r="F462" s="6">
        <f>[1]Results!I324</f>
        <v>47.933097959999998</v>
      </c>
      <c r="G462" s="6">
        <f>[1]Results!J324</f>
        <v>48.248534419999999</v>
      </c>
      <c r="H462" s="6">
        <f>[1]Results!K324</f>
        <v>48.652318780000002</v>
      </c>
      <c r="I462" s="6">
        <f>[1]Results!L324</f>
        <v>49.110529749999998</v>
      </c>
      <c r="J462" s="6">
        <f>[1]Results!M324</f>
        <v>49.614983969999997</v>
      </c>
      <c r="K462" s="6">
        <f>[1]Results!N324</f>
        <v>50.15509342</v>
      </c>
      <c r="L462" s="6">
        <f>[1]Results!O324</f>
        <v>50.722348689999997</v>
      </c>
      <c r="M462" s="6">
        <f>[1]Results!P324</f>
        <v>51.3407099</v>
      </c>
      <c r="N462" s="6">
        <f>[1]Results!Q324</f>
        <v>51.961652729999997</v>
      </c>
      <c r="O462" s="6">
        <f>[1]Results!R324</f>
        <v>52.59153294</v>
      </c>
      <c r="P462" s="6">
        <f>[1]Results!S324</f>
        <v>53.229606779999997</v>
      </c>
      <c r="Q462" s="6">
        <f>[1]Results!T324</f>
        <v>53.87438066</v>
      </c>
      <c r="R462" s="6">
        <f>[1]Results!U324</f>
        <v>54.524709280000003</v>
      </c>
      <c r="S462" s="6">
        <f>[1]Results!V324</f>
        <v>55.179880920000002</v>
      </c>
      <c r="T462" s="6">
        <f>[1]Results!W324</f>
        <v>55.839527969999999</v>
      </c>
      <c r="U462" s="6">
        <f>[1]Results!X324</f>
        <v>56.50352857</v>
      </c>
      <c r="V462" s="6">
        <f>[1]Results!Y324</f>
        <v>57.171929089999999</v>
      </c>
      <c r="W462" s="6">
        <f>[1]Results!Z324</f>
        <v>57.822471800000002</v>
      </c>
      <c r="X462" s="6">
        <f>[1]Results!AA324</f>
        <v>58.488130830000003</v>
      </c>
      <c r="Y462" s="6">
        <f>[1]Results!AB324</f>
        <v>59.162029029999999</v>
      </c>
      <c r="Z462" s="6">
        <f>[1]Results!AC324</f>
        <v>59.843234639999999</v>
      </c>
      <c r="AA462" s="6">
        <f>[1]Results!AD324</f>
        <v>60.531841640000003</v>
      </c>
      <c r="AB462" s="6">
        <f>[1]Results!AE324</f>
        <v>61.163390649999997</v>
      </c>
      <c r="AC462" s="6">
        <f>[1]Results!AF324</f>
        <v>61.801863189999999</v>
      </c>
      <c r="AD462" s="6">
        <f>[1]Results!AG324</f>
        <v>62.440449469999997</v>
      </c>
      <c r="AE462" s="6">
        <f>[1]Results!AH324</f>
        <v>63.079769519999999</v>
      </c>
      <c r="AF462" s="6">
        <f>[1]Results!AI324</f>
        <v>63.721679999999999</v>
      </c>
      <c r="AG462" s="6">
        <f>[1]Results!AJ324</f>
        <v>64.367969040000006</v>
      </c>
      <c r="AH462" s="6">
        <f>[1]Results!AK324</f>
        <v>65.020083510000006</v>
      </c>
      <c r="AI462" s="6">
        <f>[1]Results!AL324</f>
        <v>65.679104260000003</v>
      </c>
      <c r="AJ462" s="6">
        <f>[1]Results!AM324</f>
        <v>66.345791840000004</v>
      </c>
      <c r="AK462" s="6">
        <f>[1]Results!AN324</f>
        <v>67.020651849999993</v>
      </c>
      <c r="AL462" s="6">
        <f>[1]Results!AO324</f>
        <v>67.704000809999997</v>
      </c>
      <c r="AM462" s="6">
        <f>[1]Results!AP324</f>
        <v>68.380444940000004</v>
      </c>
      <c r="AN462" s="6">
        <f>[1]Results!AQ324</f>
        <v>69.05720925</v>
      </c>
      <c r="AO462" s="6">
        <f>[1]Results!AR324</f>
        <v>69.73649245</v>
      </c>
      <c r="AP462" s="6">
        <f>[1]Results!AS324</f>
        <v>70.419591659999995</v>
      </c>
      <c r="AQ462" s="6">
        <f>[1]Results!AT324</f>
        <v>71.107616809999996</v>
      </c>
      <c r="AR462" s="6">
        <f>[1]Results!AU324</f>
        <v>71.801559749999996</v>
      </c>
      <c r="AS462" s="6">
        <f>[1]Results!AV324</f>
        <v>72.502267520000004</v>
      </c>
      <c r="AT462" s="6">
        <f>[1]Results!AW324</f>
        <v>73.210424029999999</v>
      </c>
      <c r="AU462" s="6">
        <f>[1]Results!AX324</f>
        <v>73.926553350000006</v>
      </c>
      <c r="AV462" s="6">
        <f>[1]Results!AY324</f>
        <v>74.651039179999998</v>
      </c>
      <c r="AW462" s="6">
        <f>[1]Results!AZ324</f>
        <v>75.38556097</v>
      </c>
      <c r="AX462" s="6">
        <f>[1]Results!BA324</f>
        <v>76.129668170000002</v>
      </c>
      <c r="AY462" s="6">
        <f>[1]Results!BB324</f>
        <v>76.883308369999995</v>
      </c>
      <c r="AZ462" s="6">
        <f>[1]Results!BC324</f>
        <v>77.646438570000001</v>
      </c>
      <c r="BA462" s="6">
        <f>[1]Results!BD324</f>
        <v>78.419003630000006</v>
      </c>
      <c r="BB462" s="6">
        <f>[1]Results!BE324</f>
        <v>85.312169370000007</v>
      </c>
      <c r="BC462" s="6">
        <f>[1]Results!BF324</f>
        <v>86.423256069999994</v>
      </c>
      <c r="BD462" s="6">
        <f>[1]Results!BG324</f>
        <v>87.550619229999995</v>
      </c>
      <c r="BE462" s="6">
        <f>[1]Results!BH324</f>
        <v>88.694809750000005</v>
      </c>
      <c r="BF462" s="6">
        <f>[1]Results!BI324</f>
        <v>89.856421949999998</v>
      </c>
    </row>
    <row r="463" spans="1:58" x14ac:dyDescent="0.35">
      <c r="B463" s="6" t="str">
        <f>[1]Results!E327</f>
        <v>CF_toe_cfuh_0</v>
      </c>
      <c r="C463" s="6">
        <f>[1]Results!F327</f>
        <v>14.83425304</v>
      </c>
      <c r="D463" s="6">
        <f>[1]Results!G327</f>
        <v>14.924954290000001</v>
      </c>
      <c r="E463" s="6">
        <f>[1]Results!H327</f>
        <v>14.99378463</v>
      </c>
      <c r="F463" s="6">
        <f>[1]Results!I327</f>
        <v>15.06078102</v>
      </c>
      <c r="G463" s="6">
        <f>[1]Results!J327</f>
        <v>15.13222142</v>
      </c>
      <c r="H463" s="6">
        <f>[1]Results!K327</f>
        <v>15.217554229999999</v>
      </c>
      <c r="I463" s="6">
        <f>[1]Results!L327</f>
        <v>15.312203950000001</v>
      </c>
      <c r="J463" s="6">
        <f>[1]Results!M327</f>
        <v>15.41807863</v>
      </c>
      <c r="K463" s="6">
        <f>[1]Results!N327</f>
        <v>15.53343293</v>
      </c>
      <c r="L463" s="6">
        <f>[1]Results!O327</f>
        <v>15.65596317</v>
      </c>
      <c r="M463" s="6">
        <f>[1]Results!P327</f>
        <v>15.79562037</v>
      </c>
      <c r="N463" s="6">
        <f>[1]Results!Q327</f>
        <v>15.93284193</v>
      </c>
      <c r="O463" s="6">
        <f>[1]Results!R327</f>
        <v>16.070971459999999</v>
      </c>
      <c r="P463" s="6">
        <f>[1]Results!S327</f>
        <v>16.210606569999999</v>
      </c>
      <c r="Q463" s="6">
        <f>[1]Results!T327</f>
        <v>16.351777429999999</v>
      </c>
      <c r="R463" s="6">
        <f>[1]Results!U327</f>
        <v>16.494440109999999</v>
      </c>
      <c r="S463" s="6">
        <f>[1]Results!V327</f>
        <v>16.638578219999999</v>
      </c>
      <c r="T463" s="6">
        <f>[1]Results!W327</f>
        <v>16.784214479999999</v>
      </c>
      <c r="U463" s="6">
        <f>[1]Results!X327</f>
        <v>16.931403190000001</v>
      </c>
      <c r="V463" s="6">
        <f>[1]Results!Y327</f>
        <v>17.080220799999999</v>
      </c>
      <c r="W463" s="6">
        <f>[1]Results!Z327</f>
        <v>17.222231870000002</v>
      </c>
      <c r="X463" s="6">
        <f>[1]Results!AA327</f>
        <v>17.370690230000001</v>
      </c>
      <c r="Y463" s="6">
        <f>[1]Results!AB327</f>
        <v>17.522647500000001</v>
      </c>
      <c r="Z463" s="6">
        <f>[1]Results!AC327</f>
        <v>17.677383450000001</v>
      </c>
      <c r="AA463" s="6">
        <f>[1]Results!AD327</f>
        <v>17.834727950000001</v>
      </c>
      <c r="AB463" s="6">
        <f>[1]Results!AE327</f>
        <v>17.97035189</v>
      </c>
      <c r="AC463" s="6">
        <f>[1]Results!AF327</f>
        <v>18.11023088</v>
      </c>
      <c r="AD463" s="6">
        <f>[1]Results!AG327</f>
        <v>18.25180035</v>
      </c>
      <c r="AE463" s="6">
        <f>[1]Results!AH327</f>
        <v>18.394817459999999</v>
      </c>
      <c r="AF463" s="6">
        <f>[1]Results!AI327</f>
        <v>18.539462650000001</v>
      </c>
      <c r="AG463" s="6">
        <f>[1]Results!AJ327</f>
        <v>18.685984550000001</v>
      </c>
      <c r="AH463" s="6">
        <f>[1]Results!AK327</f>
        <v>18.834621729999999</v>
      </c>
      <c r="AI463" s="6">
        <f>[1]Results!AL327</f>
        <v>18.985565659999999</v>
      </c>
      <c r="AJ463" s="6">
        <f>[1]Results!AM327</f>
        <v>19.13895608</v>
      </c>
      <c r="AK463" s="6">
        <f>[1]Results!AN327</f>
        <v>19.29488722</v>
      </c>
      <c r="AL463" s="6">
        <f>[1]Results!AO327</f>
        <v>19.453417439999999</v>
      </c>
      <c r="AM463" s="6">
        <f>[1]Results!AP327</f>
        <v>19.60885893</v>
      </c>
      <c r="AN463" s="6">
        <f>[1]Results!AQ327</f>
        <v>19.76426506</v>
      </c>
      <c r="AO463" s="6">
        <f>[1]Results!AR327</f>
        <v>19.92065092</v>
      </c>
      <c r="AP463" s="6">
        <f>[1]Results!AS327</f>
        <v>20.078497540000001</v>
      </c>
      <c r="AQ463" s="6">
        <f>[1]Results!AT327</f>
        <v>20.238114110000001</v>
      </c>
      <c r="AR463" s="6">
        <f>[1]Results!AU327</f>
        <v>20.399729130000001</v>
      </c>
      <c r="AS463" s="6">
        <f>[1]Results!AV327</f>
        <v>20.563513839999999</v>
      </c>
      <c r="AT463" s="6">
        <f>[1]Results!AW327</f>
        <v>20.729584849999998</v>
      </c>
      <c r="AU463" s="6">
        <f>[1]Results!AX327</f>
        <v>20.897988890000001</v>
      </c>
      <c r="AV463" s="6">
        <f>[1]Results!AY327</f>
        <v>21.06863323</v>
      </c>
      <c r="AW463" s="6">
        <f>[1]Results!AZ327</f>
        <v>21.24144274</v>
      </c>
      <c r="AX463" s="6">
        <f>[1]Results!BA327</f>
        <v>21.416190709999999</v>
      </c>
      <c r="AY463" s="6">
        <f>[1]Results!BB327</f>
        <v>21.592452000000002</v>
      </c>
      <c r="AZ463" s="6">
        <f>[1]Results!BC327</f>
        <v>21.77122301</v>
      </c>
      <c r="BA463" s="6">
        <f>[1]Results!BD327</f>
        <v>21.953295969999999</v>
      </c>
      <c r="BB463" s="6">
        <f>[1]Results!BE327</f>
        <v>23.453218750000001</v>
      </c>
      <c r="BC463" s="6">
        <f>[1]Results!BF327</f>
        <v>23.723576749999999</v>
      </c>
      <c r="BD463" s="6">
        <f>[1]Results!BG327</f>
        <v>23.998018949999999</v>
      </c>
      <c r="BE463" s="6">
        <f>[1]Results!BH327</f>
        <v>24.276674310000001</v>
      </c>
      <c r="BF463" s="6">
        <f>[1]Results!BI327</f>
        <v>24.559660640000001</v>
      </c>
    </row>
    <row r="464" spans="1:58" x14ac:dyDescent="0.35">
      <c r="B464" s="6" t="str">
        <f>[1]Results!E329</f>
        <v>CF_toe_cgas_0</v>
      </c>
      <c r="C464" s="6">
        <f>[1]Results!F329</f>
        <v>34.455909939999998</v>
      </c>
      <c r="D464" s="6">
        <f>[1]Results!G329</f>
        <v>34.735827749999999</v>
      </c>
      <c r="E464" s="6">
        <f>[1]Results!H329</f>
        <v>34.995736549999997</v>
      </c>
      <c r="F464" s="6">
        <f>[1]Results!I329</f>
        <v>35.262800069999997</v>
      </c>
      <c r="G464" s="6">
        <f>[1]Results!J329</f>
        <v>35.54540737</v>
      </c>
      <c r="H464" s="6">
        <f>[1]Results!K329</f>
        <v>35.859706199999998</v>
      </c>
      <c r="I464" s="6">
        <f>[1]Results!L329</f>
        <v>36.189815770000003</v>
      </c>
      <c r="J464" s="6">
        <f>[1]Results!M329</f>
        <v>36.543720440000001</v>
      </c>
      <c r="K464" s="6">
        <f>[1]Results!N329</f>
        <v>36.918846940000002</v>
      </c>
      <c r="L464" s="6">
        <f>[1]Results!O329</f>
        <v>37.310920279999998</v>
      </c>
      <c r="M464" s="6">
        <f>[1]Results!P329</f>
        <v>37.750746530000001</v>
      </c>
      <c r="N464" s="6">
        <f>[1]Results!Q329</f>
        <v>38.181040860000003</v>
      </c>
      <c r="O464" s="6">
        <f>[1]Results!R329</f>
        <v>38.613982219999997</v>
      </c>
      <c r="P464" s="6">
        <f>[1]Results!S329</f>
        <v>39.051442690000002</v>
      </c>
      <c r="Q464" s="6">
        <f>[1]Results!T329</f>
        <v>39.493438730000001</v>
      </c>
      <c r="R464" s="6">
        <f>[1]Results!U329</f>
        <v>39.93972935</v>
      </c>
      <c r="S464" s="6">
        <f>[1]Results!V329</f>
        <v>40.390137979999999</v>
      </c>
      <c r="T464" s="6">
        <f>[1]Results!W329</f>
        <v>40.844607289999999</v>
      </c>
      <c r="U464" s="6">
        <f>[1]Results!X329</f>
        <v>41.303192680000002</v>
      </c>
      <c r="V464" s="6">
        <f>[1]Results!Y329</f>
        <v>41.76604184</v>
      </c>
      <c r="W464" s="6">
        <f>[1]Results!Z329</f>
        <v>42.208316959999998</v>
      </c>
      <c r="X464" s="6">
        <f>[1]Results!AA329</f>
        <v>42.669860229999998</v>
      </c>
      <c r="Y464" s="6">
        <f>[1]Results!AB329</f>
        <v>43.140639049999997</v>
      </c>
      <c r="Z464" s="6">
        <f>[1]Results!AC329</f>
        <v>43.618656639999998</v>
      </c>
      <c r="AA464" s="6">
        <f>[1]Results!AD329</f>
        <v>44.103556240000003</v>
      </c>
      <c r="AB464" s="6">
        <f>[1]Results!AE329</f>
        <v>44.523800399999999</v>
      </c>
      <c r="AC464" s="6">
        <f>[1]Results!AF329</f>
        <v>44.958608720000001</v>
      </c>
      <c r="AD464" s="6">
        <f>[1]Results!AG329</f>
        <v>45.397820019999997</v>
      </c>
      <c r="AE464" s="6">
        <f>[1]Results!AH329</f>
        <v>45.840496700000003</v>
      </c>
      <c r="AF464" s="6">
        <f>[1]Results!AI329</f>
        <v>46.287105820000001</v>
      </c>
      <c r="AG464" s="6">
        <f>[1]Results!AJ329</f>
        <v>46.738403820000002</v>
      </c>
      <c r="AH464" s="6">
        <f>[1]Results!AK329</f>
        <v>47.195129899999998</v>
      </c>
      <c r="AI464" s="6">
        <f>[1]Results!AL329</f>
        <v>47.657907139999999</v>
      </c>
      <c r="AJ464" s="6">
        <f>[1]Results!AM329</f>
        <v>48.127221820000003</v>
      </c>
      <c r="AK464" s="6">
        <f>[1]Results!AN329</f>
        <v>48.603430449999998</v>
      </c>
      <c r="AL464" s="6">
        <f>[1]Results!AO329</f>
        <v>49.086777849999997</v>
      </c>
      <c r="AM464" s="6">
        <f>[1]Results!AP329</f>
        <v>49.560524710000003</v>
      </c>
      <c r="AN464" s="6">
        <f>[1]Results!AQ329</f>
        <v>50.034354540000002</v>
      </c>
      <c r="AO464" s="6">
        <f>[1]Results!AR329</f>
        <v>50.510984620000002</v>
      </c>
      <c r="AP464" s="6">
        <f>[1]Results!AS329</f>
        <v>50.991610629999997</v>
      </c>
      <c r="AQ464" s="6">
        <f>[1]Results!AT329</f>
        <v>51.476987450000003</v>
      </c>
      <c r="AR464" s="6">
        <f>[1]Results!AU329</f>
        <v>51.967675560000004</v>
      </c>
      <c r="AS464" s="6">
        <f>[1]Results!AV329</f>
        <v>52.464103950000002</v>
      </c>
      <c r="AT464" s="6">
        <f>[1]Results!AW329</f>
        <v>52.966582649999999</v>
      </c>
      <c r="AU464" s="6">
        <f>[1]Results!AX329</f>
        <v>53.475286879999999</v>
      </c>
      <c r="AV464" s="6">
        <f>[1]Results!AY329</f>
        <v>53.99018264</v>
      </c>
      <c r="AW464" s="6">
        <f>[1]Results!AZ329</f>
        <v>54.512204599999997</v>
      </c>
      <c r="AX464" s="6">
        <f>[1]Results!BA329</f>
        <v>55.039883170000003</v>
      </c>
      <c r="AY464" s="6">
        <f>[1]Results!BB329</f>
        <v>55.570550920000002</v>
      </c>
      <c r="AZ464" s="6">
        <f>[1]Results!BC329</f>
        <v>56.107930879999998</v>
      </c>
      <c r="BA464" s="6">
        <f>[1]Results!BD329</f>
        <v>56.65502687</v>
      </c>
      <c r="BB464" s="6">
        <f>[1]Results!BE329</f>
        <v>60.695917489999999</v>
      </c>
      <c r="BC464" s="6">
        <f>[1]Results!BF329</f>
        <v>61.493967240000003</v>
      </c>
      <c r="BD464" s="6">
        <f>[1]Results!BG329</f>
        <v>62.303657729999998</v>
      </c>
      <c r="BE464" s="6">
        <f>[1]Results!BH329</f>
        <v>63.125339080000003</v>
      </c>
      <c r="BF464" s="6">
        <f>[1]Results!BI329</f>
        <v>63.959341160000001</v>
      </c>
    </row>
    <row r="465" spans="1:58" x14ac:dyDescent="0.35">
      <c r="B465" s="6" t="str">
        <f>[1]Results!E335</f>
        <v>CF_toe_cele_0</v>
      </c>
      <c r="C465" s="6">
        <f>[1]Results!F335</f>
        <v>37.992390440000001</v>
      </c>
      <c r="D465" s="6">
        <f>[1]Results!G335</f>
        <v>38.276743840000002</v>
      </c>
      <c r="E465" s="6">
        <f>[1]Results!H335</f>
        <v>38.530684649999998</v>
      </c>
      <c r="F465" s="6">
        <f>[1]Results!I335</f>
        <v>38.797107580000002</v>
      </c>
      <c r="G465" s="6">
        <f>[1]Results!J335</f>
        <v>39.089575859999997</v>
      </c>
      <c r="H465" s="6">
        <f>[1]Results!K335</f>
        <v>39.41854953</v>
      </c>
      <c r="I465" s="6">
        <f>[1]Results!L335</f>
        <v>39.764851960000001</v>
      </c>
      <c r="J465" s="6">
        <f>[1]Results!M335</f>
        <v>40.133085770000001</v>
      </c>
      <c r="K465" s="6">
        <f>[1]Results!N335</f>
        <v>40.519239069999998</v>
      </c>
      <c r="L465" s="6">
        <f>[1]Results!O335</f>
        <v>40.918433100000001</v>
      </c>
      <c r="M465" s="6">
        <f>[1]Results!P335</f>
        <v>41.360046449999999</v>
      </c>
      <c r="N465" s="6">
        <f>[1]Results!Q335</f>
        <v>41.789856260000001</v>
      </c>
      <c r="O465" s="6">
        <f>[1]Results!R335</f>
        <v>42.218939659999997</v>
      </c>
      <c r="P465" s="6">
        <f>[1]Results!S335</f>
        <v>42.64919665</v>
      </c>
      <c r="Q465" s="6">
        <f>[1]Results!T335</f>
        <v>43.080938570000001</v>
      </c>
      <c r="R465" s="6">
        <f>[1]Results!U335</f>
        <v>43.514363250000002</v>
      </c>
      <c r="S465" s="6">
        <f>[1]Results!V335</f>
        <v>43.949823240000001</v>
      </c>
      <c r="T465" s="6">
        <f>[1]Results!W335</f>
        <v>44.387843019999998</v>
      </c>
      <c r="U465" s="6">
        <f>[1]Results!X335</f>
        <v>44.829082509999999</v>
      </c>
      <c r="V465" s="6">
        <f>[1]Results!Y335</f>
        <v>45.274291179999999</v>
      </c>
      <c r="W465" s="6">
        <f>[1]Results!Z335</f>
        <v>45.700009360000003</v>
      </c>
      <c r="X465" s="6">
        <f>[1]Results!AA335</f>
        <v>46.144843799999997</v>
      </c>
      <c r="Y465" s="6">
        <f>[1]Results!AB335</f>
        <v>46.600240569999997</v>
      </c>
      <c r="Z465" s="6">
        <f>[1]Results!AC335</f>
        <v>47.064854769999997</v>
      </c>
      <c r="AA465" s="6">
        <f>[1]Results!AD335</f>
        <v>47.538761460000003</v>
      </c>
      <c r="AB465" s="6">
        <f>[1]Results!AE335</f>
        <v>47.95282057</v>
      </c>
      <c r="AC465" s="6">
        <f>[1]Results!AF335</f>
        <v>48.382598170000001</v>
      </c>
      <c r="AD465" s="6">
        <f>[1]Results!AG335</f>
        <v>48.81958435</v>
      </c>
      <c r="AE465" s="6">
        <f>[1]Results!AH335</f>
        <v>49.26354362</v>
      </c>
      <c r="AF465" s="6">
        <f>[1]Results!AI335</f>
        <v>49.715632309999997</v>
      </c>
      <c r="AG465" s="6">
        <f>[1]Results!AJ335</f>
        <v>50.177029410000003</v>
      </c>
      <c r="AH465" s="6">
        <f>[1]Results!AK335</f>
        <v>50.648656510000002</v>
      </c>
      <c r="AI465" s="6">
        <f>[1]Results!AL335</f>
        <v>51.131139990000001</v>
      </c>
      <c r="AJ465" s="6">
        <f>[1]Results!AM335</f>
        <v>51.624838529999998</v>
      </c>
      <c r="AK465" s="6">
        <f>[1]Results!AN335</f>
        <v>52.129891379999997</v>
      </c>
      <c r="AL465" s="6">
        <f>[1]Results!AO335</f>
        <v>52.646271949999999</v>
      </c>
      <c r="AM465" s="6">
        <f>[1]Results!AP335</f>
        <v>53.157286669999998</v>
      </c>
      <c r="AN465" s="6">
        <f>[1]Results!AQ335</f>
        <v>53.671763540000001</v>
      </c>
      <c r="AO465" s="6">
        <f>[1]Results!AR335</f>
        <v>54.192208620000002</v>
      </c>
      <c r="AP465" s="6">
        <f>[1]Results!AS335</f>
        <v>54.719748150000001</v>
      </c>
      <c r="AQ465" s="6">
        <f>[1]Results!AT335</f>
        <v>55.255126349999998</v>
      </c>
      <c r="AR465" s="6">
        <f>[1]Results!AU335</f>
        <v>55.798907970000002</v>
      </c>
      <c r="AS465" s="6">
        <f>[1]Results!AV335</f>
        <v>56.351519140000001</v>
      </c>
      <c r="AT465" s="6">
        <f>[1]Results!AW335</f>
        <v>56.91326239</v>
      </c>
      <c r="AU465" s="6">
        <f>[1]Results!AX335</f>
        <v>57.484300230000002</v>
      </c>
      <c r="AV465" s="6">
        <f>[1]Results!AY335</f>
        <v>58.064578519999998</v>
      </c>
      <c r="AW465" s="6">
        <f>[1]Results!AZ335</f>
        <v>58.654897290000001</v>
      </c>
      <c r="AX465" s="6">
        <f>[1]Results!BA335</f>
        <v>59.254107679999997</v>
      </c>
      <c r="AY465" s="6">
        <f>[1]Results!BB335</f>
        <v>59.861396929999998</v>
      </c>
      <c r="AZ465" s="6">
        <f>[1]Results!BC335</f>
        <v>60.477902090000001</v>
      </c>
      <c r="BA465" s="6">
        <f>[1]Results!BD335</f>
        <v>61.104611689999999</v>
      </c>
      <c r="BB465" s="6">
        <f>[1]Results!BE335</f>
        <v>65.412551059999998</v>
      </c>
      <c r="BC465" s="6">
        <f>[1]Results!BF335</f>
        <v>66.296898889999994</v>
      </c>
      <c r="BD465" s="6">
        <f>[1]Results!BG335</f>
        <v>67.196138849999997</v>
      </c>
      <c r="BE465" s="6">
        <f>[1]Results!BH335</f>
        <v>68.110568479999998</v>
      </c>
      <c r="BF465" s="6">
        <f>[1]Results!BI335</f>
        <v>69.040456840000004</v>
      </c>
    </row>
    <row r="466" spans="1:58" x14ac:dyDescent="0.35">
      <c r="B466" s="6" t="s">
        <v>75</v>
      </c>
      <c r="C466" s="6">
        <f>SUM(C467:C469)</f>
        <v>22.078645748</v>
      </c>
      <c r="D466" s="6">
        <f t="shared" ref="D466:AL466" si="278">SUM(D467:D469)</f>
        <v>22.270430365999999</v>
      </c>
      <c r="E466" s="6">
        <f t="shared" si="278"/>
        <v>22.456198663000002</v>
      </c>
      <c r="F466" s="6">
        <f t="shared" si="278"/>
        <v>22.649220162999999</v>
      </c>
      <c r="G466" s="6">
        <f t="shared" si="278"/>
        <v>22.853726762000001</v>
      </c>
      <c r="H466" s="6">
        <f t="shared" si="278"/>
        <v>23.067920993000001</v>
      </c>
      <c r="I466" s="6">
        <f t="shared" si="278"/>
        <v>23.277889772999998</v>
      </c>
      <c r="J466" s="6">
        <f t="shared" si="278"/>
        <v>23.492637088999999</v>
      </c>
      <c r="K466" s="6">
        <f t="shared" si="278"/>
        <v>23.713659704000001</v>
      </c>
      <c r="L466" s="6">
        <f t="shared" si="278"/>
        <v>23.940446296000001</v>
      </c>
      <c r="M466" s="6">
        <f t="shared" si="278"/>
        <v>24.197038528</v>
      </c>
      <c r="N466" s="6">
        <f t="shared" si="278"/>
        <v>24.441766215999998</v>
      </c>
      <c r="O466" s="6">
        <f t="shared" si="278"/>
        <v>24.685428055999999</v>
      </c>
      <c r="P466" s="6">
        <f t="shared" si="278"/>
        <v>24.930408278999998</v>
      </c>
      <c r="Q466" s="6">
        <f t="shared" si="278"/>
        <v>25.177385966999999</v>
      </c>
      <c r="R466" s="6">
        <f t="shared" si="278"/>
        <v>25.426656868999999</v>
      </c>
      <c r="S466" s="6">
        <f t="shared" si="278"/>
        <v>25.678449410999999</v>
      </c>
      <c r="T466" s="6">
        <f t="shared" si="278"/>
        <v>25.933006304000003</v>
      </c>
      <c r="U466" s="6">
        <f t="shared" si="278"/>
        <v>26.190597656999998</v>
      </c>
      <c r="V466" s="6">
        <f t="shared" si="278"/>
        <v>26.451512549</v>
      </c>
      <c r="W466" s="6">
        <f t="shared" si="278"/>
        <v>26.698266263000001</v>
      </c>
      <c r="X466" s="6">
        <f t="shared" si="278"/>
        <v>26.960393261</v>
      </c>
      <c r="Y466" s="6">
        <f t="shared" si="278"/>
        <v>27.229961037999999</v>
      </c>
      <c r="Z466" s="6">
        <f t="shared" si="278"/>
        <v>27.505289828000002</v>
      </c>
      <c r="AA466" s="6">
        <f t="shared" si="278"/>
        <v>27.785997473999998</v>
      </c>
      <c r="AB466" s="6">
        <f t="shared" si="278"/>
        <v>28.021588944999998</v>
      </c>
      <c r="AC466" s="6">
        <f t="shared" si="278"/>
        <v>28.271214839000002</v>
      </c>
      <c r="AD466" s="6">
        <f t="shared" si="278"/>
        <v>28.526712284000002</v>
      </c>
      <c r="AE466" s="6">
        <f t="shared" si="278"/>
        <v>28.786944937000001</v>
      </c>
      <c r="AF466" s="6">
        <f t="shared" si="278"/>
        <v>29.051959209</v>
      </c>
      <c r="AG466" s="6">
        <f t="shared" si="278"/>
        <v>29.321995562999998</v>
      </c>
      <c r="AH466" s="6">
        <f t="shared" si="278"/>
        <v>29.597270037000001</v>
      </c>
      <c r="AI466" s="6">
        <f t="shared" si="278"/>
        <v>29.877923420999998</v>
      </c>
      <c r="AJ466" s="6">
        <f t="shared" si="278"/>
        <v>30.164017784999999</v>
      </c>
      <c r="AK466" s="6">
        <f t="shared" si="278"/>
        <v>30.455549964999999</v>
      </c>
      <c r="AL466" s="6">
        <f t="shared" si="278"/>
        <v>30.752470601999999</v>
      </c>
      <c r="AM466" s="6">
        <f t="shared" ref="AM466:BC466" si="279">SUM(AM467:AM469)</f>
        <v>31.042925433000001</v>
      </c>
      <c r="AN466" s="6">
        <f t="shared" si="279"/>
        <v>31.334350924999999</v>
      </c>
      <c r="AO466" s="6">
        <f t="shared" si="279"/>
        <v>31.628732389999996</v>
      </c>
      <c r="AP466" s="6">
        <f t="shared" si="279"/>
        <v>31.926836541999997</v>
      </c>
      <c r="AQ466" s="6">
        <f t="shared" si="279"/>
        <v>32.229078510999997</v>
      </c>
      <c r="AR466" s="6">
        <f t="shared" si="279"/>
        <v>32.535744016999999</v>
      </c>
      <c r="AS466" s="6">
        <f t="shared" si="279"/>
        <v>32.847059704000003</v>
      </c>
      <c r="AT466" s="6">
        <f t="shared" si="279"/>
        <v>33.163219889000004</v>
      </c>
      <c r="AU466" s="6">
        <f t="shared" si="279"/>
        <v>33.484405254999999</v>
      </c>
      <c r="AV466" s="6">
        <f t="shared" si="279"/>
        <v>33.810802711000001</v>
      </c>
      <c r="AW466" s="6">
        <f t="shared" si="279"/>
        <v>34.143588197999996</v>
      </c>
      <c r="AX466" s="6">
        <f t="shared" si="279"/>
        <v>34.479455407000003</v>
      </c>
      <c r="AY466" s="6">
        <f t="shared" si="279"/>
        <v>34.818112600999996</v>
      </c>
      <c r="AZ466" s="6">
        <f t="shared" si="279"/>
        <v>35.160044544999998</v>
      </c>
      <c r="BA466" s="6">
        <f t="shared" si="279"/>
        <v>35.505886852999993</v>
      </c>
      <c r="BB466" s="6">
        <f t="shared" si="279"/>
        <v>38.172249958999998</v>
      </c>
      <c r="BC466" s="6">
        <f t="shared" si="279"/>
        <v>38.673320986</v>
      </c>
      <c r="BD466" s="6">
        <f t="shared" ref="BD466:BF466" si="280">SUM(BD467:BD469)</f>
        <v>39.182884635000008</v>
      </c>
      <c r="BE466" s="6">
        <f t="shared" si="280"/>
        <v>39.701131445000001</v>
      </c>
      <c r="BF466" s="6">
        <f t="shared" si="280"/>
        <v>40.228225399999999</v>
      </c>
    </row>
    <row r="467" spans="1:58" x14ac:dyDescent="0.35">
      <c r="B467" s="6" t="str">
        <f>[1]Results!E345</f>
        <v>CF_toe_chea_0</v>
      </c>
      <c r="C467" s="6">
        <f>[1]Results!F345</f>
        <v>5.1417887630000001</v>
      </c>
      <c r="D467" s="6">
        <f>[1]Results!G345</f>
        <v>5.2038577210000003</v>
      </c>
      <c r="E467" s="6">
        <f>[1]Results!H345</f>
        <v>5.2727847219999999</v>
      </c>
      <c r="F467" s="6">
        <f>[1]Results!I345</f>
        <v>5.3464468920000003</v>
      </c>
      <c r="G467" s="6">
        <f>[1]Results!J345</f>
        <v>5.4244187989999997</v>
      </c>
      <c r="H467" s="6">
        <f>[1]Results!K345</f>
        <v>5.4986044620000003</v>
      </c>
      <c r="I467" s="6">
        <f>[1]Results!L345</f>
        <v>5.5637984300000003</v>
      </c>
      <c r="J467" s="6">
        <f>[1]Results!M345</f>
        <v>5.6246721580000001</v>
      </c>
      <c r="K467" s="6">
        <f>[1]Results!N345</f>
        <v>5.6838614109999996</v>
      </c>
      <c r="L467" s="6">
        <f>[1]Results!O345</f>
        <v>5.7427185610000002</v>
      </c>
      <c r="M467" s="6">
        <f>[1]Results!P345</f>
        <v>5.8100618549999998</v>
      </c>
      <c r="N467" s="6">
        <f>[1]Results!Q345</f>
        <v>5.8729797469999996</v>
      </c>
      <c r="O467" s="6">
        <f>[1]Results!R345</f>
        <v>5.9345831689999997</v>
      </c>
      <c r="P467" s="6">
        <f>[1]Results!S345</f>
        <v>5.995933892</v>
      </c>
      <c r="Q467" s="6">
        <f>[1]Results!T345</f>
        <v>6.0574307430000003</v>
      </c>
      <c r="R467" s="6">
        <f>[1]Results!U345</f>
        <v>6.1192297949999999</v>
      </c>
      <c r="S467" s="6">
        <f>[1]Results!V345</f>
        <v>6.1813981480000004</v>
      </c>
      <c r="T467" s="6">
        <f>[1]Results!W345</f>
        <v>6.2439749339999997</v>
      </c>
      <c r="U467" s="6">
        <f>[1]Results!X345</f>
        <v>6.3069947500000003</v>
      </c>
      <c r="V467" s="6">
        <f>[1]Results!Y345</f>
        <v>6.3704951100000002</v>
      </c>
      <c r="W467" s="6">
        <f>[1]Results!Z345</f>
        <v>6.4288671920000002</v>
      </c>
      <c r="X467" s="6">
        <f>[1]Results!AA345</f>
        <v>6.4912068879999998</v>
      </c>
      <c r="Y467" s="6">
        <f>[1]Results!AB345</f>
        <v>6.5554278520000002</v>
      </c>
      <c r="Z467" s="6">
        <f>[1]Results!AC345</f>
        <v>6.6208425159999997</v>
      </c>
      <c r="AA467" s="6">
        <f>[1]Results!AD345</f>
        <v>6.6872016839999997</v>
      </c>
      <c r="AB467" s="6">
        <f>[1]Results!AE345</f>
        <v>6.7386797749999996</v>
      </c>
      <c r="AC467" s="6">
        <f>[1]Results!AF345</f>
        <v>6.7930568510000002</v>
      </c>
      <c r="AD467" s="6">
        <f>[1]Results!AG345</f>
        <v>6.8487944629999999</v>
      </c>
      <c r="AE467" s="6">
        <f>[1]Results!AH345</f>
        <v>6.9055182400000001</v>
      </c>
      <c r="AF467" s="6">
        <f>[1]Results!AI345</f>
        <v>6.963121889</v>
      </c>
      <c r="AG467" s="6">
        <f>[1]Results!AJ345</f>
        <v>7.0215938339999999</v>
      </c>
      <c r="AH467" s="6">
        <f>[1]Results!AK345</f>
        <v>7.0809504140000001</v>
      </c>
      <c r="AI467" s="6">
        <f>[1]Results!AL345</f>
        <v>7.14121104</v>
      </c>
      <c r="AJ467" s="6">
        <f>[1]Results!AM345</f>
        <v>7.2023893030000004</v>
      </c>
      <c r="AK467" s="6">
        <f>[1]Results!AN345</f>
        <v>7.264491252</v>
      </c>
      <c r="AL467" s="6">
        <f>[1]Results!AO345</f>
        <v>7.3275169030000002</v>
      </c>
      <c r="AM467" s="6">
        <f>[1]Results!AP345</f>
        <v>7.3879452370000003</v>
      </c>
      <c r="AN467" s="6">
        <f>[1]Results!AQ345</f>
        <v>7.4478834899999997</v>
      </c>
      <c r="AO467" s="6">
        <f>[1]Results!AR345</f>
        <v>7.5081007919999996</v>
      </c>
      <c r="AP467" s="6">
        <f>[1]Results!AS345</f>
        <v>7.568930076</v>
      </c>
      <c r="AQ467" s="6">
        <f>[1]Results!AT345</f>
        <v>7.6305434449999998</v>
      </c>
      <c r="AR467" s="6">
        <f>[1]Results!AU345</f>
        <v>7.6930544430000003</v>
      </c>
      <c r="AS467" s="6">
        <f>[1]Results!AV345</f>
        <v>7.7565629009999997</v>
      </c>
      <c r="AT467" s="6">
        <f>[1]Results!AW345</f>
        <v>7.8211823039999997</v>
      </c>
      <c r="AU467" s="6">
        <f>[1]Results!AX345</f>
        <v>7.8870728669999997</v>
      </c>
      <c r="AV467" s="6">
        <f>[1]Results!AY345</f>
        <v>7.9545185099999998</v>
      </c>
      <c r="AW467" s="6">
        <f>[1]Results!AZ345</f>
        <v>8.0245133689999992</v>
      </c>
      <c r="AX467" s="6">
        <f>[1]Results!BA345</f>
        <v>8.0941621460000004</v>
      </c>
      <c r="AY467" s="6">
        <f>[1]Results!BB345</f>
        <v>8.1630881560000006</v>
      </c>
      <c r="AZ467" s="6">
        <f>[1]Results!BC345</f>
        <v>8.2315359210000008</v>
      </c>
      <c r="BA467" s="6">
        <f>[1]Results!BD345</f>
        <v>8.2999369049999991</v>
      </c>
      <c r="BB467" s="6">
        <f>[1]Results!BE345</f>
        <v>8.8248155520000005</v>
      </c>
      <c r="BC467" s="6">
        <f>[1]Results!BF345</f>
        <v>8.9214467200000005</v>
      </c>
      <c r="BD467" s="6">
        <f>[1]Results!BG345</f>
        <v>9.0193785480000006</v>
      </c>
      <c r="BE467" s="6">
        <f>[1]Results!BH345</f>
        <v>9.1186607859999995</v>
      </c>
      <c r="BF467" s="6">
        <f>[1]Results!BI345</f>
        <v>9.2193318049999995</v>
      </c>
    </row>
    <row r="468" spans="1:58" x14ac:dyDescent="0.35">
      <c r="B468" s="6" t="str">
        <f>[1]Results!E347</f>
        <v>CF_toe_cbio_0</v>
      </c>
      <c r="C468" s="6">
        <f>[1]Results!F347</f>
        <v>8.2066322199999995</v>
      </c>
      <c r="D468" s="6">
        <f>[1]Results!G347</f>
        <v>8.2272731690000001</v>
      </c>
      <c r="E468" s="6">
        <f>[1]Results!H347</f>
        <v>8.2228348689999997</v>
      </c>
      <c r="F468" s="6">
        <f>[1]Results!I347</f>
        <v>8.2111086919999998</v>
      </c>
      <c r="G468" s="6">
        <f>[1]Results!J347</f>
        <v>8.1980360680000004</v>
      </c>
      <c r="H468" s="6">
        <f>[1]Results!K347</f>
        <v>8.1912228660000004</v>
      </c>
      <c r="I468" s="6">
        <f>[1]Results!L347</f>
        <v>8.1896895749999992</v>
      </c>
      <c r="J468" s="6">
        <f>[1]Results!M347</f>
        <v>8.1943002299999996</v>
      </c>
      <c r="K468" s="6">
        <f>[1]Results!N347</f>
        <v>8.2038736379999992</v>
      </c>
      <c r="L468" s="6">
        <f>[1]Results!O347</f>
        <v>8.2169014370000006</v>
      </c>
      <c r="M468" s="6">
        <f>[1]Results!P347</f>
        <v>8.2375590929999998</v>
      </c>
      <c r="N468" s="6">
        <f>[1]Results!Q347</f>
        <v>8.2567148289999999</v>
      </c>
      <c r="O468" s="6">
        <f>[1]Results!R347</f>
        <v>8.2757273270000002</v>
      </c>
      <c r="P468" s="6">
        <f>[1]Results!S347</f>
        <v>8.2949545469999997</v>
      </c>
      <c r="Q468" s="6">
        <f>[1]Results!T347</f>
        <v>8.3144870740000005</v>
      </c>
      <c r="R468" s="6">
        <f>[1]Results!U347</f>
        <v>8.334349564</v>
      </c>
      <c r="S468" s="6">
        <f>[1]Results!V347</f>
        <v>8.3545609929999998</v>
      </c>
      <c r="T468" s="6">
        <f>[1]Results!W347</f>
        <v>8.3751511399999998</v>
      </c>
      <c r="U468" s="6">
        <f>[1]Results!X347</f>
        <v>8.3961621369999992</v>
      </c>
      <c r="V468" s="6">
        <f>[1]Results!Y347</f>
        <v>8.4176451889999999</v>
      </c>
      <c r="W468" s="6">
        <f>[1]Results!Z347</f>
        <v>8.4359667910000002</v>
      </c>
      <c r="X468" s="6">
        <f>[1]Results!AA347</f>
        <v>8.4569725330000001</v>
      </c>
      <c r="Y468" s="6">
        <f>[1]Results!AB347</f>
        <v>8.479433706</v>
      </c>
      <c r="Z468" s="6">
        <f>[1]Results!AC347</f>
        <v>8.5029591419999999</v>
      </c>
      <c r="AA468" s="6">
        <f>[1]Results!AD347</f>
        <v>8.5274206100000001</v>
      </c>
      <c r="AB468" s="6">
        <f>[1]Results!AE347</f>
        <v>8.5424753899999999</v>
      </c>
      <c r="AC468" s="6">
        <f>[1]Results!AF347</f>
        <v>8.5594172480000008</v>
      </c>
      <c r="AD468" s="6">
        <f>[1]Results!AG347</f>
        <v>8.5773865610000009</v>
      </c>
      <c r="AE468" s="6">
        <f>[1]Results!AH347</f>
        <v>8.5962147170000005</v>
      </c>
      <c r="AF468" s="6">
        <f>[1]Results!AI347</f>
        <v>8.6159034499999994</v>
      </c>
      <c r="AG468" s="6">
        <f>[1]Results!AJ347</f>
        <v>8.6364934289999997</v>
      </c>
      <c r="AH468" s="6">
        <f>[1]Results!AK347</f>
        <v>8.6580249330000001</v>
      </c>
      <c r="AI468" s="6">
        <f>[1]Results!AL347</f>
        <v>8.6805257709999992</v>
      </c>
      <c r="AJ468" s="6">
        <f>[1]Results!AM347</f>
        <v>8.7040092619999996</v>
      </c>
      <c r="AK468" s="6">
        <f>[1]Results!AN347</f>
        <v>8.7284763030000008</v>
      </c>
      <c r="AL468" s="6">
        <f>[1]Results!AO347</f>
        <v>8.7539188289999998</v>
      </c>
      <c r="AM468" s="6">
        <f>[1]Results!AP347</f>
        <v>8.7779998159999995</v>
      </c>
      <c r="AN468" s="6">
        <f>[1]Results!AQ347</f>
        <v>8.8020078650000002</v>
      </c>
      <c r="AO468" s="6">
        <f>[1]Results!AR347</f>
        <v>8.8264247079999993</v>
      </c>
      <c r="AP468" s="6">
        <f>[1]Results!AS347</f>
        <v>8.8514646159999995</v>
      </c>
      <c r="AQ468" s="6">
        <f>[1]Results!AT347</f>
        <v>8.8772397460000008</v>
      </c>
      <c r="AR468" s="6">
        <f>[1]Results!AU347</f>
        <v>8.9038173539999992</v>
      </c>
      <c r="AS468" s="6">
        <f>[1]Results!AV347</f>
        <v>8.9312394430000008</v>
      </c>
      <c r="AT468" s="6">
        <f>[1]Results!AW347</f>
        <v>8.9595228450000004</v>
      </c>
      <c r="AU468" s="6">
        <f>[1]Results!AX347</f>
        <v>8.9886438779999995</v>
      </c>
      <c r="AV468" s="6">
        <f>[1]Results!AY347</f>
        <v>9.0184776109999998</v>
      </c>
      <c r="AW468" s="6">
        <f>[1]Results!AZ347</f>
        <v>9.048646239</v>
      </c>
      <c r="AX468" s="6">
        <f>[1]Results!BA347</f>
        <v>9.0791004710000003</v>
      </c>
      <c r="AY468" s="6">
        <f>[1]Results!BB347</f>
        <v>9.1099884249999992</v>
      </c>
      <c r="AZ468" s="6">
        <f>[1]Results!BC347</f>
        <v>9.1415750140000007</v>
      </c>
      <c r="BA468" s="6">
        <f>[1]Results!BD347</f>
        <v>9.1740778380000005</v>
      </c>
      <c r="BB468" s="6">
        <f>[1]Results!BE347</f>
        <v>9.484807537</v>
      </c>
      <c r="BC468" s="6">
        <f>[1]Results!BF347</f>
        <v>9.5424931760000007</v>
      </c>
      <c r="BD468" s="6">
        <f>[1]Results!BG347</f>
        <v>9.6013940170000005</v>
      </c>
      <c r="BE468" s="6">
        <f>[1]Results!BH347</f>
        <v>9.6615604289999997</v>
      </c>
      <c r="BF468" s="6">
        <f>[1]Results!BI347</f>
        <v>9.7230260650000009</v>
      </c>
    </row>
    <row r="469" spans="1:58" x14ac:dyDescent="0.35">
      <c r="B469" s="6" t="str">
        <f>[1]Results!E350</f>
        <v>CF_toe_cote_0</v>
      </c>
      <c r="C469" s="6">
        <f>[1]Results!F350</f>
        <v>8.7302247650000009</v>
      </c>
      <c r="D469" s="6">
        <f>[1]Results!G350</f>
        <v>8.8392994760000008</v>
      </c>
      <c r="E469" s="6">
        <f>[1]Results!H350</f>
        <v>8.9605790719999998</v>
      </c>
      <c r="F469" s="6">
        <f>[1]Results!I350</f>
        <v>9.0916645789999997</v>
      </c>
      <c r="G469" s="6">
        <f>[1]Results!J350</f>
        <v>9.2312718950000008</v>
      </c>
      <c r="H469" s="6">
        <f>[1]Results!K350</f>
        <v>9.3780936649999997</v>
      </c>
      <c r="I469" s="6">
        <f>[1]Results!L350</f>
        <v>9.5244017680000006</v>
      </c>
      <c r="J469" s="6">
        <f>[1]Results!M350</f>
        <v>9.6736647009999999</v>
      </c>
      <c r="K469" s="6">
        <f>[1]Results!N350</f>
        <v>9.8259246549999997</v>
      </c>
      <c r="L469" s="6">
        <f>[1]Results!O350</f>
        <v>9.9808262980000002</v>
      </c>
      <c r="M469" s="6">
        <f>[1]Results!P350</f>
        <v>10.14941758</v>
      </c>
      <c r="N469" s="6">
        <f>[1]Results!Q350</f>
        <v>10.312071639999999</v>
      </c>
      <c r="O469" s="6">
        <f>[1]Results!R350</f>
        <v>10.475117559999999</v>
      </c>
      <c r="P469" s="6">
        <f>[1]Results!S350</f>
        <v>10.63951984</v>
      </c>
      <c r="Q469" s="6">
        <f>[1]Results!T350</f>
        <v>10.805468149999999</v>
      </c>
      <c r="R469" s="6">
        <f>[1]Results!U350</f>
        <v>10.97307751</v>
      </c>
      <c r="S469" s="6">
        <f>[1]Results!V350</f>
        <v>11.14249027</v>
      </c>
      <c r="T469" s="6">
        <f>[1]Results!W350</f>
        <v>11.313880230000001</v>
      </c>
      <c r="U469" s="6">
        <f>[1]Results!X350</f>
        <v>11.487440769999999</v>
      </c>
      <c r="V469" s="6">
        <f>[1]Results!Y350</f>
        <v>11.66337225</v>
      </c>
      <c r="W469" s="6">
        <f>[1]Results!Z350</f>
        <v>11.83343228</v>
      </c>
      <c r="X469" s="6">
        <f>[1]Results!AA350</f>
        <v>12.012213839999999</v>
      </c>
      <c r="Y469" s="6">
        <f>[1]Results!AB350</f>
        <v>12.19509948</v>
      </c>
      <c r="Z469" s="6">
        <f>[1]Results!AC350</f>
        <v>12.381488170000001</v>
      </c>
      <c r="AA469" s="6">
        <f>[1]Results!AD350</f>
        <v>12.57137518</v>
      </c>
      <c r="AB469" s="6">
        <f>[1]Results!AE350</f>
        <v>12.74043378</v>
      </c>
      <c r="AC469" s="6">
        <f>[1]Results!AF350</f>
        <v>12.91874074</v>
      </c>
      <c r="AD469" s="6">
        <f>[1]Results!AG350</f>
        <v>13.10053126</v>
      </c>
      <c r="AE469" s="6">
        <f>[1]Results!AH350</f>
        <v>13.28521198</v>
      </c>
      <c r="AF469" s="6">
        <f>[1]Results!AI350</f>
        <v>13.47293387</v>
      </c>
      <c r="AG469" s="6">
        <f>[1]Results!AJ350</f>
        <v>13.663908299999999</v>
      </c>
      <c r="AH469" s="6">
        <f>[1]Results!AK350</f>
        <v>13.858294689999999</v>
      </c>
      <c r="AI469" s="6">
        <f>[1]Results!AL350</f>
        <v>14.056186609999999</v>
      </c>
      <c r="AJ469" s="6">
        <f>[1]Results!AM350</f>
        <v>14.25761922</v>
      </c>
      <c r="AK469" s="6">
        <f>[1]Results!AN350</f>
        <v>14.46258241</v>
      </c>
      <c r="AL469" s="6">
        <f>[1]Results!AO350</f>
        <v>14.67103487</v>
      </c>
      <c r="AM469" s="6">
        <f>[1]Results!AP350</f>
        <v>14.876980379999999</v>
      </c>
      <c r="AN469" s="6">
        <f>[1]Results!AQ350</f>
        <v>15.08445957</v>
      </c>
      <c r="AO469" s="6">
        <f>[1]Results!AR350</f>
        <v>15.29420689</v>
      </c>
      <c r="AP469" s="6">
        <f>[1]Results!AS350</f>
        <v>15.50644185</v>
      </c>
      <c r="AQ469" s="6">
        <f>[1]Results!AT350</f>
        <v>15.721295319999999</v>
      </c>
      <c r="AR469" s="6">
        <f>[1]Results!AU350</f>
        <v>15.93887222</v>
      </c>
      <c r="AS469" s="6">
        <f>[1]Results!AV350</f>
        <v>16.159257360000002</v>
      </c>
      <c r="AT469" s="6">
        <f>[1]Results!AW350</f>
        <v>16.382514740000001</v>
      </c>
      <c r="AU469" s="6">
        <f>[1]Results!AX350</f>
        <v>16.60868851</v>
      </c>
      <c r="AV469" s="6">
        <f>[1]Results!AY350</f>
        <v>16.83780659</v>
      </c>
      <c r="AW469" s="6">
        <f>[1]Results!AZ350</f>
        <v>17.070428589999999</v>
      </c>
      <c r="AX469" s="6">
        <f>[1]Results!BA350</f>
        <v>17.306192790000001</v>
      </c>
      <c r="AY469" s="6">
        <f>[1]Results!BB350</f>
        <v>17.545036020000001</v>
      </c>
      <c r="AZ469" s="6">
        <f>[1]Results!BC350</f>
        <v>17.786933609999998</v>
      </c>
      <c r="BA469" s="6">
        <f>[1]Results!BD350</f>
        <v>18.031872109999998</v>
      </c>
      <c r="BB469" s="6">
        <f>[1]Results!BE350</f>
        <v>19.86262687</v>
      </c>
      <c r="BC469" s="6">
        <f>[1]Results!BF350</f>
        <v>20.209381090000001</v>
      </c>
      <c r="BD469" s="6">
        <f>[1]Results!BG350</f>
        <v>20.562112070000001</v>
      </c>
      <c r="BE469" s="6">
        <f>[1]Results!BH350</f>
        <v>20.92091023</v>
      </c>
      <c r="BF469" s="6">
        <f>[1]Results!BI350</f>
        <v>21.285867530000001</v>
      </c>
    </row>
    <row r="471" spans="1:58" x14ac:dyDescent="0.35">
      <c r="C471" s="2">
        <v>42005</v>
      </c>
      <c r="D471" s="2">
        <v>42370</v>
      </c>
      <c r="E471" s="2">
        <v>42736</v>
      </c>
      <c r="F471" s="2">
        <v>43101</v>
      </c>
      <c r="G471" s="2">
        <v>43466</v>
      </c>
      <c r="H471" s="2">
        <v>43831</v>
      </c>
      <c r="I471" s="2">
        <v>44197</v>
      </c>
      <c r="J471" s="2">
        <v>44562</v>
      </c>
      <c r="K471" s="2">
        <v>44927</v>
      </c>
      <c r="L471" s="2">
        <v>45292</v>
      </c>
      <c r="M471" s="2">
        <v>45658</v>
      </c>
      <c r="N471" s="2">
        <v>46023</v>
      </c>
      <c r="O471" s="2">
        <v>46388</v>
      </c>
      <c r="P471" s="2">
        <v>46753</v>
      </c>
      <c r="Q471" s="2">
        <v>47119</v>
      </c>
      <c r="R471" s="2">
        <v>47484</v>
      </c>
      <c r="S471" s="2">
        <v>47849</v>
      </c>
      <c r="T471" s="2">
        <v>48214</v>
      </c>
      <c r="U471" s="2">
        <v>48580</v>
      </c>
      <c r="V471" s="2">
        <v>48945</v>
      </c>
      <c r="W471" s="2">
        <v>49310</v>
      </c>
      <c r="X471" s="2">
        <v>49675</v>
      </c>
      <c r="Y471" s="2">
        <v>50041</v>
      </c>
      <c r="Z471" s="2">
        <v>50406</v>
      </c>
      <c r="AA471" s="2">
        <v>50771</v>
      </c>
      <c r="AB471" s="2">
        <v>51136</v>
      </c>
      <c r="AC471" s="2">
        <v>51502</v>
      </c>
      <c r="AD471" s="2">
        <v>51867</v>
      </c>
      <c r="AE471" s="2">
        <v>52232</v>
      </c>
      <c r="AF471" s="2">
        <v>52597</v>
      </c>
      <c r="AG471" s="2">
        <v>52963</v>
      </c>
      <c r="AH471" s="2">
        <v>53328</v>
      </c>
      <c r="AI471" s="2">
        <v>53693</v>
      </c>
      <c r="AJ471" s="2">
        <v>54058</v>
      </c>
      <c r="AK471" s="2">
        <v>54424</v>
      </c>
      <c r="AL471" s="2">
        <v>54789</v>
      </c>
      <c r="AM471" s="2">
        <v>54790</v>
      </c>
      <c r="AN471" s="2">
        <v>54791</v>
      </c>
      <c r="AO471" s="2">
        <v>54792</v>
      </c>
      <c r="AP471" s="2">
        <v>54793</v>
      </c>
      <c r="AQ471" s="2">
        <v>54794</v>
      </c>
      <c r="AR471" s="2">
        <v>54795</v>
      </c>
      <c r="AS471" s="2">
        <v>54796</v>
      </c>
      <c r="AT471" s="2">
        <v>54797</v>
      </c>
      <c r="AU471" s="2">
        <v>54798</v>
      </c>
      <c r="AV471" s="2">
        <v>54799</v>
      </c>
      <c r="AW471" s="2">
        <v>54800</v>
      </c>
      <c r="AX471" s="2">
        <v>54801</v>
      </c>
      <c r="AY471" s="2">
        <v>54802</v>
      </c>
      <c r="AZ471" s="2">
        <v>54803</v>
      </c>
      <c r="BA471" s="2">
        <v>54804</v>
      </c>
      <c r="BB471" s="2">
        <v>54805</v>
      </c>
      <c r="BC471" s="2">
        <v>54806</v>
      </c>
      <c r="BD471" s="2">
        <v>54807</v>
      </c>
      <c r="BE471" s="2">
        <v>54808</v>
      </c>
      <c r="BF471" s="2">
        <v>54809</v>
      </c>
    </row>
    <row r="472" spans="1:58" x14ac:dyDescent="0.35">
      <c r="A472" s="12" t="s">
        <v>93</v>
      </c>
      <c r="B472" t="s">
        <v>77</v>
      </c>
      <c r="C472" s="4">
        <f>C445/C458-1</f>
        <v>-1.4512657505806437E-2</v>
      </c>
      <c r="D472" s="4">
        <f t="shared" ref="D472:AL472" si="281">D445/D458-1</f>
        <v>-1.9987760301595991E-2</v>
      </c>
      <c r="E472" s="4">
        <f t="shared" si="281"/>
        <v>-2.3709953404452588E-2</v>
      </c>
      <c r="F472" s="4">
        <f t="shared" si="281"/>
        <v>-2.6708378730351034E-2</v>
      </c>
      <c r="G472" s="4">
        <f t="shared" si="281"/>
        <v>-2.9092317955246805E-2</v>
      </c>
      <c r="H472" s="4">
        <f t="shared" si="281"/>
        <v>-3.1104204771476351E-2</v>
      </c>
      <c r="I472" s="4">
        <f t="shared" si="281"/>
        <v>-3.2734398995886704E-2</v>
      </c>
      <c r="J472" s="4">
        <f t="shared" si="281"/>
        <v>-3.4038346123648311E-2</v>
      </c>
      <c r="K472" s="4">
        <f t="shared" si="281"/>
        <v>-3.5082752523771243E-2</v>
      </c>
      <c r="L472" s="4">
        <f t="shared" si="281"/>
        <v>-3.5931431286820636E-2</v>
      </c>
      <c r="M472" s="4">
        <f t="shared" si="281"/>
        <v>-3.6648609448220237E-2</v>
      </c>
      <c r="N472" s="4">
        <f t="shared" si="281"/>
        <v>-3.7325914536959548E-2</v>
      </c>
      <c r="O472" s="4">
        <f t="shared" si="281"/>
        <v>-3.7965924613091229E-2</v>
      </c>
      <c r="P472" s="4">
        <f t="shared" si="281"/>
        <v>-3.8588746588622436E-2</v>
      </c>
      <c r="Q472" s="4">
        <f t="shared" si="281"/>
        <v>-3.9213485471289333E-2</v>
      </c>
      <c r="R472" s="4">
        <f t="shared" si="281"/>
        <v>-3.9855242954131898E-2</v>
      </c>
      <c r="S472" s="4">
        <f t="shared" si="281"/>
        <v>-4.0577300679974448E-2</v>
      </c>
      <c r="T472" s="4">
        <f t="shared" si="281"/>
        <v>-4.1346024168498641E-2</v>
      </c>
      <c r="U472" s="4">
        <f t="shared" si="281"/>
        <v>-4.2156525999189731E-2</v>
      </c>
      <c r="V472" s="4">
        <f t="shared" si="281"/>
        <v>-4.3006828467097469E-2</v>
      </c>
      <c r="W472" s="4">
        <f t="shared" si="281"/>
        <v>-4.3888884673916717E-2</v>
      </c>
      <c r="X472" s="4">
        <f t="shared" si="281"/>
        <v>-4.480833665651196E-2</v>
      </c>
      <c r="Y472" s="4">
        <f t="shared" si="281"/>
        <v>-4.575726904320887E-2</v>
      </c>
      <c r="Z472" s="4">
        <f t="shared" si="281"/>
        <v>-4.6731980493505465E-2</v>
      </c>
      <c r="AA472" s="4">
        <f t="shared" si="281"/>
        <v>-4.7728927230809015E-2</v>
      </c>
      <c r="AB472" s="4">
        <f t="shared" si="281"/>
        <v>-4.8726014127007278E-2</v>
      </c>
      <c r="AC472" s="4">
        <f t="shared" si="281"/>
        <v>-4.9722465929427195E-2</v>
      </c>
      <c r="AD472" s="4">
        <f t="shared" si="281"/>
        <v>-5.0720811280707934E-2</v>
      </c>
      <c r="AE472" s="4">
        <f t="shared" si="281"/>
        <v>-5.172007950763946E-2</v>
      </c>
      <c r="AF472" s="4">
        <f t="shared" si="281"/>
        <v>-5.271821636974372E-2</v>
      </c>
      <c r="AG472" s="4">
        <f t="shared" si="281"/>
        <v>-5.3713193410351967E-2</v>
      </c>
      <c r="AH472" s="4">
        <f t="shared" si="281"/>
        <v>-5.4692859549339112E-2</v>
      </c>
      <c r="AI472" s="4">
        <f t="shared" si="281"/>
        <v>-5.5662944096208866E-2</v>
      </c>
      <c r="AJ472" s="4">
        <f t="shared" si="281"/>
        <v>-5.6623456704052333E-2</v>
      </c>
      <c r="AK472" s="4">
        <f t="shared" si="281"/>
        <v>-5.7573667815769225E-2</v>
      </c>
      <c r="AL472" s="4">
        <f t="shared" si="281"/>
        <v>-5.8512936284366268E-2</v>
      </c>
      <c r="AM472" s="4">
        <f t="shared" ref="AM472:BC472" si="282">AM445/AM458-1</f>
        <v>-5.9349470521670722E-2</v>
      </c>
      <c r="AN472" s="4">
        <f t="shared" si="282"/>
        <v>-6.0149449731351945E-2</v>
      </c>
      <c r="AO472" s="4">
        <f t="shared" si="282"/>
        <v>-6.092533076828377E-2</v>
      </c>
      <c r="AP472" s="4">
        <f t="shared" si="282"/>
        <v>-6.1681894347290656E-2</v>
      </c>
      <c r="AQ472" s="4">
        <f t="shared" si="282"/>
        <v>-6.2423066071155109E-2</v>
      </c>
      <c r="AR472" s="4">
        <f t="shared" si="282"/>
        <v>-6.3139388536919472E-2</v>
      </c>
      <c r="AS472" s="4">
        <f t="shared" si="282"/>
        <v>-6.3843605691801697E-2</v>
      </c>
      <c r="AT472" s="4">
        <f t="shared" si="282"/>
        <v>-6.454046231588273E-2</v>
      </c>
      <c r="AU472" s="4">
        <f t="shared" si="282"/>
        <v>-6.5232935249953883E-2</v>
      </c>
      <c r="AV472" s="4">
        <f t="shared" si="282"/>
        <v>-6.5921951700945169E-2</v>
      </c>
      <c r="AW472" s="4">
        <f t="shared" si="282"/>
        <v>-6.6560196470971889E-2</v>
      </c>
      <c r="AX472" s="4">
        <f t="shared" si="282"/>
        <v>-6.7165842723439395E-2</v>
      </c>
      <c r="AY472" s="4">
        <f t="shared" si="282"/>
        <v>-6.7734371968444784E-2</v>
      </c>
      <c r="AZ472" s="4">
        <f t="shared" si="282"/>
        <v>-6.8293628475251666E-2</v>
      </c>
      <c r="BA472" s="4">
        <f t="shared" si="282"/>
        <v>-6.8865790045772868E-2</v>
      </c>
      <c r="BB472" s="4">
        <f t="shared" si="282"/>
        <v>-6.458486285795928E-3</v>
      </c>
      <c r="BC472" s="4">
        <f t="shared" si="282"/>
        <v>-6.4784218630451473E-3</v>
      </c>
      <c r="BD472" s="4">
        <f t="shared" ref="BD472:BF472" si="283">BD445/BD458-1</f>
        <v>-6.4910318430363434E-3</v>
      </c>
      <c r="BE472" s="4">
        <f t="shared" si="283"/>
        <v>-6.4976697909722159E-3</v>
      </c>
      <c r="BF472" s="4">
        <f t="shared" si="283"/>
        <v>-6.4989958932348824E-3</v>
      </c>
    </row>
    <row r="473" spans="1:58" x14ac:dyDescent="0.35">
      <c r="A473" t="s">
        <v>88</v>
      </c>
      <c r="B473" t="s">
        <v>76</v>
      </c>
      <c r="C473" s="4">
        <f>(C446-C459)/C$458</f>
        <v>-1.0801884618128236E-3</v>
      </c>
      <c r="D473" s="4">
        <f t="shared" ref="D473:AL473" si="284">(D446-D459)/D$458</f>
        <v>-1.396120205465367E-3</v>
      </c>
      <c r="E473" s="4">
        <f t="shared" si="284"/>
        <v>-1.5651783653342112E-3</v>
      </c>
      <c r="F473" s="4">
        <f t="shared" si="284"/>
        <v>-1.6955715170728501E-3</v>
      </c>
      <c r="G473" s="4">
        <f t="shared" si="284"/>
        <v>-1.808453363750505E-3</v>
      </c>
      <c r="H473" s="4">
        <f t="shared" si="284"/>
        <v>-1.9096516348042674E-3</v>
      </c>
      <c r="I473" s="4">
        <f t="shared" si="284"/>
        <v>-2.0022704850083625E-3</v>
      </c>
      <c r="J473" s="4">
        <f t="shared" si="284"/>
        <v>-2.0877183994935499E-3</v>
      </c>
      <c r="K473" s="4">
        <f t="shared" si="284"/>
        <v>-2.1676806598181272E-3</v>
      </c>
      <c r="L473" s="4">
        <f t="shared" si="284"/>
        <v>-2.2438601731156684E-3</v>
      </c>
      <c r="M473" s="4">
        <f t="shared" si="284"/>
        <v>-2.3184624477615382E-3</v>
      </c>
      <c r="N473" s="4">
        <f t="shared" si="284"/>
        <v>-2.3955673461487827E-3</v>
      </c>
      <c r="O473" s="4">
        <f t="shared" si="284"/>
        <v>-2.4735322643999668E-3</v>
      </c>
      <c r="P473" s="4">
        <f t="shared" si="284"/>
        <v>-2.5524837416254337E-3</v>
      </c>
      <c r="Q473" s="4">
        <f t="shared" si="284"/>
        <v>-2.6326986798965563E-3</v>
      </c>
      <c r="R473" s="4">
        <f t="shared" si="284"/>
        <v>-2.7143381846547543E-3</v>
      </c>
      <c r="S473" s="4">
        <f t="shared" si="284"/>
        <v>-2.8013802547645237E-3</v>
      </c>
      <c r="T473" s="4">
        <f t="shared" si="284"/>
        <v>-2.8905447752929315E-3</v>
      </c>
      <c r="U473" s="4">
        <f t="shared" si="284"/>
        <v>-2.9810602509011313E-3</v>
      </c>
      <c r="V473" s="4">
        <f t="shared" si="284"/>
        <v>-3.0725931694691832E-3</v>
      </c>
      <c r="W473" s="4">
        <f t="shared" si="284"/>
        <v>-3.1643815932802005E-3</v>
      </c>
      <c r="X473" s="4">
        <f t="shared" si="284"/>
        <v>-3.2571441152189733E-3</v>
      </c>
      <c r="Y473" s="4">
        <f t="shared" si="284"/>
        <v>-3.3501573647788481E-3</v>
      </c>
      <c r="Z473" s="4">
        <f t="shared" si="284"/>
        <v>-3.4431434232431316E-3</v>
      </c>
      <c r="AA473" s="4">
        <f t="shared" si="284"/>
        <v>-3.5358945401898338E-3</v>
      </c>
      <c r="AB473" s="4">
        <f t="shared" si="284"/>
        <v>-3.6266988024623516E-3</v>
      </c>
      <c r="AC473" s="4">
        <f t="shared" si="284"/>
        <v>-3.7163295464723114E-3</v>
      </c>
      <c r="AD473" s="4">
        <f t="shared" si="284"/>
        <v>-3.8050562493632287E-3</v>
      </c>
      <c r="AE473" s="4">
        <f t="shared" si="284"/>
        <v>-3.8928048428067078E-3</v>
      </c>
      <c r="AF473" s="4">
        <f t="shared" si="284"/>
        <v>-3.9794595572183082E-3</v>
      </c>
      <c r="AG473" s="4">
        <f t="shared" si="284"/>
        <v>-4.0649065278469442E-3</v>
      </c>
      <c r="AH473" s="4">
        <f t="shared" si="284"/>
        <v>-4.1482887988183587E-3</v>
      </c>
      <c r="AI473" s="4">
        <f t="shared" si="284"/>
        <v>-4.2301262385769332E-3</v>
      </c>
      <c r="AJ473" s="4">
        <f t="shared" si="284"/>
        <v>-4.3104683129798855E-3</v>
      </c>
      <c r="AK473" s="4">
        <f t="shared" si="284"/>
        <v>-4.3892896970104209E-3</v>
      </c>
      <c r="AL473" s="4">
        <f t="shared" si="284"/>
        <v>-4.4665626514016508E-3</v>
      </c>
      <c r="AM473" s="4">
        <f t="shared" ref="AM473:BC473" si="285">(AM446-AM459)/AM$458</f>
        <v>-4.5355634250364412E-3</v>
      </c>
      <c r="AN473" s="4">
        <f t="shared" si="285"/>
        <v>-4.6018235824967328E-3</v>
      </c>
      <c r="AO473" s="4">
        <f t="shared" si="285"/>
        <v>-4.6663637211515063E-3</v>
      </c>
      <c r="AP473" s="4">
        <f t="shared" si="285"/>
        <v>-4.7294086137818509E-3</v>
      </c>
      <c r="AQ473" s="4">
        <f t="shared" si="285"/>
        <v>-4.7910529231648923E-3</v>
      </c>
      <c r="AR473" s="4">
        <f t="shared" si="285"/>
        <v>-4.8504087519994762E-3</v>
      </c>
      <c r="AS473" s="4">
        <f t="shared" si="285"/>
        <v>-4.9083228360737533E-3</v>
      </c>
      <c r="AT473" s="4">
        <f t="shared" si="285"/>
        <v>-4.965028463096573E-3</v>
      </c>
      <c r="AU473" s="4">
        <f t="shared" si="285"/>
        <v>-5.0206427136862356E-3</v>
      </c>
      <c r="AV473" s="4">
        <f t="shared" si="285"/>
        <v>-5.0752573534272143E-3</v>
      </c>
      <c r="AW473" s="4">
        <f t="shared" si="285"/>
        <v>-5.1258752543482588E-3</v>
      </c>
      <c r="AX473" s="4">
        <f t="shared" si="285"/>
        <v>-5.175125838213019E-3</v>
      </c>
      <c r="AY473" s="4">
        <f t="shared" si="285"/>
        <v>-5.2236490413698931E-3</v>
      </c>
      <c r="AZ473" s="4">
        <f t="shared" si="285"/>
        <v>-5.271481811464568E-3</v>
      </c>
      <c r="BA473" s="4">
        <f t="shared" si="285"/>
        <v>-5.3186039283193943E-3</v>
      </c>
      <c r="BB473" s="4">
        <f t="shared" si="285"/>
        <v>6.0997985661663914E-5</v>
      </c>
      <c r="BC473" s="4">
        <f t="shared" si="285"/>
        <v>6.4757018895901747E-5</v>
      </c>
      <c r="BD473" s="4">
        <f t="shared" ref="BD473:BF473" si="286">(BD446-BD459)/BD$458</f>
        <v>6.8663483785173939E-5</v>
      </c>
      <c r="BE473" s="4">
        <f t="shared" si="286"/>
        <v>7.2721338954668705E-5</v>
      </c>
      <c r="BF473" s="4">
        <f t="shared" si="286"/>
        <v>7.6927149163177053E-5</v>
      </c>
    </row>
    <row r="474" spans="1:58" x14ac:dyDescent="0.35">
      <c r="B474" t="s">
        <v>74</v>
      </c>
      <c r="C474" s="4">
        <f>(C447-C460)/C$458</f>
        <v>-4.3809268511633484E-3</v>
      </c>
      <c r="D474" s="4">
        <f t="shared" ref="D474:AL474" si="287">(D447-D460)/D$458</f>
        <v>-6.1844090824559727E-3</v>
      </c>
      <c r="E474" s="4">
        <f t="shared" si="287"/>
        <v>-7.5485249540519963E-3</v>
      </c>
      <c r="F474" s="4">
        <f t="shared" si="287"/>
        <v>-8.7524635452008604E-3</v>
      </c>
      <c r="G474" s="4">
        <f t="shared" si="287"/>
        <v>-9.8030402864559604E-3</v>
      </c>
      <c r="H474" s="4">
        <f t="shared" si="287"/>
        <v>-1.0742848591232635E-2</v>
      </c>
      <c r="I474" s="4">
        <f t="shared" si="287"/>
        <v>-1.155720201906967E-2</v>
      </c>
      <c r="J474" s="4">
        <f t="shared" si="287"/>
        <v>-1.224785159604309E-2</v>
      </c>
      <c r="K474" s="4">
        <f t="shared" si="287"/>
        <v>-1.2829199500745642E-2</v>
      </c>
      <c r="L474" s="4">
        <f t="shared" si="287"/>
        <v>-1.3320078637147931E-2</v>
      </c>
      <c r="M474" s="4">
        <f t="shared" si="287"/>
        <v>-1.3739705706922569E-2</v>
      </c>
      <c r="N474" s="4">
        <f t="shared" si="287"/>
        <v>-1.4122405586210566E-2</v>
      </c>
      <c r="O474" s="4">
        <f t="shared" si="287"/>
        <v>-1.4471144342378735E-2</v>
      </c>
      <c r="P474" s="4">
        <f t="shared" si="287"/>
        <v>-1.4794478495642038E-2</v>
      </c>
      <c r="Q474" s="4">
        <f t="shared" si="287"/>
        <v>-1.5100231167544496E-2</v>
      </c>
      <c r="R474" s="4">
        <f t="shared" si="287"/>
        <v>-1.5395140700366983E-2</v>
      </c>
      <c r="S474" s="4">
        <f t="shared" si="287"/>
        <v>-1.5700668012680274E-2</v>
      </c>
      <c r="T474" s="4">
        <f t="shared" si="287"/>
        <v>-1.600885115565677E-2</v>
      </c>
      <c r="U474" s="4">
        <f t="shared" si="287"/>
        <v>-1.6319931557825674E-2</v>
      </c>
      <c r="V474" s="4">
        <f t="shared" si="287"/>
        <v>-1.6634940717646752E-2</v>
      </c>
      <c r="W474" s="4">
        <f t="shared" si="287"/>
        <v>-1.6954461350281214E-2</v>
      </c>
      <c r="X474" s="4">
        <f t="shared" si="287"/>
        <v>-1.7278812974236203E-2</v>
      </c>
      <c r="Y474" s="4">
        <f t="shared" si="287"/>
        <v>-1.7607892755715223E-2</v>
      </c>
      <c r="Z474" s="4">
        <f t="shared" si="287"/>
        <v>-1.7941996989686931E-2</v>
      </c>
      <c r="AA474" s="4">
        <f t="shared" si="287"/>
        <v>-1.8281165484375118E-2</v>
      </c>
      <c r="AB474" s="4">
        <f t="shared" si="287"/>
        <v>-1.862383732620447E-2</v>
      </c>
      <c r="AC474" s="4">
        <f t="shared" si="287"/>
        <v>-1.8964352152841694E-2</v>
      </c>
      <c r="AD474" s="4">
        <f t="shared" si="287"/>
        <v>-1.9304980071793584E-2</v>
      </c>
      <c r="AE474" s="4">
        <f t="shared" si="287"/>
        <v>-1.964610383878742E-2</v>
      </c>
      <c r="AF474" s="4">
        <f t="shared" si="287"/>
        <v>-1.9987664373868428E-2</v>
      </c>
      <c r="AG474" s="4">
        <f t="shared" si="287"/>
        <v>-2.0329367619453986E-2</v>
      </c>
      <c r="AH474" s="4">
        <f t="shared" si="287"/>
        <v>-2.0667729945873608E-2</v>
      </c>
      <c r="AI474" s="4">
        <f t="shared" si="287"/>
        <v>-2.1004625235997373E-2</v>
      </c>
      <c r="AJ474" s="4">
        <f t="shared" si="287"/>
        <v>-2.1340228688726467E-2</v>
      </c>
      <c r="AK474" s="4">
        <f t="shared" si="287"/>
        <v>-2.1674476193462182E-2</v>
      </c>
      <c r="AL474" s="4">
        <f t="shared" si="287"/>
        <v>-2.2007303591211041E-2</v>
      </c>
      <c r="AM474" s="4">
        <f t="shared" ref="AM474:BC474" si="288">(AM447-AM460)/AM$458</f>
        <v>-2.2311389237557131E-2</v>
      </c>
      <c r="AN474" s="4">
        <f t="shared" si="288"/>
        <v>-2.2605279720866015E-2</v>
      </c>
      <c r="AO474" s="4">
        <f t="shared" si="288"/>
        <v>-2.2892551135193853E-2</v>
      </c>
      <c r="AP474" s="4">
        <f t="shared" si="288"/>
        <v>-2.3174781536248915E-2</v>
      </c>
      <c r="AQ474" s="4">
        <f t="shared" si="288"/>
        <v>-2.3453433958130671E-2</v>
      </c>
      <c r="AR474" s="4">
        <f t="shared" si="288"/>
        <v>-2.3725901313508463E-2</v>
      </c>
      <c r="AS474" s="4">
        <f t="shared" si="288"/>
        <v>-2.399632433364432E-2</v>
      </c>
      <c r="AT474" s="4">
        <f t="shared" si="288"/>
        <v>-2.4266516006812181E-2</v>
      </c>
      <c r="AU474" s="4">
        <f t="shared" si="288"/>
        <v>-2.4537729901486297E-2</v>
      </c>
      <c r="AV474" s="4">
        <f t="shared" si="288"/>
        <v>-2.4810613278110093E-2</v>
      </c>
      <c r="AW474" s="4">
        <f t="shared" si="288"/>
        <v>-2.5070872648772901E-2</v>
      </c>
      <c r="AX474" s="4">
        <f t="shared" si="288"/>
        <v>-2.5328779521109797E-2</v>
      </c>
      <c r="AY474" s="4">
        <f t="shared" si="288"/>
        <v>-2.5586167876939323E-2</v>
      </c>
      <c r="AZ474" s="4">
        <f t="shared" si="288"/>
        <v>-2.5847873676741191E-2</v>
      </c>
      <c r="BA474" s="4">
        <f t="shared" si="288"/>
        <v>-2.6117568047131001E-2</v>
      </c>
      <c r="BB474" s="4">
        <f t="shared" si="288"/>
        <v>2.3950669873721675E-4</v>
      </c>
      <c r="BC474" s="4">
        <f t="shared" si="288"/>
        <v>2.8874343578292038E-4</v>
      </c>
      <c r="BD474" s="4">
        <f t="shared" ref="BD474:BF474" si="289">(BD447-BD460)/BD$458</f>
        <v>3.3972792941266245E-4</v>
      </c>
      <c r="BE474" s="4">
        <f t="shared" si="289"/>
        <v>3.9240162248381299E-4</v>
      </c>
      <c r="BF474" s="4">
        <f t="shared" si="289"/>
        <v>4.4679491753305683E-4</v>
      </c>
    </row>
    <row r="475" spans="1:58" x14ac:dyDescent="0.35">
      <c r="B475" t="s">
        <v>54</v>
      </c>
      <c r="C475" s="4">
        <f>(C451-C464)/C$458</f>
        <v>-3.1889664565720962E-3</v>
      </c>
      <c r="D475" s="4">
        <f t="shared" ref="D475:AL475" si="290">(D451-D464)/D$458</f>
        <v>-4.5143391086893466E-3</v>
      </c>
      <c r="E475" s="4">
        <f t="shared" si="290"/>
        <v>-5.4623776398208777E-3</v>
      </c>
      <c r="F475" s="4">
        <f t="shared" si="290"/>
        <v>-6.2310464793816078E-3</v>
      </c>
      <c r="G475" s="4">
        <f t="shared" si="290"/>
        <v>-6.8280591714444941E-3</v>
      </c>
      <c r="H475" s="4">
        <f t="shared" si="290"/>
        <v>-7.3545126091421487E-3</v>
      </c>
      <c r="I475" s="4">
        <f t="shared" si="290"/>
        <v>-7.8015022713992192E-3</v>
      </c>
      <c r="J475" s="4">
        <f t="shared" si="290"/>
        <v>-8.1611587701028408E-3</v>
      </c>
      <c r="K475" s="4">
        <f t="shared" si="290"/>
        <v>-8.4509279532181316E-3</v>
      </c>
      <c r="L475" s="4">
        <f t="shared" si="290"/>
        <v>-8.687953221375562E-3</v>
      </c>
      <c r="M475" s="4">
        <f t="shared" si="290"/>
        <v>-8.887863184607948E-3</v>
      </c>
      <c r="N475" s="4">
        <f t="shared" si="290"/>
        <v>-9.0692318201780302E-3</v>
      </c>
      <c r="O475" s="4">
        <f t="shared" si="290"/>
        <v>-9.2336601786199863E-3</v>
      </c>
      <c r="P475" s="4">
        <f t="shared" si="290"/>
        <v>-9.3861519684326749E-3</v>
      </c>
      <c r="Q475" s="4">
        <f t="shared" si="290"/>
        <v>-9.5324655295733231E-3</v>
      </c>
      <c r="R475" s="4">
        <f t="shared" si="290"/>
        <v>-9.6775408822267015E-3</v>
      </c>
      <c r="S475" s="4">
        <f t="shared" si="290"/>
        <v>-9.8359039308793198E-3</v>
      </c>
      <c r="T475" s="4">
        <f t="shared" si="290"/>
        <v>-1.0001278546380133E-2</v>
      </c>
      <c r="U475" s="4">
        <f t="shared" si="290"/>
        <v>-1.017324491938626E-2</v>
      </c>
      <c r="V475" s="4">
        <f t="shared" si="290"/>
        <v>-1.035188753497299E-2</v>
      </c>
      <c r="W475" s="4">
        <f t="shared" si="290"/>
        <v>-1.0535072542906865E-2</v>
      </c>
      <c r="X475" s="4">
        <f t="shared" si="290"/>
        <v>-1.0725734544969312E-2</v>
      </c>
      <c r="Y475" s="4">
        <f t="shared" si="290"/>
        <v>-1.0922092895377484E-2</v>
      </c>
      <c r="Z475" s="4">
        <f t="shared" si="290"/>
        <v>-1.1123576134502709E-2</v>
      </c>
      <c r="AA475" s="4">
        <f t="shared" si="290"/>
        <v>-1.1329684713350878E-2</v>
      </c>
      <c r="AB475" s="4">
        <f t="shared" si="290"/>
        <v>-1.1533457136563235E-2</v>
      </c>
      <c r="AC475" s="4">
        <f t="shared" si="290"/>
        <v>-1.1737616986198218E-2</v>
      </c>
      <c r="AD475" s="4">
        <f t="shared" si="290"/>
        <v>-1.1942187566521519E-2</v>
      </c>
      <c r="AE475" s="4">
        <f t="shared" si="290"/>
        <v>-1.2147264610977797E-2</v>
      </c>
      <c r="AF475" s="4">
        <f t="shared" si="290"/>
        <v>-1.2352311585000398E-2</v>
      </c>
      <c r="AG475" s="4">
        <f t="shared" si="290"/>
        <v>-1.2556798034609191E-2</v>
      </c>
      <c r="AH475" s="4">
        <f t="shared" si="290"/>
        <v>-1.275811852804741E-2</v>
      </c>
      <c r="AI475" s="4">
        <f t="shared" si="290"/>
        <v>-1.2957496315992811E-2</v>
      </c>
      <c r="AJ475" s="4">
        <f t="shared" si="290"/>
        <v>-1.315495965282916E-2</v>
      </c>
      <c r="AK475" s="4">
        <f t="shared" si="290"/>
        <v>-1.3350382424955204E-2</v>
      </c>
      <c r="AL475" s="4">
        <f t="shared" si="290"/>
        <v>-1.3543632932631101E-2</v>
      </c>
      <c r="AM475" s="4">
        <f t="shared" ref="AM475:BC475" si="291">(AM451-AM464)/AM$458</f>
        <v>-1.3714338464095579E-2</v>
      </c>
      <c r="AN475" s="4">
        <f t="shared" si="291"/>
        <v>-1.3876510470203106E-2</v>
      </c>
      <c r="AO475" s="4">
        <f t="shared" si="291"/>
        <v>-1.4032590208507244E-2</v>
      </c>
      <c r="AP475" s="4">
        <f t="shared" si="291"/>
        <v>-1.4183480196852075E-2</v>
      </c>
      <c r="AQ475" s="4">
        <f t="shared" si="291"/>
        <v>-1.4329941338110341E-2</v>
      </c>
      <c r="AR475" s="4">
        <f t="shared" si="291"/>
        <v>-1.44698546719082E-2</v>
      </c>
      <c r="AS475" s="4">
        <f t="shared" si="291"/>
        <v>-1.460577264640526E-2</v>
      </c>
      <c r="AT475" s="4">
        <f t="shared" si="291"/>
        <v>-1.473852327554661E-2</v>
      </c>
      <c r="AU475" s="4">
        <f t="shared" si="291"/>
        <v>-1.4868426771505572E-2</v>
      </c>
      <c r="AV475" s="4">
        <f t="shared" si="291"/>
        <v>-1.4995145521948137E-2</v>
      </c>
      <c r="AW475" s="4">
        <f t="shared" si="291"/>
        <v>-1.5107498670997851E-2</v>
      </c>
      <c r="AX475" s="4">
        <f t="shared" si="291"/>
        <v>-1.5209460379685088E-2</v>
      </c>
      <c r="AY475" s="4">
        <f t="shared" si="291"/>
        <v>-1.5293282483677451E-2</v>
      </c>
      <c r="AZ475" s="4">
        <f t="shared" si="291"/>
        <v>-1.5374137886437021E-2</v>
      </c>
      <c r="BA475" s="4">
        <f t="shared" si="291"/>
        <v>-1.5463698162725501E-2</v>
      </c>
      <c r="BB475" s="4">
        <f t="shared" si="291"/>
        <v>-8.661421253622131E-4</v>
      </c>
      <c r="BC475" s="4">
        <f t="shared" si="291"/>
        <v>-8.3995684306484059E-4</v>
      </c>
      <c r="BD475" s="4">
        <f t="shared" ref="BD475:BF475" si="292">(BD451-BD464)/BD$458</f>
        <v>-8.1262219868272971E-4</v>
      </c>
      <c r="BE475" s="4">
        <f t="shared" si="292"/>
        <v>-7.8445734484772862E-4</v>
      </c>
      <c r="BF475" s="4">
        <f t="shared" si="292"/>
        <v>-7.5553111557959596E-4</v>
      </c>
    </row>
    <row r="476" spans="1:58" x14ac:dyDescent="0.35">
      <c r="B476" t="s">
        <v>11</v>
      </c>
      <c r="C476" s="4">
        <f>(C452-C465)/C$458</f>
        <v>-3.3845992356667655E-3</v>
      </c>
      <c r="D476" s="4">
        <f t="shared" ref="D476:AL476" si="293">(D452-D465)/D$458</f>
        <v>-4.729085644568279E-3</v>
      </c>
      <c r="E476" s="4">
        <f t="shared" si="293"/>
        <v>-5.5907230581086747E-3</v>
      </c>
      <c r="F476" s="4">
        <f t="shared" si="293"/>
        <v>-6.2011219628943879E-3</v>
      </c>
      <c r="G476" s="4">
        <f t="shared" si="293"/>
        <v>-6.6016236627907321E-3</v>
      </c>
      <c r="H476" s="4">
        <f t="shared" si="293"/>
        <v>-6.8852352361567903E-3</v>
      </c>
      <c r="I476" s="4">
        <f t="shared" si="293"/>
        <v>-7.0510673511391814E-3</v>
      </c>
      <c r="J476" s="4">
        <f t="shared" si="293"/>
        <v>-7.1299422270255869E-3</v>
      </c>
      <c r="K476" s="4">
        <f t="shared" si="293"/>
        <v>-7.1467738196734128E-3</v>
      </c>
      <c r="L476" s="4">
        <f t="shared" si="293"/>
        <v>-7.1231654734896293E-3</v>
      </c>
      <c r="M476" s="4">
        <f t="shared" si="293"/>
        <v>-7.0800165471977261E-3</v>
      </c>
      <c r="N476" s="4">
        <f t="shared" si="293"/>
        <v>-7.0424673628068013E-3</v>
      </c>
      <c r="O476" s="4">
        <f t="shared" si="293"/>
        <v>-7.0132589649892895E-3</v>
      </c>
      <c r="P476" s="4">
        <f t="shared" si="293"/>
        <v>-6.9978879155579328E-3</v>
      </c>
      <c r="Q476" s="4">
        <f t="shared" si="293"/>
        <v>-7.0005633125718161E-3</v>
      </c>
      <c r="R476" s="4">
        <f t="shared" si="293"/>
        <v>-7.0239160361015469E-3</v>
      </c>
      <c r="S476" s="4">
        <f t="shared" si="293"/>
        <v>-7.0818161908219697E-3</v>
      </c>
      <c r="T476" s="4">
        <f t="shared" si="293"/>
        <v>-7.1656772725144499E-3</v>
      </c>
      <c r="U476" s="4">
        <f t="shared" si="293"/>
        <v>-7.2728923369765929E-3</v>
      </c>
      <c r="V476" s="4">
        <f t="shared" si="293"/>
        <v>-7.4014412844330595E-3</v>
      </c>
      <c r="W476" s="4">
        <f t="shared" si="293"/>
        <v>-7.5479405984817645E-3</v>
      </c>
      <c r="X476" s="4">
        <f t="shared" si="293"/>
        <v>-7.7118514842409334E-3</v>
      </c>
      <c r="Y476" s="4">
        <f t="shared" si="293"/>
        <v>-7.8900629294285131E-3</v>
      </c>
      <c r="Z476" s="4">
        <f t="shared" si="293"/>
        <v>-8.0803181449443356E-3</v>
      </c>
      <c r="AA476" s="4">
        <f t="shared" si="293"/>
        <v>-8.2804812387572615E-3</v>
      </c>
      <c r="AB476" s="4">
        <f t="shared" si="293"/>
        <v>-8.484365195252426E-3</v>
      </c>
      <c r="AC476" s="4">
        <f t="shared" si="293"/>
        <v>-8.6899020770267073E-3</v>
      </c>
      <c r="AD476" s="4">
        <f t="shared" si="293"/>
        <v>-8.8969743874127514E-3</v>
      </c>
      <c r="AE476" s="4">
        <f t="shared" si="293"/>
        <v>-9.1044856363985474E-3</v>
      </c>
      <c r="AF476" s="4">
        <f t="shared" si="293"/>
        <v>-9.3114158916862543E-3</v>
      </c>
      <c r="AG476" s="4">
        <f t="shared" si="293"/>
        <v>-9.5169331580912345E-3</v>
      </c>
      <c r="AH476" s="4">
        <f t="shared" si="293"/>
        <v>-9.7178428526786334E-3</v>
      </c>
      <c r="AI476" s="4">
        <f t="shared" si="293"/>
        <v>-9.9150765508395043E-3</v>
      </c>
      <c r="AJ476" s="4">
        <f t="shared" si="293"/>
        <v>-1.0108369733972083E-2</v>
      </c>
      <c r="AK476" s="4">
        <f t="shared" si="293"/>
        <v>-1.0297328059882189E-2</v>
      </c>
      <c r="AL476" s="4">
        <f t="shared" si="293"/>
        <v>-1.0481641833723666E-2</v>
      </c>
      <c r="AM476" s="4">
        <f t="shared" ref="AM476:BC476" si="294">(AM452-AM465)/AM$458</f>
        <v>-1.0639879407021388E-2</v>
      </c>
      <c r="AN476" s="4">
        <f t="shared" si="294"/>
        <v>-1.0786745701458215E-2</v>
      </c>
      <c r="AO476" s="4">
        <f t="shared" si="294"/>
        <v>-1.0925442011609053E-2</v>
      </c>
      <c r="AP476" s="4">
        <f t="shared" si="294"/>
        <v>-1.1057394606370079E-2</v>
      </c>
      <c r="AQ476" s="4">
        <f t="shared" si="294"/>
        <v>-1.1183741854274797E-2</v>
      </c>
      <c r="AR476" s="4">
        <f t="shared" si="294"/>
        <v>-1.1302400855738248E-2</v>
      </c>
      <c r="AS476" s="4">
        <f t="shared" si="294"/>
        <v>-1.1416275007931485E-2</v>
      </c>
      <c r="AT476" s="4">
        <f t="shared" si="294"/>
        <v>-1.1526440954854293E-2</v>
      </c>
      <c r="AU476" s="4">
        <f t="shared" si="294"/>
        <v>-1.1633480155813404E-2</v>
      </c>
      <c r="AV476" s="4">
        <f t="shared" si="294"/>
        <v>-1.1737210015151307E-2</v>
      </c>
      <c r="AW476" s="4">
        <f t="shared" si="294"/>
        <v>-1.1825326705881434E-2</v>
      </c>
      <c r="AX476" s="4">
        <f t="shared" si="294"/>
        <v>-1.1903603259444503E-2</v>
      </c>
      <c r="AY476" s="4">
        <f t="shared" si="294"/>
        <v>-1.1971845545248603E-2</v>
      </c>
      <c r="AZ476" s="4">
        <f t="shared" si="294"/>
        <v>-1.203546935731523E-2</v>
      </c>
      <c r="BA476" s="4">
        <f t="shared" si="294"/>
        <v>-1.2098716504571436E-2</v>
      </c>
      <c r="BB476" s="4">
        <f t="shared" si="294"/>
        <v>-3.684713823683807E-3</v>
      </c>
      <c r="BC476" s="4">
        <f t="shared" si="294"/>
        <v>-3.753445307622707E-3</v>
      </c>
      <c r="BD476" s="4">
        <f t="shared" ref="BD476:BF476" si="295">(BD452-BD465)/BD$458</f>
        <v>-3.8196067454071307E-3</v>
      </c>
      <c r="BE476" s="4">
        <f t="shared" si="295"/>
        <v>-3.8837634685695037E-3</v>
      </c>
      <c r="BF476" s="4">
        <f t="shared" si="295"/>
        <v>-3.9463448772560899E-3</v>
      </c>
    </row>
    <row r="477" spans="1:58" x14ac:dyDescent="0.35">
      <c r="B477" t="s">
        <v>75</v>
      </c>
      <c r="C477" s="4">
        <f>(C453-C466)/C$458</f>
        <v>-2.4779762615653868E-3</v>
      </c>
      <c r="D477" s="4">
        <f t="shared" ref="D477:AL477" si="296">(D453-D466)/D$458</f>
        <v>-3.1638064342070153E-3</v>
      </c>
      <c r="E477" s="4">
        <f t="shared" si="296"/>
        <v>-3.5431491292309855E-3</v>
      </c>
      <c r="F477" s="4">
        <f t="shared" si="296"/>
        <v>-3.8281753369841767E-3</v>
      </c>
      <c r="G477" s="4">
        <f t="shared" si="296"/>
        <v>-4.0511415343752874E-3</v>
      </c>
      <c r="H477" s="4">
        <f t="shared" si="296"/>
        <v>-4.211957067005773E-3</v>
      </c>
      <c r="I477" s="4">
        <f t="shared" si="296"/>
        <v>-4.3223573483198441E-3</v>
      </c>
      <c r="J477" s="4">
        <f t="shared" si="296"/>
        <v>-4.4116755692656566E-3</v>
      </c>
      <c r="K477" s="4">
        <f t="shared" si="296"/>
        <v>-4.4881709421699103E-3</v>
      </c>
      <c r="L477" s="4">
        <f t="shared" si="296"/>
        <v>-4.5563739263558426E-3</v>
      </c>
      <c r="M477" s="4">
        <f t="shared" si="296"/>
        <v>-4.6225611072091295E-3</v>
      </c>
      <c r="N477" s="4">
        <f t="shared" si="296"/>
        <v>-4.6962424411843414E-3</v>
      </c>
      <c r="O477" s="4">
        <f t="shared" si="296"/>
        <v>-4.7743287161590778E-3</v>
      </c>
      <c r="P477" s="4">
        <f t="shared" si="296"/>
        <v>-4.8577443503147267E-3</v>
      </c>
      <c r="Q477" s="4">
        <f t="shared" si="296"/>
        <v>-4.9475263104888862E-3</v>
      </c>
      <c r="R477" s="4">
        <f t="shared" si="296"/>
        <v>-5.0443074649016689E-3</v>
      </c>
      <c r="S477" s="4">
        <f t="shared" si="296"/>
        <v>-5.1575322606565045E-3</v>
      </c>
      <c r="T477" s="4">
        <f t="shared" si="296"/>
        <v>-5.2796729019486746E-3</v>
      </c>
      <c r="U477" s="4">
        <f t="shared" si="296"/>
        <v>-5.4093966233192629E-3</v>
      </c>
      <c r="V477" s="4">
        <f t="shared" si="296"/>
        <v>-5.5459658656163632E-3</v>
      </c>
      <c r="W477" s="4">
        <f t="shared" si="296"/>
        <v>-5.6870286036739904E-3</v>
      </c>
      <c r="X477" s="4">
        <f t="shared" si="296"/>
        <v>-5.8347933421413426E-3</v>
      </c>
      <c r="Y477" s="4">
        <f t="shared" si="296"/>
        <v>-5.9870631078381411E-3</v>
      </c>
      <c r="Z477" s="4">
        <f t="shared" si="296"/>
        <v>-6.1429458870835814E-3</v>
      </c>
      <c r="AA477" s="4">
        <f t="shared" si="296"/>
        <v>-6.3017010354805263E-3</v>
      </c>
      <c r="AB477" s="4">
        <f t="shared" si="296"/>
        <v>-6.4576556780770516E-3</v>
      </c>
      <c r="AC477" s="4">
        <f t="shared" si="296"/>
        <v>-6.6142651692719752E-3</v>
      </c>
      <c r="AD477" s="4">
        <f t="shared" si="296"/>
        <v>-6.7716131916502496E-3</v>
      </c>
      <c r="AE477" s="4">
        <f t="shared" si="296"/>
        <v>-6.9294203981592247E-3</v>
      </c>
      <c r="AF477" s="4">
        <f t="shared" si="296"/>
        <v>-7.0873651157378056E-3</v>
      </c>
      <c r="AG477" s="4">
        <f t="shared" si="296"/>
        <v>-7.2451879455848987E-3</v>
      </c>
      <c r="AH477" s="4">
        <f t="shared" si="296"/>
        <v>-7.4008798213993114E-3</v>
      </c>
      <c r="AI477" s="4">
        <f t="shared" si="296"/>
        <v>-7.5556196391929837E-3</v>
      </c>
      <c r="AJ477" s="4">
        <f t="shared" si="296"/>
        <v>-7.70943044427612E-3</v>
      </c>
      <c r="AK477" s="4">
        <f t="shared" si="296"/>
        <v>-7.8621914051752173E-3</v>
      </c>
      <c r="AL477" s="4">
        <f t="shared" si="296"/>
        <v>-8.0137956085815625E-3</v>
      </c>
      <c r="AM477" s="4">
        <f t="shared" ref="AM477:BC477" si="297">(AM453-AM466)/AM$458</f>
        <v>-8.1483001765076165E-3</v>
      </c>
      <c r="AN477" s="4">
        <f t="shared" si="297"/>
        <v>-8.2790903980929521E-3</v>
      </c>
      <c r="AO477" s="4">
        <f t="shared" si="297"/>
        <v>-8.4083840014794759E-3</v>
      </c>
      <c r="AP477" s="4">
        <f t="shared" si="297"/>
        <v>-8.5368295020092667E-3</v>
      </c>
      <c r="AQ477" s="4">
        <f t="shared" si="297"/>
        <v>-8.6648960690422841E-3</v>
      </c>
      <c r="AR477" s="4">
        <f t="shared" si="297"/>
        <v>-8.7908227158780394E-3</v>
      </c>
      <c r="AS477" s="4">
        <f t="shared" si="297"/>
        <v>-8.9169108926422814E-3</v>
      </c>
      <c r="AT477" s="4">
        <f t="shared" si="297"/>
        <v>-9.0439535056389131E-3</v>
      </c>
      <c r="AU477" s="4">
        <f t="shared" si="297"/>
        <v>-9.1726557779055942E-3</v>
      </c>
      <c r="AV477" s="4">
        <f t="shared" si="297"/>
        <v>-9.303725304014002E-3</v>
      </c>
      <c r="AW477" s="4">
        <f t="shared" si="297"/>
        <v>-9.4306231544725588E-3</v>
      </c>
      <c r="AX477" s="4">
        <f t="shared" si="297"/>
        <v>-9.5488738668283932E-3</v>
      </c>
      <c r="AY477" s="4">
        <f t="shared" si="297"/>
        <v>-9.6594271258717106E-3</v>
      </c>
      <c r="AZ477" s="4">
        <f t="shared" si="297"/>
        <v>-9.7646658172067611E-3</v>
      </c>
      <c r="BA477" s="4">
        <f t="shared" si="297"/>
        <v>-9.8672033132465465E-3</v>
      </c>
      <c r="BB477" s="4">
        <f t="shared" si="297"/>
        <v>-2.2081348168183248E-3</v>
      </c>
      <c r="BC477" s="4">
        <f t="shared" si="297"/>
        <v>-2.2385202975619312E-3</v>
      </c>
      <c r="BD477" s="4">
        <f t="shared" ref="BD477:BF477" si="298">(BD453-BD466)/BD$458</f>
        <v>-2.2671941938934635E-3</v>
      </c>
      <c r="BE477" s="4">
        <f t="shared" si="298"/>
        <v>-2.2945721350586448E-3</v>
      </c>
      <c r="BF477" s="4">
        <f t="shared" si="298"/>
        <v>-2.3208418263801216E-3</v>
      </c>
    </row>
    <row r="479" spans="1:58" x14ac:dyDescent="0.35">
      <c r="A479" s="12" t="s">
        <v>94</v>
      </c>
      <c r="B479" s="3" t="str">
        <f>[1]Results!E205</f>
        <v>YG_toe_2</v>
      </c>
      <c r="C479" s="3">
        <f>[1]Results!F205</f>
        <v>145.50606809999999</v>
      </c>
      <c r="D479" s="3">
        <f>[1]Results!G205</f>
        <v>145.95729789999999</v>
      </c>
      <c r="E479" s="3">
        <f>[1]Results!H205</f>
        <v>146.54102359999999</v>
      </c>
      <c r="F479" s="3">
        <f>[1]Results!I205</f>
        <v>147.2830088</v>
      </c>
      <c r="G479" s="3">
        <f>[1]Results!J205</f>
        <v>148.2113205</v>
      </c>
      <c r="H479" s="3">
        <f>[1]Results!K205</f>
        <v>149.31185540000001</v>
      </c>
      <c r="I479" s="3">
        <f>[1]Results!L205</f>
        <v>150.49309120000001</v>
      </c>
      <c r="J479" s="3">
        <f>[1]Results!M205</f>
        <v>151.781858</v>
      </c>
      <c r="K479" s="3">
        <f>[1]Results!N205</f>
        <v>153.15801389999999</v>
      </c>
      <c r="L479" s="3">
        <f>[1]Results!O205</f>
        <v>154.59985649999999</v>
      </c>
      <c r="M479" s="3">
        <f>[1]Results!P205</f>
        <v>156.23039969999999</v>
      </c>
      <c r="N479" s="3">
        <f>[1]Results!Q205</f>
        <v>157.78369129999999</v>
      </c>
      <c r="O479" s="3">
        <f>[1]Results!R205</f>
        <v>159.34089520000001</v>
      </c>
      <c r="P479" s="3">
        <f>[1]Results!S205</f>
        <v>160.90603780000001</v>
      </c>
      <c r="Q479" s="3">
        <f>[1]Results!T205</f>
        <v>162.4781122</v>
      </c>
      <c r="R479" s="3">
        <f>[1]Results!U205</f>
        <v>164.05584859999999</v>
      </c>
      <c r="S479" s="3">
        <f>[1]Results!V205</f>
        <v>165.62495379999999</v>
      </c>
      <c r="T479" s="3">
        <f>[1]Results!W205</f>
        <v>167.19786199999999</v>
      </c>
      <c r="U479" s="3">
        <f>[1]Results!X205</f>
        <v>168.77678130000001</v>
      </c>
      <c r="V479" s="3">
        <f>[1]Results!Y205</f>
        <v>170.36372510000001</v>
      </c>
      <c r="W479" s="3">
        <f>[1]Results!Z205</f>
        <v>171.85948389999999</v>
      </c>
      <c r="X479" s="3">
        <f>[1]Results!AA205</f>
        <v>173.43819930000001</v>
      </c>
      <c r="Y479" s="3">
        <f>[1]Results!AB205</f>
        <v>175.0449639</v>
      </c>
      <c r="Z479" s="3">
        <f>[1]Results!AC205</f>
        <v>176.67520350000001</v>
      </c>
      <c r="AA479" s="3">
        <f>[1]Results!AD205</f>
        <v>178.32882699999999</v>
      </c>
      <c r="AB479" s="3">
        <f>[1]Results!AE205</f>
        <v>179.71931860000001</v>
      </c>
      <c r="AC479" s="3">
        <f>[1]Results!AF205</f>
        <v>181.20432120000001</v>
      </c>
      <c r="AD479" s="3">
        <f>[1]Results!AG205</f>
        <v>182.7105238</v>
      </c>
      <c r="AE479" s="3">
        <f>[1]Results!AH205</f>
        <v>184.236412</v>
      </c>
      <c r="AF479" s="3">
        <f>[1]Results!AI205</f>
        <v>185.78452329999999</v>
      </c>
      <c r="AG479" s="3">
        <f>[1]Results!AJ205</f>
        <v>187.35780969999999</v>
      </c>
      <c r="AH479" s="3">
        <f>[1]Results!AK205</f>
        <v>188.96187069999999</v>
      </c>
      <c r="AI479" s="3">
        <f>[1]Results!AL205</f>
        <v>190.5958966</v>
      </c>
      <c r="AJ479" s="3">
        <f>[1]Results!AM205</f>
        <v>192.2608425</v>
      </c>
      <c r="AK479" s="3">
        <f>[1]Results!AN205</f>
        <v>193.9572775</v>
      </c>
      <c r="AL479" s="3">
        <f>[1]Results!AO205</f>
        <v>195.68537430000001</v>
      </c>
      <c r="AM479" s="3">
        <f>[1]Results!AP205</f>
        <v>197.40508389999999</v>
      </c>
      <c r="AN479" s="3">
        <f>[1]Results!AQ205</f>
        <v>199.1386827</v>
      </c>
      <c r="AO479" s="3">
        <f>[1]Results!AR205</f>
        <v>200.8919774</v>
      </c>
      <c r="AP479" s="3">
        <f>[1]Results!AS205</f>
        <v>202.66773689999999</v>
      </c>
      <c r="AQ479" s="3">
        <f>[1]Results!AT205</f>
        <v>204.46759230000001</v>
      </c>
      <c r="AR479" s="3">
        <f>[1]Results!AU205</f>
        <v>206.29700489999999</v>
      </c>
      <c r="AS479" s="3">
        <f>[1]Results!AV205</f>
        <v>208.1530453</v>
      </c>
      <c r="AT479" s="3">
        <f>[1]Results!AW205</f>
        <v>210.03589679999999</v>
      </c>
      <c r="AU479" s="3">
        <f>[1]Results!AX205</f>
        <v>211.9456855</v>
      </c>
      <c r="AV479" s="3">
        <f>[1]Results!AY205</f>
        <v>213.88245810000001</v>
      </c>
      <c r="AW479" s="3">
        <f>[1]Results!AZ205</f>
        <v>215.86691210000001</v>
      </c>
      <c r="AX479" s="3">
        <f>[1]Results!BA205</f>
        <v>217.88244649999999</v>
      </c>
      <c r="AY479" s="3">
        <f>[1]Results!BB205</f>
        <v>219.92708479999999</v>
      </c>
      <c r="AZ479" s="3">
        <f>[1]Results!BC205</f>
        <v>221.9999766</v>
      </c>
      <c r="BA479" s="3">
        <f>[1]Results!BD205</f>
        <v>224.10060100000001</v>
      </c>
      <c r="BB479" s="3">
        <f>[1]Results!BE205</f>
        <v>260.51870730000002</v>
      </c>
      <c r="BC479" s="3">
        <f>[1]Results!BF205</f>
        <v>264.01853419999998</v>
      </c>
      <c r="BD479" s="3">
        <f>[1]Results!BG205</f>
        <v>267.57925560000001</v>
      </c>
      <c r="BE479" s="3">
        <f>[1]Results!BH205</f>
        <v>271.20175319999998</v>
      </c>
      <c r="BF479" s="3">
        <f>[1]Results!BI205</f>
        <v>274.88702260000002</v>
      </c>
    </row>
    <row r="480" spans="1:58" x14ac:dyDescent="0.35">
      <c r="A480" t="s">
        <v>39</v>
      </c>
      <c r="B480" s="3" t="str">
        <f>[1]Results!E206</f>
        <v>YG_toe_ccoa_2</v>
      </c>
      <c r="C480" s="3">
        <f>[1]Results!F206</f>
        <v>2.315900837</v>
      </c>
      <c r="D480" s="3">
        <f>[1]Results!G206</f>
        <v>2.3190150410000001</v>
      </c>
      <c r="E480" s="3">
        <f>[1]Results!H206</f>
        <v>2.3343114059999999</v>
      </c>
      <c r="F480" s="3">
        <f>[1]Results!I206</f>
        <v>2.354223449</v>
      </c>
      <c r="G480" s="3">
        <f>[1]Results!J206</f>
        <v>2.377269761</v>
      </c>
      <c r="H480" s="3">
        <f>[1]Results!K206</f>
        <v>2.4028730949999999</v>
      </c>
      <c r="I480" s="3">
        <f>[1]Results!L206</f>
        <v>2.429145117</v>
      </c>
      <c r="J480" s="3">
        <f>[1]Results!M206</f>
        <v>2.4568141749999999</v>
      </c>
      <c r="K480" s="3">
        <f>[1]Results!N206</f>
        <v>2.4858140230000001</v>
      </c>
      <c r="L480" s="3">
        <f>[1]Results!O206</f>
        <v>2.5159516690000001</v>
      </c>
      <c r="M480" s="3">
        <f>[1]Results!P206</f>
        <v>2.549482239</v>
      </c>
      <c r="N480" s="3">
        <f>[1]Results!Q206</f>
        <v>2.581806743</v>
      </c>
      <c r="O480" s="3">
        <f>[1]Results!R206</f>
        <v>2.614380497</v>
      </c>
      <c r="P480" s="3">
        <f>[1]Results!S206</f>
        <v>2.647426861</v>
      </c>
      <c r="Q480" s="3">
        <f>[1]Results!T206</f>
        <v>2.6809479550000002</v>
      </c>
      <c r="R480" s="3">
        <f>[1]Results!U206</f>
        <v>2.7149221990000001</v>
      </c>
      <c r="S480" s="3">
        <f>[1]Results!V206</f>
        <v>2.7490035650000002</v>
      </c>
      <c r="T480" s="3">
        <f>[1]Results!W206</f>
        <v>2.7834700689999998</v>
      </c>
      <c r="U480" s="3">
        <f>[1]Results!X206</f>
        <v>2.8183896220000002</v>
      </c>
      <c r="V480" s="3">
        <f>[1]Results!Y206</f>
        <v>2.8537928209999999</v>
      </c>
      <c r="W480" s="3">
        <f>[1]Results!Z206</f>
        <v>2.8879345280000002</v>
      </c>
      <c r="X480" s="3">
        <f>[1]Results!AA206</f>
        <v>2.9238281549999998</v>
      </c>
      <c r="Y480" s="3">
        <f>[1]Results!AB206</f>
        <v>2.960546146</v>
      </c>
      <c r="Z480" s="3">
        <f>[1]Results!AC206</f>
        <v>2.9979216950000001</v>
      </c>
      <c r="AA480" s="3">
        <f>[1]Results!AD206</f>
        <v>3.0359368930000001</v>
      </c>
      <c r="AB480" s="3">
        <f>[1]Results!AE206</f>
        <v>3.0695423310000001</v>
      </c>
      <c r="AC480" s="3">
        <f>[1]Results!AF206</f>
        <v>3.105009033</v>
      </c>
      <c r="AD480" s="3">
        <f>[1]Results!AG206</f>
        <v>3.1411395290000002</v>
      </c>
      <c r="AE480" s="3">
        <f>[1]Results!AH206</f>
        <v>3.1777371799999998</v>
      </c>
      <c r="AF480" s="3">
        <f>[1]Results!AI206</f>
        <v>3.214801697</v>
      </c>
      <c r="AG480" s="3">
        <f>[1]Results!AJ206</f>
        <v>3.252364966</v>
      </c>
      <c r="AH480" s="3">
        <f>[1]Results!AK206</f>
        <v>3.2905322130000001</v>
      </c>
      <c r="AI480" s="3">
        <f>[1]Results!AL206</f>
        <v>3.3292642190000001</v>
      </c>
      <c r="AJ480" s="3">
        <f>[1]Results!AM206</f>
        <v>3.3685610760000002</v>
      </c>
      <c r="AK480" s="3">
        <f>[1]Results!AN206</f>
        <v>3.4084245520000001</v>
      </c>
      <c r="AL480" s="3">
        <f>[1]Results!AO206</f>
        <v>3.4488525800000001</v>
      </c>
      <c r="AM480" s="3">
        <f>[1]Results!AP206</f>
        <v>3.489299377</v>
      </c>
      <c r="AN480" s="3">
        <f>[1]Results!AQ206</f>
        <v>3.5300322679999998</v>
      </c>
      <c r="AO480" s="3">
        <f>[1]Results!AR206</f>
        <v>3.571118824</v>
      </c>
      <c r="AP480" s="3">
        <f>[1]Results!AS206</f>
        <v>3.6125847850000001</v>
      </c>
      <c r="AQ480" s="3">
        <f>[1]Results!AT206</f>
        <v>3.6544470769999999</v>
      </c>
      <c r="AR480" s="3">
        <f>[1]Results!AU206</f>
        <v>3.6968257960000002</v>
      </c>
      <c r="AS480" s="3">
        <f>[1]Results!AV206</f>
        <v>3.7396482170000001</v>
      </c>
      <c r="AT480" s="3">
        <f>[1]Results!AW206</f>
        <v>3.7829060330000002</v>
      </c>
      <c r="AU480" s="3">
        <f>[1]Results!AX206</f>
        <v>3.8266013349999999</v>
      </c>
      <c r="AV480" s="3">
        <f>[1]Results!AY206</f>
        <v>3.8707360550000001</v>
      </c>
      <c r="AW480" s="3">
        <f>[1]Results!AZ206</f>
        <v>3.91577858</v>
      </c>
      <c r="AX480" s="3">
        <f>[1]Results!BA206</f>
        <v>3.9613731699999999</v>
      </c>
      <c r="AY480" s="3">
        <f>[1]Results!BB206</f>
        <v>4.0074472009999997</v>
      </c>
      <c r="AZ480" s="3">
        <f>[1]Results!BC206</f>
        <v>4.0539833969999997</v>
      </c>
      <c r="BA480" s="3">
        <f>[1]Results!BD206</f>
        <v>4.1009755270000001</v>
      </c>
      <c r="BB480" s="3">
        <f>[1]Results!BE206</f>
        <v>5.3030612970000002</v>
      </c>
      <c r="BC480" s="3">
        <f>[1]Results!BF206</f>
        <v>5.3926175350000003</v>
      </c>
      <c r="BD480" s="3">
        <f>[1]Results!BG206</f>
        <v>5.4835762130000001</v>
      </c>
      <c r="BE480" s="3">
        <f>[1]Results!BH206</f>
        <v>5.5759606100000001</v>
      </c>
      <c r="BF480" s="3">
        <f>[1]Results!BI206</f>
        <v>5.6697948240000002</v>
      </c>
    </row>
    <row r="481" spans="1:58" x14ac:dyDescent="0.35">
      <c r="B481" s="3" t="s">
        <v>74</v>
      </c>
      <c r="C481" s="3">
        <f>SUM(C482:C484)</f>
        <v>50.343539108000002</v>
      </c>
      <c r="D481" s="3">
        <f t="shared" ref="D481:AL481" si="299">SUM(D482:D484)</f>
        <v>50.421967909999999</v>
      </c>
      <c r="E481" s="3">
        <f t="shared" si="299"/>
        <v>50.529585073</v>
      </c>
      <c r="F481" s="3">
        <f t="shared" si="299"/>
        <v>50.705239208999998</v>
      </c>
      <c r="G481" s="3">
        <f t="shared" si="299"/>
        <v>50.965230224999999</v>
      </c>
      <c r="H481" s="3">
        <f t="shared" si="299"/>
        <v>51.304528452</v>
      </c>
      <c r="I481" s="3">
        <f t="shared" si="299"/>
        <v>51.688559611000002</v>
      </c>
      <c r="J481" s="3">
        <f t="shared" si="299"/>
        <v>52.122513748000003</v>
      </c>
      <c r="K481" s="3">
        <f t="shared" si="299"/>
        <v>52.597196581000006</v>
      </c>
      <c r="L481" s="3">
        <f t="shared" si="299"/>
        <v>53.103971341000005</v>
      </c>
      <c r="M481" s="3">
        <f t="shared" si="299"/>
        <v>53.678424742999994</v>
      </c>
      <c r="N481" s="3">
        <f t="shared" si="299"/>
        <v>54.239262396999997</v>
      </c>
      <c r="O481" s="3">
        <f t="shared" si="299"/>
        <v>54.810862104000002</v>
      </c>
      <c r="P481" s="3">
        <f t="shared" si="299"/>
        <v>55.392583056999996</v>
      </c>
      <c r="Q481" s="3">
        <f t="shared" si="299"/>
        <v>55.982766582000004</v>
      </c>
      <c r="R481" s="3">
        <f t="shared" si="299"/>
        <v>56.579984609000007</v>
      </c>
      <c r="S481" s="3">
        <f t="shared" si="299"/>
        <v>57.178571949999998</v>
      </c>
      <c r="T481" s="3">
        <f t="shared" si="299"/>
        <v>57.781938521999997</v>
      </c>
      <c r="U481" s="3">
        <f t="shared" si="299"/>
        <v>58.390082794999998</v>
      </c>
      <c r="V481" s="3">
        <f t="shared" si="299"/>
        <v>59.002965361000001</v>
      </c>
      <c r="W481" s="3">
        <f t="shared" si="299"/>
        <v>59.589835927999999</v>
      </c>
      <c r="X481" s="3">
        <f t="shared" si="299"/>
        <v>60.202583593</v>
      </c>
      <c r="Y481" s="3">
        <f t="shared" si="299"/>
        <v>60.823637537000003</v>
      </c>
      <c r="Z481" s="3">
        <f t="shared" si="299"/>
        <v>61.451741791000003</v>
      </c>
      <c r="AA481" s="3">
        <f t="shared" si="299"/>
        <v>62.086788501000008</v>
      </c>
      <c r="AB481" s="3">
        <f t="shared" si="299"/>
        <v>62.641077946000003</v>
      </c>
      <c r="AC481" s="3">
        <f t="shared" si="299"/>
        <v>63.222464585000004</v>
      </c>
      <c r="AD481" s="3">
        <f t="shared" si="299"/>
        <v>63.806562287999995</v>
      </c>
      <c r="AE481" s="3">
        <f t="shared" si="299"/>
        <v>64.393269567000004</v>
      </c>
      <c r="AF481" s="3">
        <f t="shared" si="299"/>
        <v>64.983773451000005</v>
      </c>
      <c r="AG481" s="3">
        <f t="shared" si="299"/>
        <v>65.579335048000004</v>
      </c>
      <c r="AH481" s="3">
        <f t="shared" si="299"/>
        <v>66.182058038000008</v>
      </c>
      <c r="AI481" s="3">
        <f t="shared" si="299"/>
        <v>66.791855124999998</v>
      </c>
      <c r="AJ481" s="3">
        <f t="shared" si="299"/>
        <v>67.409223718000007</v>
      </c>
      <c r="AK481" s="3">
        <f t="shared" si="299"/>
        <v>68.034523480000004</v>
      </c>
      <c r="AL481" s="3">
        <f t="shared" si="299"/>
        <v>68.667980959000005</v>
      </c>
      <c r="AM481" s="3">
        <f t="shared" ref="AM481:BC481" si="300">SUM(AM482:AM484)</f>
        <v>69.298246687000002</v>
      </c>
      <c r="AN481" s="3">
        <f t="shared" si="300"/>
        <v>69.931431102999994</v>
      </c>
      <c r="AO481" s="3">
        <f t="shared" si="300"/>
        <v>70.568984316000012</v>
      </c>
      <c r="AP481" s="3">
        <f t="shared" si="300"/>
        <v>71.211761237000005</v>
      </c>
      <c r="AQ481" s="3">
        <f t="shared" si="300"/>
        <v>71.860413507000004</v>
      </c>
      <c r="AR481" s="3">
        <f t="shared" si="300"/>
        <v>72.516944335999995</v>
      </c>
      <c r="AS481" s="3">
        <f t="shared" si="300"/>
        <v>73.180526345999994</v>
      </c>
      <c r="AT481" s="3">
        <f t="shared" si="300"/>
        <v>73.851351917000002</v>
      </c>
      <c r="AU481" s="3">
        <f t="shared" si="300"/>
        <v>74.529570665999998</v>
      </c>
      <c r="AV481" s="3">
        <f t="shared" si="300"/>
        <v>75.215256977999999</v>
      </c>
      <c r="AW481" s="3">
        <f t="shared" si="300"/>
        <v>75.915261129000001</v>
      </c>
      <c r="AX481" s="3">
        <f t="shared" si="300"/>
        <v>76.624138342999998</v>
      </c>
      <c r="AY481" s="3">
        <f t="shared" si="300"/>
        <v>77.341284809000001</v>
      </c>
      <c r="AZ481" s="3">
        <f t="shared" si="300"/>
        <v>78.066394904000006</v>
      </c>
      <c r="BA481" s="3">
        <f t="shared" si="300"/>
        <v>78.799215892999996</v>
      </c>
      <c r="BB481" s="3">
        <f t="shared" si="300"/>
        <v>95.014426126000018</v>
      </c>
      <c r="BC481" s="3">
        <f t="shared" si="300"/>
        <v>96.327141432000005</v>
      </c>
      <c r="BD481" s="3">
        <f t="shared" ref="BD481:BF481" si="301">SUM(BD482:BD484)</f>
        <v>97.660754142000002</v>
      </c>
      <c r="BE481" s="3">
        <f t="shared" si="301"/>
        <v>99.01581788099999</v>
      </c>
      <c r="BF481" s="3">
        <f t="shared" si="301"/>
        <v>100.392923688</v>
      </c>
    </row>
    <row r="482" spans="1:58" x14ac:dyDescent="0.35">
      <c r="B482" s="3" t="str">
        <f>[1]Results!E209</f>
        <v>YG_toe_ccoi_2</v>
      </c>
      <c r="C482" s="3">
        <f>[1]Results!F209</f>
        <v>1.0709989470000001</v>
      </c>
      <c r="D482" s="3">
        <f>[1]Results!G209</f>
        <v>1.0711659419999999</v>
      </c>
      <c r="E482" s="3">
        <f>[1]Results!H209</f>
        <v>1.0739725790000001</v>
      </c>
      <c r="F482" s="3">
        <f>[1]Results!I209</f>
        <v>1.0783887050000001</v>
      </c>
      <c r="G482" s="3">
        <f>[1]Results!J209</f>
        <v>1.084494012</v>
      </c>
      <c r="H482" s="3">
        <f>[1]Results!K209</f>
        <v>1.092175229</v>
      </c>
      <c r="I482" s="3">
        <f>[1]Results!L209</f>
        <v>1.1007052429999999</v>
      </c>
      <c r="J482" s="3">
        <f>[1]Results!M209</f>
        <v>1.110190161</v>
      </c>
      <c r="K482" s="3">
        <f>[1]Results!N209</f>
        <v>1.12048258</v>
      </c>
      <c r="L482" s="3">
        <f>[1]Results!O209</f>
        <v>1.1314092570000001</v>
      </c>
      <c r="M482" s="3">
        <f>[1]Results!P209</f>
        <v>1.143744968</v>
      </c>
      <c r="N482" s="3">
        <f>[1]Results!Q209</f>
        <v>1.1557790459999999</v>
      </c>
      <c r="O482" s="3">
        <f>[1]Results!R209</f>
        <v>1.1679298769999999</v>
      </c>
      <c r="P482" s="3">
        <f>[1]Results!S209</f>
        <v>1.1802578290000001</v>
      </c>
      <c r="Q482" s="3">
        <f>[1]Results!T209</f>
        <v>1.1927474920000001</v>
      </c>
      <c r="R482" s="3">
        <f>[1]Results!U209</f>
        <v>1.20537618</v>
      </c>
      <c r="S482" s="3">
        <f>[1]Results!V209</f>
        <v>1.2180163289999999</v>
      </c>
      <c r="T482" s="3">
        <f>[1]Results!W209</f>
        <v>1.2307465289999999</v>
      </c>
      <c r="U482" s="3">
        <f>[1]Results!X209</f>
        <v>1.2435820870000001</v>
      </c>
      <c r="V482" s="3">
        <f>[1]Results!Y209</f>
        <v>1.2565275149999999</v>
      </c>
      <c r="W482" s="3">
        <f>[1]Results!Z209</f>
        <v>1.2689237520000001</v>
      </c>
      <c r="X482" s="3">
        <f>[1]Results!AA209</f>
        <v>1.2818553640000001</v>
      </c>
      <c r="Y482" s="3">
        <f>[1]Results!AB209</f>
        <v>1.2950283380000001</v>
      </c>
      <c r="Z482" s="3">
        <f>[1]Results!AC209</f>
        <v>1.3083763829999999</v>
      </c>
      <c r="AA482" s="3">
        <f>[1]Results!AD209</f>
        <v>1.321889699</v>
      </c>
      <c r="AB482" s="3">
        <f>[1]Results!AE209</f>
        <v>1.333681347</v>
      </c>
      <c r="AC482" s="3">
        <f>[1]Results!AF209</f>
        <v>1.345975428</v>
      </c>
      <c r="AD482" s="3">
        <f>[1]Results!AG209</f>
        <v>1.358433698</v>
      </c>
      <c r="AE482" s="3">
        <f>[1]Results!AH209</f>
        <v>1.3709962250000001</v>
      </c>
      <c r="AF482" s="3">
        <f>[1]Results!AI209</f>
        <v>1.3836718990000001</v>
      </c>
      <c r="AG482" s="3">
        <f>[1]Results!AJ209</f>
        <v>1.396481241</v>
      </c>
      <c r="AH482" s="3">
        <f>[1]Results!AK209</f>
        <v>1.4094681950000001</v>
      </c>
      <c r="AI482" s="3">
        <f>[1]Results!AL209</f>
        <v>1.422628142</v>
      </c>
      <c r="AJ482" s="3">
        <f>[1]Results!AM209</f>
        <v>1.4359673079999999</v>
      </c>
      <c r="AK482" s="3">
        <f>[1]Results!AN209</f>
        <v>1.44949146</v>
      </c>
      <c r="AL482" s="3">
        <f>[1]Results!AO209</f>
        <v>1.463204159</v>
      </c>
      <c r="AM482" s="3">
        <f>[1]Results!AP209</f>
        <v>1.476882247</v>
      </c>
      <c r="AN482" s="3">
        <f>[1]Results!AQ209</f>
        <v>1.4906304930000001</v>
      </c>
      <c r="AO482" s="3">
        <f>[1]Results!AR209</f>
        <v>1.504488526</v>
      </c>
      <c r="AP482" s="3">
        <f>[1]Results!AS209</f>
        <v>1.518475247</v>
      </c>
      <c r="AQ482" s="3">
        <f>[1]Results!AT209</f>
        <v>1.5326031369999999</v>
      </c>
      <c r="AR482" s="3">
        <f>[1]Results!AU209</f>
        <v>1.5469169760000001</v>
      </c>
      <c r="AS482" s="3">
        <f>[1]Results!AV209</f>
        <v>1.561397336</v>
      </c>
      <c r="AT482" s="3">
        <f>[1]Results!AW209</f>
        <v>1.576043817</v>
      </c>
      <c r="AU482" s="3">
        <f>[1]Results!AX209</f>
        <v>1.5908584059999999</v>
      </c>
      <c r="AV482" s="3">
        <f>[1]Results!AY209</f>
        <v>1.605842298</v>
      </c>
      <c r="AW482" s="3">
        <f>[1]Results!AZ209</f>
        <v>1.621154429</v>
      </c>
      <c r="AX482" s="3">
        <f>[1]Results!BA209</f>
        <v>1.6366795430000001</v>
      </c>
      <c r="AY482" s="3">
        <f>[1]Results!BB209</f>
        <v>1.6523904890000001</v>
      </c>
      <c r="AZ482" s="3">
        <f>[1]Results!BC209</f>
        <v>1.668278924</v>
      </c>
      <c r="BA482" s="3">
        <f>[1]Results!BD209</f>
        <v>1.684340033</v>
      </c>
      <c r="BB482" s="3">
        <f>[1]Results!BE209</f>
        <v>2.0573651060000002</v>
      </c>
      <c r="BC482" s="3">
        <f>[1]Results!BF209</f>
        <v>2.086709532</v>
      </c>
      <c r="BD482" s="3">
        <f>[1]Results!BG209</f>
        <v>2.1165431620000001</v>
      </c>
      <c r="BE482" s="3">
        <f>[1]Results!BH209</f>
        <v>2.146877581</v>
      </c>
      <c r="BF482" s="3">
        <f>[1]Results!BI209</f>
        <v>2.1777251980000001</v>
      </c>
    </row>
    <row r="483" spans="1:58" x14ac:dyDescent="0.35">
      <c r="B483" s="3" t="str">
        <f>[1]Results!E212</f>
        <v>YG_toe_cfut_2</v>
      </c>
      <c r="C483" s="3">
        <f>[1]Results!F212</f>
        <v>41.44451128</v>
      </c>
      <c r="D483" s="3">
        <f>[1]Results!G212</f>
        <v>41.505194330000002</v>
      </c>
      <c r="E483" s="3">
        <f>[1]Results!H212</f>
        <v>41.58932867</v>
      </c>
      <c r="F483" s="3">
        <f>[1]Results!I212</f>
        <v>41.73445735</v>
      </c>
      <c r="G483" s="3">
        <f>[1]Results!J212</f>
        <v>41.954616889999997</v>
      </c>
      <c r="H483" s="3">
        <f>[1]Results!K212</f>
        <v>42.245034230000002</v>
      </c>
      <c r="I483" s="3">
        <f>[1]Results!L212</f>
        <v>42.573778820000001</v>
      </c>
      <c r="J483" s="3">
        <f>[1]Results!M212</f>
        <v>42.944248450000003</v>
      </c>
      <c r="K483" s="3">
        <f>[1]Results!N212</f>
        <v>43.348354870000001</v>
      </c>
      <c r="L483" s="3">
        <f>[1]Results!O212</f>
        <v>43.779021640000003</v>
      </c>
      <c r="M483" s="3">
        <f>[1]Results!P212</f>
        <v>44.265660169999997</v>
      </c>
      <c r="N483" s="3">
        <f>[1]Results!Q212</f>
        <v>44.740678559999999</v>
      </c>
      <c r="O483" s="3">
        <f>[1]Results!R212</f>
        <v>45.225504620000002</v>
      </c>
      <c r="P483" s="3">
        <f>[1]Results!S212</f>
        <v>45.719263009999999</v>
      </c>
      <c r="Q483" s="3">
        <f>[1]Results!T212</f>
        <v>46.220434570000002</v>
      </c>
      <c r="R483" s="3">
        <f>[1]Results!U212</f>
        <v>46.727792530000002</v>
      </c>
      <c r="S483" s="3">
        <f>[1]Results!V212</f>
        <v>47.236380169999997</v>
      </c>
      <c r="T483" s="3">
        <f>[1]Results!W212</f>
        <v>47.749187569999997</v>
      </c>
      <c r="U483" s="3">
        <f>[1]Results!X212</f>
        <v>48.266133060000001</v>
      </c>
      <c r="V483" s="3">
        <f>[1]Results!Y212</f>
        <v>48.787121630000001</v>
      </c>
      <c r="W483" s="3">
        <f>[1]Results!Z212</f>
        <v>49.286749299999997</v>
      </c>
      <c r="X483" s="3">
        <f>[1]Results!AA212</f>
        <v>49.808168129999999</v>
      </c>
      <c r="Y483" s="3">
        <f>[1]Results!AB212</f>
        <v>50.336078620000002</v>
      </c>
      <c r="Z483" s="3">
        <f>[1]Results!AC212</f>
        <v>50.869638440000003</v>
      </c>
      <c r="AA483" s="3">
        <f>[1]Results!AD212</f>
        <v>51.408817990000003</v>
      </c>
      <c r="AB483" s="3">
        <f>[1]Results!AE212</f>
        <v>51.8812651</v>
      </c>
      <c r="AC483" s="3">
        <f>[1]Results!AF212</f>
        <v>52.37725064</v>
      </c>
      <c r="AD483" s="3">
        <f>[1]Results!AG212</f>
        <v>52.874909279999997</v>
      </c>
      <c r="AE483" s="3">
        <f>[1]Results!AH212</f>
        <v>53.374341350000002</v>
      </c>
      <c r="AF483" s="3">
        <f>[1]Results!AI212</f>
        <v>53.876624390000003</v>
      </c>
      <c r="AG483" s="3">
        <f>[1]Results!AJ212</f>
        <v>54.382850509999997</v>
      </c>
      <c r="AH483" s="3">
        <f>[1]Results!AK212</f>
        <v>54.894836179999999</v>
      </c>
      <c r="AI483" s="3">
        <f>[1]Results!AL212</f>
        <v>55.412476669999997</v>
      </c>
      <c r="AJ483" s="3">
        <f>[1]Results!AM212</f>
        <v>55.936201109999999</v>
      </c>
      <c r="AK483" s="3">
        <f>[1]Results!AN212</f>
        <v>56.466317910000001</v>
      </c>
      <c r="AL483" s="3">
        <f>[1]Results!AO212</f>
        <v>57.003021859999997</v>
      </c>
      <c r="AM483" s="3">
        <f>[1]Results!AP212</f>
        <v>57.537349069999998</v>
      </c>
      <c r="AN483" s="3">
        <f>[1]Results!AQ212</f>
        <v>58.074178799999999</v>
      </c>
      <c r="AO483" s="3">
        <f>[1]Results!AR212</f>
        <v>58.614527270000004</v>
      </c>
      <c r="AP483" s="3">
        <f>[1]Results!AS212</f>
        <v>59.159035850000002</v>
      </c>
      <c r="AQ483" s="3">
        <f>[1]Results!AT212</f>
        <v>59.70822416</v>
      </c>
      <c r="AR483" s="3">
        <f>[1]Results!AU212</f>
        <v>60.263813050000003</v>
      </c>
      <c r="AS483" s="3">
        <f>[1]Results!AV212</f>
        <v>60.825049749999998</v>
      </c>
      <c r="AT483" s="3">
        <f>[1]Results!AW212</f>
        <v>61.39210276</v>
      </c>
      <c r="AU483" s="3">
        <f>[1]Results!AX212</f>
        <v>61.96510258</v>
      </c>
      <c r="AV483" s="3">
        <f>[1]Results!AY212</f>
        <v>62.544111610000002</v>
      </c>
      <c r="AW483" s="3">
        <f>[1]Results!AZ212</f>
        <v>63.135014179999999</v>
      </c>
      <c r="AX483" s="3">
        <f>[1]Results!BA212</f>
        <v>63.733026389999999</v>
      </c>
      <c r="AY483" s="3">
        <f>[1]Results!BB212</f>
        <v>64.337676139999999</v>
      </c>
      <c r="AZ483" s="3">
        <f>[1]Results!BC212</f>
        <v>64.948710509999998</v>
      </c>
      <c r="BA483" s="3">
        <f>[1]Results!BD212</f>
        <v>65.565909680000004</v>
      </c>
      <c r="BB483" s="3">
        <f>[1]Results!BE212</f>
        <v>79.759657880000006</v>
      </c>
      <c r="BC483" s="3">
        <f>[1]Results!BF212</f>
        <v>80.877687420000001</v>
      </c>
      <c r="BD483" s="3">
        <f>[1]Results!BG212</f>
        <v>82.013431510000004</v>
      </c>
      <c r="BE483" s="3">
        <f>[1]Results!BH212</f>
        <v>83.167382599999996</v>
      </c>
      <c r="BF483" s="3">
        <f>[1]Results!BI212</f>
        <v>84.340058659999997</v>
      </c>
    </row>
    <row r="484" spans="1:58" x14ac:dyDescent="0.35">
      <c r="B484" s="3" t="str">
        <f>[1]Results!E215</f>
        <v>YG_toe_cfuh_2</v>
      </c>
      <c r="C484" s="3">
        <f>[1]Results!F215</f>
        <v>7.8280288809999998</v>
      </c>
      <c r="D484" s="3">
        <f>[1]Results!G215</f>
        <v>7.8456076379999997</v>
      </c>
      <c r="E484" s="3">
        <f>[1]Results!H215</f>
        <v>7.8662838239999999</v>
      </c>
      <c r="F484" s="3">
        <f>[1]Results!I215</f>
        <v>7.8923931539999996</v>
      </c>
      <c r="G484" s="3">
        <f>[1]Results!J215</f>
        <v>7.926119323</v>
      </c>
      <c r="H484" s="3">
        <f>[1]Results!K215</f>
        <v>7.9673189930000001</v>
      </c>
      <c r="I484" s="3">
        <f>[1]Results!L215</f>
        <v>8.0140755479999992</v>
      </c>
      <c r="J484" s="3">
        <f>[1]Results!M215</f>
        <v>8.0680751369999992</v>
      </c>
      <c r="K484" s="3">
        <f>[1]Results!N215</f>
        <v>8.1283591309999998</v>
      </c>
      <c r="L484" s="3">
        <f>[1]Results!O215</f>
        <v>8.1935404439999999</v>
      </c>
      <c r="M484" s="3">
        <f>[1]Results!P215</f>
        <v>8.2690196050000004</v>
      </c>
      <c r="N484" s="3">
        <f>[1]Results!Q215</f>
        <v>8.3428047910000007</v>
      </c>
      <c r="O484" s="3">
        <f>[1]Results!R215</f>
        <v>8.4174276070000005</v>
      </c>
      <c r="P484" s="3">
        <f>[1]Results!S215</f>
        <v>8.4930622180000004</v>
      </c>
      <c r="Q484" s="3">
        <f>[1]Results!T215</f>
        <v>8.5695845199999994</v>
      </c>
      <c r="R484" s="3">
        <f>[1]Results!U215</f>
        <v>8.6468158989999999</v>
      </c>
      <c r="S484" s="3">
        <f>[1]Results!V215</f>
        <v>8.7241754510000007</v>
      </c>
      <c r="T484" s="3">
        <f>[1]Results!W215</f>
        <v>8.8020044229999996</v>
      </c>
      <c r="U484" s="3">
        <f>[1]Results!X215</f>
        <v>8.880367648</v>
      </c>
      <c r="V484" s="3">
        <f>[1]Results!Y215</f>
        <v>8.9593162159999995</v>
      </c>
      <c r="W484" s="3">
        <f>[1]Results!Z215</f>
        <v>9.0341628759999999</v>
      </c>
      <c r="X484" s="3">
        <f>[1]Results!AA215</f>
        <v>9.1125600989999995</v>
      </c>
      <c r="Y484" s="3">
        <f>[1]Results!AB215</f>
        <v>9.1925305789999996</v>
      </c>
      <c r="Z484" s="3">
        <f>[1]Results!AC215</f>
        <v>9.2737269680000001</v>
      </c>
      <c r="AA484" s="3">
        <f>[1]Results!AD215</f>
        <v>9.3560808120000001</v>
      </c>
      <c r="AB484" s="3">
        <f>[1]Results!AE215</f>
        <v>9.4261314990000002</v>
      </c>
      <c r="AC484" s="3">
        <f>[1]Results!AF215</f>
        <v>9.4992385170000002</v>
      </c>
      <c r="AD484" s="3">
        <f>[1]Results!AG215</f>
        <v>9.5732193100000007</v>
      </c>
      <c r="AE484" s="3">
        <f>[1]Results!AH215</f>
        <v>9.6479319920000002</v>
      </c>
      <c r="AF484" s="3">
        <f>[1]Results!AI215</f>
        <v>9.723477162</v>
      </c>
      <c r="AG484" s="3">
        <f>[1]Results!AJ215</f>
        <v>9.8000032969999999</v>
      </c>
      <c r="AH484" s="3">
        <f>[1]Results!AK215</f>
        <v>9.877753663</v>
      </c>
      <c r="AI484" s="3">
        <f>[1]Results!AL215</f>
        <v>9.9567503130000006</v>
      </c>
      <c r="AJ484" s="3">
        <f>[1]Results!AM215</f>
        <v>10.0370553</v>
      </c>
      <c r="AK484" s="3">
        <f>[1]Results!AN215</f>
        <v>10.118714110000001</v>
      </c>
      <c r="AL484" s="3">
        <f>[1]Results!AO215</f>
        <v>10.201754940000001</v>
      </c>
      <c r="AM484" s="3">
        <f>[1]Results!AP215</f>
        <v>10.284015370000001</v>
      </c>
      <c r="AN484" s="3">
        <f>[1]Results!AQ215</f>
        <v>10.36662181</v>
      </c>
      <c r="AO484" s="3">
        <f>[1]Results!AR215</f>
        <v>10.449968520000001</v>
      </c>
      <c r="AP484" s="3">
        <f>[1]Results!AS215</f>
        <v>10.534250139999999</v>
      </c>
      <c r="AQ484" s="3">
        <f>[1]Results!AT215</f>
        <v>10.61958621</v>
      </c>
      <c r="AR484" s="3">
        <f>[1]Results!AU215</f>
        <v>10.70621431</v>
      </c>
      <c r="AS484" s="3">
        <f>[1]Results!AV215</f>
        <v>10.79407926</v>
      </c>
      <c r="AT484" s="3">
        <f>[1]Results!AW215</f>
        <v>10.88320534</v>
      </c>
      <c r="AU484" s="3">
        <f>[1]Results!AX215</f>
        <v>10.973609679999999</v>
      </c>
      <c r="AV484" s="3">
        <f>[1]Results!AY215</f>
        <v>11.065303070000001</v>
      </c>
      <c r="AW484" s="3">
        <f>[1]Results!AZ215</f>
        <v>11.15909252</v>
      </c>
      <c r="AX484" s="3">
        <f>[1]Results!BA215</f>
        <v>11.25443241</v>
      </c>
      <c r="AY484" s="3">
        <f>[1]Results!BB215</f>
        <v>11.35121818</v>
      </c>
      <c r="AZ484" s="3">
        <f>[1]Results!BC215</f>
        <v>11.44940547</v>
      </c>
      <c r="BA484" s="3">
        <f>[1]Results!BD215</f>
        <v>11.548966180000001</v>
      </c>
      <c r="BB484" s="3">
        <f>[1]Results!BE215</f>
        <v>13.19740314</v>
      </c>
      <c r="BC484" s="3">
        <f>[1]Results!BF215</f>
        <v>13.36274448</v>
      </c>
      <c r="BD484" s="3">
        <f>[1]Results!BG215</f>
        <v>13.530779470000001</v>
      </c>
      <c r="BE484" s="3">
        <f>[1]Results!BH215</f>
        <v>13.7015577</v>
      </c>
      <c r="BF484" s="3">
        <f>[1]Results!BI215</f>
        <v>13.87513983</v>
      </c>
    </row>
    <row r="485" spans="1:58" x14ac:dyDescent="0.35">
      <c r="B485" s="3" t="str">
        <f>[1]Results!E217</f>
        <v>YG_toe_cgas_2</v>
      </c>
      <c r="C485" s="3">
        <f>[1]Results!F217</f>
        <v>6.3853632830000002</v>
      </c>
      <c r="D485" s="3">
        <f>[1]Results!G217</f>
        <v>6.4462182370000001</v>
      </c>
      <c r="E485" s="3">
        <f>[1]Results!H217</f>
        <v>6.4698489759999998</v>
      </c>
      <c r="F485" s="3">
        <f>[1]Results!I217</f>
        <v>6.4772640199999998</v>
      </c>
      <c r="G485" s="3">
        <f>[1]Results!J217</f>
        <v>6.4752624780000003</v>
      </c>
      <c r="H485" s="3">
        <f>[1]Results!K217</f>
        <v>6.4655531210000001</v>
      </c>
      <c r="I485" s="3">
        <f>[1]Results!L217</f>
        <v>6.4501588019999998</v>
      </c>
      <c r="J485" s="3">
        <f>[1]Results!M217</f>
        <v>6.4370144810000003</v>
      </c>
      <c r="K485" s="3">
        <f>[1]Results!N217</f>
        <v>6.425623517</v>
      </c>
      <c r="L485" s="3">
        <f>[1]Results!O217</f>
        <v>6.415215291</v>
      </c>
      <c r="M485" s="3">
        <f>[1]Results!P217</f>
        <v>6.4125762000000002</v>
      </c>
      <c r="N485" s="3">
        <f>[1]Results!Q217</f>
        <v>6.4015517339999999</v>
      </c>
      <c r="O485" s="3">
        <f>[1]Results!R217</f>
        <v>6.3912039729999996</v>
      </c>
      <c r="P485" s="3">
        <f>[1]Results!S217</f>
        <v>6.3815680700000001</v>
      </c>
      <c r="Q485" s="3">
        <f>[1]Results!T217</f>
        <v>6.3728165629999998</v>
      </c>
      <c r="R485" s="3">
        <f>[1]Results!U217</f>
        <v>6.3650090669999999</v>
      </c>
      <c r="S485" s="3">
        <f>[1]Results!V217</f>
        <v>6.3572869760000001</v>
      </c>
      <c r="T485" s="3">
        <f>[1]Results!W217</f>
        <v>6.3507706050000001</v>
      </c>
      <c r="U485" s="3">
        <f>[1]Results!X217</f>
        <v>6.3453427040000001</v>
      </c>
      <c r="V485" s="3">
        <f>[1]Results!Y217</f>
        <v>6.3409225850000004</v>
      </c>
      <c r="W485" s="3">
        <f>[1]Results!Z217</f>
        <v>6.3325772330000003</v>
      </c>
      <c r="X485" s="3">
        <f>[1]Results!AA217</f>
        <v>6.3305577089999998</v>
      </c>
      <c r="Y485" s="3">
        <f>[1]Results!AB217</f>
        <v>6.3291544699999998</v>
      </c>
      <c r="Z485" s="3">
        <f>[1]Results!AC217</f>
        <v>6.3283038820000002</v>
      </c>
      <c r="AA485" s="3">
        <f>[1]Results!AD217</f>
        <v>6.3277978370000003</v>
      </c>
      <c r="AB485" s="3">
        <f>[1]Results!AE217</f>
        <v>6.3140848040000002</v>
      </c>
      <c r="AC485" s="3">
        <f>[1]Results!AF217</f>
        <v>6.3099998209999999</v>
      </c>
      <c r="AD485" s="3">
        <f>[1]Results!AG217</f>
        <v>6.3064824589999997</v>
      </c>
      <c r="AE485" s="3">
        <f>[1]Results!AH217</f>
        <v>6.3035339290000003</v>
      </c>
      <c r="AF485" s="3">
        <f>[1]Results!AI217</f>
        <v>6.3007619000000004</v>
      </c>
      <c r="AG485" s="3">
        <f>[1]Results!AJ217</f>
        <v>6.2978519799999999</v>
      </c>
      <c r="AH485" s="3">
        <f>[1]Results!AK217</f>
        <v>6.2947950390000003</v>
      </c>
      <c r="AI485" s="3">
        <f>[1]Results!AL217</f>
        <v>6.2912113190000003</v>
      </c>
      <c r="AJ485" s="3">
        <f>[1]Results!AM217</f>
        <v>6.2870472580000003</v>
      </c>
      <c r="AK485" s="3">
        <f>[1]Results!AN217</f>
        <v>6.2822778289999999</v>
      </c>
      <c r="AL485" s="3">
        <f>[1]Results!AO217</f>
        <v>6.2769066950000001</v>
      </c>
      <c r="AM485" s="3">
        <f>[1]Results!AP217</f>
        <v>6.2697836389999999</v>
      </c>
      <c r="AN485" s="3">
        <f>[1]Results!AQ217</f>
        <v>6.2623118729999998</v>
      </c>
      <c r="AO485" s="3">
        <f>[1]Results!AR217</f>
        <v>6.2546182300000002</v>
      </c>
      <c r="AP485" s="3">
        <f>[1]Results!AS217</f>
        <v>6.2467679829999998</v>
      </c>
      <c r="AQ485" s="3">
        <f>[1]Results!AT217</f>
        <v>6.2387610880000004</v>
      </c>
      <c r="AR485" s="3">
        <f>[1]Results!AU217</f>
        <v>6.2308601589999997</v>
      </c>
      <c r="AS485" s="3">
        <f>[1]Results!AV217</f>
        <v>6.2226968290000002</v>
      </c>
      <c r="AT485" s="3">
        <f>[1]Results!AW217</f>
        <v>6.2142830599999996</v>
      </c>
      <c r="AU485" s="3">
        <f>[1]Results!AX217</f>
        <v>6.2056214489999997</v>
      </c>
      <c r="AV485" s="3">
        <f>[1]Results!AY217</f>
        <v>6.1967236540000004</v>
      </c>
      <c r="AW485" s="3">
        <f>[1]Results!AZ217</f>
        <v>6.1888348180000001</v>
      </c>
      <c r="AX485" s="3">
        <f>[1]Results!BA217</f>
        <v>6.1805307850000002</v>
      </c>
      <c r="AY485" s="3">
        <f>[1]Results!BB217</f>
        <v>6.1719537779999998</v>
      </c>
      <c r="AZ485" s="3">
        <f>[1]Results!BC217</f>
        <v>6.1631646089999998</v>
      </c>
      <c r="BA485" s="3">
        <f>[1]Results!BD217</f>
        <v>6.1542144350000001</v>
      </c>
      <c r="BB485" s="3">
        <f>[1]Results!BE217</f>
        <v>6.2656216210000002</v>
      </c>
      <c r="BC485" s="3">
        <f>[1]Results!BF217</f>
        <v>6.2765990770000002</v>
      </c>
      <c r="BD485" s="3">
        <f>[1]Results!BG217</f>
        <v>6.2882836400000004</v>
      </c>
      <c r="BE485" s="3">
        <f>[1]Results!BH217</f>
        <v>6.3006207659999998</v>
      </c>
      <c r="BF485" s="3">
        <f>[1]Results!BI217</f>
        <v>6.3135823980000003</v>
      </c>
    </row>
    <row r="486" spans="1:58" x14ac:dyDescent="0.35">
      <c r="B486" s="3" t="str">
        <f>[1]Results!E223</f>
        <v>YG_toe_cele_2</v>
      </c>
      <c r="C486" s="3">
        <f>[1]Results!F223</f>
        <v>56.369064600000002</v>
      </c>
      <c r="D486" s="3">
        <f>[1]Results!G223</f>
        <v>56.540370129999999</v>
      </c>
      <c r="E486" s="3">
        <f>[1]Results!H223</f>
        <v>56.791563590000003</v>
      </c>
      <c r="F486" s="3">
        <f>[1]Results!I223</f>
        <v>57.117847589999997</v>
      </c>
      <c r="G486" s="3">
        <f>[1]Results!J223</f>
        <v>57.525315720000002</v>
      </c>
      <c r="H486" s="3">
        <f>[1]Results!K223</f>
        <v>58.005351589999997</v>
      </c>
      <c r="I486" s="3">
        <f>[1]Results!L223</f>
        <v>58.52493999</v>
      </c>
      <c r="J486" s="3">
        <f>[1]Results!M223</f>
        <v>59.089568280000002</v>
      </c>
      <c r="K486" s="3">
        <f>[1]Results!N223</f>
        <v>59.688446239999998</v>
      </c>
      <c r="L486" s="3">
        <f>[1]Results!O223</f>
        <v>60.310478199999999</v>
      </c>
      <c r="M486" s="3">
        <f>[1]Results!P223</f>
        <v>61.000397749999998</v>
      </c>
      <c r="N486" s="3">
        <f>[1]Results!Q223</f>
        <v>61.657897589999997</v>
      </c>
      <c r="O486" s="3">
        <f>[1]Results!R223</f>
        <v>62.309680659999998</v>
      </c>
      <c r="P486" s="3">
        <f>[1]Results!S223</f>
        <v>62.957436289999997</v>
      </c>
      <c r="Q486" s="3">
        <f>[1]Results!T223</f>
        <v>63.600984330000003</v>
      </c>
      <c r="R486" s="3">
        <f>[1]Results!U223</f>
        <v>64.240270570000007</v>
      </c>
      <c r="S486" s="3">
        <f>[1]Results!V223</f>
        <v>64.870684400000002</v>
      </c>
      <c r="T486" s="3">
        <f>[1]Results!W223</f>
        <v>65.497172860000006</v>
      </c>
      <c r="U486" s="3">
        <f>[1]Results!X223</f>
        <v>66.121510659999998</v>
      </c>
      <c r="V486" s="3">
        <f>[1]Results!Y223</f>
        <v>66.745404219999998</v>
      </c>
      <c r="W486" s="3">
        <f>[1]Results!Z223</f>
        <v>67.331501779999996</v>
      </c>
      <c r="X486" s="3">
        <f>[1]Results!AA223</f>
        <v>67.946358570000001</v>
      </c>
      <c r="Y486" s="3">
        <f>[1]Results!AB223</f>
        <v>68.571945830000004</v>
      </c>
      <c r="Z486" s="3">
        <f>[1]Results!AC223</f>
        <v>69.207079719999996</v>
      </c>
      <c r="AA486" s="3">
        <f>[1]Results!AD223</f>
        <v>69.852423529999996</v>
      </c>
      <c r="AB486" s="3">
        <f>[1]Results!AE223</f>
        <v>70.397740589999998</v>
      </c>
      <c r="AC486" s="3">
        <f>[1]Results!AF223</f>
        <v>70.97719884</v>
      </c>
      <c r="AD486" s="3">
        <f>[1]Results!AG223</f>
        <v>71.567557050000005</v>
      </c>
      <c r="AE486" s="3">
        <f>[1]Results!AH223</f>
        <v>72.168790920000006</v>
      </c>
      <c r="AF486" s="3">
        <f>[1]Results!AI223</f>
        <v>72.782602330000003</v>
      </c>
      <c r="AG486" s="3">
        <f>[1]Results!AJ223</f>
        <v>73.410684779999997</v>
      </c>
      <c r="AH486" s="3">
        <f>[1]Results!AK223</f>
        <v>74.055502840000003</v>
      </c>
      <c r="AI486" s="3">
        <f>[1]Results!AL223</f>
        <v>74.717096260000005</v>
      </c>
      <c r="AJ486" s="3">
        <f>[1]Results!AM223</f>
        <v>75.395904830000006</v>
      </c>
      <c r="AK486" s="3">
        <f>[1]Results!AN223</f>
        <v>76.092124029999994</v>
      </c>
      <c r="AL486" s="3">
        <f>[1]Results!AO223</f>
        <v>76.805713760000003</v>
      </c>
      <c r="AM486" s="3">
        <f>[1]Results!AP223</f>
        <v>77.520118289999999</v>
      </c>
      <c r="AN486" s="3">
        <f>[1]Results!AQ223</f>
        <v>78.24384044</v>
      </c>
      <c r="AO486" s="3">
        <f>[1]Results!AR223</f>
        <v>78.979173790000004</v>
      </c>
      <c r="AP486" s="3">
        <f>[1]Results!AS223</f>
        <v>79.727143369999993</v>
      </c>
      <c r="AQ486" s="3">
        <f>[1]Results!AT223</f>
        <v>80.488336309999994</v>
      </c>
      <c r="AR486" s="3">
        <f>[1]Results!AU223</f>
        <v>81.264717840000003</v>
      </c>
      <c r="AS486" s="3">
        <f>[1]Results!AV223</f>
        <v>82.055296490000003</v>
      </c>
      <c r="AT486" s="3">
        <f>[1]Results!AW223</f>
        <v>82.860073529999994</v>
      </c>
      <c r="AU486" s="3">
        <f>[1]Results!AX223</f>
        <v>83.679037660000006</v>
      </c>
      <c r="AV486" s="3">
        <f>[1]Results!AY223</f>
        <v>84.512158600000006</v>
      </c>
      <c r="AW486" s="3">
        <f>[1]Results!AZ223</f>
        <v>85.367079489999995</v>
      </c>
      <c r="AX486" s="3">
        <f>[1]Results!BA223</f>
        <v>86.238025100000002</v>
      </c>
      <c r="AY486" s="3">
        <f>[1]Results!BB223</f>
        <v>87.124062559999999</v>
      </c>
      <c r="AZ486" s="3">
        <f>[1]Results!BC223</f>
        <v>88.024782329999994</v>
      </c>
      <c r="BA486" s="3">
        <f>[1]Results!BD223</f>
        <v>88.939959369999997</v>
      </c>
      <c r="BB486" s="3">
        <f>[1]Results!BE223</f>
        <v>100.3150411</v>
      </c>
      <c r="BC486" s="3">
        <f>[1]Results!BF223</f>
        <v>101.6970796</v>
      </c>
      <c r="BD486" s="3">
        <f>[1]Results!BG223</f>
        <v>103.1047011</v>
      </c>
      <c r="BE486" s="3">
        <f>[1]Results!BH223</f>
        <v>104.53813890000001</v>
      </c>
      <c r="BF486" s="3">
        <f>[1]Results!BI223</f>
        <v>105.99762610000001</v>
      </c>
    </row>
    <row r="487" spans="1:58" x14ac:dyDescent="0.35">
      <c r="B487" s="3" t="s">
        <v>75</v>
      </c>
      <c r="C487" s="3">
        <f>SUM(C488:C490)</f>
        <v>30.092200292000001</v>
      </c>
      <c r="D487" s="3">
        <f t="shared" ref="D487:AL487" si="302">SUM(D488:D490)</f>
        <v>30.229726606999996</v>
      </c>
      <c r="E487" s="3">
        <f t="shared" si="302"/>
        <v>30.415714530999999</v>
      </c>
      <c r="F487" s="3">
        <f t="shared" si="302"/>
        <v>30.628434577</v>
      </c>
      <c r="G487" s="3">
        <f t="shared" si="302"/>
        <v>30.868242305999999</v>
      </c>
      <c r="H487" s="3">
        <f t="shared" si="302"/>
        <v>31.133549119999998</v>
      </c>
      <c r="I487" s="3">
        <f t="shared" si="302"/>
        <v>31.400287651999996</v>
      </c>
      <c r="J487" s="3">
        <f t="shared" si="302"/>
        <v>31.675947308000001</v>
      </c>
      <c r="K487" s="3">
        <f t="shared" si="302"/>
        <v>31.960933495999996</v>
      </c>
      <c r="L487" s="3">
        <f t="shared" si="302"/>
        <v>32.254239961000003</v>
      </c>
      <c r="M487" s="3">
        <f t="shared" si="302"/>
        <v>32.589518728000002</v>
      </c>
      <c r="N487" s="3">
        <f t="shared" si="302"/>
        <v>32.903172869000002</v>
      </c>
      <c r="O487" s="3">
        <f t="shared" si="302"/>
        <v>33.214767985999998</v>
      </c>
      <c r="P487" s="3">
        <f t="shared" si="302"/>
        <v>33.527023474000003</v>
      </c>
      <c r="Q487" s="3">
        <f t="shared" si="302"/>
        <v>33.840596814999998</v>
      </c>
      <c r="R487" s="3">
        <f t="shared" si="302"/>
        <v>34.155662155000002</v>
      </c>
      <c r="S487" s="3">
        <f t="shared" si="302"/>
        <v>34.469406859000003</v>
      </c>
      <c r="T487" s="3">
        <f t="shared" si="302"/>
        <v>34.784509990000004</v>
      </c>
      <c r="U487" s="3">
        <f t="shared" si="302"/>
        <v>35.101455530999999</v>
      </c>
      <c r="V487" s="3">
        <f t="shared" si="302"/>
        <v>35.420640124999998</v>
      </c>
      <c r="W487" s="3">
        <f t="shared" si="302"/>
        <v>35.717634423</v>
      </c>
      <c r="X487" s="3">
        <f t="shared" si="302"/>
        <v>36.034871260000003</v>
      </c>
      <c r="Y487" s="3">
        <f t="shared" si="302"/>
        <v>36.359679943000003</v>
      </c>
      <c r="Z487" s="3">
        <f t="shared" si="302"/>
        <v>36.690156416999997</v>
      </c>
      <c r="AA487" s="3">
        <f t="shared" si="302"/>
        <v>37.025880225000002</v>
      </c>
      <c r="AB487" s="3">
        <f t="shared" si="302"/>
        <v>37.29687294</v>
      </c>
      <c r="AC487" s="3">
        <f t="shared" si="302"/>
        <v>37.589648921000006</v>
      </c>
      <c r="AD487" s="3">
        <f t="shared" si="302"/>
        <v>37.888782489</v>
      </c>
      <c r="AE487" s="3">
        <f t="shared" si="302"/>
        <v>38.193080430999998</v>
      </c>
      <c r="AF487" s="3">
        <f t="shared" si="302"/>
        <v>38.502583919000003</v>
      </c>
      <c r="AG487" s="3">
        <f t="shared" si="302"/>
        <v>38.817572953999999</v>
      </c>
      <c r="AH487" s="3">
        <f t="shared" si="302"/>
        <v>39.138982519999999</v>
      </c>
      <c r="AI487" s="3">
        <f t="shared" si="302"/>
        <v>39.466469673000006</v>
      </c>
      <c r="AJ487" s="3">
        <f t="shared" si="302"/>
        <v>39.800105580999997</v>
      </c>
      <c r="AK487" s="3">
        <f t="shared" si="302"/>
        <v>40.139927557</v>
      </c>
      <c r="AL487" s="3">
        <f t="shared" si="302"/>
        <v>40.485920342</v>
      </c>
      <c r="AM487" s="3">
        <f t="shared" ref="AM487:BC487" si="303">SUM(AM488:AM490)</f>
        <v>40.827635950000001</v>
      </c>
      <c r="AN487" s="3">
        <f t="shared" si="303"/>
        <v>41.171067020000002</v>
      </c>
      <c r="AO487" s="3">
        <f t="shared" si="303"/>
        <v>41.518082253000003</v>
      </c>
      <c r="AP487" s="3">
        <f t="shared" si="303"/>
        <v>41.869479486000003</v>
      </c>
      <c r="AQ487" s="3">
        <f t="shared" si="303"/>
        <v>42.225634306000003</v>
      </c>
      <c r="AR487" s="3">
        <f t="shared" si="303"/>
        <v>42.587656800000005</v>
      </c>
      <c r="AS487" s="3">
        <f t="shared" si="303"/>
        <v>42.954877429</v>
      </c>
      <c r="AT487" s="3">
        <f t="shared" si="303"/>
        <v>43.327282251</v>
      </c>
      <c r="AU487" s="3">
        <f t="shared" si="303"/>
        <v>43.704854385000004</v>
      </c>
      <c r="AV487" s="3">
        <f t="shared" si="303"/>
        <v>44.087582796000007</v>
      </c>
      <c r="AW487" s="3">
        <f t="shared" si="303"/>
        <v>44.479958123000003</v>
      </c>
      <c r="AX487" s="3">
        <f t="shared" si="303"/>
        <v>44.878379125999999</v>
      </c>
      <c r="AY487" s="3">
        <f t="shared" si="303"/>
        <v>45.282336435000005</v>
      </c>
      <c r="AZ487" s="3">
        <f t="shared" si="303"/>
        <v>45.691651319000002</v>
      </c>
      <c r="BA487" s="3">
        <f t="shared" si="303"/>
        <v>46.106235812999998</v>
      </c>
      <c r="BB487" s="3">
        <f t="shared" si="303"/>
        <v>53.620557218000002</v>
      </c>
      <c r="BC487" s="3">
        <f t="shared" si="303"/>
        <v>54.325096646000006</v>
      </c>
      <c r="BD487" s="3">
        <f t="shared" ref="BD487:BF487" si="304">SUM(BD488:BD490)</f>
        <v>55.041940492999998</v>
      </c>
      <c r="BE487" s="3">
        <f t="shared" si="304"/>
        <v>55.771215057999996</v>
      </c>
      <c r="BF487" s="3">
        <f t="shared" si="304"/>
        <v>56.513095601000003</v>
      </c>
    </row>
    <row r="488" spans="1:58" x14ac:dyDescent="0.35">
      <c r="B488" s="3" t="str">
        <f>[1]Results!E233</f>
        <v>YG_toe_chea_2</v>
      </c>
      <c r="C488" s="3">
        <f>[1]Results!F233</f>
        <v>5.6530148420000002</v>
      </c>
      <c r="D488" s="3">
        <f>[1]Results!G233</f>
        <v>5.6987997469999998</v>
      </c>
      <c r="E488" s="3">
        <f>[1]Results!H233</f>
        <v>5.7588791410000004</v>
      </c>
      <c r="F488" s="3">
        <f>[1]Results!I233</f>
        <v>5.8257180770000003</v>
      </c>
      <c r="G488" s="3">
        <f>[1]Results!J233</f>
        <v>5.897936166</v>
      </c>
      <c r="H488" s="3">
        <f>[1]Results!K233</f>
        <v>5.9755737900000003</v>
      </c>
      <c r="I488" s="3">
        <f>[1]Results!L233</f>
        <v>6.0486430020000004</v>
      </c>
      <c r="J488" s="3">
        <f>[1]Results!M233</f>
        <v>6.1174975280000004</v>
      </c>
      <c r="K488" s="3">
        <f>[1]Results!N233</f>
        <v>6.1839532459999997</v>
      </c>
      <c r="L488" s="3">
        <f>[1]Results!O233</f>
        <v>6.2494608710000001</v>
      </c>
      <c r="M488" s="3">
        <f>[1]Results!P233</f>
        <v>6.3238092779999997</v>
      </c>
      <c r="N488" s="3">
        <f>[1]Results!Q233</f>
        <v>6.3928160189999996</v>
      </c>
      <c r="O488" s="3">
        <f>[1]Results!R233</f>
        <v>6.4601066960000004</v>
      </c>
      <c r="P488" s="3">
        <f>[1]Results!S233</f>
        <v>6.5268971340000004</v>
      </c>
      <c r="Q488" s="3">
        <f>[1]Results!T233</f>
        <v>6.5936171950000002</v>
      </c>
      <c r="R488" s="3">
        <f>[1]Results!U233</f>
        <v>6.6604092850000001</v>
      </c>
      <c r="S488" s="3">
        <f>[1]Results!V233</f>
        <v>6.7270400690000001</v>
      </c>
      <c r="T488" s="3">
        <f>[1]Results!W233</f>
        <v>6.79369727</v>
      </c>
      <c r="U488" s="3">
        <f>[1]Results!X233</f>
        <v>6.8604365209999996</v>
      </c>
      <c r="V488" s="3">
        <f>[1]Results!Y233</f>
        <v>6.927304565</v>
      </c>
      <c r="W488" s="3">
        <f>[1]Results!Z233</f>
        <v>6.9882217229999997</v>
      </c>
      <c r="X488" s="3">
        <f>[1]Results!AA233</f>
        <v>7.05307598</v>
      </c>
      <c r="Y488" s="3">
        <f>[1]Results!AB233</f>
        <v>7.1196369629999996</v>
      </c>
      <c r="Z488" s="3">
        <f>[1]Results!AC233</f>
        <v>7.187172447</v>
      </c>
      <c r="AA488" s="3">
        <f>[1]Results!AD233</f>
        <v>7.2554299550000003</v>
      </c>
      <c r="AB488" s="3">
        <f>[1]Results!AE233</f>
        <v>7.30730989</v>
      </c>
      <c r="AC488" s="3">
        <f>[1]Results!AF233</f>
        <v>7.3621572410000002</v>
      </c>
      <c r="AD488" s="3">
        <f>[1]Results!AG233</f>
        <v>7.4182933889999996</v>
      </c>
      <c r="AE488" s="3">
        <f>[1]Results!AH233</f>
        <v>7.4753117309999997</v>
      </c>
      <c r="AF488" s="3">
        <f>[1]Results!AI233</f>
        <v>7.5331001290000001</v>
      </c>
      <c r="AG488" s="3">
        <f>[1]Results!AJ233</f>
        <v>7.5916386740000004</v>
      </c>
      <c r="AH488" s="3">
        <f>[1]Results!AK233</f>
        <v>7.6510021899999998</v>
      </c>
      <c r="AI488" s="3">
        <f>[1]Results!AL233</f>
        <v>7.7111740129999999</v>
      </c>
      <c r="AJ488" s="3">
        <f>[1]Results!AM233</f>
        <v>7.7721652209999998</v>
      </c>
      <c r="AK488" s="3">
        <f>[1]Results!AN233</f>
        <v>7.8339840069999997</v>
      </c>
      <c r="AL488" s="3">
        <f>[1]Results!AO233</f>
        <v>7.8966311820000001</v>
      </c>
      <c r="AM488" s="3">
        <f>[1]Results!AP233</f>
        <v>7.9568315399999996</v>
      </c>
      <c r="AN488" s="3">
        <f>[1]Results!AQ233</f>
        <v>8.01646635</v>
      </c>
      <c r="AO488" s="3">
        <f>[1]Results!AR233</f>
        <v>8.0762761029999997</v>
      </c>
      <c r="AP488" s="3">
        <f>[1]Results!AS233</f>
        <v>8.1365669759999992</v>
      </c>
      <c r="AQ488" s="3">
        <f>[1]Results!AT233</f>
        <v>8.1974656560000003</v>
      </c>
      <c r="AR488" s="3">
        <f>[1]Results!AU233</f>
        <v>8.2591044300000007</v>
      </c>
      <c r="AS488" s="3">
        <f>[1]Results!AV233</f>
        <v>8.3214453689999992</v>
      </c>
      <c r="AT488" s="3">
        <f>[1]Results!AW233</f>
        <v>8.3844862110000005</v>
      </c>
      <c r="AU488" s="3">
        <f>[1]Results!AX233</f>
        <v>8.4482127550000001</v>
      </c>
      <c r="AV488" s="3">
        <f>[1]Results!AY233</f>
        <v>8.5126157360000008</v>
      </c>
      <c r="AW488" s="3">
        <f>[1]Results!AZ233</f>
        <v>8.5782797130000006</v>
      </c>
      <c r="AX488" s="3">
        <f>[1]Results!BA233</f>
        <v>8.6448137860000003</v>
      </c>
      <c r="AY488" s="3">
        <f>[1]Results!BB233</f>
        <v>8.7121009350000005</v>
      </c>
      <c r="AZ488" s="3">
        <f>[1]Results!BC233</f>
        <v>8.7800919289999992</v>
      </c>
      <c r="BA488" s="3">
        <f>[1]Results!BD233</f>
        <v>8.8487602130000003</v>
      </c>
      <c r="BB488" s="3">
        <f>[1]Results!BE233</f>
        <v>9.5287003880000007</v>
      </c>
      <c r="BC488" s="3">
        <f>[1]Results!BF233</f>
        <v>9.6281772360000009</v>
      </c>
      <c r="BD488" s="3">
        <f>[1]Results!BG233</f>
        <v>9.7291266630000006</v>
      </c>
      <c r="BE488" s="3">
        <f>[1]Results!BH233</f>
        <v>9.831553778</v>
      </c>
      <c r="BF488" s="3">
        <f>[1]Results!BI233</f>
        <v>9.9354808410000004</v>
      </c>
    </row>
    <row r="489" spans="1:58" x14ac:dyDescent="0.35">
      <c r="B489" s="3" t="str">
        <f>[1]Results!E235</f>
        <v>YG_toe_cbio_2</v>
      </c>
      <c r="C489" s="3">
        <f>[1]Results!F235</f>
        <v>11.093295299999999</v>
      </c>
      <c r="D489" s="3">
        <f>[1]Results!G235</f>
        <v>11.115449529999999</v>
      </c>
      <c r="E489" s="3">
        <f>[1]Results!H235</f>
        <v>11.125113649999999</v>
      </c>
      <c r="F489" s="3">
        <f>[1]Results!I235</f>
        <v>11.135640779999999</v>
      </c>
      <c r="G489" s="3">
        <f>[1]Results!J235</f>
        <v>11.15278621</v>
      </c>
      <c r="H489" s="3">
        <f>[1]Results!K235</f>
        <v>11.17703631</v>
      </c>
      <c r="I489" s="3">
        <f>[1]Results!L235</f>
        <v>11.206982549999999</v>
      </c>
      <c r="J489" s="3">
        <f>[1]Results!M235</f>
        <v>11.24355663</v>
      </c>
      <c r="K489" s="3">
        <f>[1]Results!N235</f>
        <v>11.28606443</v>
      </c>
      <c r="L489" s="3">
        <f>[1]Results!O235</f>
        <v>11.33310176</v>
      </c>
      <c r="M489" s="3">
        <f>[1]Results!P235</f>
        <v>11.392075050000001</v>
      </c>
      <c r="N489" s="3">
        <f>[1]Results!Q235</f>
        <v>11.44764831</v>
      </c>
      <c r="O489" s="3">
        <f>[1]Results!R235</f>
        <v>11.50231335</v>
      </c>
      <c r="P489" s="3">
        <f>[1]Results!S235</f>
        <v>11.55670916</v>
      </c>
      <c r="Q489" s="3">
        <f>[1]Results!T235</f>
        <v>11.610997859999999</v>
      </c>
      <c r="R489" s="3">
        <f>[1]Results!U235</f>
        <v>11.66521024</v>
      </c>
      <c r="S489" s="3">
        <f>[1]Results!V235</f>
        <v>11.71897354</v>
      </c>
      <c r="T489" s="3">
        <f>[1]Results!W235</f>
        <v>11.77260581</v>
      </c>
      <c r="U489" s="3">
        <f>[1]Results!X235</f>
        <v>11.826186720000001</v>
      </c>
      <c r="V489" s="3">
        <f>[1]Results!Y235</f>
        <v>11.87982418</v>
      </c>
      <c r="W489" s="3">
        <f>[1]Results!Z235</f>
        <v>11.92751949</v>
      </c>
      <c r="X489" s="3">
        <f>[1]Results!AA235</f>
        <v>11.979045299999999</v>
      </c>
      <c r="Y489" s="3">
        <f>[1]Results!AB235</f>
        <v>12.032445450000001</v>
      </c>
      <c r="Z489" s="3">
        <f>[1]Results!AC235</f>
        <v>12.08711036</v>
      </c>
      <c r="AA489" s="3">
        <f>[1]Results!AD235</f>
        <v>12.14286257</v>
      </c>
      <c r="AB489" s="3">
        <f>[1]Results!AE235</f>
        <v>12.182585059999999</v>
      </c>
      <c r="AC489" s="3">
        <f>[1]Results!AF235</f>
        <v>12.225257750000001</v>
      </c>
      <c r="AD489" s="3">
        <f>[1]Results!AG235</f>
        <v>12.26946824</v>
      </c>
      <c r="AE489" s="3">
        <f>[1]Results!AH235</f>
        <v>12.314961609999999</v>
      </c>
      <c r="AF489" s="3">
        <f>[1]Results!AI235</f>
        <v>12.361733129999999</v>
      </c>
      <c r="AG489" s="3">
        <f>[1]Results!AJ235</f>
        <v>12.40985021</v>
      </c>
      <c r="AH489" s="3">
        <f>[1]Results!AK235</f>
        <v>12.459474719999999</v>
      </c>
      <c r="AI489" s="3">
        <f>[1]Results!AL235</f>
        <v>12.510602110000001</v>
      </c>
      <c r="AJ489" s="3">
        <f>[1]Results!AM235</f>
        <v>12.563255760000001</v>
      </c>
      <c r="AK489" s="3">
        <f>[1]Results!AN235</f>
        <v>12.61744365</v>
      </c>
      <c r="AL489" s="3">
        <f>[1]Results!AO235</f>
        <v>12.67315683</v>
      </c>
      <c r="AM489" s="3">
        <f>[1]Results!AP235</f>
        <v>12.727285630000001</v>
      </c>
      <c r="AN489" s="3">
        <f>[1]Results!AQ235</f>
        <v>12.781400120000001</v>
      </c>
      <c r="AO489" s="3">
        <f>[1]Results!AR235</f>
        <v>12.836200160000001</v>
      </c>
      <c r="AP489" s="3">
        <f>[1]Results!AS235</f>
        <v>12.891991170000001</v>
      </c>
      <c r="AQ489" s="3">
        <f>[1]Results!AT235</f>
        <v>12.948906389999999</v>
      </c>
      <c r="AR489" s="3">
        <f>[1]Results!AU235</f>
        <v>13.007126</v>
      </c>
      <c r="AS489" s="3">
        <f>[1]Results!AV235</f>
        <v>13.066587030000001</v>
      </c>
      <c r="AT489" s="3">
        <f>[1]Results!AW235</f>
        <v>13.12728718</v>
      </c>
      <c r="AU489" s="3">
        <f>[1]Results!AX235</f>
        <v>13.18920887</v>
      </c>
      <c r="AV489" s="3">
        <f>[1]Results!AY235</f>
        <v>13.25233946</v>
      </c>
      <c r="AW489" s="3">
        <f>[1]Results!AZ235</f>
        <v>13.317407340000001</v>
      </c>
      <c r="AX489" s="3">
        <f>[1]Results!BA235</f>
        <v>13.383918189999999</v>
      </c>
      <c r="AY489" s="3">
        <f>[1]Results!BB235</f>
        <v>13.45173482</v>
      </c>
      <c r="AZ489" s="3">
        <f>[1]Results!BC235</f>
        <v>13.52079444</v>
      </c>
      <c r="BA489" s="3">
        <f>[1]Results!BD235</f>
        <v>13.591061639999999</v>
      </c>
      <c r="BB489" s="3">
        <f>[1]Results!BE235</f>
        <v>14.15840839</v>
      </c>
      <c r="BC489" s="3">
        <f>[1]Results!BF235</f>
        <v>14.268085299999999</v>
      </c>
      <c r="BD489" s="3">
        <f>[1]Results!BG235</f>
        <v>14.38012975</v>
      </c>
      <c r="BE489" s="3">
        <f>[1]Results!BH235</f>
        <v>14.49452866</v>
      </c>
      <c r="BF489" s="3">
        <f>[1]Results!BI235</f>
        <v>14.61129745</v>
      </c>
    </row>
    <row r="490" spans="1:58" x14ac:dyDescent="0.35">
      <c r="B490" s="3" t="str">
        <f>[1]Results!E238</f>
        <v>YG_toe_cote_2</v>
      </c>
      <c r="C490" s="3">
        <f>[1]Results!F238</f>
        <v>13.345890150000001</v>
      </c>
      <c r="D490" s="3">
        <f>[1]Results!G238</f>
        <v>13.41547733</v>
      </c>
      <c r="E490" s="3">
        <f>[1]Results!H238</f>
        <v>13.53172174</v>
      </c>
      <c r="F490" s="3">
        <f>[1]Results!I238</f>
        <v>13.66707572</v>
      </c>
      <c r="G490" s="3">
        <f>[1]Results!J238</f>
        <v>13.81751993</v>
      </c>
      <c r="H490" s="3">
        <f>[1]Results!K238</f>
        <v>13.980939019999999</v>
      </c>
      <c r="I490" s="3">
        <f>[1]Results!L238</f>
        <v>14.1446621</v>
      </c>
      <c r="J490" s="3">
        <f>[1]Results!M238</f>
        <v>14.31489315</v>
      </c>
      <c r="K490" s="3">
        <f>[1]Results!N238</f>
        <v>14.49091582</v>
      </c>
      <c r="L490" s="3">
        <f>[1]Results!O238</f>
        <v>14.67167733</v>
      </c>
      <c r="M490" s="3">
        <f>[1]Results!P238</f>
        <v>14.8736344</v>
      </c>
      <c r="N490" s="3">
        <f>[1]Results!Q238</f>
        <v>15.062708539999999</v>
      </c>
      <c r="O490" s="3">
        <f>[1]Results!R238</f>
        <v>15.25234794</v>
      </c>
      <c r="P490" s="3">
        <f>[1]Results!S238</f>
        <v>15.443417180000001</v>
      </c>
      <c r="Q490" s="3">
        <f>[1]Results!T238</f>
        <v>15.63598176</v>
      </c>
      <c r="R490" s="3">
        <f>[1]Results!U238</f>
        <v>15.830042629999999</v>
      </c>
      <c r="S490" s="3">
        <f>[1]Results!V238</f>
        <v>16.023393250000002</v>
      </c>
      <c r="T490" s="3">
        <f>[1]Results!W238</f>
        <v>16.218206909999999</v>
      </c>
      <c r="U490" s="3">
        <f>[1]Results!X238</f>
        <v>16.41483229</v>
      </c>
      <c r="V490" s="3">
        <f>[1]Results!Y238</f>
        <v>16.613511379999998</v>
      </c>
      <c r="W490" s="3">
        <f>[1]Results!Z238</f>
        <v>16.801893209999999</v>
      </c>
      <c r="X490" s="3">
        <f>[1]Results!AA238</f>
        <v>17.002749980000001</v>
      </c>
      <c r="Y490" s="3">
        <f>[1]Results!AB238</f>
        <v>17.207597530000001</v>
      </c>
      <c r="Z490" s="3">
        <f>[1]Results!AC238</f>
        <v>17.415873609999998</v>
      </c>
      <c r="AA490" s="3">
        <f>[1]Results!AD238</f>
        <v>17.627587699999999</v>
      </c>
      <c r="AB490" s="3">
        <f>[1]Results!AE238</f>
        <v>17.80697799</v>
      </c>
      <c r="AC490" s="3">
        <f>[1]Results!AF238</f>
        <v>18.002233929999999</v>
      </c>
      <c r="AD490" s="3">
        <f>[1]Results!AG238</f>
        <v>18.20102086</v>
      </c>
      <c r="AE490" s="3">
        <f>[1]Results!AH238</f>
        <v>18.40280709</v>
      </c>
      <c r="AF490" s="3">
        <f>[1]Results!AI238</f>
        <v>18.607750660000001</v>
      </c>
      <c r="AG490" s="3">
        <f>[1]Results!AJ238</f>
        <v>18.816084069999999</v>
      </c>
      <c r="AH490" s="3">
        <f>[1]Results!AK238</f>
        <v>19.02850561</v>
      </c>
      <c r="AI490" s="3">
        <f>[1]Results!AL238</f>
        <v>19.244693550000001</v>
      </c>
      <c r="AJ490" s="3">
        <f>[1]Results!AM238</f>
        <v>19.464684599999998</v>
      </c>
      <c r="AK490" s="3">
        <f>[1]Results!AN238</f>
        <v>19.6884999</v>
      </c>
      <c r="AL490" s="3">
        <f>[1]Results!AO238</f>
        <v>19.91613233</v>
      </c>
      <c r="AM490" s="3">
        <f>[1]Results!AP238</f>
        <v>20.143518780000001</v>
      </c>
      <c r="AN490" s="3">
        <f>[1]Results!AQ238</f>
        <v>20.37320055</v>
      </c>
      <c r="AO490" s="3">
        <f>[1]Results!AR238</f>
        <v>20.605605990000001</v>
      </c>
      <c r="AP490" s="3">
        <f>[1]Results!AS238</f>
        <v>20.840921340000001</v>
      </c>
      <c r="AQ490" s="3">
        <f>[1]Results!AT238</f>
        <v>21.07926226</v>
      </c>
      <c r="AR490" s="3">
        <f>[1]Results!AU238</f>
        <v>21.321426370000001</v>
      </c>
      <c r="AS490" s="3">
        <f>[1]Results!AV238</f>
        <v>21.56684503</v>
      </c>
      <c r="AT490" s="3">
        <f>[1]Results!AW238</f>
        <v>21.815508860000001</v>
      </c>
      <c r="AU490" s="3">
        <f>[1]Results!AX238</f>
        <v>22.067432759999999</v>
      </c>
      <c r="AV490" s="3">
        <f>[1]Results!AY238</f>
        <v>22.322627600000001</v>
      </c>
      <c r="AW490" s="3">
        <f>[1]Results!AZ238</f>
        <v>22.58427107</v>
      </c>
      <c r="AX490" s="3">
        <f>[1]Results!BA238</f>
        <v>22.849647149999999</v>
      </c>
      <c r="AY490" s="3">
        <f>[1]Results!BB238</f>
        <v>23.11850068</v>
      </c>
      <c r="AZ490" s="3">
        <f>[1]Results!BC238</f>
        <v>23.390764950000001</v>
      </c>
      <c r="BA490" s="3">
        <f>[1]Results!BD238</f>
        <v>23.66641396</v>
      </c>
      <c r="BB490" s="3">
        <f>[1]Results!BE238</f>
        <v>29.933448439999999</v>
      </c>
      <c r="BC490" s="3">
        <f>[1]Results!BF238</f>
        <v>30.42883411</v>
      </c>
      <c r="BD490" s="3">
        <f>[1]Results!BG238</f>
        <v>30.932684080000001</v>
      </c>
      <c r="BE490" s="3">
        <f>[1]Results!BH238</f>
        <v>31.445132619999999</v>
      </c>
      <c r="BF490" s="3">
        <f>[1]Results!BI238</f>
        <v>31.966317310000001</v>
      </c>
    </row>
    <row r="491" spans="1:58" x14ac:dyDescent="0.35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 spans="1:58" x14ac:dyDescent="0.35">
      <c r="A492" s="12" t="s">
        <v>94</v>
      </c>
      <c r="B492" s="3" t="str">
        <f>[1]Results!E241</f>
        <v>YG_toe_0</v>
      </c>
      <c r="C492" s="3">
        <f>[1]Results!F241</f>
        <v>148.75390949999999</v>
      </c>
      <c r="D492" s="3">
        <f>[1]Results!G241</f>
        <v>149.9412346</v>
      </c>
      <c r="E492" s="3">
        <f>[1]Results!H241</f>
        <v>151.04358999999999</v>
      </c>
      <c r="F492" s="3">
        <f>[1]Results!I241</f>
        <v>152.2154621</v>
      </c>
      <c r="G492" s="3">
        <f>[1]Results!J241</f>
        <v>153.5049544</v>
      </c>
      <c r="H492" s="3">
        <f>[1]Results!K241</f>
        <v>154.9279942</v>
      </c>
      <c r="I492" s="3">
        <f>[1]Results!L241</f>
        <v>156.3904393</v>
      </c>
      <c r="J492" s="3">
        <f>[1]Results!M241</f>
        <v>157.9308772</v>
      </c>
      <c r="K492" s="3">
        <f>[1]Results!N241</f>
        <v>159.53738480000001</v>
      </c>
      <c r="L492" s="3">
        <f>[1]Results!O241</f>
        <v>161.19526310000001</v>
      </c>
      <c r="M492" s="3">
        <f>[1]Results!P241</f>
        <v>163.04248150000001</v>
      </c>
      <c r="N492" s="3">
        <f>[1]Results!Q241</f>
        <v>164.81736559999999</v>
      </c>
      <c r="O492" s="3">
        <f>[1]Results!R241</f>
        <v>166.5995609</v>
      </c>
      <c r="P492" s="3">
        <f>[1]Results!S241</f>
        <v>168.39561699999999</v>
      </c>
      <c r="Q492" s="3">
        <f>[1]Results!T241</f>
        <v>170.2067758</v>
      </c>
      <c r="R492" s="3">
        <f>[1]Results!U241</f>
        <v>172.0335115</v>
      </c>
      <c r="S492" s="3">
        <f>[1]Results!V241</f>
        <v>173.87654810000001</v>
      </c>
      <c r="T492" s="3">
        <f>[1]Results!W241</f>
        <v>175.73701130000001</v>
      </c>
      <c r="U492" s="3">
        <f>[1]Results!X241</f>
        <v>177.61636469999999</v>
      </c>
      <c r="V492" s="3">
        <f>[1]Results!Y241</f>
        <v>179.51629829999999</v>
      </c>
      <c r="W492" s="3">
        <f>[1]Results!Z241</f>
        <v>181.3294439</v>
      </c>
      <c r="X492" s="3">
        <f>[1]Results!AA241</f>
        <v>183.2430434</v>
      </c>
      <c r="Y492" s="3">
        <f>[1]Results!AB241</f>
        <v>185.1962566</v>
      </c>
      <c r="Z492" s="3">
        <f>[1]Results!AC241</f>
        <v>187.18375700000001</v>
      </c>
      <c r="AA492" s="3">
        <f>[1]Results!AD241</f>
        <v>189.20489929999999</v>
      </c>
      <c r="AB492" s="3">
        <f>[1]Results!AE241</f>
        <v>190.94736349999999</v>
      </c>
      <c r="AC492" s="3">
        <f>[1]Results!AF241</f>
        <v>192.79503209999999</v>
      </c>
      <c r="AD492" s="3">
        <f>[1]Results!AG241</f>
        <v>194.67021009999999</v>
      </c>
      <c r="AE492" s="3">
        <f>[1]Results!AH241</f>
        <v>196.57115469999999</v>
      </c>
      <c r="AF492" s="3">
        <f>[1]Results!AI241</f>
        <v>198.50022580000001</v>
      </c>
      <c r="AG492" s="3">
        <f>[1]Results!AJ241</f>
        <v>200.46025069999999</v>
      </c>
      <c r="AH492" s="3">
        <f>[1]Results!AK241</f>
        <v>202.4535951</v>
      </c>
      <c r="AI492" s="3">
        <f>[1]Results!AL241</f>
        <v>204.4819536</v>
      </c>
      <c r="AJ492" s="3">
        <f>[1]Results!AM241</f>
        <v>206.54637840000001</v>
      </c>
      <c r="AK492" s="3">
        <f>[1]Results!AN241</f>
        <v>208.647391</v>
      </c>
      <c r="AL492" s="3">
        <f>[1]Results!AO241</f>
        <v>210.7851177</v>
      </c>
      <c r="AM492" s="3">
        <f>[1]Results!AP241</f>
        <v>212.8848844</v>
      </c>
      <c r="AN492" s="3">
        <f>[1]Results!AQ241</f>
        <v>214.99802779999999</v>
      </c>
      <c r="AO492" s="3">
        <f>[1]Results!AR241</f>
        <v>217.13295020000001</v>
      </c>
      <c r="AP492" s="3">
        <f>[1]Results!AS241</f>
        <v>219.29347609999999</v>
      </c>
      <c r="AQ492" s="3">
        <f>[1]Results!AT241</f>
        <v>221.4820483</v>
      </c>
      <c r="AR492" s="3">
        <f>[1]Results!AU241</f>
        <v>223.70051230000001</v>
      </c>
      <c r="AS492" s="3">
        <f>[1]Results!AV241</f>
        <v>225.95031499999999</v>
      </c>
      <c r="AT492" s="3">
        <f>[1]Results!AW241</f>
        <v>228.23256960000001</v>
      </c>
      <c r="AU492" s="3">
        <f>[1]Results!AX241</f>
        <v>230.5480508</v>
      </c>
      <c r="AV492" s="3">
        <f>[1]Results!AY241</f>
        <v>232.89707430000001</v>
      </c>
      <c r="AW492" s="3">
        <f>[1]Results!AZ241</f>
        <v>235.285338</v>
      </c>
      <c r="AX492" s="3">
        <f>[1]Results!BA241</f>
        <v>237.7037047</v>
      </c>
      <c r="AY492" s="3">
        <f>[1]Results!BB241</f>
        <v>240.1489459</v>
      </c>
      <c r="AZ492" s="3">
        <f>[1]Results!BC241</f>
        <v>242.62557570000001</v>
      </c>
      <c r="BA492" s="3">
        <f>[1]Results!BD241</f>
        <v>245.13779400000001</v>
      </c>
      <c r="BB492" s="3">
        <f>[1]Results!BE241</f>
        <v>263.32302049999998</v>
      </c>
      <c r="BC492" s="3">
        <f>[1]Results!BF241</f>
        <v>266.90438410000002</v>
      </c>
      <c r="BD492" s="3">
        <f>[1]Results!BG241</f>
        <v>270.54608409999997</v>
      </c>
      <c r="BE492" s="3">
        <f>[1]Results!BH241</f>
        <v>274.249459</v>
      </c>
      <c r="BF492" s="3">
        <f>[1]Results!BI241</f>
        <v>278.01577370000001</v>
      </c>
    </row>
    <row r="493" spans="1:58" x14ac:dyDescent="0.35">
      <c r="A493" t="s">
        <v>38</v>
      </c>
      <c r="B493" s="3" t="str">
        <f>[1]Results!E242</f>
        <v>YG_toe_ccoa_0</v>
      </c>
      <c r="C493" s="3">
        <f>[1]Results!F242</f>
        <v>2.3953103800000002</v>
      </c>
      <c r="D493" s="3">
        <f>[1]Results!G242</f>
        <v>2.420634588</v>
      </c>
      <c r="E493" s="3">
        <f>[1]Results!H242</f>
        <v>2.447536323</v>
      </c>
      <c r="F493" s="3">
        <f>[1]Results!I242</f>
        <v>2.4770827469999999</v>
      </c>
      <c r="G493" s="3">
        <f>[1]Results!J242</f>
        <v>2.5093666809999999</v>
      </c>
      <c r="H493" s="3">
        <f>[1]Results!K242</f>
        <v>2.544174033</v>
      </c>
      <c r="I493" s="3">
        <f>[1]Results!L242</f>
        <v>2.5796162549999999</v>
      </c>
      <c r="J493" s="3">
        <f>[1]Results!M242</f>
        <v>2.6163531610000001</v>
      </c>
      <c r="K493" s="3">
        <f>[1]Results!N242</f>
        <v>2.6543178219999999</v>
      </c>
      <c r="L493" s="3">
        <f>[1]Results!O242</f>
        <v>2.6933564489999999</v>
      </c>
      <c r="M493" s="3">
        <f>[1]Results!P242</f>
        <v>2.7359851489999998</v>
      </c>
      <c r="N493" s="3">
        <f>[1]Results!Q242</f>
        <v>2.7776421330000001</v>
      </c>
      <c r="O493" s="3">
        <f>[1]Results!R242</f>
        <v>2.8196814450000001</v>
      </c>
      <c r="P493" s="3">
        <f>[1]Results!S242</f>
        <v>2.8623338139999999</v>
      </c>
      <c r="Q493" s="3">
        <f>[1]Results!T242</f>
        <v>2.905622143</v>
      </c>
      <c r="R493" s="3">
        <f>[1]Results!U242</f>
        <v>2.9495423449999998</v>
      </c>
      <c r="S493" s="3">
        <f>[1]Results!V242</f>
        <v>2.9940955370000002</v>
      </c>
      <c r="T493" s="3">
        <f>[1]Results!W242</f>
        <v>3.0392911659999999</v>
      </c>
      <c r="U493" s="3">
        <f>[1]Results!X242</f>
        <v>3.0851447959999998</v>
      </c>
      <c r="V493" s="3">
        <f>[1]Results!Y242</f>
        <v>3.1316753679999998</v>
      </c>
      <c r="W493" s="3">
        <f>[1]Results!Z242</f>
        <v>3.176928373</v>
      </c>
      <c r="X493" s="3">
        <f>[1]Results!AA242</f>
        <v>3.2242513669999999</v>
      </c>
      <c r="Y493" s="3">
        <f>[1]Results!AB242</f>
        <v>3.2726041060000002</v>
      </c>
      <c r="Z493" s="3">
        <f>[1]Results!AC242</f>
        <v>3.3217969909999998</v>
      </c>
      <c r="AA493" s="3">
        <f>[1]Results!AD242</f>
        <v>3.3718056760000001</v>
      </c>
      <c r="AB493" s="3">
        <f>[1]Results!AE242</f>
        <v>3.416912119</v>
      </c>
      <c r="AC493" s="3">
        <f>[1]Results!AF242</f>
        <v>3.464040872</v>
      </c>
      <c r="AD493" s="3">
        <f>[1]Results!AG242</f>
        <v>3.5119538659999998</v>
      </c>
      <c r="AE493" s="3">
        <f>[1]Results!AH242</f>
        <v>3.5604472010000001</v>
      </c>
      <c r="AF493" s="3">
        <f>[1]Results!AI242</f>
        <v>3.609519637</v>
      </c>
      <c r="AG493" s="3">
        <f>[1]Results!AJ242</f>
        <v>3.6592028179999998</v>
      </c>
      <c r="AH493" s="3">
        <f>[1]Results!AK242</f>
        <v>3.7095267569999999</v>
      </c>
      <c r="AI493" s="3">
        <f>[1]Results!AL242</f>
        <v>3.7605126699999998</v>
      </c>
      <c r="AJ493" s="3">
        <f>[1]Results!AM242</f>
        <v>3.8121724640000001</v>
      </c>
      <c r="AK493" s="3">
        <f>[1]Results!AN242</f>
        <v>3.8645102580000001</v>
      </c>
      <c r="AL493" s="3">
        <f>[1]Results!AO242</f>
        <v>3.9175245319999998</v>
      </c>
      <c r="AM493" s="3">
        <f>[1]Results!AP242</f>
        <v>3.96981407</v>
      </c>
      <c r="AN493" s="3">
        <f>[1]Results!AQ242</f>
        <v>4.0223101909999999</v>
      </c>
      <c r="AO493" s="3">
        <f>[1]Results!AR242</f>
        <v>4.0752093790000004</v>
      </c>
      <c r="AP493" s="3">
        <f>[1]Results!AS242</f>
        <v>4.1285652519999996</v>
      </c>
      <c r="AQ493" s="3">
        <f>[1]Results!AT242</f>
        <v>4.1824051820000001</v>
      </c>
      <c r="AR493" s="3">
        <f>[1]Results!AU242</f>
        <v>4.2367514430000002</v>
      </c>
      <c r="AS493" s="3">
        <f>[1]Results!AV242</f>
        <v>4.291623907</v>
      </c>
      <c r="AT493" s="3">
        <f>[1]Results!AW242</f>
        <v>4.3470394910000003</v>
      </c>
      <c r="AU493" s="3">
        <f>[1]Results!AX242</f>
        <v>4.4030115460000001</v>
      </c>
      <c r="AV493" s="3">
        <f>[1]Results!AY242</f>
        <v>4.4595492029999999</v>
      </c>
      <c r="AW493" s="3">
        <f>[1]Results!AZ242</f>
        <v>4.5167821180000001</v>
      </c>
      <c r="AX493" s="3">
        <f>[1]Results!BA242</f>
        <v>4.5746674479999996</v>
      </c>
      <c r="AY493" s="3">
        <f>[1]Results!BB242</f>
        <v>4.633201379</v>
      </c>
      <c r="AZ493" s="3">
        <f>[1]Results!BC242</f>
        <v>4.6923859119999998</v>
      </c>
      <c r="BA493" s="3">
        <f>[1]Results!BD242</f>
        <v>4.7522222789999997</v>
      </c>
      <c r="BB493" s="3">
        <f>[1]Results!BE242</f>
        <v>5.2808698180000002</v>
      </c>
      <c r="BC493" s="3">
        <f>[1]Results!BF242</f>
        <v>5.3692964270000001</v>
      </c>
      <c r="BD493" s="3">
        <f>[1]Results!BG242</f>
        <v>5.4590872729999997</v>
      </c>
      <c r="BE493" s="3">
        <f>[1]Results!BH242</f>
        <v>5.5502613419999998</v>
      </c>
      <c r="BF493" s="3">
        <f>[1]Results!BI242</f>
        <v>5.6428395079999998</v>
      </c>
    </row>
    <row r="494" spans="1:58" x14ac:dyDescent="0.35">
      <c r="B494" s="3" t="s">
        <v>74</v>
      </c>
      <c r="C494" s="3">
        <f>SUM(C495:C497)</f>
        <v>51.443956001000004</v>
      </c>
      <c r="D494" s="3">
        <f t="shared" ref="D494:AL494" si="305">SUM(D495:D497)</f>
        <v>51.777455504999999</v>
      </c>
      <c r="E494" s="3">
        <f t="shared" si="305"/>
        <v>52.083240119000003</v>
      </c>
      <c r="F494" s="3">
        <f t="shared" si="305"/>
        <v>52.441258480000002</v>
      </c>
      <c r="G494" s="3">
        <f t="shared" si="305"/>
        <v>52.871554461000002</v>
      </c>
      <c r="H494" s="3">
        <f t="shared" si="305"/>
        <v>53.372867627000005</v>
      </c>
      <c r="I494" s="3">
        <f t="shared" si="305"/>
        <v>53.908570935</v>
      </c>
      <c r="J494" s="3">
        <f t="shared" si="305"/>
        <v>54.484149862999999</v>
      </c>
      <c r="K494" s="3">
        <f t="shared" si="305"/>
        <v>55.091570038</v>
      </c>
      <c r="L494" s="3">
        <f t="shared" si="305"/>
        <v>55.723795957000007</v>
      </c>
      <c r="M494" s="3">
        <f t="shared" si="305"/>
        <v>56.421206032000001</v>
      </c>
      <c r="N494" s="3">
        <f t="shared" si="305"/>
        <v>57.103365819000004</v>
      </c>
      <c r="O494" s="3">
        <f t="shared" si="305"/>
        <v>57.794246715999996</v>
      </c>
      <c r="P494" s="3">
        <f t="shared" si="305"/>
        <v>58.494115562000005</v>
      </c>
      <c r="Q494" s="3">
        <f t="shared" si="305"/>
        <v>59.202143182999997</v>
      </c>
      <c r="R494" s="3">
        <f t="shared" si="305"/>
        <v>59.917625545</v>
      </c>
      <c r="S494" s="3">
        <f t="shared" si="305"/>
        <v>60.640150039999995</v>
      </c>
      <c r="T494" s="3">
        <f t="shared" si="305"/>
        <v>61.369553398000001</v>
      </c>
      <c r="U494" s="3">
        <f t="shared" si="305"/>
        <v>62.105853213000003</v>
      </c>
      <c r="V494" s="3">
        <f t="shared" si="305"/>
        <v>62.849190313000001</v>
      </c>
      <c r="W494" s="3">
        <f t="shared" si="305"/>
        <v>63.566048776999999</v>
      </c>
      <c r="X494" s="3">
        <f t="shared" si="305"/>
        <v>64.313545466999997</v>
      </c>
      <c r="Y494" s="3">
        <f t="shared" si="305"/>
        <v>65.072193861000002</v>
      </c>
      <c r="Z494" s="3">
        <f t="shared" si="305"/>
        <v>65.840746288999995</v>
      </c>
      <c r="AA494" s="3">
        <f t="shared" si="305"/>
        <v>66.619161004999995</v>
      </c>
      <c r="AB494" s="3">
        <f t="shared" si="305"/>
        <v>67.310332833999993</v>
      </c>
      <c r="AC494" s="3">
        <f t="shared" si="305"/>
        <v>68.032300508999995</v>
      </c>
      <c r="AD494" s="3">
        <f t="shared" si="305"/>
        <v>68.759059108999992</v>
      </c>
      <c r="AE494" s="3">
        <f t="shared" si="305"/>
        <v>69.490555655000009</v>
      </c>
      <c r="AF494" s="3">
        <f t="shared" si="305"/>
        <v>70.228052302999998</v>
      </c>
      <c r="AG494" s="3">
        <f t="shared" si="305"/>
        <v>70.972869794999994</v>
      </c>
      <c r="AH494" s="3">
        <f t="shared" si="305"/>
        <v>71.726112197999996</v>
      </c>
      <c r="AI494" s="3">
        <f t="shared" si="305"/>
        <v>72.488619325999991</v>
      </c>
      <c r="AJ494" s="3">
        <f t="shared" si="305"/>
        <v>73.260992095000006</v>
      </c>
      <c r="AK494" s="3">
        <f t="shared" si="305"/>
        <v>74.043639185000004</v>
      </c>
      <c r="AL494" s="3">
        <f t="shared" si="305"/>
        <v>74.836826536999993</v>
      </c>
      <c r="AM494" s="3">
        <f t="shared" ref="AM494:BC494" si="306">SUM(AM495:AM497)</f>
        <v>75.617290619999991</v>
      </c>
      <c r="AN494" s="3">
        <f t="shared" si="306"/>
        <v>76.40108502999999</v>
      </c>
      <c r="AO494" s="3">
        <f t="shared" si="306"/>
        <v>77.190491754999982</v>
      </c>
      <c r="AP494" s="3">
        <f t="shared" si="306"/>
        <v>77.986700200000001</v>
      </c>
      <c r="AQ494" s="3">
        <f t="shared" si="306"/>
        <v>78.790638178999998</v>
      </c>
      <c r="AR494" s="3">
        <f t="shared" si="306"/>
        <v>79.603105857000003</v>
      </c>
      <c r="AS494" s="3">
        <f t="shared" si="306"/>
        <v>80.424779025000007</v>
      </c>
      <c r="AT494" s="3">
        <f t="shared" si="306"/>
        <v>81.256200086999996</v>
      </c>
      <c r="AU494" s="3">
        <f t="shared" si="306"/>
        <v>82.097772517999999</v>
      </c>
      <c r="AV494" s="3">
        <f t="shared" si="306"/>
        <v>82.949739125999997</v>
      </c>
      <c r="AW494" s="3">
        <f t="shared" si="306"/>
        <v>83.814141750000005</v>
      </c>
      <c r="AX494" s="3">
        <f t="shared" si="306"/>
        <v>84.689672141999992</v>
      </c>
      <c r="AY494" s="3">
        <f t="shared" si="306"/>
        <v>85.576072797999998</v>
      </c>
      <c r="AZ494" s="3">
        <f t="shared" si="306"/>
        <v>86.473852179000005</v>
      </c>
      <c r="BA494" s="3">
        <f t="shared" si="306"/>
        <v>87.383431674999997</v>
      </c>
      <c r="BB494" s="3">
        <f t="shared" si="306"/>
        <v>95.000434229000007</v>
      </c>
      <c r="BC494" s="3">
        <f t="shared" si="306"/>
        <v>96.305679523999999</v>
      </c>
      <c r="BD494" s="3">
        <f t="shared" ref="BD494:BF494" si="307">SUM(BD495:BD497)</f>
        <v>97.631281221000009</v>
      </c>
      <c r="BE494" s="3">
        <f t="shared" si="307"/>
        <v>98.977784716999992</v>
      </c>
      <c r="BF494" s="3">
        <f t="shared" si="307"/>
        <v>100.34575763000001</v>
      </c>
    </row>
    <row r="495" spans="1:58" x14ac:dyDescent="0.35">
      <c r="B495" s="3" t="str">
        <f>[1]Results!E245</f>
        <v>YG_toe_ccoi_0</v>
      </c>
      <c r="C495" s="3">
        <f>[1]Results!F245</f>
        <v>1.0973689259999999</v>
      </c>
      <c r="D495" s="3">
        <f>[1]Results!G245</f>
        <v>1.1057038960000001</v>
      </c>
      <c r="E495" s="3">
        <f>[1]Results!H245</f>
        <v>1.1130509319999999</v>
      </c>
      <c r="F495" s="3">
        <f>[1]Results!I245</f>
        <v>1.121294832</v>
      </c>
      <c r="G495" s="3">
        <f>[1]Results!J245</f>
        <v>1.1309730769999999</v>
      </c>
      <c r="H495" s="3">
        <f>[1]Results!K245</f>
        <v>1.1421154529999999</v>
      </c>
      <c r="I495" s="3">
        <f>[1]Results!L245</f>
        <v>1.153956024</v>
      </c>
      <c r="J495" s="3">
        <f>[1]Results!M245</f>
        <v>1.166592182</v>
      </c>
      <c r="K495" s="3">
        <f>[1]Results!N245</f>
        <v>1.179891311</v>
      </c>
      <c r="L495" s="3">
        <f>[1]Results!O245</f>
        <v>1.1937072630000001</v>
      </c>
      <c r="M495" s="3">
        <f>[1]Results!P245</f>
        <v>1.2089186700000001</v>
      </c>
      <c r="N495" s="3">
        <f>[1]Results!Q245</f>
        <v>1.223835301</v>
      </c>
      <c r="O495" s="3">
        <f>[1]Results!R245</f>
        <v>1.2388558940000001</v>
      </c>
      <c r="P495" s="3">
        <f>[1]Results!S245</f>
        <v>1.2540528419999999</v>
      </c>
      <c r="Q495" s="3">
        <f>[1]Results!T245</f>
        <v>1.2694263589999999</v>
      </c>
      <c r="R495" s="3">
        <f>[1]Results!U245</f>
        <v>1.2849680990000001</v>
      </c>
      <c r="S495" s="3">
        <f>[1]Results!V245</f>
        <v>1.3006731840000001</v>
      </c>
      <c r="T495" s="3">
        <f>[1]Results!W245</f>
        <v>1.3165411579999999</v>
      </c>
      <c r="U495" s="3">
        <f>[1]Results!X245</f>
        <v>1.332574946</v>
      </c>
      <c r="V495" s="3">
        <f>[1]Results!Y245</f>
        <v>1.3487797370000001</v>
      </c>
      <c r="W495" s="3">
        <f>[1]Results!Z245</f>
        <v>1.3644293789999999</v>
      </c>
      <c r="X495" s="3">
        <f>[1]Results!AA245</f>
        <v>1.3807250440000001</v>
      </c>
      <c r="Y495" s="3">
        <f>[1]Results!AB245</f>
        <v>1.3973379239999999</v>
      </c>
      <c r="Z495" s="3">
        <f>[1]Results!AC245</f>
        <v>1.4141959770000001</v>
      </c>
      <c r="AA495" s="3">
        <f>[1]Results!AD245</f>
        <v>1.4312892660000001</v>
      </c>
      <c r="AB495" s="3">
        <f>[1]Results!AE245</f>
        <v>1.4465075030000001</v>
      </c>
      <c r="AC495" s="3">
        <f>[1]Results!AF245</f>
        <v>1.4622970449999999</v>
      </c>
      <c r="AD495" s="3">
        <f>[1]Results!AG245</f>
        <v>1.4783070890000001</v>
      </c>
      <c r="AE495" s="3">
        <f>[1]Results!AH245</f>
        <v>1.4944760850000001</v>
      </c>
      <c r="AF495" s="3">
        <f>[1]Results!AI245</f>
        <v>1.5108136430000001</v>
      </c>
      <c r="AG495" s="3">
        <f>[1]Results!AJ245</f>
        <v>1.5273411649999999</v>
      </c>
      <c r="AH495" s="3">
        <f>[1]Results!AK245</f>
        <v>1.544078458</v>
      </c>
      <c r="AI495" s="3">
        <f>[1]Results!AL245</f>
        <v>1.561040926</v>
      </c>
      <c r="AJ495" s="3">
        <f>[1]Results!AM245</f>
        <v>1.5782395250000001</v>
      </c>
      <c r="AK495" s="3">
        <f>[1]Results!AN245</f>
        <v>1.5956815150000001</v>
      </c>
      <c r="AL495" s="3">
        <f>[1]Results!AO245</f>
        <v>1.613371377</v>
      </c>
      <c r="AM495" s="3">
        <f>[1]Results!AP245</f>
        <v>1.63080223</v>
      </c>
      <c r="AN495" s="3">
        <f>[1]Results!AQ245</f>
        <v>1.64829322</v>
      </c>
      <c r="AO495" s="3">
        <f>[1]Results!AR245</f>
        <v>1.665929505</v>
      </c>
      <c r="AP495" s="3">
        <f>[1]Results!AS245</f>
        <v>1.6837411200000001</v>
      </c>
      <c r="AQ495" s="3">
        <f>[1]Results!AT245</f>
        <v>1.7017460689999999</v>
      </c>
      <c r="AR495" s="3">
        <f>[1]Results!AU245</f>
        <v>1.719958807</v>
      </c>
      <c r="AS495" s="3">
        <f>[1]Results!AV245</f>
        <v>1.7383914650000001</v>
      </c>
      <c r="AT495" s="3">
        <f>[1]Results!AW245</f>
        <v>1.7570538170000001</v>
      </c>
      <c r="AU495" s="3">
        <f>[1]Results!AX245</f>
        <v>1.7759530880000001</v>
      </c>
      <c r="AV495" s="3">
        <f>[1]Results!AY245</f>
        <v>1.7950933259999999</v>
      </c>
      <c r="AW495" s="3">
        <f>[1]Results!AZ245</f>
        <v>1.8145177800000001</v>
      </c>
      <c r="AX495" s="3">
        <f>[1]Results!BA245</f>
        <v>1.8341973620000001</v>
      </c>
      <c r="AY495" s="3">
        <f>[1]Results!BB245</f>
        <v>1.8541203479999999</v>
      </c>
      <c r="AZ495" s="3">
        <f>[1]Results!BC245</f>
        <v>1.874299159</v>
      </c>
      <c r="BA495" s="3">
        <f>[1]Results!BD245</f>
        <v>1.894746695</v>
      </c>
      <c r="BB495" s="3">
        <f>[1]Results!BE245</f>
        <v>2.0594486289999998</v>
      </c>
      <c r="BC495" s="3">
        <f>[1]Results!BF245</f>
        <v>2.0887388640000002</v>
      </c>
      <c r="BD495" s="3">
        <f>[1]Results!BG245</f>
        <v>2.118508641</v>
      </c>
      <c r="BE495" s="3">
        <f>[1]Results!BH245</f>
        <v>2.1487698270000002</v>
      </c>
      <c r="BF495" s="3">
        <f>[1]Results!BI245</f>
        <v>2.1795345500000001</v>
      </c>
    </row>
    <row r="496" spans="1:58" x14ac:dyDescent="0.35">
      <c r="B496" s="3" t="str">
        <f>[1]Results!E248</f>
        <v>YG_toe_cfut_0</v>
      </c>
      <c r="C496" s="3">
        <f>[1]Results!F248</f>
        <v>42.403763189999999</v>
      </c>
      <c r="D496" s="3">
        <f>[1]Results!G248</f>
        <v>42.671330269999999</v>
      </c>
      <c r="E496" s="3">
        <f>[1]Results!H248</f>
        <v>42.920814290000003</v>
      </c>
      <c r="F496" s="3">
        <f>[1]Results!I248</f>
        <v>43.221645610000003</v>
      </c>
      <c r="G496" s="3">
        <f>[1]Results!J248</f>
        <v>43.59053445</v>
      </c>
      <c r="H496" s="3">
        <f>[1]Results!K248</f>
        <v>44.022083260000002</v>
      </c>
      <c r="I496" s="3">
        <f>[1]Results!L248</f>
        <v>44.483522000000001</v>
      </c>
      <c r="J496" s="3">
        <f>[1]Results!M248</f>
        <v>44.97873319</v>
      </c>
      <c r="K496" s="3">
        <f>[1]Results!N248</f>
        <v>45.500559770000002</v>
      </c>
      <c r="L496" s="3">
        <f>[1]Results!O248</f>
        <v>46.043145780000003</v>
      </c>
      <c r="M496" s="3">
        <f>[1]Results!P248</f>
        <v>46.639897910000002</v>
      </c>
      <c r="N496" s="3">
        <f>[1]Results!Q248</f>
        <v>47.223769050000001</v>
      </c>
      <c r="O496" s="3">
        <f>[1]Results!R248</f>
        <v>47.81572371</v>
      </c>
      <c r="P496" s="3">
        <f>[1]Results!S248</f>
        <v>48.415613700000002</v>
      </c>
      <c r="Q496" s="3">
        <f>[1]Results!T248</f>
        <v>49.022576489999999</v>
      </c>
      <c r="R496" s="3">
        <f>[1]Results!U248</f>
        <v>49.635924350000003</v>
      </c>
      <c r="S496" s="3">
        <f>[1]Results!V248</f>
        <v>50.255243350000001</v>
      </c>
      <c r="T496" s="3">
        <f>[1]Results!W248</f>
        <v>50.880344460000003</v>
      </c>
      <c r="U496" s="3">
        <f>[1]Results!X248</f>
        <v>51.511200590000001</v>
      </c>
      <c r="V496" s="3">
        <f>[1]Results!Y248</f>
        <v>52.147895480000003</v>
      </c>
      <c r="W496" s="3">
        <f>[1]Results!Z248</f>
        <v>52.762622999999998</v>
      </c>
      <c r="X496" s="3">
        <f>[1]Results!AA248</f>
        <v>53.403172929999997</v>
      </c>
      <c r="Y496" s="3">
        <f>[1]Results!AB248</f>
        <v>54.052528629999998</v>
      </c>
      <c r="Z496" s="3">
        <f>[1]Results!AC248</f>
        <v>54.709884340000002</v>
      </c>
      <c r="AA496" s="3">
        <f>[1]Results!AD248</f>
        <v>55.375289070000001</v>
      </c>
      <c r="AB496" s="3">
        <f>[1]Results!AE248</f>
        <v>55.968175449999997</v>
      </c>
      <c r="AC496" s="3">
        <f>[1]Results!AF248</f>
        <v>56.587890250000001</v>
      </c>
      <c r="AD496" s="3">
        <f>[1]Results!AG248</f>
        <v>57.211059280000001</v>
      </c>
      <c r="AE496" s="3">
        <f>[1]Results!AH248</f>
        <v>57.837820030000003</v>
      </c>
      <c r="AF496" s="3">
        <f>[1]Results!AI248</f>
        <v>58.46931927</v>
      </c>
      <c r="AG496" s="3">
        <f>[1]Results!AJ248</f>
        <v>59.106717519999997</v>
      </c>
      <c r="AH496" s="3">
        <f>[1]Results!AK248</f>
        <v>59.75097177</v>
      </c>
      <c r="AI496" s="3">
        <f>[1]Results!AL248</f>
        <v>60.402807989999999</v>
      </c>
      <c r="AJ496" s="3">
        <f>[1]Results!AM248</f>
        <v>61.062747139999999</v>
      </c>
      <c r="AK496" s="3">
        <f>[1]Results!AN248</f>
        <v>61.731146369999998</v>
      </c>
      <c r="AL496" s="3">
        <f>[1]Results!AO248</f>
        <v>62.408241519999997</v>
      </c>
      <c r="AM496" s="3">
        <f>[1]Results!AP248</f>
        <v>63.074682750000001</v>
      </c>
      <c r="AN496" s="3">
        <f>[1]Results!AQ248</f>
        <v>63.744179369999998</v>
      </c>
      <c r="AO496" s="3">
        <f>[1]Results!AR248</f>
        <v>64.418396849999993</v>
      </c>
      <c r="AP496" s="3">
        <f>[1]Results!AS248</f>
        <v>65.098244010000002</v>
      </c>
      <c r="AQ496" s="3">
        <f>[1]Results!AT248</f>
        <v>65.784468110000006</v>
      </c>
      <c r="AR496" s="3">
        <f>[1]Results!AU248</f>
        <v>66.477733479999998</v>
      </c>
      <c r="AS496" s="3">
        <f>[1]Results!AV248</f>
        <v>67.17861207</v>
      </c>
      <c r="AT496" s="3">
        <f>[1]Results!AW248</f>
        <v>67.887573009999997</v>
      </c>
      <c r="AU496" s="3">
        <f>[1]Results!AX248</f>
        <v>68.60498346</v>
      </c>
      <c r="AV496" s="3">
        <f>[1]Results!AY248</f>
        <v>69.331117460000002</v>
      </c>
      <c r="AW496" s="3">
        <f>[1]Results!AZ248</f>
        <v>70.067921859999998</v>
      </c>
      <c r="AX496" s="3">
        <f>[1]Results!BA248</f>
        <v>70.814276699999994</v>
      </c>
      <c r="AY496" s="3">
        <f>[1]Results!BB248</f>
        <v>71.570129710000003</v>
      </c>
      <c r="AZ496" s="3">
        <f>[1]Results!BC248</f>
        <v>72.33553938</v>
      </c>
      <c r="BA496" s="3">
        <f>[1]Results!BD248</f>
        <v>73.110565460000004</v>
      </c>
      <c r="BB496" s="3">
        <f>[1]Results!BE248</f>
        <v>79.660940400000001</v>
      </c>
      <c r="BC496" s="3">
        <f>[1]Results!BF248</f>
        <v>80.770912499999994</v>
      </c>
      <c r="BD496" s="3">
        <f>[1]Results!BG248</f>
        <v>81.898136870000002</v>
      </c>
      <c r="BE496" s="3">
        <f>[1]Results!BH248</f>
        <v>83.043075369999997</v>
      </c>
      <c r="BF496" s="3">
        <f>[1]Results!BI248</f>
        <v>84.206216670000003</v>
      </c>
    </row>
    <row r="497" spans="1:58" x14ac:dyDescent="0.35">
      <c r="B497" s="3" t="str">
        <f>[1]Results!E251</f>
        <v>YG_toe_cfuh_0</v>
      </c>
      <c r="C497" s="3">
        <f>[1]Results!F251</f>
        <v>7.9428238850000001</v>
      </c>
      <c r="D497" s="3">
        <f>[1]Results!G251</f>
        <v>8.0004213390000007</v>
      </c>
      <c r="E497" s="3">
        <f>[1]Results!H251</f>
        <v>8.0493748969999999</v>
      </c>
      <c r="F497" s="3">
        <f>[1]Results!I251</f>
        <v>8.0983180380000004</v>
      </c>
      <c r="G497" s="3">
        <f>[1]Results!J251</f>
        <v>8.1500469340000006</v>
      </c>
      <c r="H497" s="3">
        <f>[1]Results!K251</f>
        <v>8.2086689140000004</v>
      </c>
      <c r="I497" s="3">
        <f>[1]Results!L251</f>
        <v>8.2710929110000002</v>
      </c>
      <c r="J497" s="3">
        <f>[1]Results!M251</f>
        <v>8.3388244910000004</v>
      </c>
      <c r="K497" s="3">
        <f>[1]Results!N251</f>
        <v>8.4111189569999993</v>
      </c>
      <c r="L497" s="3">
        <f>[1]Results!O251</f>
        <v>8.4869429140000001</v>
      </c>
      <c r="M497" s="3">
        <f>[1]Results!P251</f>
        <v>8.5723894519999995</v>
      </c>
      <c r="N497" s="3">
        <f>[1]Results!Q251</f>
        <v>8.6557614679999997</v>
      </c>
      <c r="O497" s="3">
        <f>[1]Results!R251</f>
        <v>8.7396671119999993</v>
      </c>
      <c r="P497" s="3">
        <f>[1]Results!S251</f>
        <v>8.8244490199999994</v>
      </c>
      <c r="Q497" s="3">
        <f>[1]Results!T251</f>
        <v>8.9101403339999994</v>
      </c>
      <c r="R497" s="3">
        <f>[1]Results!U251</f>
        <v>8.9967330959999998</v>
      </c>
      <c r="S497" s="3">
        <f>[1]Results!V251</f>
        <v>9.0842335060000003</v>
      </c>
      <c r="T497" s="3">
        <f>[1]Results!W251</f>
        <v>9.1726677799999994</v>
      </c>
      <c r="U497" s="3">
        <f>[1]Results!X251</f>
        <v>9.2620776770000006</v>
      </c>
      <c r="V497" s="3">
        <f>[1]Results!Y251</f>
        <v>9.3525150959999994</v>
      </c>
      <c r="W497" s="3">
        <f>[1]Results!Z251</f>
        <v>9.4389963980000005</v>
      </c>
      <c r="X497" s="3">
        <f>[1]Results!AA251</f>
        <v>9.5296474930000006</v>
      </c>
      <c r="Y497" s="3">
        <f>[1]Results!AB251</f>
        <v>9.6223273070000008</v>
      </c>
      <c r="Z497" s="3">
        <f>[1]Results!AC251</f>
        <v>9.7166659719999995</v>
      </c>
      <c r="AA497" s="3">
        <f>[1]Results!AD251</f>
        <v>9.8125826689999993</v>
      </c>
      <c r="AB497" s="3">
        <f>[1]Results!AE251</f>
        <v>9.8956498810000006</v>
      </c>
      <c r="AC497" s="3">
        <f>[1]Results!AF251</f>
        <v>9.982113214</v>
      </c>
      <c r="AD497" s="3">
        <f>[1]Results!AG251</f>
        <v>10.069692740000001</v>
      </c>
      <c r="AE497" s="3">
        <f>[1]Results!AH251</f>
        <v>10.15825954</v>
      </c>
      <c r="AF497" s="3">
        <f>[1]Results!AI251</f>
        <v>10.24791939</v>
      </c>
      <c r="AG497" s="3">
        <f>[1]Results!AJ251</f>
        <v>10.33881111</v>
      </c>
      <c r="AH497" s="3">
        <f>[1]Results!AK251</f>
        <v>10.43106197</v>
      </c>
      <c r="AI497" s="3">
        <f>[1]Results!AL251</f>
        <v>10.52477041</v>
      </c>
      <c r="AJ497" s="3">
        <f>[1]Results!AM251</f>
        <v>10.620005430000001</v>
      </c>
      <c r="AK497" s="3">
        <f>[1]Results!AN251</f>
        <v>10.7168113</v>
      </c>
      <c r="AL497" s="3">
        <f>[1]Results!AO251</f>
        <v>10.81521364</v>
      </c>
      <c r="AM497" s="3">
        <f>[1]Results!AP251</f>
        <v>10.911805640000001</v>
      </c>
      <c r="AN497" s="3">
        <f>[1]Results!AQ251</f>
        <v>11.00861244</v>
      </c>
      <c r="AO497" s="3">
        <f>[1]Results!AR251</f>
        <v>11.1061654</v>
      </c>
      <c r="AP497" s="3">
        <f>[1]Results!AS251</f>
        <v>11.204715070000001</v>
      </c>
      <c r="AQ497" s="3">
        <f>[1]Results!AT251</f>
        <v>11.304423999999999</v>
      </c>
      <c r="AR497" s="3">
        <f>[1]Results!AU251</f>
        <v>11.40541357</v>
      </c>
      <c r="AS497" s="3">
        <f>[1]Results!AV251</f>
        <v>11.50777549</v>
      </c>
      <c r="AT497" s="3">
        <f>[1]Results!AW251</f>
        <v>11.61157326</v>
      </c>
      <c r="AU497" s="3">
        <f>[1]Results!AX251</f>
        <v>11.71683597</v>
      </c>
      <c r="AV497" s="3">
        <f>[1]Results!AY251</f>
        <v>11.823528339999999</v>
      </c>
      <c r="AW497" s="3">
        <f>[1]Results!AZ251</f>
        <v>11.93170211</v>
      </c>
      <c r="AX497" s="3">
        <f>[1]Results!BA251</f>
        <v>12.041198079999999</v>
      </c>
      <c r="AY497" s="3">
        <f>[1]Results!BB251</f>
        <v>12.15182274</v>
      </c>
      <c r="AZ497" s="3">
        <f>[1]Results!BC251</f>
        <v>12.26401364</v>
      </c>
      <c r="BA497" s="3">
        <f>[1]Results!BD251</f>
        <v>12.37811952</v>
      </c>
      <c r="BB497" s="3">
        <f>[1]Results!BE251</f>
        <v>13.2800452</v>
      </c>
      <c r="BC497" s="3">
        <f>[1]Results!BF251</f>
        <v>13.446028159999999</v>
      </c>
      <c r="BD497" s="3">
        <f>[1]Results!BG251</f>
        <v>13.61463571</v>
      </c>
      <c r="BE497" s="3">
        <f>[1]Results!BH251</f>
        <v>13.785939519999999</v>
      </c>
      <c r="BF497" s="3">
        <f>[1]Results!BI251</f>
        <v>13.96000641</v>
      </c>
    </row>
    <row r="498" spans="1:58" x14ac:dyDescent="0.35">
      <c r="B498" s="3" t="str">
        <f>[1]Results!E253</f>
        <v>YG_toe_cgas_0</v>
      </c>
      <c r="C498" s="3">
        <f>[1]Results!F253</f>
        <v>6.6062603260000001</v>
      </c>
      <c r="D498" s="3">
        <f>[1]Results!G253</f>
        <v>6.6480353189999999</v>
      </c>
      <c r="E498" s="3">
        <f>[1]Results!H253</f>
        <v>6.6704480979999996</v>
      </c>
      <c r="F498" s="3">
        <f>[1]Results!I253</f>
        <v>6.6792893150000001</v>
      </c>
      <c r="G498" s="3">
        <f>[1]Results!J253</f>
        <v>6.6778001150000001</v>
      </c>
      <c r="H498" s="3">
        <f>[1]Results!K253</f>
        <v>6.6752582450000002</v>
      </c>
      <c r="I498" s="3">
        <f>[1]Results!L253</f>
        <v>6.6708197340000002</v>
      </c>
      <c r="J498" s="3">
        <f>[1]Results!M253</f>
        <v>6.6697477059999999</v>
      </c>
      <c r="K498" s="3">
        <f>[1]Results!N253</f>
        <v>6.6711558799999997</v>
      </c>
      <c r="L498" s="3">
        <f>[1]Results!O253</f>
        <v>6.6741640569999996</v>
      </c>
      <c r="M498" s="3">
        <f>[1]Results!P253</f>
        <v>6.6860734559999999</v>
      </c>
      <c r="N498" s="3">
        <f>[1]Results!Q253</f>
        <v>6.6900411289999999</v>
      </c>
      <c r="O498" s="3">
        <f>[1]Results!R253</f>
        <v>6.6946568720000004</v>
      </c>
      <c r="P498" s="3">
        <f>[1]Results!S253</f>
        <v>6.6998823529999996</v>
      </c>
      <c r="Q498" s="3">
        <f>[1]Results!T253</f>
        <v>6.7059279050000002</v>
      </c>
      <c r="R498" s="3">
        <f>[1]Results!U253</f>
        <v>6.7129277869999999</v>
      </c>
      <c r="S498" s="3">
        <f>[1]Results!V253</f>
        <v>6.720933252</v>
      </c>
      <c r="T498" s="3">
        <f>[1]Results!W253</f>
        <v>6.7299378929999998</v>
      </c>
      <c r="U498" s="3">
        <f>[1]Results!X253</f>
        <v>6.7398985749999998</v>
      </c>
      <c r="V498" s="3">
        <f>[1]Results!Y253</f>
        <v>6.7507501169999999</v>
      </c>
      <c r="W498" s="3">
        <f>[1]Results!Z253</f>
        <v>6.7568753900000003</v>
      </c>
      <c r="X498" s="3">
        <f>[1]Results!AA253</f>
        <v>6.7699867730000003</v>
      </c>
      <c r="Y498" s="3">
        <f>[1]Results!AB253</f>
        <v>6.7836347879999996</v>
      </c>
      <c r="Z498" s="3">
        <f>[1]Results!AC253</f>
        <v>6.7978218259999998</v>
      </c>
      <c r="AA498" s="3">
        <f>[1]Results!AD253</f>
        <v>6.812380611</v>
      </c>
      <c r="AB498" s="3">
        <f>[1]Results!AE253</f>
        <v>6.8115621979999998</v>
      </c>
      <c r="AC498" s="3">
        <f>[1]Results!AF253</f>
        <v>6.8214315350000003</v>
      </c>
      <c r="AD498" s="3">
        <f>[1]Results!AG253</f>
        <v>6.8320570370000002</v>
      </c>
      <c r="AE498" s="3">
        <f>[1]Results!AH253</f>
        <v>6.8435382169999999</v>
      </c>
      <c r="AF498" s="3">
        <f>[1]Results!AI253</f>
        <v>6.8554908770000003</v>
      </c>
      <c r="AG498" s="3">
        <f>[1]Results!AJ253</f>
        <v>6.8675970270000004</v>
      </c>
      <c r="AH498" s="3">
        <f>[1]Results!AK253</f>
        <v>6.8796483149999998</v>
      </c>
      <c r="AI498" s="3">
        <f>[1]Results!AL253</f>
        <v>6.8915221229999997</v>
      </c>
      <c r="AJ498" s="3">
        <f>[1]Results!AM253</f>
        <v>6.9031589440000003</v>
      </c>
      <c r="AK498" s="3">
        <f>[1]Results!AN253</f>
        <v>6.9145443159999997</v>
      </c>
      <c r="AL498" s="3">
        <f>[1]Results!AO253</f>
        <v>6.9256946399999997</v>
      </c>
      <c r="AM498" s="3">
        <f>[1]Results!AP253</f>
        <v>6.9330358920000004</v>
      </c>
      <c r="AN498" s="3">
        <f>[1]Results!AQ253</f>
        <v>6.9408048469999999</v>
      </c>
      <c r="AO498" s="3">
        <f>[1]Results!AR253</f>
        <v>6.9489015380000003</v>
      </c>
      <c r="AP498" s="3">
        <f>[1]Results!AS253</f>
        <v>6.9573271029999999</v>
      </c>
      <c r="AQ498" s="3">
        <f>[1]Results!AT253</f>
        <v>6.9660338380000004</v>
      </c>
      <c r="AR498" s="3">
        <f>[1]Results!AU253</f>
        <v>6.9749454350000004</v>
      </c>
      <c r="AS498" s="3">
        <f>[1]Results!AV253</f>
        <v>6.9839788680000003</v>
      </c>
      <c r="AT498" s="3">
        <f>[1]Results!AW253</f>
        <v>6.9930499340000001</v>
      </c>
      <c r="AU498" s="3">
        <f>[1]Results!AX253</f>
        <v>7.0020593829999997</v>
      </c>
      <c r="AV498" s="3">
        <f>[1]Results!AY253</f>
        <v>7.0108417090000001</v>
      </c>
      <c r="AW498" s="3">
        <f>[1]Results!AZ253</f>
        <v>7.0192825220000001</v>
      </c>
      <c r="AX498" s="3">
        <f>[1]Results!BA253</f>
        <v>7.0268420169999999</v>
      </c>
      <c r="AY498" s="3">
        <f>[1]Results!BB253</f>
        <v>7.032341239</v>
      </c>
      <c r="AZ498" s="3">
        <f>[1]Results!BC253</f>
        <v>7.0376309619999997</v>
      </c>
      <c r="BA498" s="3">
        <f>[1]Results!BD253</f>
        <v>7.0441851570000003</v>
      </c>
      <c r="BB498" s="3">
        <f>[1]Results!BE253</f>
        <v>6.5550224909999999</v>
      </c>
      <c r="BC498" s="3">
        <f>[1]Results!BF253</f>
        <v>6.5727831459999999</v>
      </c>
      <c r="BD498" s="3">
        <f>[1]Results!BG253</f>
        <v>6.5912239770000003</v>
      </c>
      <c r="BE498" s="3">
        <f>[1]Results!BH253</f>
        <v>6.6103602400000003</v>
      </c>
      <c r="BF498" s="3">
        <f>[1]Results!BI253</f>
        <v>6.6301887920000002</v>
      </c>
    </row>
    <row r="499" spans="1:58" x14ac:dyDescent="0.35">
      <c r="B499" s="3" t="str">
        <f>[1]Results!E259</f>
        <v>YG_toe_cele_0</v>
      </c>
      <c r="C499" s="3">
        <f>[1]Results!F259</f>
        <v>57.52966223</v>
      </c>
      <c r="D499" s="3">
        <f>[1]Results!G259</f>
        <v>58.0247107</v>
      </c>
      <c r="E499" s="3">
        <f>[1]Results!H259</f>
        <v>58.486192180000003</v>
      </c>
      <c r="F499" s="3">
        <f>[1]Results!I259</f>
        <v>58.965917279999999</v>
      </c>
      <c r="G499" s="3">
        <f>[1]Results!J259</f>
        <v>59.482010870000003</v>
      </c>
      <c r="H499" s="3">
        <f>[1]Results!K259</f>
        <v>60.047209129999999</v>
      </c>
      <c r="I499" s="3">
        <f>[1]Results!L259</f>
        <v>60.628122189999999</v>
      </c>
      <c r="J499" s="3">
        <f>[1]Results!M259</f>
        <v>61.237200250000001</v>
      </c>
      <c r="K499" s="3">
        <f>[1]Results!N259</f>
        <v>61.869040750000003</v>
      </c>
      <c r="L499" s="3">
        <f>[1]Results!O259</f>
        <v>62.517182910000002</v>
      </c>
      <c r="M499" s="3">
        <f>[1]Results!P259</f>
        <v>63.233221030000003</v>
      </c>
      <c r="N499" s="3">
        <f>[1]Results!Q259</f>
        <v>63.920640890000001</v>
      </c>
      <c r="O499" s="3">
        <f>[1]Results!R259</f>
        <v>64.606280659999996</v>
      </c>
      <c r="P499" s="3">
        <f>[1]Results!S259</f>
        <v>65.293250020000002</v>
      </c>
      <c r="Q499" s="3">
        <f>[1]Results!T259</f>
        <v>65.982451900000001</v>
      </c>
      <c r="R499" s="3">
        <f>[1]Results!U259</f>
        <v>66.674545210000005</v>
      </c>
      <c r="S499" s="3">
        <f>[1]Results!V259</f>
        <v>67.37034731</v>
      </c>
      <c r="T499" s="3">
        <f>[1]Results!W259</f>
        <v>68.070875450000003</v>
      </c>
      <c r="U499" s="3">
        <f>[1]Results!X259</f>
        <v>68.777303239999995</v>
      </c>
      <c r="V499" s="3">
        <f>[1]Results!Y259</f>
        <v>69.490899450000001</v>
      </c>
      <c r="W499" s="3">
        <f>[1]Results!Z259</f>
        <v>70.171593900000005</v>
      </c>
      <c r="X499" s="3">
        <f>[1]Results!AA259</f>
        <v>70.889139999999998</v>
      </c>
      <c r="Y499" s="3">
        <f>[1]Results!AB259</f>
        <v>71.623619770000005</v>
      </c>
      <c r="Z499" s="3">
        <f>[1]Results!AC259</f>
        <v>72.373230019999994</v>
      </c>
      <c r="AA499" s="3">
        <f>[1]Results!AD259</f>
        <v>73.138100800000004</v>
      </c>
      <c r="AB499" s="3">
        <f>[1]Results!AE259</f>
        <v>73.800083869999995</v>
      </c>
      <c r="AC499" s="3">
        <f>[1]Results!AF259</f>
        <v>74.499691580000004</v>
      </c>
      <c r="AD499" s="3">
        <f>[1]Results!AG259</f>
        <v>75.212718010000003</v>
      </c>
      <c r="AE499" s="3">
        <f>[1]Results!AH259</f>
        <v>75.938829749999996</v>
      </c>
      <c r="AF499" s="3">
        <f>[1]Results!AI259</f>
        <v>76.679497530000006</v>
      </c>
      <c r="AG499" s="3">
        <f>[1]Results!AJ259</f>
        <v>77.436238970000005</v>
      </c>
      <c r="AH499" s="3">
        <f>[1]Results!AK259</f>
        <v>78.210222200000004</v>
      </c>
      <c r="AI499" s="3">
        <f>[1]Results!AL259</f>
        <v>79.002206790000002</v>
      </c>
      <c r="AJ499" s="3">
        <f>[1]Results!AM259</f>
        <v>79.812581269999995</v>
      </c>
      <c r="AK499" s="3">
        <f>[1]Results!AN259</f>
        <v>80.641432679999994</v>
      </c>
      <c r="AL499" s="3">
        <f>[1]Results!AO259</f>
        <v>81.488624189999996</v>
      </c>
      <c r="AM499" s="3">
        <f>[1]Results!AP259</f>
        <v>82.325474700000001</v>
      </c>
      <c r="AN499" s="3">
        <f>[1]Results!AQ259</f>
        <v>83.169913640000004</v>
      </c>
      <c r="AO499" s="3">
        <f>[1]Results!AR259</f>
        <v>84.02541746</v>
      </c>
      <c r="AP499" s="3">
        <f>[1]Results!AS259</f>
        <v>84.893519920000003</v>
      </c>
      <c r="AQ499" s="3">
        <f>[1]Results!AT259</f>
        <v>85.775187860000003</v>
      </c>
      <c r="AR499" s="3">
        <f>[1]Results!AU259</f>
        <v>86.671130129999995</v>
      </c>
      <c r="AS499" s="3">
        <f>[1]Results!AV259</f>
        <v>87.581865919999998</v>
      </c>
      <c r="AT499" s="3">
        <f>[1]Results!AW259</f>
        <v>88.507749279999999</v>
      </c>
      <c r="AU499" s="3">
        <f>[1]Results!AX259</f>
        <v>89.4489497</v>
      </c>
      <c r="AV499" s="3">
        <f>[1]Results!AY259</f>
        <v>90.405353590000004</v>
      </c>
      <c r="AW499" s="3">
        <f>[1]Results!AZ259</f>
        <v>91.378582249999994</v>
      </c>
      <c r="AX499" s="3">
        <f>[1]Results!BA259</f>
        <v>92.366399369999996</v>
      </c>
      <c r="AY499" s="3">
        <f>[1]Results!BB259</f>
        <v>93.367647460000001</v>
      </c>
      <c r="AZ499" s="3">
        <f>[1]Results!BC259</f>
        <v>94.383784930000004</v>
      </c>
      <c r="BA499" s="3">
        <f>[1]Results!BD259</f>
        <v>95.416139959999995</v>
      </c>
      <c r="BB499" s="3">
        <f>[1]Results!BE259</f>
        <v>102.0538025</v>
      </c>
      <c r="BC499" s="3">
        <f>[1]Results!BF259</f>
        <v>103.4970831</v>
      </c>
      <c r="BD499" s="3">
        <f>[1]Results!BG259</f>
        <v>104.966171</v>
      </c>
      <c r="BE499" s="3">
        <f>[1]Results!BH259</f>
        <v>106.46154749999999</v>
      </c>
      <c r="BF499" s="3">
        <f>[1]Results!BI259</f>
        <v>107.9836487</v>
      </c>
    </row>
    <row r="500" spans="1:58" x14ac:dyDescent="0.35">
      <c r="B500" s="3" t="s">
        <v>75</v>
      </c>
      <c r="C500" s="3">
        <f>SUM(C501:C503)</f>
        <v>30.778720540000002</v>
      </c>
      <c r="D500" s="3">
        <f t="shared" ref="D500:AL500" si="308">SUM(D501:D503)</f>
        <v>31.070398503</v>
      </c>
      <c r="E500" s="3">
        <f t="shared" si="308"/>
        <v>31.356173278</v>
      </c>
      <c r="F500" s="3">
        <f t="shared" si="308"/>
        <v>31.651914333999997</v>
      </c>
      <c r="G500" s="3">
        <f t="shared" si="308"/>
        <v>31.964222307</v>
      </c>
      <c r="H500" s="3">
        <f t="shared" si="308"/>
        <v>32.288485195999996</v>
      </c>
      <c r="I500" s="3">
        <f t="shared" si="308"/>
        <v>32.603310188999998</v>
      </c>
      <c r="J500" s="3">
        <f t="shared" si="308"/>
        <v>32.923426210999999</v>
      </c>
      <c r="K500" s="3">
        <f t="shared" si="308"/>
        <v>33.251300314999995</v>
      </c>
      <c r="L500" s="3">
        <f t="shared" si="308"/>
        <v>33.586763773000001</v>
      </c>
      <c r="M500" s="3">
        <f t="shared" si="308"/>
        <v>33.965995792999998</v>
      </c>
      <c r="N500" s="3">
        <f t="shared" si="308"/>
        <v>34.325675607000001</v>
      </c>
      <c r="O500" s="3">
        <f t="shared" si="308"/>
        <v>34.684695215999994</v>
      </c>
      <c r="P500" s="3">
        <f t="shared" si="308"/>
        <v>35.046035263999997</v>
      </c>
      <c r="Q500" s="3">
        <f t="shared" si="308"/>
        <v>35.410630619999999</v>
      </c>
      <c r="R500" s="3">
        <f t="shared" si="308"/>
        <v>35.778870639000004</v>
      </c>
      <c r="S500" s="3">
        <f t="shared" si="308"/>
        <v>36.151021967999995</v>
      </c>
      <c r="T500" s="3">
        <f t="shared" si="308"/>
        <v>36.527353425000001</v>
      </c>
      <c r="U500" s="3">
        <f t="shared" si="308"/>
        <v>36.908164853000002</v>
      </c>
      <c r="V500" s="3">
        <f t="shared" si="308"/>
        <v>37.293783029000004</v>
      </c>
      <c r="W500" s="3">
        <f t="shared" si="308"/>
        <v>37.657997475000002</v>
      </c>
      <c r="X500" s="3">
        <f t="shared" si="308"/>
        <v>38.046119834999999</v>
      </c>
      <c r="Y500" s="3">
        <f t="shared" si="308"/>
        <v>38.444204042999999</v>
      </c>
      <c r="Z500" s="3">
        <f t="shared" si="308"/>
        <v>38.850161892999999</v>
      </c>
      <c r="AA500" s="3">
        <f t="shared" si="308"/>
        <v>39.263451219000004</v>
      </c>
      <c r="AB500" s="3">
        <f t="shared" si="308"/>
        <v>39.608472513000002</v>
      </c>
      <c r="AC500" s="3">
        <f t="shared" si="308"/>
        <v>39.977567585000003</v>
      </c>
      <c r="AD500" s="3">
        <f t="shared" si="308"/>
        <v>40.354422056000004</v>
      </c>
      <c r="AE500" s="3">
        <f t="shared" si="308"/>
        <v>40.737783878000002</v>
      </c>
      <c r="AF500" s="3">
        <f t="shared" si="308"/>
        <v>41.127665501999999</v>
      </c>
      <c r="AG500" s="3">
        <f t="shared" si="308"/>
        <v>41.524342121000004</v>
      </c>
      <c r="AH500" s="3">
        <f t="shared" si="308"/>
        <v>41.928085660999997</v>
      </c>
      <c r="AI500" s="3">
        <f t="shared" si="308"/>
        <v>42.339092727999997</v>
      </c>
      <c r="AJ500" s="3">
        <f t="shared" si="308"/>
        <v>42.757473631000003</v>
      </c>
      <c r="AK500" s="3">
        <f t="shared" si="308"/>
        <v>43.183264566999995</v>
      </c>
      <c r="AL500" s="3">
        <f t="shared" si="308"/>
        <v>43.616447757000003</v>
      </c>
      <c r="AM500" s="3">
        <f t="shared" ref="AM500:BC500" si="309">SUM(AM501:AM503)</f>
        <v>44.039269126999997</v>
      </c>
      <c r="AN500" s="3">
        <f t="shared" si="309"/>
        <v>44.463914101</v>
      </c>
      <c r="AO500" s="3">
        <f t="shared" si="309"/>
        <v>44.892930108000002</v>
      </c>
      <c r="AP500" s="3">
        <f t="shared" si="309"/>
        <v>45.327363599999998</v>
      </c>
      <c r="AQ500" s="3">
        <f t="shared" si="309"/>
        <v>45.767783223000002</v>
      </c>
      <c r="AR500" s="3">
        <f t="shared" si="309"/>
        <v>46.214579393000001</v>
      </c>
      <c r="AS500" s="3">
        <f t="shared" si="309"/>
        <v>46.668067234000006</v>
      </c>
      <c r="AT500" s="3">
        <f t="shared" si="309"/>
        <v>47.128530812000001</v>
      </c>
      <c r="AU500" s="3">
        <f t="shared" si="309"/>
        <v>47.596257696000002</v>
      </c>
      <c r="AV500" s="3">
        <f t="shared" si="309"/>
        <v>48.071590662999995</v>
      </c>
      <c r="AW500" s="3">
        <f t="shared" si="309"/>
        <v>48.556549341</v>
      </c>
      <c r="AX500" s="3">
        <f t="shared" si="309"/>
        <v>49.046123754999996</v>
      </c>
      <c r="AY500" s="3">
        <f t="shared" si="309"/>
        <v>49.539683015999998</v>
      </c>
      <c r="AZ500" s="3">
        <f t="shared" si="309"/>
        <v>50.037921689000001</v>
      </c>
      <c r="BA500" s="3">
        <f t="shared" si="309"/>
        <v>50.541814936999998</v>
      </c>
      <c r="BB500" s="3">
        <f t="shared" si="309"/>
        <v>54.432891456999997</v>
      </c>
      <c r="BC500" s="3">
        <f t="shared" si="309"/>
        <v>55.159541976</v>
      </c>
      <c r="BD500" s="3">
        <f t="shared" ref="BD500:BF500" si="310">SUM(BD501:BD503)</f>
        <v>55.898320620000007</v>
      </c>
      <c r="BE500" s="3">
        <f t="shared" si="310"/>
        <v>56.649505239999996</v>
      </c>
      <c r="BF500" s="3">
        <f t="shared" si="310"/>
        <v>57.413339069999999</v>
      </c>
    </row>
    <row r="501" spans="1:58" x14ac:dyDescent="0.35">
      <c r="B501" s="3" t="str">
        <f>[1]Results!E269</f>
        <v>YG_toe_chea_0</v>
      </c>
      <c r="C501" s="3">
        <f>[1]Results!F269</f>
        <v>5.7131595600000002</v>
      </c>
      <c r="D501" s="3">
        <f>[1]Results!G269</f>
        <v>5.7821035429999998</v>
      </c>
      <c r="E501" s="3">
        <f>[1]Results!H269</f>
        <v>5.8586526780000003</v>
      </c>
      <c r="F501" s="3">
        <f>[1]Results!I269</f>
        <v>5.9404580539999996</v>
      </c>
      <c r="G501" s="3">
        <f>[1]Results!J269</f>
        <v>6.027049957</v>
      </c>
      <c r="H501" s="3">
        <f>[1]Results!K269</f>
        <v>6.1094408859999998</v>
      </c>
      <c r="I501" s="3">
        <f>[1]Results!L269</f>
        <v>6.1818491590000004</v>
      </c>
      <c r="J501" s="3">
        <f>[1]Results!M269</f>
        <v>6.2494612409999997</v>
      </c>
      <c r="K501" s="3">
        <f>[1]Results!N269</f>
        <v>6.3152039750000002</v>
      </c>
      <c r="L501" s="3">
        <f>[1]Results!O269</f>
        <v>6.3805788830000001</v>
      </c>
      <c r="M501" s="3">
        <f>[1]Results!P269</f>
        <v>6.4553793429999997</v>
      </c>
      <c r="N501" s="3">
        <f>[1]Results!Q269</f>
        <v>6.525266587</v>
      </c>
      <c r="O501" s="3">
        <f>[1]Results!R269</f>
        <v>6.5936935859999997</v>
      </c>
      <c r="P501" s="3">
        <f>[1]Results!S269</f>
        <v>6.661839724</v>
      </c>
      <c r="Q501" s="3">
        <f>[1]Results!T269</f>
        <v>6.7301480900000001</v>
      </c>
      <c r="R501" s="3">
        <f>[1]Results!U269</f>
        <v>6.798792089</v>
      </c>
      <c r="S501" s="3">
        <f>[1]Results!V269</f>
        <v>6.867846288</v>
      </c>
      <c r="T501" s="3">
        <f>[1]Results!W269</f>
        <v>6.9373541850000002</v>
      </c>
      <c r="U501" s="3">
        <f>[1]Results!X269</f>
        <v>7.007354243</v>
      </c>
      <c r="V501" s="3">
        <f>[1]Results!Y269</f>
        <v>7.0778881690000004</v>
      </c>
      <c r="W501" s="3">
        <f>[1]Results!Z269</f>
        <v>7.1427266649999996</v>
      </c>
      <c r="X501" s="3">
        <f>[1]Results!AA269</f>
        <v>7.2119710550000002</v>
      </c>
      <c r="Y501" s="3">
        <f>[1]Results!AB269</f>
        <v>7.2833055629999999</v>
      </c>
      <c r="Z501" s="3">
        <f>[1]Results!AC269</f>
        <v>7.3559664229999999</v>
      </c>
      <c r="AA501" s="3">
        <f>[1]Results!AD269</f>
        <v>7.4296767790000002</v>
      </c>
      <c r="AB501" s="3">
        <f>[1]Results!AE269</f>
        <v>7.4868601129999997</v>
      </c>
      <c r="AC501" s="3">
        <f>[1]Results!AF269</f>
        <v>7.5472610749999998</v>
      </c>
      <c r="AD501" s="3">
        <f>[1]Results!AG269</f>
        <v>7.6091735659999999</v>
      </c>
      <c r="AE501" s="3">
        <f>[1]Results!AH269</f>
        <v>7.6721818879999999</v>
      </c>
      <c r="AF501" s="3">
        <f>[1]Results!AI269</f>
        <v>7.7361679820000004</v>
      </c>
      <c r="AG501" s="3">
        <f>[1]Results!AJ269</f>
        <v>7.8011190109999999</v>
      </c>
      <c r="AH501" s="3">
        <f>[1]Results!AK269</f>
        <v>7.8670531410000004</v>
      </c>
      <c r="AI501" s="3">
        <f>[1]Results!AL269</f>
        <v>7.9339919480000001</v>
      </c>
      <c r="AJ501" s="3">
        <f>[1]Results!AM269</f>
        <v>8.0019505310000003</v>
      </c>
      <c r="AK501" s="3">
        <f>[1]Results!AN269</f>
        <v>8.0709356069999991</v>
      </c>
      <c r="AL501" s="3">
        <f>[1]Results!AO269</f>
        <v>8.1409471870000001</v>
      </c>
      <c r="AM501" s="3">
        <f>[1]Results!AP269</f>
        <v>8.2080746369999993</v>
      </c>
      <c r="AN501" s="3">
        <f>[1]Results!AQ269</f>
        <v>8.2746577610000003</v>
      </c>
      <c r="AO501" s="3">
        <f>[1]Results!AR269</f>
        <v>8.3415510479999995</v>
      </c>
      <c r="AP501" s="3">
        <f>[1]Results!AS269</f>
        <v>8.4091244100000004</v>
      </c>
      <c r="AQ501" s="3">
        <f>[1]Results!AT269</f>
        <v>8.4775690630000007</v>
      </c>
      <c r="AR501" s="3">
        <f>[1]Results!AU269</f>
        <v>8.5470111430000006</v>
      </c>
      <c r="AS501" s="3">
        <f>[1]Results!AV269</f>
        <v>8.617561534</v>
      </c>
      <c r="AT501" s="3">
        <f>[1]Results!AW269</f>
        <v>8.6893462719999999</v>
      </c>
      <c r="AU501" s="3">
        <f>[1]Results!AX269</f>
        <v>8.7625432659999998</v>
      </c>
      <c r="AV501" s="3">
        <f>[1]Results!AY269</f>
        <v>8.8374677629999994</v>
      </c>
      <c r="AW501" s="3">
        <f>[1]Results!AZ269</f>
        <v>8.9152236309999999</v>
      </c>
      <c r="AX501" s="3">
        <f>[1]Results!BA269</f>
        <v>8.9925960749999998</v>
      </c>
      <c r="AY501" s="3">
        <f>[1]Results!BB269</f>
        <v>9.0691663560000002</v>
      </c>
      <c r="AZ501" s="3">
        <f>[1]Results!BC269</f>
        <v>9.1452060589999995</v>
      </c>
      <c r="BA501" s="3">
        <f>[1]Results!BD269</f>
        <v>9.2211944670000001</v>
      </c>
      <c r="BB501" s="3">
        <f>[1]Results!BE269</f>
        <v>9.8041921369999994</v>
      </c>
      <c r="BC501" s="3">
        <f>[1]Results!BF269</f>
        <v>9.9115410859999997</v>
      </c>
      <c r="BD501" s="3">
        <f>[1]Results!BG269</f>
        <v>10.020335210000001</v>
      </c>
      <c r="BE501" s="3">
        <f>[1]Results!BH269</f>
        <v>10.130629770000001</v>
      </c>
      <c r="BF501" s="3">
        <f>[1]Results!BI269</f>
        <v>10.24246739</v>
      </c>
    </row>
    <row r="502" spans="1:58" x14ac:dyDescent="0.35">
      <c r="B502" s="3" t="str">
        <f>[1]Results!E271</f>
        <v>YG_toe_cbio_0</v>
      </c>
      <c r="C502" s="3">
        <f>[1]Results!F271</f>
        <v>11.18379972</v>
      </c>
      <c r="D502" s="3">
        <f>[1]Results!G271</f>
        <v>11.237025879999999</v>
      </c>
      <c r="E502" s="3">
        <f>[1]Results!H271</f>
        <v>11.265660370000001</v>
      </c>
      <c r="F502" s="3">
        <f>[1]Results!I271</f>
        <v>11.28854005</v>
      </c>
      <c r="G502" s="3">
        <f>[1]Results!J271</f>
        <v>11.31207498</v>
      </c>
      <c r="H502" s="3">
        <f>[1]Results!K271</f>
        <v>11.341818249999999</v>
      </c>
      <c r="I502" s="3">
        <f>[1]Results!L271</f>
        <v>11.37427126</v>
      </c>
      <c r="J502" s="3">
        <f>[1]Results!M271</f>
        <v>11.41184642</v>
      </c>
      <c r="K502" s="3">
        <f>[1]Results!N271</f>
        <v>11.45415465</v>
      </c>
      <c r="L502" s="3">
        <f>[1]Results!O271</f>
        <v>11.50004683</v>
      </c>
      <c r="M502" s="3">
        <f>[1]Results!P271</f>
        <v>11.557557989999999</v>
      </c>
      <c r="N502" s="3">
        <f>[1]Results!Q271</f>
        <v>11.611723749999999</v>
      </c>
      <c r="O502" s="3">
        <f>[1]Results!R271</f>
        <v>11.665166380000001</v>
      </c>
      <c r="P502" s="3">
        <f>[1]Results!S271</f>
        <v>11.7186916</v>
      </c>
      <c r="Q502" s="3">
        <f>[1]Results!T271</f>
        <v>11.77258333</v>
      </c>
      <c r="R502" s="3">
        <f>[1]Results!U271</f>
        <v>11.826953120000001</v>
      </c>
      <c r="S502" s="3">
        <f>[1]Results!V271</f>
        <v>11.88187031</v>
      </c>
      <c r="T502" s="3">
        <f>[1]Results!W271</f>
        <v>11.93740584</v>
      </c>
      <c r="U502" s="3">
        <f>[1]Results!X271</f>
        <v>11.993643390000001</v>
      </c>
      <c r="V502" s="3">
        <f>[1]Results!Y271</f>
        <v>12.050678250000001</v>
      </c>
      <c r="W502" s="3">
        <f>[1]Results!Z271</f>
        <v>12.10229183</v>
      </c>
      <c r="X502" s="3">
        <f>[1]Results!AA271</f>
        <v>12.158528090000001</v>
      </c>
      <c r="Y502" s="3">
        <f>[1]Results!AB271</f>
        <v>12.21727688</v>
      </c>
      <c r="Z502" s="3">
        <f>[1]Results!AC271</f>
        <v>12.277871149999999</v>
      </c>
      <c r="AA502" s="3">
        <f>[1]Results!AD271</f>
        <v>12.340083460000001</v>
      </c>
      <c r="AB502" s="3">
        <f>[1]Results!AE271</f>
        <v>12.38612932</v>
      </c>
      <c r="AC502" s="3">
        <f>[1]Results!AF271</f>
        <v>12.435522750000001</v>
      </c>
      <c r="AD502" s="3">
        <f>[1]Results!AG271</f>
        <v>12.48676899</v>
      </c>
      <c r="AE502" s="3">
        <f>[1]Results!AH271</f>
        <v>12.53959175</v>
      </c>
      <c r="AF502" s="3">
        <f>[1]Results!AI271</f>
        <v>12.593969980000001</v>
      </c>
      <c r="AG502" s="3">
        <f>[1]Results!AJ271</f>
        <v>12.649960099999999</v>
      </c>
      <c r="AH502" s="3">
        <f>[1]Results!AK271</f>
        <v>12.70762498</v>
      </c>
      <c r="AI502" s="3">
        <f>[1]Results!AL271</f>
        <v>12.767009720000001</v>
      </c>
      <c r="AJ502" s="3">
        <f>[1]Results!AM271</f>
        <v>12.82813621</v>
      </c>
      <c r="AK502" s="3">
        <f>[1]Results!AN271</f>
        <v>12.8910056</v>
      </c>
      <c r="AL502" s="3">
        <f>[1]Results!AO271</f>
        <v>12.955603719999999</v>
      </c>
      <c r="AM502" s="3">
        <f>[1]Results!AP271</f>
        <v>13.017877220000001</v>
      </c>
      <c r="AN502" s="3">
        <f>[1]Results!AQ271</f>
        <v>13.08009189</v>
      </c>
      <c r="AO502" s="3">
        <f>[1]Results!AR271</f>
        <v>13.1430849</v>
      </c>
      <c r="AP502" s="3">
        <f>[1]Results!AS271</f>
        <v>13.207231159999999</v>
      </c>
      <c r="AQ502" s="3">
        <f>[1]Results!AT271</f>
        <v>13.272723940000001</v>
      </c>
      <c r="AR502" s="3">
        <f>[1]Results!AU271</f>
        <v>13.33968089</v>
      </c>
      <c r="AS502" s="3">
        <f>[1]Results!AV271</f>
        <v>13.40818368</v>
      </c>
      <c r="AT502" s="3">
        <f>[1]Results!AW271</f>
        <v>13.478289029999999</v>
      </c>
      <c r="AU502" s="3">
        <f>[1]Results!AX271</f>
        <v>13.550023680000001</v>
      </c>
      <c r="AV502" s="3">
        <f>[1]Results!AY271</f>
        <v>13.62334499</v>
      </c>
      <c r="AW502" s="3">
        <f>[1]Results!AZ271</f>
        <v>13.698215080000001</v>
      </c>
      <c r="AX502" s="3">
        <f>[1]Results!BA271</f>
        <v>13.77371407</v>
      </c>
      <c r="AY502" s="3">
        <f>[1]Results!BB271</f>
        <v>13.84975032</v>
      </c>
      <c r="AZ502" s="3">
        <f>[1]Results!BC271</f>
        <v>13.92667922</v>
      </c>
      <c r="BA502" s="3">
        <f>[1]Results!BD271</f>
        <v>14.00489537</v>
      </c>
      <c r="BB502" s="3">
        <f>[1]Results!BE271</f>
        <v>14.610772430000001</v>
      </c>
      <c r="BC502" s="3">
        <f>[1]Results!BF271</f>
        <v>14.73188167</v>
      </c>
      <c r="BD502" s="3">
        <f>[1]Results!BG271</f>
        <v>14.855241469999999</v>
      </c>
      <c r="BE502" s="3">
        <f>[1]Results!BH271</f>
        <v>14.98092958</v>
      </c>
      <c r="BF502" s="3">
        <f>[1]Results!BI271</f>
        <v>15.109000999999999</v>
      </c>
    </row>
    <row r="503" spans="1:58" x14ac:dyDescent="0.35">
      <c r="B503" s="3" t="str">
        <f>[1]Results!E274</f>
        <v>YG_toe_cote_0</v>
      </c>
      <c r="C503" s="3">
        <f>[1]Results!F274</f>
        <v>13.881761259999999</v>
      </c>
      <c r="D503" s="3">
        <f>[1]Results!G274</f>
        <v>14.051269080000001</v>
      </c>
      <c r="E503" s="3">
        <f>[1]Results!H274</f>
        <v>14.231860230000001</v>
      </c>
      <c r="F503" s="3">
        <f>[1]Results!I274</f>
        <v>14.42291623</v>
      </c>
      <c r="G503" s="3">
        <f>[1]Results!J274</f>
        <v>14.625097370000001</v>
      </c>
      <c r="H503" s="3">
        <f>[1]Results!K274</f>
        <v>14.837226060000001</v>
      </c>
      <c r="I503" s="3">
        <f>[1]Results!L274</f>
        <v>15.047189769999999</v>
      </c>
      <c r="J503" s="3">
        <f>[1]Results!M274</f>
        <v>15.26211855</v>
      </c>
      <c r="K503" s="3">
        <f>[1]Results!N274</f>
        <v>15.481941689999999</v>
      </c>
      <c r="L503" s="3">
        <f>[1]Results!O274</f>
        <v>15.706138060000001</v>
      </c>
      <c r="M503" s="3">
        <f>[1]Results!P274</f>
        <v>15.953058459999999</v>
      </c>
      <c r="N503" s="3">
        <f>[1]Results!Q274</f>
        <v>16.188685270000001</v>
      </c>
      <c r="O503" s="3">
        <f>[1]Results!R274</f>
        <v>16.425835249999999</v>
      </c>
      <c r="P503" s="3">
        <f>[1]Results!S274</f>
        <v>16.665503940000001</v>
      </c>
      <c r="Q503" s="3">
        <f>[1]Results!T274</f>
        <v>16.907899199999999</v>
      </c>
      <c r="R503" s="3">
        <f>[1]Results!U274</f>
        <v>17.153125429999999</v>
      </c>
      <c r="S503" s="3">
        <f>[1]Results!V274</f>
        <v>17.401305369999999</v>
      </c>
      <c r="T503" s="3">
        <f>[1]Results!W274</f>
        <v>17.652593400000001</v>
      </c>
      <c r="U503" s="3">
        <f>[1]Results!X274</f>
        <v>17.907167220000002</v>
      </c>
      <c r="V503" s="3">
        <f>[1]Results!Y274</f>
        <v>18.165216610000002</v>
      </c>
      <c r="W503" s="3">
        <f>[1]Results!Z274</f>
        <v>18.412978979999998</v>
      </c>
      <c r="X503" s="3">
        <f>[1]Results!AA274</f>
        <v>18.675620689999999</v>
      </c>
      <c r="Y503" s="3">
        <f>[1]Results!AB274</f>
        <v>18.9436216</v>
      </c>
      <c r="Z503" s="3">
        <f>[1]Results!AC274</f>
        <v>19.216324319999998</v>
      </c>
      <c r="AA503" s="3">
        <f>[1]Results!AD274</f>
        <v>19.49369098</v>
      </c>
      <c r="AB503" s="3">
        <f>[1]Results!AE274</f>
        <v>19.735483080000002</v>
      </c>
      <c r="AC503" s="3">
        <f>[1]Results!AF274</f>
        <v>19.994783760000001</v>
      </c>
      <c r="AD503" s="3">
        <f>[1]Results!AG274</f>
        <v>20.2584795</v>
      </c>
      <c r="AE503" s="3">
        <f>[1]Results!AH274</f>
        <v>20.526010240000002</v>
      </c>
      <c r="AF503" s="3">
        <f>[1]Results!AI274</f>
        <v>20.797527540000001</v>
      </c>
      <c r="AG503" s="3">
        <f>[1]Results!AJ274</f>
        <v>21.073263010000002</v>
      </c>
      <c r="AH503" s="3">
        <f>[1]Results!AK274</f>
        <v>21.353407539999999</v>
      </c>
      <c r="AI503" s="3">
        <f>[1]Results!AL274</f>
        <v>21.638091060000001</v>
      </c>
      <c r="AJ503" s="3">
        <f>[1]Results!AM274</f>
        <v>21.927386890000001</v>
      </c>
      <c r="AK503" s="3">
        <f>[1]Results!AN274</f>
        <v>22.22132336</v>
      </c>
      <c r="AL503" s="3">
        <f>[1]Results!AO274</f>
        <v>22.519896849999999</v>
      </c>
      <c r="AM503" s="3">
        <f>[1]Results!AP274</f>
        <v>22.813317269999999</v>
      </c>
      <c r="AN503" s="3">
        <f>[1]Results!AQ274</f>
        <v>23.109164450000002</v>
      </c>
      <c r="AO503" s="3">
        <f>[1]Results!AR274</f>
        <v>23.408294160000001</v>
      </c>
      <c r="AP503" s="3">
        <f>[1]Results!AS274</f>
        <v>23.711008029999999</v>
      </c>
      <c r="AQ503" s="3">
        <f>[1]Results!AT274</f>
        <v>24.017490219999999</v>
      </c>
      <c r="AR503" s="3">
        <f>[1]Results!AU274</f>
        <v>24.327887359999998</v>
      </c>
      <c r="AS503" s="3">
        <f>[1]Results!AV274</f>
        <v>24.642322020000002</v>
      </c>
      <c r="AT503" s="3">
        <f>[1]Results!AW274</f>
        <v>24.96089551</v>
      </c>
      <c r="AU503" s="3">
        <f>[1]Results!AX274</f>
        <v>25.283690750000002</v>
      </c>
      <c r="AV503" s="3">
        <f>[1]Results!AY274</f>
        <v>25.610777909999999</v>
      </c>
      <c r="AW503" s="3">
        <f>[1]Results!AZ274</f>
        <v>25.94311063</v>
      </c>
      <c r="AX503" s="3">
        <f>[1]Results!BA274</f>
        <v>26.279813610000001</v>
      </c>
      <c r="AY503" s="3">
        <f>[1]Results!BB274</f>
        <v>26.620766339999999</v>
      </c>
      <c r="AZ503" s="3">
        <f>[1]Results!BC274</f>
        <v>26.966036410000001</v>
      </c>
      <c r="BA503" s="3">
        <f>[1]Results!BD274</f>
        <v>27.315725100000002</v>
      </c>
      <c r="BB503" s="3">
        <f>[1]Results!BE274</f>
        <v>30.017926889999998</v>
      </c>
      <c r="BC503" s="3">
        <f>[1]Results!BF274</f>
        <v>30.51611922</v>
      </c>
      <c r="BD503" s="3">
        <f>[1]Results!BG274</f>
        <v>31.022743940000002</v>
      </c>
      <c r="BE503" s="3">
        <f>[1]Results!BH274</f>
        <v>31.53794589</v>
      </c>
      <c r="BF503" s="3">
        <f>[1]Results!BI274</f>
        <v>32.061870679999998</v>
      </c>
    </row>
    <row r="504" spans="1:58" x14ac:dyDescent="0.35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 spans="1:58" x14ac:dyDescent="0.35">
      <c r="A505" s="12" t="s">
        <v>94</v>
      </c>
      <c r="C505" s="2">
        <v>42005</v>
      </c>
      <c r="D505" s="2">
        <v>42370</v>
      </c>
      <c r="E505" s="2">
        <v>42736</v>
      </c>
      <c r="F505" s="2">
        <v>43101</v>
      </c>
      <c r="G505" s="2">
        <v>43466</v>
      </c>
      <c r="H505" s="2">
        <v>43831</v>
      </c>
      <c r="I505" s="2">
        <v>44197</v>
      </c>
      <c r="J505" s="2">
        <v>44562</v>
      </c>
      <c r="K505" s="2">
        <v>44927</v>
      </c>
      <c r="L505" s="2">
        <v>45292</v>
      </c>
      <c r="M505" s="2">
        <v>45658</v>
      </c>
      <c r="N505" s="2">
        <v>46023</v>
      </c>
      <c r="O505" s="2">
        <v>46388</v>
      </c>
      <c r="P505" s="2">
        <v>46753</v>
      </c>
      <c r="Q505" s="2">
        <v>47119</v>
      </c>
      <c r="R505" s="2">
        <v>47484</v>
      </c>
      <c r="S505" s="2">
        <v>47849</v>
      </c>
      <c r="T505" s="2">
        <v>48214</v>
      </c>
      <c r="U505" s="2">
        <v>48580</v>
      </c>
      <c r="V505" s="2">
        <v>48945</v>
      </c>
      <c r="W505" s="2">
        <v>49310</v>
      </c>
      <c r="X505" s="2">
        <v>49675</v>
      </c>
      <c r="Y505" s="2">
        <v>50041</v>
      </c>
      <c r="Z505" s="2">
        <v>50406</v>
      </c>
      <c r="AA505" s="2">
        <v>50771</v>
      </c>
      <c r="AB505" s="2">
        <v>51136</v>
      </c>
      <c r="AC505" s="2">
        <v>51502</v>
      </c>
      <c r="AD505" s="2">
        <v>51867</v>
      </c>
      <c r="AE505" s="2">
        <v>52232</v>
      </c>
      <c r="AF505" s="2">
        <v>52597</v>
      </c>
      <c r="AG505" s="2">
        <v>52963</v>
      </c>
      <c r="AH505" s="2">
        <v>53328</v>
      </c>
      <c r="AI505" s="2">
        <v>53693</v>
      </c>
      <c r="AJ505" s="2">
        <v>54058</v>
      </c>
      <c r="AK505" s="2">
        <v>54424</v>
      </c>
      <c r="AL505" s="2">
        <v>54789</v>
      </c>
      <c r="AM505" s="2">
        <v>54790</v>
      </c>
      <c r="AN505" s="2">
        <v>54791</v>
      </c>
      <c r="AO505" s="2">
        <v>54792</v>
      </c>
      <c r="AP505" s="2">
        <v>54793</v>
      </c>
      <c r="AQ505" s="2">
        <v>54794</v>
      </c>
      <c r="AR505" s="2">
        <v>54795</v>
      </c>
      <c r="AS505" s="2">
        <v>54796</v>
      </c>
      <c r="AT505" s="2">
        <v>54797</v>
      </c>
      <c r="AU505" s="2">
        <v>54798</v>
      </c>
      <c r="AV505" s="2">
        <v>54799</v>
      </c>
      <c r="AW505" s="2">
        <v>54800</v>
      </c>
      <c r="AX505" s="2">
        <v>54801</v>
      </c>
      <c r="AY505" s="2">
        <v>54802</v>
      </c>
      <c r="AZ505" s="2">
        <v>54803</v>
      </c>
      <c r="BA505" s="2">
        <v>54804</v>
      </c>
      <c r="BB505" s="2">
        <v>54805</v>
      </c>
      <c r="BC505" s="2">
        <v>54806</v>
      </c>
      <c r="BD505" s="2">
        <v>54807</v>
      </c>
      <c r="BE505" s="2">
        <v>54808</v>
      </c>
      <c r="BF505" s="2">
        <v>54809</v>
      </c>
    </row>
    <row r="506" spans="1:58" x14ac:dyDescent="0.35">
      <c r="A506" t="s">
        <v>95</v>
      </c>
      <c r="B506" t="s">
        <v>94</v>
      </c>
      <c r="C506" s="4">
        <f>C479/C492-1</f>
        <v>-2.1833654059357666E-2</v>
      </c>
      <c r="D506" s="4">
        <f t="shared" ref="D506" si="311">D479/D492-1</f>
        <v>-2.6569987306213738E-2</v>
      </c>
      <c r="E506" s="4">
        <f t="shared" ref="E506:AL506" si="312">E479/E492-1</f>
        <v>-2.9809715195461162E-2</v>
      </c>
      <c r="F506" s="4">
        <f t="shared" si="312"/>
        <v>-3.2404416949176618E-2</v>
      </c>
      <c r="G506" s="4">
        <f t="shared" si="312"/>
        <v>-3.4485101283480146E-2</v>
      </c>
      <c r="H506" s="4">
        <f t="shared" si="312"/>
        <v>-3.6249993611548237E-2</v>
      </c>
      <c r="I506" s="4">
        <f t="shared" si="312"/>
        <v>-3.770913443556001E-2</v>
      </c>
      <c r="J506" s="4">
        <f t="shared" si="312"/>
        <v>-3.8934876504314153E-2</v>
      </c>
      <c r="K506" s="4">
        <f t="shared" si="312"/>
        <v>-3.9986683422179481E-2</v>
      </c>
      <c r="L506" s="4">
        <f t="shared" si="312"/>
        <v>-4.0915635318070409E-2</v>
      </c>
      <c r="M506" s="4">
        <f t="shared" si="312"/>
        <v>-4.1781023800229744E-2</v>
      </c>
      <c r="N506" s="4">
        <f t="shared" si="312"/>
        <v>-4.2675565614064159E-2</v>
      </c>
      <c r="O506" s="4">
        <f t="shared" si="312"/>
        <v>-4.356953680302289E-2</v>
      </c>
      <c r="P506" s="4">
        <f t="shared" si="312"/>
        <v>-4.4476093460318444E-2</v>
      </c>
      <c r="Q506" s="4">
        <f t="shared" si="312"/>
        <v>-4.5407496638568023E-2</v>
      </c>
      <c r="R506" s="4">
        <f t="shared" si="312"/>
        <v>-4.6372726048785062E-2</v>
      </c>
      <c r="S506" s="4">
        <f t="shared" si="312"/>
        <v>-4.7456625923205875E-2</v>
      </c>
      <c r="T506" s="4">
        <f t="shared" si="312"/>
        <v>-4.8590500298328565E-2</v>
      </c>
      <c r="U506" s="4">
        <f t="shared" si="312"/>
        <v>-4.9767843266752654E-2</v>
      </c>
      <c r="V506" s="4">
        <f t="shared" si="312"/>
        <v>-5.0984636418385687E-2</v>
      </c>
      <c r="W506" s="4">
        <f t="shared" si="312"/>
        <v>-5.2225164299420257E-2</v>
      </c>
      <c r="X506" s="4">
        <f t="shared" si="312"/>
        <v>-5.3507319667230546E-2</v>
      </c>
      <c r="Y506" s="4">
        <f t="shared" si="312"/>
        <v>-5.4813703507655021E-2</v>
      </c>
      <c r="Z506" s="4">
        <f t="shared" si="312"/>
        <v>-5.6140306554483765E-2</v>
      </c>
      <c r="AA506" s="4">
        <f t="shared" si="312"/>
        <v>-5.7483037385596902E-2</v>
      </c>
      <c r="AB506" s="4">
        <f t="shared" si="312"/>
        <v>-5.8801780208921239E-2</v>
      </c>
      <c r="AC506" s="4">
        <f t="shared" si="312"/>
        <v>-6.0119344226608695E-2</v>
      </c>
      <c r="AD506" s="4">
        <f t="shared" si="312"/>
        <v>-6.1435626405583199E-2</v>
      </c>
      <c r="AE506" s="4">
        <f t="shared" si="312"/>
        <v>-6.2749505230433433E-2</v>
      </c>
      <c r="AF506" s="4">
        <f t="shared" si="312"/>
        <v>-6.4058881790954758E-2</v>
      </c>
      <c r="AG506" s="4">
        <f t="shared" si="312"/>
        <v>-6.5361790949810428E-2</v>
      </c>
      <c r="AH506" s="4">
        <f t="shared" si="312"/>
        <v>-6.6641070973997296E-2</v>
      </c>
      <c r="AI506" s="4">
        <f t="shared" si="312"/>
        <v>-6.7908471899497669E-2</v>
      </c>
      <c r="AJ506" s="4">
        <f t="shared" si="312"/>
        <v>-6.9163816914448506E-2</v>
      </c>
      <c r="AK506" s="4">
        <f t="shared" si="312"/>
        <v>-7.0406408772204609E-2</v>
      </c>
      <c r="AL506" s="4">
        <f t="shared" si="312"/>
        <v>-7.1635718710894469E-2</v>
      </c>
      <c r="AM506" s="4">
        <f t="shared" ref="AM506:BC506" si="313">AM479/AM492-1</f>
        <v>-7.271441814024826E-2</v>
      </c>
      <c r="AN506" s="4">
        <f t="shared" si="313"/>
        <v>-7.3765072462678605E-2</v>
      </c>
      <c r="AO506" s="4">
        <f t="shared" si="313"/>
        <v>-7.4797366245153207E-2</v>
      </c>
      <c r="AP506" s="4">
        <f t="shared" si="313"/>
        <v>-7.5815019651649385E-2</v>
      </c>
      <c r="AQ506" s="4">
        <f t="shared" si="313"/>
        <v>-7.6820925806834306E-2</v>
      </c>
      <c r="AR506" s="4">
        <f t="shared" si="313"/>
        <v>-7.7798245614478345E-2</v>
      </c>
      <c r="AS506" s="4">
        <f t="shared" si="313"/>
        <v>-7.8766297360550186E-2</v>
      </c>
      <c r="AT506" s="4">
        <f t="shared" si="313"/>
        <v>-7.9728641849370896E-2</v>
      </c>
      <c r="AU506" s="4">
        <f t="shared" si="313"/>
        <v>-8.0687584368854703E-2</v>
      </c>
      <c r="AV506" s="4">
        <f t="shared" si="313"/>
        <v>-8.1643860306750082E-2</v>
      </c>
      <c r="AW506" s="4">
        <f t="shared" si="313"/>
        <v>-8.2531389610006167E-2</v>
      </c>
      <c r="AX506" s="4">
        <f t="shared" si="313"/>
        <v>-8.3386408407121526E-2</v>
      </c>
      <c r="AY506" s="4">
        <f t="shared" si="313"/>
        <v>-8.420549598589766E-2</v>
      </c>
      <c r="AZ506" s="4">
        <f t="shared" si="313"/>
        <v>-8.5009995506421854E-2</v>
      </c>
      <c r="BA506" s="4">
        <f t="shared" si="313"/>
        <v>-8.5817827829518634E-2</v>
      </c>
      <c r="BB506" s="4">
        <f t="shared" si="313"/>
        <v>-1.0649707703774269E-2</v>
      </c>
      <c r="BC506" s="4">
        <f t="shared" si="313"/>
        <v>-1.0812298605476722E-2</v>
      </c>
      <c r="BD506" s="4">
        <f t="shared" ref="BD506:BF506" si="314">BD479/BD492-1</f>
        <v>-1.0966074448534036E-2</v>
      </c>
      <c r="BE506" s="4">
        <f t="shared" si="314"/>
        <v>-1.1112896306570308E-2</v>
      </c>
      <c r="BF506" s="4">
        <f t="shared" si="314"/>
        <v>-1.1253861816402311E-2</v>
      </c>
    </row>
    <row r="507" spans="1:58" x14ac:dyDescent="0.35">
      <c r="B507" t="s">
        <v>76</v>
      </c>
      <c r="C507" s="4">
        <f>(C480-C493)/C$492</f>
        <v>-5.338316368754002E-4</v>
      </c>
      <c r="D507" s="4">
        <f>(D480-D493)/D$492</f>
        <v>-6.7772916016792533E-4</v>
      </c>
      <c r="E507" s="4">
        <f t="shared" ref="E507:AL507" si="315">(E480-E493)/E$492</f>
        <v>-7.4961749121561631E-4</v>
      </c>
      <c r="F507" s="4">
        <f t="shared" si="315"/>
        <v>-8.0714072213823964E-4</v>
      </c>
      <c r="G507" s="4">
        <f t="shared" si="315"/>
        <v>-8.6053847914110027E-4</v>
      </c>
      <c r="H507" s="4">
        <f t="shared" si="315"/>
        <v>-9.1204264748688069E-4</v>
      </c>
      <c r="I507" s="4">
        <f t="shared" si="315"/>
        <v>-9.6215049125448614E-4</v>
      </c>
      <c r="J507" s="4">
        <f t="shared" si="315"/>
        <v>-1.0101823584375068E-3</v>
      </c>
      <c r="K507" s="4">
        <f t="shared" si="315"/>
        <v>-1.0562025898270822E-3</v>
      </c>
      <c r="L507" s="4">
        <f t="shared" si="315"/>
        <v>-1.1005582706853116E-3</v>
      </c>
      <c r="M507" s="4">
        <f t="shared" si="315"/>
        <v>-1.1438915078092683E-3</v>
      </c>
      <c r="N507" s="4">
        <f t="shared" si="315"/>
        <v>-1.188196336515162E-3</v>
      </c>
      <c r="O507" s="4">
        <f t="shared" si="315"/>
        <v>-1.2323018553646145E-3</v>
      </c>
      <c r="P507" s="4">
        <f t="shared" si="315"/>
        <v>-1.2762027707645138E-3</v>
      </c>
      <c r="Q507" s="4">
        <f t="shared" si="315"/>
        <v>-1.3200073084281986E-3</v>
      </c>
      <c r="R507" s="4">
        <f t="shared" si="315"/>
        <v>-1.3638049003028092E-3</v>
      </c>
      <c r="S507" s="4">
        <f t="shared" si="315"/>
        <v>-1.4095746360172881E-3</v>
      </c>
      <c r="T507" s="4">
        <f t="shared" si="315"/>
        <v>-1.4557041519460512E-3</v>
      </c>
      <c r="U507" s="4">
        <f t="shared" si="315"/>
        <v>-1.501861466709771E-3</v>
      </c>
      <c r="V507" s="4">
        <f t="shared" si="315"/>
        <v>-1.5479516324228926E-3</v>
      </c>
      <c r="W507" s="4">
        <f t="shared" si="315"/>
        <v>-1.5937502414631285E-3</v>
      </c>
      <c r="X507" s="4">
        <f t="shared" si="315"/>
        <v>-1.6394794936046128E-3</v>
      </c>
      <c r="Y507" s="4">
        <f t="shared" si="315"/>
        <v>-1.6850122444645578E-3</v>
      </c>
      <c r="Z507" s="4">
        <f t="shared" si="315"/>
        <v>-1.7302532078143924E-3</v>
      </c>
      <c r="AA507" s="4">
        <f t="shared" si="315"/>
        <v>-1.7751590167200285E-3</v>
      </c>
      <c r="AB507" s="4">
        <f t="shared" si="315"/>
        <v>-1.8191913291329626E-3</v>
      </c>
      <c r="AC507" s="4">
        <f t="shared" si="315"/>
        <v>-1.8622463197795233E-3</v>
      </c>
      <c r="AD507" s="4">
        <f t="shared" si="315"/>
        <v>-1.9048334966583554E-3</v>
      </c>
      <c r="AE507" s="4">
        <f t="shared" si="315"/>
        <v>-1.9469286914658404E-3</v>
      </c>
      <c r="AF507" s="4">
        <f t="shared" si="315"/>
        <v>-1.988501214087788E-3</v>
      </c>
      <c r="AG507" s="4">
        <f t="shared" si="315"/>
        <v>-2.0295188227059313E-3</v>
      </c>
      <c r="AH507" s="4">
        <f t="shared" si="315"/>
        <v>-2.0695831249281666E-3</v>
      </c>
      <c r="AI507" s="4">
        <f t="shared" si="315"/>
        <v>-2.1089804914696379E-3</v>
      </c>
      <c r="AJ507" s="4">
        <f t="shared" si="315"/>
        <v>-2.1477567964948634E-3</v>
      </c>
      <c r="AK507" s="4">
        <f t="shared" si="315"/>
        <v>-2.1859161708856455E-3</v>
      </c>
      <c r="AL507" s="4">
        <f t="shared" si="315"/>
        <v>-2.2234584543441883E-3</v>
      </c>
      <c r="AM507" s="4">
        <f t="shared" ref="AM507:BC507" si="316">(AM480-AM493)/AM$492</f>
        <v>-2.2571574038912834E-3</v>
      </c>
      <c r="AN507" s="4">
        <f t="shared" si="316"/>
        <v>-2.2896857614802739E-3</v>
      </c>
      <c r="AO507" s="4">
        <f t="shared" si="316"/>
        <v>-2.3215755809317985E-3</v>
      </c>
      <c r="AP507" s="4">
        <f t="shared" si="316"/>
        <v>-2.352922103185173E-3</v>
      </c>
      <c r="AQ507" s="4">
        <f t="shared" si="316"/>
        <v>-2.3837512297379278E-3</v>
      </c>
      <c r="AR507" s="4">
        <f t="shared" si="316"/>
        <v>-2.4136093451405118E-3</v>
      </c>
      <c r="AS507" s="4">
        <f t="shared" si="316"/>
        <v>-2.4429073710297766E-3</v>
      </c>
      <c r="AT507" s="4">
        <f t="shared" si="316"/>
        <v>-2.4717482653273345E-3</v>
      </c>
      <c r="AU507" s="4">
        <f t="shared" si="316"/>
        <v>-2.5001738639726561E-3</v>
      </c>
      <c r="AV507" s="4">
        <f t="shared" si="316"/>
        <v>-2.5282118711441445E-3</v>
      </c>
      <c r="AW507" s="4">
        <f t="shared" si="316"/>
        <v>-2.5543603486248689E-3</v>
      </c>
      <c r="AX507" s="4">
        <f t="shared" si="316"/>
        <v>-2.5800787529753622E-3</v>
      </c>
      <c r="AY507" s="4">
        <f t="shared" si="316"/>
        <v>-2.6056919619400262E-3</v>
      </c>
      <c r="AZ507" s="4">
        <f t="shared" si="316"/>
        <v>-2.6312251425190543E-3</v>
      </c>
      <c r="BA507" s="4">
        <f t="shared" si="316"/>
        <v>-2.6566558398579678E-3</v>
      </c>
      <c r="BB507" s="4">
        <f t="shared" si="316"/>
        <v>8.4274739663332848E-5</v>
      </c>
      <c r="BC507" s="4">
        <f t="shared" si="316"/>
        <v>8.7376264270213607E-5</v>
      </c>
      <c r="BD507" s="4">
        <f t="shared" ref="BD507:BF507" si="317">(BD480-BD493)/BD$492</f>
        <v>9.0516704691791735E-5</v>
      </c>
      <c r="BE507" s="4">
        <f t="shared" si="317"/>
        <v>9.3707634260092854E-5</v>
      </c>
      <c r="BF507" s="4">
        <f t="shared" si="317"/>
        <v>9.6956067065055344E-5</v>
      </c>
    </row>
    <row r="508" spans="1:58" x14ac:dyDescent="0.35">
      <c r="B508" t="s">
        <v>74</v>
      </c>
      <c r="C508" s="4">
        <f>(C481-C494)/C$493</f>
        <v>-0.45940471940008121</v>
      </c>
      <c r="D508" s="4">
        <f>(D481-D494)/D$492</f>
        <v>-9.0401256106503979E-3</v>
      </c>
      <c r="E508" s="4">
        <f t="shared" ref="E508:AL508" si="318">(E481-E494)/E$492</f>
        <v>-1.0286136909219404E-2</v>
      </c>
      <c r="F508" s="4">
        <f t="shared" si="318"/>
        <v>-1.1405012651470994E-2</v>
      </c>
      <c r="G508" s="4">
        <f t="shared" si="318"/>
        <v>-1.2418649570309916E-2</v>
      </c>
      <c r="H508" s="4">
        <f t="shared" si="318"/>
        <v>-1.3350325650830672E-2</v>
      </c>
      <c r="I508" s="4">
        <f t="shared" si="318"/>
        <v>-1.4195313562240233E-2</v>
      </c>
      <c r="J508" s="4">
        <f t="shared" si="318"/>
        <v>-1.4953606013403413E-2</v>
      </c>
      <c r="K508" s="4">
        <f t="shared" si="318"/>
        <v>-1.5635040402141497E-2</v>
      </c>
      <c r="L508" s="4">
        <f t="shared" si="318"/>
        <v>-1.6252491330187246E-2</v>
      </c>
      <c r="M508" s="4">
        <f t="shared" si="318"/>
        <v>-1.682249474962761E-2</v>
      </c>
      <c r="N508" s="4">
        <f t="shared" si="318"/>
        <v>-1.7377437211021692E-2</v>
      </c>
      <c r="O508" s="4">
        <f t="shared" si="318"/>
        <v>-1.7907517858289833E-2</v>
      </c>
      <c r="P508" s="4">
        <f t="shared" si="318"/>
        <v>-1.8418130829379063E-2</v>
      </c>
      <c r="Q508" s="4">
        <f t="shared" si="318"/>
        <v>-1.8914503173380677E-2</v>
      </c>
      <c r="R508" s="4">
        <f t="shared" si="318"/>
        <v>-1.9401109161222885E-2</v>
      </c>
      <c r="S508" s="4">
        <f t="shared" si="318"/>
        <v>-1.9908251732770603E-2</v>
      </c>
      <c r="T508" s="4">
        <f t="shared" si="318"/>
        <v>-2.0414680148825335E-2</v>
      </c>
      <c r="U508" s="4">
        <f t="shared" si="318"/>
        <v>-2.0920203069554239E-2</v>
      </c>
      <c r="V508" s="4">
        <f t="shared" si="318"/>
        <v>-2.1425491659661747E-2</v>
      </c>
      <c r="W508" s="4">
        <f t="shared" si="318"/>
        <v>-2.1928114725773995E-2</v>
      </c>
      <c r="X508" s="4">
        <f t="shared" si="318"/>
        <v>-2.2434477171535544E-2</v>
      </c>
      <c r="Y508" s="4">
        <f t="shared" si="318"/>
        <v>-2.294083261723984E-2</v>
      </c>
      <c r="Z508" s="4">
        <f t="shared" si="318"/>
        <v>-2.3447571350969258E-2</v>
      </c>
      <c r="AA508" s="4">
        <f t="shared" si="318"/>
        <v>-2.3954836903105434E-2</v>
      </c>
      <c r="AB508" s="4">
        <f t="shared" si="318"/>
        <v>-2.4453099547509544E-2</v>
      </c>
      <c r="AC508" s="4">
        <f t="shared" si="318"/>
        <v>-2.4947924599557102E-2</v>
      </c>
      <c r="AD508" s="4">
        <f t="shared" si="318"/>
        <v>-2.54404452456077E-2</v>
      </c>
      <c r="AE508" s="4">
        <f t="shared" si="318"/>
        <v>-2.5930997331624284E-2</v>
      </c>
      <c r="AF508" s="4">
        <f t="shared" si="318"/>
        <v>-2.6419510763095531E-2</v>
      </c>
      <c r="AG508" s="4">
        <f t="shared" si="318"/>
        <v>-2.6905756768067286E-2</v>
      </c>
      <c r="AH508" s="4">
        <f t="shared" si="318"/>
        <v>-2.7384320625482374E-2</v>
      </c>
      <c r="AI508" s="4">
        <f t="shared" si="318"/>
        <v>-2.7859496159469369E-2</v>
      </c>
      <c r="AJ508" s="4">
        <f t="shared" si="318"/>
        <v>-2.8331498341100901E-2</v>
      </c>
      <c r="AK508" s="4">
        <f t="shared" si="318"/>
        <v>-2.8800339540310856E-2</v>
      </c>
      <c r="AL508" s="4">
        <f t="shared" si="318"/>
        <v>-2.9266039487568569E-2</v>
      </c>
      <c r="AM508" s="4">
        <f t="shared" ref="AM508:BC508" si="319">(AM481-AM494)/AM$492</f>
        <v>-2.9682915021466826E-2</v>
      </c>
      <c r="AN508" s="4">
        <f t="shared" si="319"/>
        <v>-3.0091689645722397E-2</v>
      </c>
      <c r="AO508" s="4">
        <f t="shared" si="319"/>
        <v>-3.0495175572850343E-2</v>
      </c>
      <c r="AP508" s="4">
        <f t="shared" si="319"/>
        <v>-3.089439359295193E-2</v>
      </c>
      <c r="AQ508" s="4">
        <f t="shared" si="319"/>
        <v>-3.1290231985812794E-2</v>
      </c>
      <c r="AR508" s="4">
        <f t="shared" si="319"/>
        <v>-3.1677001756245007E-2</v>
      </c>
      <c r="AS508" s="4">
        <f t="shared" si="319"/>
        <v>-3.2061263906624844E-2</v>
      </c>
      <c r="AT508" s="4">
        <f t="shared" si="319"/>
        <v>-3.244430969242347E-2</v>
      </c>
      <c r="AU508" s="4">
        <f t="shared" si="319"/>
        <v>-3.2827004287125386E-2</v>
      </c>
      <c r="AV508" s="4">
        <f t="shared" si="319"/>
        <v>-3.3209872520927573E-2</v>
      </c>
      <c r="AW508" s="4">
        <f t="shared" si="319"/>
        <v>-3.3571495309240237E-2</v>
      </c>
      <c r="AX508" s="4">
        <f t="shared" si="319"/>
        <v>-3.3931039523255664E-2</v>
      </c>
      <c r="AY508" s="4">
        <f t="shared" si="319"/>
        <v>-3.429033576699117E-2</v>
      </c>
      <c r="AZ508" s="4">
        <f t="shared" si="319"/>
        <v>-3.4651982795892849E-2</v>
      </c>
      <c r="BA508" s="4">
        <f t="shared" si="319"/>
        <v>-3.5017920500663394E-2</v>
      </c>
      <c r="BB508" s="4">
        <f t="shared" si="319"/>
        <v>5.3135867017790887E-5</v>
      </c>
      <c r="BC508" s="4">
        <f t="shared" si="319"/>
        <v>8.0410473857054355E-5</v>
      </c>
      <c r="BD508" s="4">
        <f t="shared" ref="BD508:BF508" si="320">(BD481-BD494)/BD$492</f>
        <v>1.0893863460651317E-4</v>
      </c>
      <c r="BE508" s="4">
        <f t="shared" si="320"/>
        <v>1.3868090802687057E-4</v>
      </c>
      <c r="BF508" s="4">
        <f t="shared" si="320"/>
        <v>1.6965245306866465E-4</v>
      </c>
    </row>
    <row r="509" spans="1:58" x14ac:dyDescent="0.35">
      <c r="B509" t="s">
        <v>54</v>
      </c>
      <c r="C509" s="4">
        <f>(C485-C498)/C$492</f>
        <v>-1.4849831089649439E-3</v>
      </c>
      <c r="D509" s="4">
        <f>(D485-D498)/D$492</f>
        <v>-1.3459745248756263E-3</v>
      </c>
      <c r="E509" s="4">
        <f t="shared" ref="E509:AL509" si="321">(E485-E498)/E$492</f>
        <v>-1.3280876202690882E-3</v>
      </c>
      <c r="F509" s="4">
        <f t="shared" si="321"/>
        <v>-1.3272324126130963E-3</v>
      </c>
      <c r="G509" s="4">
        <f t="shared" si="321"/>
        <v>-1.3194208473052374E-3</v>
      </c>
      <c r="H509" s="4">
        <f t="shared" si="321"/>
        <v>-1.3535650873352627E-3</v>
      </c>
      <c r="I509" s="4">
        <f t="shared" si="321"/>
        <v>-1.4109617761013627E-3</v>
      </c>
      <c r="J509" s="4">
        <f t="shared" si="321"/>
        <v>-1.4736397918265955E-3</v>
      </c>
      <c r="K509" s="4">
        <f t="shared" si="321"/>
        <v>-1.5390271271389154E-3</v>
      </c>
      <c r="L509" s="4">
        <f t="shared" si="321"/>
        <v>-1.6064291283755447E-3</v>
      </c>
      <c r="M509" s="4">
        <f t="shared" si="321"/>
        <v>-1.6774600918963549E-3</v>
      </c>
      <c r="N509" s="4">
        <f t="shared" si="321"/>
        <v>-1.750358003537948E-3</v>
      </c>
      <c r="O509" s="4">
        <f t="shared" si="321"/>
        <v>-1.8214507731034524E-3</v>
      </c>
      <c r="P509" s="4">
        <f t="shared" si="321"/>
        <v>-1.8902765325536914E-3</v>
      </c>
      <c r="Q509" s="4">
        <f t="shared" si="321"/>
        <v>-1.9570980087856202E-3</v>
      </c>
      <c r="R509" s="4">
        <f t="shared" si="321"/>
        <v>-2.0223892250202657E-3</v>
      </c>
      <c r="S509" s="4">
        <f t="shared" si="321"/>
        <v>-2.0914049650379496E-3</v>
      </c>
      <c r="T509" s="4">
        <f t="shared" si="321"/>
        <v>-2.1575835687379741E-3</v>
      </c>
      <c r="U509" s="4">
        <f t="shared" si="321"/>
        <v>-2.221393685578566E-3</v>
      </c>
      <c r="V509" s="4">
        <f t="shared" si="321"/>
        <v>-2.2829544497130465E-3</v>
      </c>
      <c r="W509" s="4">
        <f t="shared" si="321"/>
        <v>-2.339929731621484E-3</v>
      </c>
      <c r="X509" s="4">
        <f t="shared" si="321"/>
        <v>-2.3980668288769561E-3</v>
      </c>
      <c r="Y509" s="4">
        <f t="shared" si="321"/>
        <v>-2.4540470004294885E-3</v>
      </c>
      <c r="Z509" s="4">
        <f t="shared" si="321"/>
        <v>-2.5083263180789754E-3</v>
      </c>
      <c r="AA509" s="4">
        <f t="shared" si="321"/>
        <v>-2.5611534151219503E-3</v>
      </c>
      <c r="AB509" s="4">
        <f t="shared" si="321"/>
        <v>-2.6053116674742654E-3</v>
      </c>
      <c r="AC509" s="4">
        <f t="shared" si="321"/>
        <v>-2.652722471265381E-3</v>
      </c>
      <c r="AD509" s="4">
        <f t="shared" si="321"/>
        <v>-2.6998202638709771E-3</v>
      </c>
      <c r="AE509" s="4">
        <f t="shared" si="321"/>
        <v>-2.7471186646084223E-3</v>
      </c>
      <c r="AF509" s="4">
        <f t="shared" si="321"/>
        <v>-2.7946012391891189E-3</v>
      </c>
      <c r="AG509" s="4">
        <f t="shared" si="321"/>
        <v>-2.8421846476319934E-3</v>
      </c>
      <c r="AH509" s="4">
        <f t="shared" si="321"/>
        <v>-2.8888263293675616E-3</v>
      </c>
      <c r="AI509" s="4">
        <f t="shared" si="321"/>
        <v>-2.9357642248191008E-3</v>
      </c>
      <c r="AJ509" s="4">
        <f t="shared" si="321"/>
        <v>-2.9829217571989146E-3</v>
      </c>
      <c r="AK509" s="4">
        <f t="shared" si="321"/>
        <v>-3.0303110140495353E-3</v>
      </c>
      <c r="AL509" s="4">
        <f t="shared" si="321"/>
        <v>-3.0779589758485096E-3</v>
      </c>
      <c r="AM509" s="4">
        <f t="shared" ref="AM509:BC509" si="322">(AM485-AM498)/AM$492</f>
        <v>-3.1155441348939684E-3</v>
      </c>
      <c r="AN509" s="4">
        <f t="shared" si="322"/>
        <v>-3.1558102227391693E-3</v>
      </c>
      <c r="AO509" s="4">
        <f t="shared" si="322"/>
        <v>-3.1975032226131479E-3</v>
      </c>
      <c r="AP509" s="4">
        <f t="shared" si="322"/>
        <v>-3.2402200586942134E-3</v>
      </c>
      <c r="AQ509" s="4">
        <f t="shared" si="322"/>
        <v>-3.2836645479045806E-3</v>
      </c>
      <c r="AR509" s="4">
        <f t="shared" si="322"/>
        <v>-3.3262564683004558E-3</v>
      </c>
      <c r="AS509" s="4">
        <f t="shared" si="322"/>
        <v>-3.3692453095274513E-3</v>
      </c>
      <c r="AT509" s="4">
        <f t="shared" si="322"/>
        <v>-3.4121636336341735E-3</v>
      </c>
      <c r="AU509" s="4">
        <f t="shared" si="322"/>
        <v>-3.4545420411769539E-3</v>
      </c>
      <c r="AV509" s="4">
        <f t="shared" si="322"/>
        <v>-3.495613061894096E-3</v>
      </c>
      <c r="AW509" s="4">
        <f t="shared" si="322"/>
        <v>-3.5295344412833748E-3</v>
      </c>
      <c r="AX509" s="4">
        <f t="shared" si="322"/>
        <v>-3.5603619769751099E-3</v>
      </c>
      <c r="AY509" s="4">
        <f t="shared" si="322"/>
        <v>-3.5827242871108527E-3</v>
      </c>
      <c r="AZ509" s="4">
        <f t="shared" si="322"/>
        <v>-3.604180435129617E-3</v>
      </c>
      <c r="BA509" s="4">
        <f t="shared" si="322"/>
        <v>-3.6304916817518564E-3</v>
      </c>
      <c r="BB509" s="4">
        <f t="shared" si="322"/>
        <v>-1.0990336866502704E-3</v>
      </c>
      <c r="BC509" s="4">
        <f t="shared" si="322"/>
        <v>-1.1097010264508416E-3</v>
      </c>
      <c r="BD509" s="4">
        <f t="shared" ref="BD509:BF509" si="323">(BD485-BD498)/BD$492</f>
        <v>-1.1197365432501557E-3</v>
      </c>
      <c r="BE509" s="4">
        <f t="shared" si="323"/>
        <v>-1.1294077849028704E-3</v>
      </c>
      <c r="BF509" s="4">
        <f t="shared" si="323"/>
        <v>-1.1388073050187509E-3</v>
      </c>
    </row>
    <row r="510" spans="1:58" x14ac:dyDescent="0.35">
      <c r="B510" t="s">
        <v>11</v>
      </c>
      <c r="C510" s="4">
        <f>(C486-C499)/C$493</f>
        <v>-0.48452911977110791</v>
      </c>
      <c r="D510" s="4">
        <f>(D486-D499)/D$492</f>
        <v>-9.8994821135079576E-3</v>
      </c>
      <c r="E510" s="4">
        <f t="shared" ref="E510:AL510" si="324">(E486-E499)/E$492</f>
        <v>-1.1219467108799524E-2</v>
      </c>
      <c r="F510" s="4">
        <f t="shared" si="324"/>
        <v>-1.2141142985762434E-2</v>
      </c>
      <c r="G510" s="4">
        <f t="shared" si="324"/>
        <v>-1.2746788256105965E-2</v>
      </c>
      <c r="H510" s="4">
        <f t="shared" si="324"/>
        <v>-1.3179396987248947E-2</v>
      </c>
      <c r="I510" s="4">
        <f t="shared" si="324"/>
        <v>-1.3448278612259126E-2</v>
      </c>
      <c r="J510" s="4">
        <f t="shared" si="324"/>
        <v>-1.3598556584221893E-2</v>
      </c>
      <c r="K510" s="4">
        <f t="shared" si="324"/>
        <v>-1.3668235271210274E-2</v>
      </c>
      <c r="L510" s="4">
        <f t="shared" si="324"/>
        <v>-1.3689637446920758E-2</v>
      </c>
      <c r="M510" s="4">
        <f t="shared" si="324"/>
        <v>-1.369473317296146E-2</v>
      </c>
      <c r="N510" s="4">
        <f t="shared" si="324"/>
        <v>-1.3728791816097345E-2</v>
      </c>
      <c r="O510" s="4">
        <f t="shared" si="324"/>
        <v>-1.3785150378508578E-2</v>
      </c>
      <c r="P510" s="4">
        <f t="shared" si="324"/>
        <v>-1.3870988874965821E-2</v>
      </c>
      <c r="Q510" s="4">
        <f t="shared" si="324"/>
        <v>-1.3991614369091398E-2</v>
      </c>
      <c r="R510" s="4">
        <f t="shared" si="324"/>
        <v>-1.4150002628993585E-2</v>
      </c>
      <c r="S510" s="4">
        <f t="shared" si="324"/>
        <v>-1.4376078529937171E-2</v>
      </c>
      <c r="T510" s="4">
        <f t="shared" si="324"/>
        <v>-1.4645193809552377E-2</v>
      </c>
      <c r="U510" s="4">
        <f t="shared" si="324"/>
        <v>-1.4952409281012588E-2</v>
      </c>
      <c r="V510" s="4">
        <f t="shared" si="324"/>
        <v>-1.5293849394175054E-2</v>
      </c>
      <c r="W510" s="4">
        <f t="shared" si="324"/>
        <v>-1.5662608669148453E-2</v>
      </c>
      <c r="X510" s="4">
        <f t="shared" si="324"/>
        <v>-1.6059444197159611E-2</v>
      </c>
      <c r="Y510" s="4">
        <f t="shared" si="324"/>
        <v>-1.6478054124988185E-2</v>
      </c>
      <c r="Z510" s="4">
        <f t="shared" si="324"/>
        <v>-1.6914663701295397E-2</v>
      </c>
      <c r="AA510" s="4">
        <f t="shared" si="324"/>
        <v>-1.7365709250426412E-2</v>
      </c>
      <c r="AB510" s="4">
        <f t="shared" si="324"/>
        <v>-1.7818226015987891E-2</v>
      </c>
      <c r="AC510" s="4">
        <f t="shared" si="324"/>
        <v>-1.8270661342419541E-2</v>
      </c>
      <c r="AD510" s="4">
        <f t="shared" si="324"/>
        <v>-1.8724801078334064E-2</v>
      </c>
      <c r="AE510" s="4">
        <f t="shared" si="324"/>
        <v>-1.9179003327083728E-2</v>
      </c>
      <c r="AF510" s="4">
        <f t="shared" si="324"/>
        <v>-1.9631691522237062E-2</v>
      </c>
      <c r="AG510" s="4">
        <f t="shared" si="324"/>
        <v>-2.0081558193920827E-2</v>
      </c>
      <c r="AH510" s="4">
        <f t="shared" si="324"/>
        <v>-2.0521835425781489E-2</v>
      </c>
      <c r="AI510" s="4">
        <f t="shared" si="324"/>
        <v>-2.0955935008242201E-2</v>
      </c>
      <c r="AJ510" s="4">
        <f t="shared" si="324"/>
        <v>-2.1383461061934499E-2</v>
      </c>
      <c r="AK510" s="4">
        <f t="shared" si="324"/>
        <v>-2.1803812778085494E-2</v>
      </c>
      <c r="AL510" s="4">
        <f t="shared" si="324"/>
        <v>-2.22165135807403E-2</v>
      </c>
      <c r="AM510" s="4">
        <f t="shared" ref="AM510:BC510" si="325">(AM486-AM499)/AM$492</f>
        <v>-2.2572558044896125E-2</v>
      </c>
      <c r="AN510" s="4">
        <f t="shared" si="325"/>
        <v>-2.2912178546039691E-2</v>
      </c>
      <c r="AO510" s="4">
        <f t="shared" si="325"/>
        <v>-2.3240340378334688E-2</v>
      </c>
      <c r="AP510" s="4">
        <f t="shared" si="325"/>
        <v>-2.3559189456434586E-2</v>
      </c>
      <c r="AQ510" s="4">
        <f t="shared" si="325"/>
        <v>-2.3870338885609847E-2</v>
      </c>
      <c r="AR510" s="4">
        <f t="shared" si="325"/>
        <v>-2.4168081844844265E-2</v>
      </c>
      <c r="AS510" s="4">
        <f t="shared" si="325"/>
        <v>-2.4459224276806142E-2</v>
      </c>
      <c r="AT510" s="4">
        <f t="shared" si="325"/>
        <v>-2.4745266461741685E-2</v>
      </c>
      <c r="AU510" s="4">
        <f t="shared" si="325"/>
        <v>-2.5026939156407711E-2</v>
      </c>
      <c r="AV510" s="4">
        <f t="shared" si="325"/>
        <v>-2.5303860118091649E-2</v>
      </c>
      <c r="AW510" s="4">
        <f t="shared" si="325"/>
        <v>-2.554984008395797E-2</v>
      </c>
      <c r="AX510" s="4">
        <f t="shared" si="325"/>
        <v>-2.5781568182685521E-2</v>
      </c>
      <c r="AY510" s="4">
        <f t="shared" si="325"/>
        <v>-2.5998802020975275E-2</v>
      </c>
      <c r="AZ510" s="4">
        <f t="shared" si="325"/>
        <v>-2.6209119057847167E-2</v>
      </c>
      <c r="BA510" s="4">
        <f t="shared" si="325"/>
        <v>-2.6418531734033628E-2</v>
      </c>
      <c r="BB510" s="4">
        <f t="shared" si="325"/>
        <v>-6.6031499893113273E-3</v>
      </c>
      <c r="BC510" s="4">
        <f t="shared" si="325"/>
        <v>-6.7440012499967112E-3</v>
      </c>
      <c r="BD510" s="4">
        <f t="shared" ref="BD510:BF510" si="326">(BD486-BD499)/BD$492</f>
        <v>-6.8804170875079512E-3</v>
      </c>
      <c r="BE510" s="4">
        <f t="shared" si="326"/>
        <v>-7.0133542177743648E-3</v>
      </c>
      <c r="BF510" s="4">
        <f t="shared" si="326"/>
        <v>-7.1435608619209731E-3</v>
      </c>
    </row>
    <row r="511" spans="1:58" x14ac:dyDescent="0.35">
      <c r="B511" t="s">
        <v>75</v>
      </c>
      <c r="C511" s="4">
        <f>(C487-C500)/C$494</f>
        <v>-1.3345012735541872E-2</v>
      </c>
      <c r="D511" s="4">
        <f>(D487-D500)/D$492</f>
        <v>-5.6066758303189501E-3</v>
      </c>
      <c r="E511" s="4">
        <f t="shared" ref="E511:AL511" si="327">(E487-E500)/E$492</f>
        <v>-6.2264062116108403E-3</v>
      </c>
      <c r="F511" s="4">
        <f t="shared" si="327"/>
        <v>-6.7238882494579169E-3</v>
      </c>
      <c r="G511" s="4">
        <f t="shared" si="327"/>
        <v>-7.1397044172536554E-3</v>
      </c>
      <c r="H511" s="4">
        <f t="shared" si="327"/>
        <v>-7.4546635807410363E-3</v>
      </c>
      <c r="I511" s="4">
        <f t="shared" si="327"/>
        <v>-7.6924301919267168E-3</v>
      </c>
      <c r="J511" s="4">
        <f t="shared" si="327"/>
        <v>-7.8988917500927899E-3</v>
      </c>
      <c r="K511" s="4">
        <f t="shared" si="327"/>
        <v>-8.0881783327314445E-3</v>
      </c>
      <c r="L511" s="4">
        <f t="shared" si="327"/>
        <v>-8.2665196630086202E-3</v>
      </c>
      <c r="M511" s="4">
        <f t="shared" si="327"/>
        <v>-8.4424442779349861E-3</v>
      </c>
      <c r="N511" s="4">
        <f t="shared" si="327"/>
        <v>-8.6307819131893632E-3</v>
      </c>
      <c r="O511" s="4">
        <f t="shared" si="327"/>
        <v>-8.8231158717297451E-3</v>
      </c>
      <c r="P511" s="4">
        <f t="shared" si="327"/>
        <v>-9.0204948148976671E-3</v>
      </c>
      <c r="Q511" s="4">
        <f t="shared" si="327"/>
        <v>-9.2242732266126469E-3</v>
      </c>
      <c r="R511" s="4">
        <f t="shared" si="327"/>
        <v>-9.4354202843787375E-3</v>
      </c>
      <c r="S511" s="4">
        <f t="shared" si="327"/>
        <v>-9.6713163872614964E-3</v>
      </c>
      <c r="T511" s="4">
        <f t="shared" si="327"/>
        <v>-9.917338539602201E-3</v>
      </c>
      <c r="U511" s="4">
        <f t="shared" si="327"/>
        <v>-1.0171975566843719E-2</v>
      </c>
      <c r="V511" s="4">
        <f t="shared" si="327"/>
        <v>-1.0434389087444798E-2</v>
      </c>
      <c r="W511" s="4">
        <f t="shared" si="327"/>
        <v>-1.0700761058254158E-2</v>
      </c>
      <c r="X511" s="4">
        <f t="shared" si="327"/>
        <v>-1.0975852276201587E-2</v>
      </c>
      <c r="Y511" s="4">
        <f t="shared" si="327"/>
        <v>-1.1255757207351651E-2</v>
      </c>
      <c r="Z511" s="4">
        <f t="shared" si="327"/>
        <v>-1.1539492051118526E-2</v>
      </c>
      <c r="AA511" s="4">
        <f t="shared" si="327"/>
        <v>-1.1826178932354962E-2</v>
      </c>
      <c r="AB511" s="4">
        <f t="shared" si="327"/>
        <v>-1.2105951769268614E-2</v>
      </c>
      <c r="AC511" s="4">
        <f t="shared" si="327"/>
        <v>-1.2385789395036997E-2</v>
      </c>
      <c r="AD511" s="4">
        <f t="shared" si="327"/>
        <v>-1.2665726131047125E-2</v>
      </c>
      <c r="AE511" s="4">
        <f t="shared" si="327"/>
        <v>-1.2945457083383575E-2</v>
      </c>
      <c r="AF511" s="4">
        <f t="shared" si="327"/>
        <v>-1.3224577314309515E-2</v>
      </c>
      <c r="AG511" s="4">
        <f t="shared" si="327"/>
        <v>-1.3502772532450018E-2</v>
      </c>
      <c r="AH511" s="4">
        <f t="shared" si="327"/>
        <v>-1.3776505868529267E-2</v>
      </c>
      <c r="AI511" s="4">
        <f t="shared" si="327"/>
        <v>-1.4048296216004027E-2</v>
      </c>
      <c r="AJ511" s="4">
        <f t="shared" si="327"/>
        <v>-1.4318179156221925E-2</v>
      </c>
      <c r="AK511" s="4">
        <f t="shared" si="327"/>
        <v>-1.4586029546853977E-2</v>
      </c>
      <c r="AL511" s="4">
        <f t="shared" si="327"/>
        <v>-1.4851747832859469E-2</v>
      </c>
      <c r="AM511" s="4">
        <f t="shared" ref="AM511:BC511" si="328">(AM487-AM500)/AM$492</f>
        <v>-1.5086243375389202E-2</v>
      </c>
      <c r="AN511" s="4">
        <f t="shared" si="328"/>
        <v>-1.5315708309953149E-2</v>
      </c>
      <c r="AO511" s="4">
        <f t="shared" si="328"/>
        <v>-1.5542771614770785E-2</v>
      </c>
      <c r="AP511" s="4">
        <f t="shared" si="328"/>
        <v>-1.5768294504224858E-2</v>
      </c>
      <c r="AQ511" s="4">
        <f t="shared" si="328"/>
        <v>-1.5992939130678965E-2</v>
      </c>
      <c r="AR511" s="4">
        <f t="shared" si="328"/>
        <v>-1.6213295873618774E-2</v>
      </c>
      <c r="AS511" s="4">
        <f t="shared" si="328"/>
        <v>-1.6433656244294267E-2</v>
      </c>
      <c r="AT511" s="4">
        <f t="shared" si="328"/>
        <v>-1.6655153853203611E-2</v>
      </c>
      <c r="AU511" s="4">
        <f t="shared" si="328"/>
        <v>-1.6878925228371516E-2</v>
      </c>
      <c r="AV511" s="4">
        <f t="shared" si="328"/>
        <v>-1.7106302769042504E-2</v>
      </c>
      <c r="AW511" s="4">
        <f t="shared" si="328"/>
        <v>-1.7326159176140409E-2</v>
      </c>
      <c r="AX511" s="4">
        <f t="shared" si="328"/>
        <v>-1.7533360004885097E-2</v>
      </c>
      <c r="AY511" s="4">
        <f t="shared" si="328"/>
        <v>-1.7727941986357031E-2</v>
      </c>
      <c r="AZ511" s="4">
        <f t="shared" si="328"/>
        <v>-1.7913488128613635E-2</v>
      </c>
      <c r="BA511" s="4">
        <f t="shared" si="328"/>
        <v>-1.8094227950831605E-2</v>
      </c>
      <c r="BB511" s="4">
        <f t="shared" si="328"/>
        <v>-3.0849343800535465E-3</v>
      </c>
      <c r="BC511" s="4">
        <f t="shared" si="328"/>
        <v>-3.1263830034629772E-3</v>
      </c>
      <c r="BD511" s="4">
        <f t="shared" ref="BD511:BF511" si="329">(BD487-BD500)/BD$492</f>
        <v>-3.1653761681631693E-3</v>
      </c>
      <c r="BE511" s="4">
        <f t="shared" si="329"/>
        <v>-3.2025229336915505E-3</v>
      </c>
      <c r="BF511" s="4">
        <f t="shared" si="329"/>
        <v>-3.2381021300303143E-3</v>
      </c>
    </row>
    <row r="513" spans="2:58" x14ac:dyDescent="0.35">
      <c r="B513" s="6" t="str">
        <f>[1]Macro!A100</f>
        <v>y_toe_2</v>
      </c>
      <c r="C513" s="6">
        <f>[1]Macro!B100</f>
        <v>136.575446</v>
      </c>
      <c r="D513" s="6">
        <f>[1]Macro!C100</f>
        <v>136.98143020000001</v>
      </c>
      <c r="E513" s="6">
        <f>[1]Macro!D100</f>
        <v>137.52204180000001</v>
      </c>
      <c r="F513" s="6">
        <f>[1]Macro!E100</f>
        <v>138.21769789999999</v>
      </c>
      <c r="G513" s="6">
        <f>[1]Macro!F100</f>
        <v>139.09370820000001</v>
      </c>
      <c r="H513" s="6">
        <f>[1]Macro!G100</f>
        <v>140.13630520000001</v>
      </c>
      <c r="I513" s="6">
        <f>[1]Macro!H100</f>
        <v>141.25799929999999</v>
      </c>
      <c r="J513" s="6">
        <f>[1]Macro!I100</f>
        <v>142.4820593</v>
      </c>
      <c r="K513" s="6">
        <f>[1]Macro!J100</f>
        <v>143.78945719999999</v>
      </c>
      <c r="L513" s="6">
        <f>[1]Macro!K100</f>
        <v>145.15977549999999</v>
      </c>
      <c r="M513" s="6">
        <f>[1]Macro!L100</f>
        <v>146.70764220000001</v>
      </c>
      <c r="N513" s="6">
        <f>[1]Macro!M100</f>
        <v>148.18538860000001</v>
      </c>
      <c r="O513" s="6">
        <f>[1]Macro!N100</f>
        <v>149.6675175</v>
      </c>
      <c r="P513" s="6">
        <f>[1]Macro!O100</f>
        <v>151.1577289</v>
      </c>
      <c r="Q513" s="6">
        <f>[1]Macro!P100</f>
        <v>152.6549321</v>
      </c>
      <c r="R513" s="6">
        <f>[1]Macro!Q100</f>
        <v>154.15782970000001</v>
      </c>
      <c r="S513" s="6">
        <f>[1]Macro!R100</f>
        <v>155.65299160000001</v>
      </c>
      <c r="T513" s="6">
        <f>[1]Macro!S100</f>
        <v>157.15187280000001</v>
      </c>
      <c r="U513" s="6">
        <f>[1]Macro!T100</f>
        <v>158.6565282</v>
      </c>
      <c r="V513" s="6">
        <f>[1]Macro!U100</f>
        <v>160.16881649999999</v>
      </c>
      <c r="W513" s="6">
        <f>[1]Macro!V100</f>
        <v>161.59602580000001</v>
      </c>
      <c r="X513" s="6">
        <f>[1]Macro!W100</f>
        <v>163.10028159999999</v>
      </c>
      <c r="Y513" s="6">
        <f>[1]Macro!X100</f>
        <v>164.63099209999999</v>
      </c>
      <c r="Z513" s="6">
        <f>[1]Macro!Y100</f>
        <v>166.18381479999999</v>
      </c>
      <c r="AA513" s="6">
        <f>[1]Macro!Z100</f>
        <v>167.75868969999999</v>
      </c>
      <c r="AB513" s="6">
        <f>[1]Macro!AA100</f>
        <v>169.087816</v>
      </c>
      <c r="AC513" s="6">
        <f>[1]Macro!AB100</f>
        <v>170.50383489999999</v>
      </c>
      <c r="AD513" s="6">
        <f>[1]Macro!AC100</f>
        <v>171.9395231</v>
      </c>
      <c r="AE513" s="6">
        <f>[1]Macro!AD100</f>
        <v>173.39342450000001</v>
      </c>
      <c r="AF513" s="6">
        <f>[1]Macro!AE100</f>
        <v>174.86804760000001</v>
      </c>
      <c r="AG513" s="6">
        <f>[1]Macro!AF100</f>
        <v>176.3662775</v>
      </c>
      <c r="AH513" s="6">
        <f>[1]Macro!AG100</f>
        <v>177.8934375</v>
      </c>
      <c r="AI513" s="6">
        <f>[1]Macro!AH100</f>
        <v>179.44885880000001</v>
      </c>
      <c r="AJ513" s="6">
        <f>[1]Macro!AI100</f>
        <v>181.03346809999999</v>
      </c>
      <c r="AK513" s="6">
        <f>[1]Macro!AJ100</f>
        <v>182.64782159999999</v>
      </c>
      <c r="AL513" s="6">
        <f>[1]Macro!AK100</f>
        <v>184.29209460000001</v>
      </c>
      <c r="AM513" s="6">
        <f>[1]Macro!AL100</f>
        <v>185.92876480000001</v>
      </c>
      <c r="AN513" s="6">
        <f>[1]Macro!AM100</f>
        <v>187.57849210000001</v>
      </c>
      <c r="AO513" s="6">
        <f>[1]Macro!AN100</f>
        <v>189.2467212</v>
      </c>
      <c r="AP513" s="6">
        <f>[1]Macro!AO100</f>
        <v>190.9360581</v>
      </c>
      <c r="AQ513" s="6">
        <f>[1]Macro!AP100</f>
        <v>192.64805809999999</v>
      </c>
      <c r="AR513" s="6">
        <f>[1]Macro!AQ100</f>
        <v>194.38785300000001</v>
      </c>
      <c r="AS513" s="6">
        <f>[1]Macro!AR100</f>
        <v>196.15276410000001</v>
      </c>
      <c r="AT513" s="6">
        <f>[1]Macro!AS100</f>
        <v>197.94297080000001</v>
      </c>
      <c r="AU513" s="6">
        <f>[1]Macro!AT100</f>
        <v>199.7586001</v>
      </c>
      <c r="AV513" s="6">
        <f>[1]Macro!AU100</f>
        <v>201.59969799999999</v>
      </c>
      <c r="AW513" s="6">
        <f>[1]Macro!AV100</f>
        <v>203.48559370000001</v>
      </c>
      <c r="AX513" s="6">
        <f>[1]Macro!AW100</f>
        <v>205.40089470000001</v>
      </c>
      <c r="AY513" s="6">
        <f>[1]Macro!AX100</f>
        <v>207.34368839999999</v>
      </c>
      <c r="AZ513" s="6">
        <f>[1]Macro!AY100</f>
        <v>209.3131516</v>
      </c>
      <c r="BA513" s="6">
        <f>[1]Macro!AZ100</f>
        <v>211.30877190000001</v>
      </c>
      <c r="BB513" s="6">
        <f>[1]Macro!BA100</f>
        <v>246.2616218</v>
      </c>
      <c r="BC513" s="6">
        <f>[1]Macro!BB100</f>
        <v>249.59194579999999</v>
      </c>
      <c r="BD513" s="6">
        <f>[1]Macro!BC100</f>
        <v>252.97991350000001</v>
      </c>
      <c r="BE513" s="6">
        <f>[1]Macro!BD100</f>
        <v>256.42639680000002</v>
      </c>
      <c r="BF513" s="6">
        <f>[1]Macro!BE100</f>
        <v>259.93237049999999</v>
      </c>
    </row>
    <row r="514" spans="2:58" x14ac:dyDescent="0.35">
      <c r="B514" s="6" t="str">
        <f>[1]Macro!A101</f>
        <v>m_toe_2</v>
      </c>
      <c r="C514" s="6">
        <f>[1]Macro!B101</f>
        <v>147.9703069</v>
      </c>
      <c r="D514" s="6">
        <f>[1]Macro!C101</f>
        <v>148.18734520000001</v>
      </c>
      <c r="E514" s="6">
        <f>[1]Macro!D101</f>
        <v>148.69762800000001</v>
      </c>
      <c r="F514" s="6">
        <f>[1]Macro!E101</f>
        <v>149.41770310000001</v>
      </c>
      <c r="G514" s="6">
        <f>[1]Macro!F101</f>
        <v>150.36302509999999</v>
      </c>
      <c r="H514" s="6">
        <f>[1]Macro!G101</f>
        <v>151.5207169</v>
      </c>
      <c r="I514" s="6">
        <f>[1]Macro!H101</f>
        <v>152.79132300000001</v>
      </c>
      <c r="J514" s="6">
        <f>[1]Macro!I101</f>
        <v>154.19882250000001</v>
      </c>
      <c r="K514" s="6">
        <f>[1]Macro!J101</f>
        <v>155.72272050000001</v>
      </c>
      <c r="L514" s="6">
        <f>[1]Macro!K101</f>
        <v>157.33908349999999</v>
      </c>
      <c r="M514" s="6">
        <f>[1]Macro!L101</f>
        <v>159.16875250000001</v>
      </c>
      <c r="N514" s="6">
        <f>[1]Macro!M101</f>
        <v>160.9514647</v>
      </c>
      <c r="O514" s="6">
        <f>[1]Macro!N101</f>
        <v>162.7540913</v>
      </c>
      <c r="P514" s="6">
        <f>[1]Macro!O101</f>
        <v>164.5816499</v>
      </c>
      <c r="Q514" s="6">
        <f>[1]Macro!P101</f>
        <v>166.43103640000001</v>
      </c>
      <c r="R514" s="6">
        <f>[1]Macro!Q101</f>
        <v>168.2986646</v>
      </c>
      <c r="S514" s="6">
        <f>[1]Macro!R101</f>
        <v>170.16757519999999</v>
      </c>
      <c r="T514" s="6">
        <f>[1]Macro!S101</f>
        <v>172.04794899999999</v>
      </c>
      <c r="U514" s="6">
        <f>[1]Macro!T101</f>
        <v>173.9412021</v>
      </c>
      <c r="V514" s="6">
        <f>[1]Macro!U101</f>
        <v>175.84805940000001</v>
      </c>
      <c r="W514" s="6">
        <f>[1]Macro!V101</f>
        <v>177.66733550000001</v>
      </c>
      <c r="X514" s="6">
        <f>[1]Macro!W101</f>
        <v>179.5669206</v>
      </c>
      <c r="Y514" s="6">
        <f>[1]Macro!X101</f>
        <v>181.49906089999999</v>
      </c>
      <c r="Z514" s="6">
        <f>[1]Macro!Y101</f>
        <v>183.45644350000001</v>
      </c>
      <c r="AA514" s="6">
        <f>[1]Macro!Z101</f>
        <v>185.4382621</v>
      </c>
      <c r="AB514" s="6">
        <f>[1]Macro!AA101</f>
        <v>187.15425070000001</v>
      </c>
      <c r="AC514" s="6">
        <f>[1]Macro!AB101</f>
        <v>188.9476219</v>
      </c>
      <c r="AD514" s="6">
        <f>[1]Macro!AC101</f>
        <v>190.7600358</v>
      </c>
      <c r="AE514" s="6">
        <f>[1]Macro!AD101</f>
        <v>192.58689989999999</v>
      </c>
      <c r="AF514" s="6">
        <f>[1]Macro!AE101</f>
        <v>194.4308375</v>
      </c>
      <c r="AG514" s="6">
        <f>[1]Macro!AF101</f>
        <v>196.2954781</v>
      </c>
      <c r="AH514" s="6">
        <f>[1]Macro!AG101</f>
        <v>198.1872932</v>
      </c>
      <c r="AI514" s="6">
        <f>[1]Macro!AH101</f>
        <v>200.1062594</v>
      </c>
      <c r="AJ514" s="6">
        <f>[1]Macro!AI101</f>
        <v>202.05379160000001</v>
      </c>
      <c r="AK514" s="6">
        <f>[1]Macro!AJ101</f>
        <v>204.03100649999999</v>
      </c>
      <c r="AL514" s="6">
        <f>[1]Macro!AK101</f>
        <v>206.0386058</v>
      </c>
      <c r="AM514" s="6">
        <f>[1]Macro!AL101</f>
        <v>208.03717889999999</v>
      </c>
      <c r="AN514" s="6">
        <f>[1]Macro!AM101</f>
        <v>210.0469559</v>
      </c>
      <c r="AO514" s="6">
        <f>[1]Macro!AN101</f>
        <v>212.07437959999999</v>
      </c>
      <c r="AP514" s="6">
        <f>[1]Macro!AO101</f>
        <v>214.12261359999999</v>
      </c>
      <c r="AQ514" s="6">
        <f>[1]Macro!AP101</f>
        <v>216.19370889999999</v>
      </c>
      <c r="AR514" s="6">
        <f>[1]Macro!AQ101</f>
        <v>218.29376999999999</v>
      </c>
      <c r="AS514" s="6">
        <f>[1]Macro!AR101</f>
        <v>220.4204129</v>
      </c>
      <c r="AT514" s="6">
        <f>[1]Macro!AS101</f>
        <v>222.57389420000001</v>
      </c>
      <c r="AU514" s="6">
        <f>[1]Macro!AT101</f>
        <v>224.75456610000001</v>
      </c>
      <c r="AV514" s="6">
        <f>[1]Macro!AU101</f>
        <v>226.96263310000001</v>
      </c>
      <c r="AW514" s="6">
        <f>[1]Macro!AV101</f>
        <v>229.2197779</v>
      </c>
      <c r="AX514" s="6">
        <f>[1]Macro!AW101</f>
        <v>231.51032739999999</v>
      </c>
      <c r="AY514" s="6">
        <f>[1]Macro!AX101</f>
        <v>233.8313957</v>
      </c>
      <c r="AZ514" s="6">
        <f>[1]Macro!AY101</f>
        <v>236.18192070000001</v>
      </c>
      <c r="BA514" s="6">
        <f>[1]Macro!AZ101</f>
        <v>238.56121289999999</v>
      </c>
      <c r="BB514" s="6">
        <f>[1]Macro!BA101</f>
        <v>288.74522830000001</v>
      </c>
      <c r="BC514" s="6">
        <f>[1]Macro!BB101</f>
        <v>292.93593909999998</v>
      </c>
      <c r="BD514" s="6">
        <f>[1]Macro!BC101</f>
        <v>297.19389749999999</v>
      </c>
      <c r="BE514" s="6">
        <f>[1]Macro!BD101</f>
        <v>301.52066719999999</v>
      </c>
      <c r="BF514" s="6">
        <f>[1]Macro!BE101</f>
        <v>305.91793699999999</v>
      </c>
    </row>
    <row r="515" spans="2:58" x14ac:dyDescent="0.35">
      <c r="B515" s="6" t="str">
        <f>[1]Macro!A102</f>
        <v>ci_toe_2</v>
      </c>
      <c r="C515" s="6">
        <f>[1]Macro!B102</f>
        <v>188.81917340000001</v>
      </c>
      <c r="D515" s="6">
        <f>[1]Macro!C102</f>
        <v>189.16211340000001</v>
      </c>
      <c r="E515" s="6">
        <f>[1]Macro!D102</f>
        <v>190.10324869999999</v>
      </c>
      <c r="F515" s="6">
        <f>[1]Macro!E102</f>
        <v>191.40104049999999</v>
      </c>
      <c r="G515" s="6">
        <f>[1]Macro!F102</f>
        <v>193.0330706</v>
      </c>
      <c r="H515" s="6">
        <f>[1]Macro!G102</f>
        <v>194.96930420000001</v>
      </c>
      <c r="I515" s="6">
        <f>[1]Macro!H102</f>
        <v>197.05704950000001</v>
      </c>
      <c r="J515" s="6">
        <f>[1]Macro!I102</f>
        <v>199.31266840000001</v>
      </c>
      <c r="K515" s="6">
        <f>[1]Macro!J102</f>
        <v>201.70998090000001</v>
      </c>
      <c r="L515" s="6">
        <f>[1]Macro!K102</f>
        <v>204.21865589999999</v>
      </c>
      <c r="M515" s="6">
        <f>[1]Macro!L102</f>
        <v>207.0006612</v>
      </c>
      <c r="N515" s="6">
        <f>[1]Macro!M102</f>
        <v>209.718988</v>
      </c>
      <c r="O515" s="6">
        <f>[1]Macro!N102</f>
        <v>212.44858360000001</v>
      </c>
      <c r="P515" s="6">
        <f>[1]Macro!O102</f>
        <v>215.19807069999999</v>
      </c>
      <c r="Q515" s="6">
        <f>[1]Macro!P102</f>
        <v>217.9642437</v>
      </c>
      <c r="R515" s="6">
        <f>[1]Macro!Q102</f>
        <v>220.74350240000001</v>
      </c>
      <c r="S515" s="6">
        <f>[1]Macro!R102</f>
        <v>223.5151602</v>
      </c>
      <c r="T515" s="6">
        <f>[1]Macro!S102</f>
        <v>226.2926808</v>
      </c>
      <c r="U515" s="6">
        <f>[1]Macro!T102</f>
        <v>229.08005109999999</v>
      </c>
      <c r="V515" s="6">
        <f>[1]Macro!U102</f>
        <v>231.88019639999999</v>
      </c>
      <c r="W515" s="6">
        <f>[1]Macro!V102</f>
        <v>234.55887999999999</v>
      </c>
      <c r="X515" s="6">
        <f>[1]Macro!W102</f>
        <v>237.33719300000001</v>
      </c>
      <c r="Y515" s="6">
        <f>[1]Macro!X102</f>
        <v>240.161978</v>
      </c>
      <c r="Z515" s="6">
        <f>[1]Macro!Y102</f>
        <v>243.02396880000001</v>
      </c>
      <c r="AA515" s="6">
        <f>[1]Macro!Z102</f>
        <v>245.92335919999999</v>
      </c>
      <c r="AB515" s="6">
        <f>[1]Macro!AA102</f>
        <v>248.46970759999999</v>
      </c>
      <c r="AC515" s="6">
        <f>[1]Macro!AB102</f>
        <v>251.10727349999999</v>
      </c>
      <c r="AD515" s="6">
        <f>[1]Macro!AC102</f>
        <v>253.77642990000001</v>
      </c>
      <c r="AE515" s="6">
        <f>[1]Macro!AD102</f>
        <v>256.47181119999999</v>
      </c>
      <c r="AF515" s="6">
        <f>[1]Macro!AE102</f>
        <v>259.19877209999999</v>
      </c>
      <c r="AG515" s="6">
        <f>[1]Macro!AF102</f>
        <v>261.96364979999998</v>
      </c>
      <c r="AH515" s="6">
        <f>[1]Macro!AG102</f>
        <v>264.77590909999998</v>
      </c>
      <c r="AI515" s="6">
        <f>[1]Macro!AH102</f>
        <v>267.63641230000002</v>
      </c>
      <c r="AJ515" s="6">
        <f>[1]Macro!AI102</f>
        <v>270.54712330000001</v>
      </c>
      <c r="AK515" s="6">
        <f>[1]Macro!AJ102</f>
        <v>273.5093885</v>
      </c>
      <c r="AL515" s="6">
        <f>[1]Macro!AK102</f>
        <v>276.5238167</v>
      </c>
      <c r="AM515" s="6">
        <f>[1]Macro!AL102</f>
        <v>279.53434879999998</v>
      </c>
      <c r="AN515" s="6">
        <f>[1]Macro!AM102</f>
        <v>282.56678049999999</v>
      </c>
      <c r="AO515" s="6">
        <f>[1]Macro!AN102</f>
        <v>285.63013819999998</v>
      </c>
      <c r="AP515" s="6">
        <f>[1]Macro!AO102</f>
        <v>288.7287298</v>
      </c>
      <c r="AQ515" s="6">
        <f>[1]Macro!AP102</f>
        <v>291.86534649999999</v>
      </c>
      <c r="AR515" s="6">
        <f>[1]Macro!AQ102</f>
        <v>295.04794650000002</v>
      </c>
      <c r="AS515" s="6">
        <f>[1]Macro!AR102</f>
        <v>298.27383309999999</v>
      </c>
      <c r="AT515" s="6">
        <f>[1]Macro!AS102</f>
        <v>301.54315009999999</v>
      </c>
      <c r="AU515" s="6">
        <f>[1]Macro!AT102</f>
        <v>304.85621229999998</v>
      </c>
      <c r="AV515" s="6">
        <f>[1]Macro!AU102</f>
        <v>308.21312899999998</v>
      </c>
      <c r="AW515" s="6">
        <f>[1]Macro!AV102</f>
        <v>311.64211390000003</v>
      </c>
      <c r="AX515" s="6">
        <f>[1]Macro!AW102</f>
        <v>315.12402200000002</v>
      </c>
      <c r="AY515" s="6">
        <f>[1]Macro!AX102</f>
        <v>318.65419739999999</v>
      </c>
      <c r="AZ515" s="6">
        <f>[1]Macro!AY102</f>
        <v>322.23082479999999</v>
      </c>
      <c r="BA515" s="6">
        <f>[1]Macro!AZ102</f>
        <v>325.85274670000001</v>
      </c>
      <c r="BB515" s="6">
        <f>[1]Macro!BA102</f>
        <v>394.43394949999998</v>
      </c>
      <c r="BC515" s="6">
        <f>[1]Macro!BB102</f>
        <v>400.53157679999998</v>
      </c>
      <c r="BD515" s="6">
        <f>[1]Macro!BC102</f>
        <v>406.72715749999998</v>
      </c>
      <c r="BE515" s="6">
        <f>[1]Macro!BD102</f>
        <v>413.02284150000003</v>
      </c>
      <c r="BF515" s="6">
        <f>[1]Macro!BE102</f>
        <v>419.4208261</v>
      </c>
    </row>
    <row r="516" spans="2:58" x14ac:dyDescent="0.35">
      <c r="B516" s="6" t="str">
        <f>[1]Macro!A103</f>
        <v>ch_toe_2</v>
      </c>
      <c r="C516" s="6">
        <f>[1]Macro!B103</f>
        <v>64.301440170000006</v>
      </c>
      <c r="D516" s="6">
        <f>[1]Macro!C103</f>
        <v>64.218759689999999</v>
      </c>
      <c r="E516" s="6">
        <f>[1]Macro!D103</f>
        <v>63.918997060000002</v>
      </c>
      <c r="F516" s="6">
        <f>[1]Macro!E103</f>
        <v>63.614401460000003</v>
      </c>
      <c r="G516" s="6">
        <f>[1]Macro!F103</f>
        <v>63.370542180000001</v>
      </c>
      <c r="H516" s="6">
        <f>[1]Macro!G103</f>
        <v>63.192928559999999</v>
      </c>
      <c r="I516" s="6">
        <f>[1]Macro!H103</f>
        <v>63.083483870000002</v>
      </c>
      <c r="J516" s="6">
        <f>[1]Macro!I103</f>
        <v>63.040344699999999</v>
      </c>
      <c r="K516" s="6">
        <f>[1]Macro!J103</f>
        <v>63.050788179999998</v>
      </c>
      <c r="L516" s="6">
        <f>[1]Macro!K103</f>
        <v>63.101086389999999</v>
      </c>
      <c r="M516" s="6">
        <f>[1]Macro!L103</f>
        <v>63.209201409999999</v>
      </c>
      <c r="N516" s="6">
        <f>[1]Macro!M103</f>
        <v>63.323663029999999</v>
      </c>
      <c r="O516" s="6">
        <f>[1]Macro!N103</f>
        <v>63.44672808</v>
      </c>
      <c r="P516" s="6">
        <f>[1]Macro!O103</f>
        <v>63.578212350000001</v>
      </c>
      <c r="Q516" s="6">
        <f>[1]Macro!P103</f>
        <v>63.716810529999997</v>
      </c>
      <c r="R516" s="6">
        <f>[1]Macro!Q103</f>
        <v>63.860900350000001</v>
      </c>
      <c r="S516" s="6">
        <f>[1]Macro!R103</f>
        <v>64.009145790000005</v>
      </c>
      <c r="T516" s="6">
        <f>[1]Macro!S103</f>
        <v>64.160483510000006</v>
      </c>
      <c r="U516" s="6">
        <f>[1]Macro!T103</f>
        <v>64.314027109999998</v>
      </c>
      <c r="V516" s="6">
        <f>[1]Macro!U103</f>
        <v>64.469077619999993</v>
      </c>
      <c r="W516" s="6">
        <f>[1]Macro!V103</f>
        <v>64.605665639999998</v>
      </c>
      <c r="X516" s="6">
        <f>[1]Macro!W103</f>
        <v>64.752252089999999</v>
      </c>
      <c r="Y516" s="6">
        <f>[1]Macro!X103</f>
        <v>64.903401200000005</v>
      </c>
      <c r="Z516" s="6">
        <f>[1]Macro!Y103</f>
        <v>65.056476149999995</v>
      </c>
      <c r="AA516" s="6">
        <f>[1]Macro!Z103</f>
        <v>65.210192059999997</v>
      </c>
      <c r="AB516" s="6">
        <f>[1]Macro!AA103</f>
        <v>65.310780559999998</v>
      </c>
      <c r="AC516" s="6">
        <f>[1]Macro!AB103</f>
        <v>65.412122330000003</v>
      </c>
      <c r="AD516" s="6">
        <f>[1]Macro!AC103</f>
        <v>65.512473810000003</v>
      </c>
      <c r="AE516" s="6">
        <f>[1]Macro!AD103</f>
        <v>65.610996760000006</v>
      </c>
      <c r="AF516" s="6">
        <f>[1]Macro!AE103</f>
        <v>65.707351290000005</v>
      </c>
      <c r="AG516" s="6">
        <f>[1]Macro!AF103</f>
        <v>65.801628879999996</v>
      </c>
      <c r="AH516" s="6">
        <f>[1]Macro!AG103</f>
        <v>65.894150760000002</v>
      </c>
      <c r="AI516" s="6">
        <f>[1]Macro!AH103</f>
        <v>65.985296090000006</v>
      </c>
      <c r="AJ516" s="6">
        <f>[1]Macro!AI103</f>
        <v>66.075430949999998</v>
      </c>
      <c r="AK516" s="6">
        <f>[1]Macro!AJ103</f>
        <v>66.164883610000004</v>
      </c>
      <c r="AL516" s="6">
        <f>[1]Macro!AK103</f>
        <v>66.253930909999994</v>
      </c>
      <c r="AM516" s="6">
        <f>[1]Macro!AL103</f>
        <v>66.331562939999998</v>
      </c>
      <c r="AN516" s="6">
        <f>[1]Macro!AM103</f>
        <v>66.40361394</v>
      </c>
      <c r="AO516" s="6">
        <f>[1]Macro!AN103</f>
        <v>66.472925189999998</v>
      </c>
      <c r="AP516" s="6">
        <f>[1]Macro!AO103</f>
        <v>66.54093159</v>
      </c>
      <c r="AQ516" s="6">
        <f>[1]Macro!AP103</f>
        <v>66.608415160000007</v>
      </c>
      <c r="AR516" s="6">
        <f>[1]Macro!AQ103</f>
        <v>66.675875160000004</v>
      </c>
      <c r="AS516" s="6">
        <f>[1]Macro!AR103</f>
        <v>66.743646699999999</v>
      </c>
      <c r="AT516" s="6">
        <f>[1]Macro!AS103</f>
        <v>66.811979859999994</v>
      </c>
      <c r="AU516" s="6">
        <f>[1]Macro!AT103</f>
        <v>66.880992030000002</v>
      </c>
      <c r="AV516" s="6">
        <f>[1]Macro!AU103</f>
        <v>66.950772029999996</v>
      </c>
      <c r="AW516" s="6">
        <f>[1]Macro!AV103</f>
        <v>67.022379419999993</v>
      </c>
      <c r="AX516" s="6">
        <f>[1]Macro!AW103</f>
        <v>67.095450339999999</v>
      </c>
      <c r="AY516" s="6">
        <f>[1]Macro!AX103</f>
        <v>67.169789890000004</v>
      </c>
      <c r="AZ516" s="6">
        <f>[1]Macro!AY103</f>
        <v>67.245259899999994</v>
      </c>
      <c r="BA516" s="6">
        <f>[1]Macro!AZ103</f>
        <v>67.32173349</v>
      </c>
      <c r="BB516" s="6">
        <f>[1]Macro!BA103</f>
        <v>64.419719540000003</v>
      </c>
      <c r="BC516" s="6">
        <f>[1]Macro!BB103</f>
        <v>64.521376770000003</v>
      </c>
      <c r="BD516" s="6">
        <f>[1]Macro!BC103</f>
        <v>64.626029189999997</v>
      </c>
      <c r="BE516" s="6">
        <f>[1]Macro!BD103</f>
        <v>64.733579050000003</v>
      </c>
      <c r="BF516" s="6">
        <f>[1]Macro!BE103</f>
        <v>64.844110799999996</v>
      </c>
    </row>
    <row r="517" spans="2:58" x14ac:dyDescent="0.35">
      <c r="B517" s="6" t="str">
        <f>[1]Macro!A104</f>
        <v>x_toe_2</v>
      </c>
      <c r="C517" s="6">
        <f>[1]Macro!B104</f>
        <v>31.42513928</v>
      </c>
      <c r="D517" s="6">
        <f>[1]Macro!C104</f>
        <v>31.787902320000001</v>
      </c>
      <c r="E517" s="6">
        <f>[1]Macro!D104</f>
        <v>32.197423999999998</v>
      </c>
      <c r="F517" s="6">
        <f>[1]Macro!E104</f>
        <v>32.619959059999999</v>
      </c>
      <c r="G517" s="6">
        <f>[1]Macro!F104</f>
        <v>33.053120489999998</v>
      </c>
      <c r="H517" s="6">
        <f>[1]Macro!G104</f>
        <v>33.494789369999999</v>
      </c>
      <c r="I517" s="6">
        <f>[1]Macro!H104</f>
        <v>33.908788850000001</v>
      </c>
      <c r="J517" s="6">
        <f>[1]Macro!I104</f>
        <v>34.327868690000003</v>
      </c>
      <c r="K517" s="6">
        <f>[1]Macro!J104</f>
        <v>34.75140863</v>
      </c>
      <c r="L517" s="6">
        <f>[1]Macro!K104</f>
        <v>35.179116639999997</v>
      </c>
      <c r="M517" s="6">
        <f>[1]Macro!L104</f>
        <v>35.666532099999998</v>
      </c>
      <c r="N517" s="6">
        <f>[1]Macro!M104</f>
        <v>36.094202269999997</v>
      </c>
      <c r="O517" s="6">
        <f>[1]Macro!N104</f>
        <v>36.526297069999998</v>
      </c>
      <c r="P517" s="6">
        <f>[1]Macro!O104</f>
        <v>36.963095780000003</v>
      </c>
      <c r="Q517" s="6">
        <f>[1]Macro!P104</f>
        <v>37.404914310000002</v>
      </c>
      <c r="R517" s="6">
        <f>[1]Macro!Q104</f>
        <v>37.852091590000001</v>
      </c>
      <c r="S517" s="6">
        <f>[1]Macro!R104</f>
        <v>38.296260770000004</v>
      </c>
      <c r="T517" s="6">
        <f>[1]Macro!S104</f>
        <v>38.746657509999999</v>
      </c>
      <c r="U517" s="6">
        <f>[1]Macro!T104</f>
        <v>39.203652030000001</v>
      </c>
      <c r="V517" s="6">
        <f>[1]Macro!U104</f>
        <v>39.667601820000002</v>
      </c>
      <c r="W517" s="6">
        <f>[1]Macro!V104</f>
        <v>40.09881566</v>
      </c>
      <c r="X517" s="6">
        <f>[1]Macro!W104</f>
        <v>40.577757169999998</v>
      </c>
      <c r="Y517" s="6">
        <f>[1]Macro!X104</f>
        <v>41.06467378</v>
      </c>
      <c r="Z517" s="6">
        <f>[1]Macro!Y104</f>
        <v>41.559813320000004</v>
      </c>
      <c r="AA517" s="6">
        <f>[1]Macro!Z104</f>
        <v>42.063400600000001</v>
      </c>
      <c r="AB517" s="6">
        <f>[1]Macro!AA104</f>
        <v>42.46157857</v>
      </c>
      <c r="AC517" s="6">
        <f>[1]Macro!AB104</f>
        <v>42.932060909999997</v>
      </c>
      <c r="AD517" s="6">
        <f>[1]Macro!AC104</f>
        <v>43.410655140000003</v>
      </c>
      <c r="AE517" s="6">
        <f>[1]Macro!AD104</f>
        <v>43.897516459999999</v>
      </c>
      <c r="AF517" s="6">
        <f>[1]Macro!AE104</f>
        <v>44.392761710000002</v>
      </c>
      <c r="AG517" s="6">
        <f>[1]Macro!AF104</f>
        <v>44.89647686</v>
      </c>
      <c r="AH517" s="6">
        <f>[1]Macro!AG104</f>
        <v>45.410670809999999</v>
      </c>
      <c r="AI517" s="6">
        <f>[1]Macro!AH104</f>
        <v>45.933409859999998</v>
      </c>
      <c r="AJ517" s="6">
        <f>[1]Macro!AI104</f>
        <v>46.464705410000001</v>
      </c>
      <c r="AK517" s="6">
        <f>[1]Macro!AJ104</f>
        <v>47.004555930000002</v>
      </c>
      <c r="AL517" s="6">
        <f>[1]Macro!AK104</f>
        <v>47.552952830000002</v>
      </c>
      <c r="AM517" s="6">
        <f>[1]Macro!AL104</f>
        <v>48.100031940000001</v>
      </c>
      <c r="AN517" s="6">
        <f>[1]Macro!AM104</f>
        <v>48.655053530000004</v>
      </c>
      <c r="AO517" s="6">
        <f>[1]Macro!AN104</f>
        <v>49.218037389999999</v>
      </c>
      <c r="AP517" s="6">
        <f>[1]Macro!AO104</f>
        <v>49.789010339999997</v>
      </c>
      <c r="AQ517" s="6">
        <f>[1]Macro!AP104</f>
        <v>50.36800547</v>
      </c>
      <c r="AR517" s="6">
        <f>[1]Macro!AQ104</f>
        <v>50.957801320000002</v>
      </c>
      <c r="AS517" s="6">
        <f>[1]Macro!AR104</f>
        <v>51.555697250000001</v>
      </c>
      <c r="AT517" s="6">
        <f>[1]Macro!AS104</f>
        <v>52.161735059999998</v>
      </c>
      <c r="AU517" s="6">
        <f>[1]Macro!AT104</f>
        <v>52.775961899999999</v>
      </c>
      <c r="AV517" s="6">
        <f>[1]Macro!AU104</f>
        <v>53.398430099999999</v>
      </c>
      <c r="AW517" s="6">
        <f>[1]Macro!AV104</f>
        <v>54.040878360000001</v>
      </c>
      <c r="AX517" s="6">
        <f>[1]Macro!AW104</f>
        <v>54.691749790000003</v>
      </c>
      <c r="AY517" s="6">
        <f>[1]Macro!AX104</f>
        <v>55.351096740000003</v>
      </c>
      <c r="AZ517" s="6">
        <f>[1]Macro!AY104</f>
        <v>56.018987549999999</v>
      </c>
      <c r="BA517" s="6">
        <f>[1]Macro!AZ104</f>
        <v>56.695504649999997</v>
      </c>
      <c r="BB517" s="6">
        <f>[1]Macro!BA104</f>
        <v>76.153181029999999</v>
      </c>
      <c r="BC517" s="6">
        <f>[1]Macro!BB104</f>
        <v>77.474931299999994</v>
      </c>
      <c r="BD517" s="6">
        <f>[1]Macro!BC104</f>
        <v>78.820624289999998</v>
      </c>
      <c r="BE517" s="6">
        <f>[1]Macro!BD104</f>
        <v>80.190643519999995</v>
      </c>
      <c r="BF517" s="6">
        <f>[1]Macro!BE104</f>
        <v>81.585370549999993</v>
      </c>
    </row>
    <row r="518" spans="2:58" x14ac:dyDescent="0.35"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</row>
    <row r="519" spans="2:58" x14ac:dyDescent="0.35">
      <c r="B519" s="6" t="str">
        <f>[1]Macro!A105</f>
        <v>y_toe_0</v>
      </c>
      <c r="C519" s="6">
        <f>[1]Macro!B105</f>
        <v>139.60539299999999</v>
      </c>
      <c r="D519" s="6">
        <f>[1]Macro!C105</f>
        <v>140.71595629999999</v>
      </c>
      <c r="E519" s="6">
        <f>[1]Macro!D105</f>
        <v>141.75063510000001</v>
      </c>
      <c r="F519" s="6">
        <f>[1]Macro!E105</f>
        <v>142.85682259999999</v>
      </c>
      <c r="G519" s="6">
        <f>[1]Macro!F105</f>
        <v>144.07966579999999</v>
      </c>
      <c r="H519" s="6">
        <f>[1]Macro!G105</f>
        <v>145.43149589999999</v>
      </c>
      <c r="I519" s="6">
        <f>[1]Macro!H105</f>
        <v>146.82281549999999</v>
      </c>
      <c r="J519" s="6">
        <f>[1]Macro!I105</f>
        <v>148.2883832</v>
      </c>
      <c r="K519" s="6">
        <f>[1]Macro!J105</f>
        <v>149.81685490000001</v>
      </c>
      <c r="L519" s="6">
        <f>[1]Macro!K105</f>
        <v>151.39436660000001</v>
      </c>
      <c r="M519" s="6">
        <f>[1]Macro!L105</f>
        <v>153.14956760000001</v>
      </c>
      <c r="N519" s="6">
        <f>[1]Macro!M105</f>
        <v>154.83894000000001</v>
      </c>
      <c r="O519" s="6">
        <f>[1]Macro!N105</f>
        <v>156.53565739999999</v>
      </c>
      <c r="P519" s="6">
        <f>[1]Macro!O105</f>
        <v>158.24582469999999</v>
      </c>
      <c r="Q519" s="6">
        <f>[1]Macro!P105</f>
        <v>159.97047079999999</v>
      </c>
      <c r="R519" s="6">
        <f>[1]Macro!Q105</f>
        <v>161.70993809999999</v>
      </c>
      <c r="S519" s="6">
        <f>[1]Macro!R105</f>
        <v>163.46484000000001</v>
      </c>
      <c r="T519" s="6">
        <f>[1]Macro!S105</f>
        <v>165.23619389999999</v>
      </c>
      <c r="U519" s="6">
        <f>[1]Macro!T105</f>
        <v>167.0253515</v>
      </c>
      <c r="V519" s="6">
        <f>[1]Macro!U105</f>
        <v>168.83388830000001</v>
      </c>
      <c r="W519" s="6">
        <f>[1]Macro!V105</f>
        <v>170.5615085</v>
      </c>
      <c r="X519" s="6">
        <f>[1]Macro!W105</f>
        <v>172.38250210000001</v>
      </c>
      <c r="Y519" s="6">
        <f>[1]Macro!X105</f>
        <v>174.2408365</v>
      </c>
      <c r="Z519" s="6">
        <f>[1]Macro!Y105</f>
        <v>176.13146230000001</v>
      </c>
      <c r="AA519" s="6">
        <f>[1]Macro!Z105</f>
        <v>178.05380790000001</v>
      </c>
      <c r="AB519" s="6">
        <f>[1]Macro!AA105</f>
        <v>179.7160307</v>
      </c>
      <c r="AC519" s="6">
        <f>[1]Macro!AB105</f>
        <v>181.47503789999999</v>
      </c>
      <c r="AD519" s="6">
        <f>[1]Macro!AC105</f>
        <v>183.25965350000001</v>
      </c>
      <c r="AE519" s="6">
        <f>[1]Macro!AD105</f>
        <v>185.0681913</v>
      </c>
      <c r="AF519" s="6">
        <f>[1]Macro!AE105</f>
        <v>186.90300310000001</v>
      </c>
      <c r="AG519" s="6">
        <f>[1]Macro!AF105</f>
        <v>188.7668674</v>
      </c>
      <c r="AH519" s="6">
        <f>[1]Macro!AG105</f>
        <v>190.6620963</v>
      </c>
      <c r="AI519" s="6">
        <f>[1]Macro!AH105</f>
        <v>192.5903438</v>
      </c>
      <c r="AJ519" s="6">
        <f>[1]Macro!AI105</f>
        <v>194.55263919999999</v>
      </c>
      <c r="AK519" s="6">
        <f>[1]Macro!AJ105</f>
        <v>196.5494984</v>
      </c>
      <c r="AL519" s="6">
        <f>[1]Macro!AK105</f>
        <v>198.58105509999999</v>
      </c>
      <c r="AM519" s="6">
        <f>[1]Macro!AL105</f>
        <v>200.5774844</v>
      </c>
      <c r="AN519" s="6">
        <f>[1]Macro!AM105</f>
        <v>202.58635290000001</v>
      </c>
      <c r="AO519" s="6">
        <f>[1]Macro!AN105</f>
        <v>204.6156359</v>
      </c>
      <c r="AP519" s="6">
        <f>[1]Macro!AO105</f>
        <v>206.6689561</v>
      </c>
      <c r="AQ519" s="6">
        <f>[1]Macro!AP105</f>
        <v>208.7486505</v>
      </c>
      <c r="AR519" s="6">
        <f>[1]Macro!AQ105</f>
        <v>210.85650190000001</v>
      </c>
      <c r="AS519" s="6">
        <f>[1]Macro!AR105</f>
        <v>212.99391869999999</v>
      </c>
      <c r="AT519" s="6">
        <f>[1]Macro!AS105</f>
        <v>215.16199159999999</v>
      </c>
      <c r="AU519" s="6">
        <f>[1]Macro!AT105</f>
        <v>217.3614924</v>
      </c>
      <c r="AV519" s="6">
        <f>[1]Macro!AU105</f>
        <v>219.59277230000001</v>
      </c>
      <c r="AW519" s="6">
        <f>[1]Macro!AV105</f>
        <v>221.86126540000001</v>
      </c>
      <c r="AX519" s="6">
        <f>[1]Macro!AW105</f>
        <v>224.15859309999999</v>
      </c>
      <c r="AY519" s="6">
        <f>[1]Macro!AX105</f>
        <v>226.4821005</v>
      </c>
      <c r="AZ519" s="6">
        <f>[1]Macro!AY105</f>
        <v>228.8354788</v>
      </c>
      <c r="BA519" s="6">
        <f>[1]Macro!AZ105</f>
        <v>231.222228</v>
      </c>
      <c r="BB519" s="6">
        <f>[1]Macro!BA105</f>
        <v>248.76068989999999</v>
      </c>
      <c r="BC519" s="6">
        <f>[1]Macro!BB105</f>
        <v>252.16318720000001</v>
      </c>
      <c r="BD519" s="6">
        <f>[1]Macro!BC105</f>
        <v>255.6227614</v>
      </c>
      <c r="BE519" s="6">
        <f>[1]Macro!BD105</f>
        <v>259.14068689999999</v>
      </c>
      <c r="BF519" s="6">
        <f>[1]Macro!BE105</f>
        <v>262.7181764</v>
      </c>
    </row>
    <row r="520" spans="2:58" x14ac:dyDescent="0.35">
      <c r="B520" s="6" t="str">
        <f>[1]Macro!A106</f>
        <v>m_toe_0</v>
      </c>
      <c r="C520" s="6">
        <f>[1]Macro!B106</f>
        <v>151.40128480000001</v>
      </c>
      <c r="D520" s="6">
        <f>[1]Macro!C106</f>
        <v>152.66335219999999</v>
      </c>
      <c r="E520" s="6">
        <f>[1]Macro!D106</f>
        <v>153.86342780000001</v>
      </c>
      <c r="F520" s="6">
        <f>[1]Macro!E106</f>
        <v>155.1746109</v>
      </c>
      <c r="G520" s="6">
        <f>[1]Macro!F106</f>
        <v>156.64782070000001</v>
      </c>
      <c r="H520" s="6">
        <f>[1]Macro!G106</f>
        <v>158.2952325</v>
      </c>
      <c r="I520" s="6">
        <f>[1]Macro!H106</f>
        <v>160.01514180000001</v>
      </c>
      <c r="J520" s="6">
        <f>[1]Macro!I106</f>
        <v>161.8358709</v>
      </c>
      <c r="K520" s="6">
        <f>[1]Macro!J106</f>
        <v>163.74392330000001</v>
      </c>
      <c r="L520" s="6">
        <f>[1]Macro!K106</f>
        <v>165.72227570000001</v>
      </c>
      <c r="M520" s="6">
        <f>[1]Macro!L106</f>
        <v>167.9078427</v>
      </c>
      <c r="N520" s="6">
        <f>[1]Macro!M106</f>
        <v>170.04404049999999</v>
      </c>
      <c r="O520" s="6">
        <f>[1]Macro!N106</f>
        <v>172.19674860000001</v>
      </c>
      <c r="P520" s="6">
        <f>[1]Macro!O106</f>
        <v>174.37371049999999</v>
      </c>
      <c r="Q520" s="6">
        <f>[1]Macro!P106</f>
        <v>176.57467500000001</v>
      </c>
      <c r="R520" s="6">
        <f>[1]Macro!Q106</f>
        <v>178.79854349999999</v>
      </c>
      <c r="S520" s="6">
        <f>[1]Macro!R106</f>
        <v>181.0447241</v>
      </c>
      <c r="T520" s="6">
        <f>[1]Macro!S106</f>
        <v>183.31325129999999</v>
      </c>
      <c r="U520" s="6">
        <f>[1]Macro!T106</f>
        <v>185.60466529999999</v>
      </c>
      <c r="V520" s="6">
        <f>[1]Macro!U106</f>
        <v>187.91986829999999</v>
      </c>
      <c r="W520" s="6">
        <f>[1]Macro!V106</f>
        <v>190.1487534</v>
      </c>
      <c r="X520" s="6">
        <f>[1]Macro!W106</f>
        <v>192.4744039</v>
      </c>
      <c r="Y520" s="6">
        <f>[1]Macro!X106</f>
        <v>194.8439362</v>
      </c>
      <c r="Z520" s="6">
        <f>[1]Macro!Y106</f>
        <v>197.2493796</v>
      </c>
      <c r="AA520" s="6">
        <f>[1]Macro!Z106</f>
        <v>199.68975599999999</v>
      </c>
      <c r="AB520" s="6">
        <f>[1]Macro!AA106</f>
        <v>201.8452642</v>
      </c>
      <c r="AC520" s="6">
        <f>[1]Macro!AB106</f>
        <v>204.08810990000001</v>
      </c>
      <c r="AD520" s="6">
        <f>[1]Macro!AC106</f>
        <v>206.35688239999999</v>
      </c>
      <c r="AE520" s="6">
        <f>[1]Macro!AD106</f>
        <v>208.64680179999999</v>
      </c>
      <c r="AF520" s="6">
        <f>[1]Macro!AE106</f>
        <v>210.96048049999999</v>
      </c>
      <c r="AG520" s="6">
        <f>[1]Macro!AF106</f>
        <v>213.30156640000001</v>
      </c>
      <c r="AH520" s="6">
        <f>[1]Macro!AG106</f>
        <v>215.67330039999999</v>
      </c>
      <c r="AI520" s="6">
        <f>[1]Macro!AH106</f>
        <v>218.07820269999999</v>
      </c>
      <c r="AJ520" s="6">
        <f>[1]Macro!AI106</f>
        <v>220.5180843</v>
      </c>
      <c r="AK520" s="6">
        <f>[1]Macro!AJ106</f>
        <v>222.9941565</v>
      </c>
      <c r="AL520" s="6">
        <f>[1]Macro!AK106</f>
        <v>225.50716550000001</v>
      </c>
      <c r="AM520" s="6">
        <f>[1]Macro!AL106</f>
        <v>227.9806165</v>
      </c>
      <c r="AN520" s="6">
        <f>[1]Macro!AM106</f>
        <v>230.4628787</v>
      </c>
      <c r="AO520" s="6">
        <f>[1]Macro!AN106</f>
        <v>232.9648464</v>
      </c>
      <c r="AP520" s="6">
        <f>[1]Macro!AO106</f>
        <v>235.49106119999999</v>
      </c>
      <c r="AQ520" s="6">
        <f>[1]Macro!AP106</f>
        <v>238.0445091</v>
      </c>
      <c r="AR520" s="6">
        <f>[1]Macro!AQ106</f>
        <v>240.62758690000001</v>
      </c>
      <c r="AS520" s="6">
        <f>[1]Macro!AR106</f>
        <v>243.24227239999999</v>
      </c>
      <c r="AT520" s="6">
        <f>[1]Macro!AS106</f>
        <v>245.89014789999999</v>
      </c>
      <c r="AU520" s="6">
        <f>[1]Macro!AT106</f>
        <v>248.5723921</v>
      </c>
      <c r="AV520" s="6">
        <f>[1]Macro!AU106</f>
        <v>251.28969860000001</v>
      </c>
      <c r="AW520" s="6">
        <f>[1]Macro!AV106</f>
        <v>254.0486697</v>
      </c>
      <c r="AX520" s="6">
        <f>[1]Macro!AW106</f>
        <v>256.8432833</v>
      </c>
      <c r="AY520" s="6">
        <f>[1]Macro!AX106</f>
        <v>259.67027419999999</v>
      </c>
      <c r="AZ520" s="6">
        <f>[1]Macro!AY106</f>
        <v>262.53378839999999</v>
      </c>
      <c r="BA520" s="6">
        <f>[1]Macro!AZ106</f>
        <v>265.43757319999997</v>
      </c>
      <c r="BB520" s="6">
        <f>[1]Macro!BA106</f>
        <v>289.18244320000002</v>
      </c>
      <c r="BC520" s="6">
        <f>[1]Macro!BB106</f>
        <v>293.36051500000002</v>
      </c>
      <c r="BD520" s="6">
        <f>[1]Macro!BC106</f>
        <v>297.60425559999999</v>
      </c>
      <c r="BE520" s="6">
        <f>[1]Macro!BD106</f>
        <v>301.9153384</v>
      </c>
      <c r="BF520" s="6">
        <f>[1]Macro!BE106</f>
        <v>306.29544920000001</v>
      </c>
    </row>
    <row r="521" spans="2:58" x14ac:dyDescent="0.35">
      <c r="B521" s="6" t="str">
        <f>[1]Macro!A107</f>
        <v>ci_toe_0</v>
      </c>
      <c r="C521" s="6">
        <f>[1]Macro!B107</f>
        <v>193.2084213</v>
      </c>
      <c r="D521" s="6">
        <f>[1]Macro!C107</f>
        <v>195.11808310000001</v>
      </c>
      <c r="E521" s="6">
        <f>[1]Macro!D107</f>
        <v>197.05250899999999</v>
      </c>
      <c r="F521" s="6">
        <f>[1]Macro!E107</f>
        <v>199.16416559999999</v>
      </c>
      <c r="G521" s="6">
        <f>[1]Macro!F107</f>
        <v>201.497919</v>
      </c>
      <c r="H521" s="6">
        <f>[1]Macro!G107</f>
        <v>204.04660870000001</v>
      </c>
      <c r="I521" s="6">
        <f>[1]Macro!H107</f>
        <v>206.67011199999999</v>
      </c>
      <c r="J521" s="6">
        <f>[1]Macro!I107</f>
        <v>209.40289189999999</v>
      </c>
      <c r="K521" s="6">
        <f>[1]Macro!J107</f>
        <v>212.2338767</v>
      </c>
      <c r="L521" s="6">
        <f>[1]Macro!K107</f>
        <v>215.1456747</v>
      </c>
      <c r="M521" s="6">
        <f>[1]Macro!L107</f>
        <v>218.3232539</v>
      </c>
      <c r="N521" s="6">
        <f>[1]Macro!M107</f>
        <v>221.4387739</v>
      </c>
      <c r="O521" s="6">
        <f>[1]Macro!N107</f>
        <v>224.5672902</v>
      </c>
      <c r="P521" s="6">
        <f>[1]Macro!O107</f>
        <v>227.7216914</v>
      </c>
      <c r="Q521" s="6">
        <f>[1]Macro!P107</f>
        <v>230.90275209999999</v>
      </c>
      <c r="R521" s="6">
        <f>[1]Macro!Q107</f>
        <v>234.10998190000001</v>
      </c>
      <c r="S521" s="6">
        <f>[1]Macro!R107</f>
        <v>237.34366829999999</v>
      </c>
      <c r="T521" s="6">
        <f>[1]Macro!S107</f>
        <v>240.60504470000001</v>
      </c>
      <c r="U521" s="6">
        <f>[1]Macro!T107</f>
        <v>243.89608960000001</v>
      </c>
      <c r="V521" s="6">
        <f>[1]Macro!U107</f>
        <v>247.21928560000001</v>
      </c>
      <c r="W521" s="6">
        <f>[1]Macro!V107</f>
        <v>250.42931350000001</v>
      </c>
      <c r="X521" s="6">
        <f>[1]Macro!W107</f>
        <v>253.76360349999999</v>
      </c>
      <c r="Y521" s="6">
        <f>[1]Macro!X107</f>
        <v>257.16320289999999</v>
      </c>
      <c r="Z521" s="6">
        <f>[1]Macro!Y107</f>
        <v>260.61725769999998</v>
      </c>
      <c r="AA521" s="6">
        <f>[1]Macro!Z107</f>
        <v>264.12507440000002</v>
      </c>
      <c r="AB521" s="6">
        <f>[1]Macro!AA107</f>
        <v>267.26079970000001</v>
      </c>
      <c r="AC521" s="6">
        <f>[1]Macro!AB107</f>
        <v>270.49915859999999</v>
      </c>
      <c r="AD521" s="6">
        <f>[1]Macro!AC107</f>
        <v>273.77822889999999</v>
      </c>
      <c r="AE521" s="6">
        <f>[1]Macro!AD107</f>
        <v>277.09191019999997</v>
      </c>
      <c r="AF521" s="6">
        <f>[1]Macro!AE107</f>
        <v>280.44524660000002</v>
      </c>
      <c r="AG521" s="6">
        <f>[1]Macro!AF107</f>
        <v>283.84438610000001</v>
      </c>
      <c r="AH521" s="6">
        <f>[1]Macro!AG107</f>
        <v>287.29442829999999</v>
      </c>
      <c r="AI521" s="6">
        <f>[1]Macro!AH107</f>
        <v>290.7990676</v>
      </c>
      <c r="AJ521" s="6">
        <f>[1]Macro!AI107</f>
        <v>294.36069989999999</v>
      </c>
      <c r="AK521" s="6">
        <f>[1]Macro!AJ107</f>
        <v>297.98065869999999</v>
      </c>
      <c r="AL521" s="6">
        <f>[1]Macro!AK107</f>
        <v>301.65947720000003</v>
      </c>
      <c r="AM521" s="6">
        <f>[1]Macro!AL107</f>
        <v>305.2941538</v>
      </c>
      <c r="AN521" s="6">
        <f>[1]Macro!AM107</f>
        <v>308.94343359999999</v>
      </c>
      <c r="AO521" s="6">
        <f>[1]Macro!AN107</f>
        <v>312.62324949999999</v>
      </c>
      <c r="AP521" s="6">
        <f>[1]Macro!AO107</f>
        <v>316.34017879999999</v>
      </c>
      <c r="AQ521" s="6">
        <f>[1]Macro!AP107</f>
        <v>320.09856819999999</v>
      </c>
      <c r="AR521" s="6">
        <f>[1]Macro!AQ107</f>
        <v>323.90191099999998</v>
      </c>
      <c r="AS521" s="6">
        <f>[1]Macro!AR107</f>
        <v>327.75306849999998</v>
      </c>
      <c r="AT521" s="6">
        <f>[1]Macro!AS107</f>
        <v>331.654314</v>
      </c>
      <c r="AU521" s="6">
        <f>[1]Macro!AT107</f>
        <v>335.60737749999998</v>
      </c>
      <c r="AV521" s="6">
        <f>[1]Macro!AU107</f>
        <v>339.6135031</v>
      </c>
      <c r="AW521" s="6">
        <f>[1]Macro!AV107</f>
        <v>343.68269359999999</v>
      </c>
      <c r="AX521" s="6">
        <f>[1]Macro!AW107</f>
        <v>347.80749120000002</v>
      </c>
      <c r="AY521" s="6">
        <f>[1]Macro!AX107</f>
        <v>351.98570899999999</v>
      </c>
      <c r="AZ521" s="6">
        <f>[1]Macro!AY107</f>
        <v>356.21853970000001</v>
      </c>
      <c r="BA521" s="6">
        <f>[1]Macro!AZ107</f>
        <v>360.50754540000003</v>
      </c>
      <c r="BB521" s="6">
        <f>[1]Macro!BA107</f>
        <v>395.34974249999999</v>
      </c>
      <c r="BC521" s="6">
        <f>[1]Macro!BB107</f>
        <v>401.4616911</v>
      </c>
      <c r="BD521" s="6">
        <f>[1]Macro!BC107</f>
        <v>407.67003840000001</v>
      </c>
      <c r="BE521" s="6">
        <f>[1]Macro!BD107</f>
        <v>413.97701210000002</v>
      </c>
      <c r="BF521" s="6">
        <f>[1]Macro!BE107</f>
        <v>420.38488769999998</v>
      </c>
    </row>
    <row r="522" spans="2:58" x14ac:dyDescent="0.35">
      <c r="B522" s="6" t="str">
        <f>[1]Macro!A108</f>
        <v>ch_toe_0</v>
      </c>
      <c r="C522" s="6">
        <f>[1]Macro!B108</f>
        <v>64.301440170000006</v>
      </c>
      <c r="D522" s="6">
        <f>[1]Macro!C108</f>
        <v>64.244438380000005</v>
      </c>
      <c r="E522" s="6">
        <f>[1]Macro!D108</f>
        <v>63.979054079999997</v>
      </c>
      <c r="F522" s="6">
        <f>[1]Macro!E108</f>
        <v>63.707653299999997</v>
      </c>
      <c r="G522" s="6">
        <f>[1]Macro!F108</f>
        <v>63.482470319999997</v>
      </c>
      <c r="H522" s="6">
        <f>[1]Macro!G108</f>
        <v>63.336263119999998</v>
      </c>
      <c r="I522" s="6">
        <f>[1]Macro!H108</f>
        <v>63.253989830000002</v>
      </c>
      <c r="J522" s="6">
        <f>[1]Macro!I108</f>
        <v>63.23066687</v>
      </c>
      <c r="K522" s="6">
        <f>[1]Macro!J108</f>
        <v>63.252706629999999</v>
      </c>
      <c r="L522" s="6">
        <f>[1]Macro!K108</f>
        <v>63.306551339999999</v>
      </c>
      <c r="M522" s="6">
        <f>[1]Macro!L108</f>
        <v>63.411263269999999</v>
      </c>
      <c r="N522" s="6">
        <f>[1]Macro!M108</f>
        <v>63.516182149999999</v>
      </c>
      <c r="O522" s="6">
        <f>[1]Macro!N108</f>
        <v>63.624458740000001</v>
      </c>
      <c r="P522" s="6">
        <f>[1]Macro!O108</f>
        <v>63.736656259999997</v>
      </c>
      <c r="Q522" s="6">
        <f>[1]Macro!P108</f>
        <v>63.85238107</v>
      </c>
      <c r="R522" s="6">
        <f>[1]Macro!Q108</f>
        <v>63.97097728</v>
      </c>
      <c r="S522" s="6">
        <f>[1]Macro!R108</f>
        <v>64.091795730000001</v>
      </c>
      <c r="T522" s="6">
        <f>[1]Macro!S108</f>
        <v>64.214279070000003</v>
      </c>
      <c r="U522" s="6">
        <f>[1]Macro!T108</f>
        <v>64.337974360000004</v>
      </c>
      <c r="V522" s="6">
        <f>[1]Macro!U108</f>
        <v>64.462521850000002</v>
      </c>
      <c r="W522" s="6">
        <f>[1]Macro!V108</f>
        <v>64.568139939999995</v>
      </c>
      <c r="X522" s="6">
        <f>[1]Macro!W108</f>
        <v>64.683684330000006</v>
      </c>
      <c r="Y522" s="6">
        <f>[1]Macro!X108</f>
        <v>64.803931129999995</v>
      </c>
      <c r="Z522" s="6">
        <f>[1]Macro!Y108</f>
        <v>64.926449739999995</v>
      </c>
      <c r="AA522" s="6">
        <f>[1]Macro!Z108</f>
        <v>65.05013744</v>
      </c>
      <c r="AB522" s="6">
        <f>[1]Macro!AA108</f>
        <v>65.121098500000002</v>
      </c>
      <c r="AC522" s="6">
        <f>[1]Macro!AB108</f>
        <v>65.193554039999995</v>
      </c>
      <c r="AD522" s="6">
        <f>[1]Macro!AC108</f>
        <v>65.265840990000001</v>
      </c>
      <c r="AE522" s="6">
        <f>[1]Macro!AD108</f>
        <v>65.337382349999999</v>
      </c>
      <c r="AF522" s="6">
        <f>[1]Macro!AE108</f>
        <v>65.407923609999997</v>
      </c>
      <c r="AG522" s="6">
        <f>[1]Macro!AF108</f>
        <v>65.477597790000004</v>
      </c>
      <c r="AH522" s="6">
        <f>[1]Macro!AG108</f>
        <v>65.546740810000003</v>
      </c>
      <c r="AI522" s="6">
        <f>[1]Macro!AH108</f>
        <v>65.615739189999999</v>
      </c>
      <c r="AJ522" s="6">
        <f>[1]Macro!AI108</f>
        <v>65.684963769999996</v>
      </c>
      <c r="AK522" s="6">
        <f>[1]Macro!AJ108</f>
        <v>65.754747510000001</v>
      </c>
      <c r="AL522" s="6">
        <f>[1]Macro!AK108</f>
        <v>65.825383799999997</v>
      </c>
      <c r="AM522" s="6">
        <f>[1]Macro!AL108</f>
        <v>65.885649060000006</v>
      </c>
      <c r="AN522" s="6">
        <f>[1]Macro!AM108</f>
        <v>65.941299139999998</v>
      </c>
      <c r="AO522" s="6">
        <f>[1]Macro!AN108</f>
        <v>65.995160060000003</v>
      </c>
      <c r="AP522" s="6">
        <f>[1]Macro!AO108</f>
        <v>66.048713269999993</v>
      </c>
      <c r="AQ522" s="6">
        <f>[1]Macro!AP108</f>
        <v>66.102832719999995</v>
      </c>
      <c r="AR522" s="6">
        <f>[1]Macro!AQ108</f>
        <v>66.158104600000001</v>
      </c>
      <c r="AS522" s="6">
        <f>[1]Macro!AR108</f>
        <v>66.214954680000005</v>
      </c>
      <c r="AT522" s="6">
        <f>[1]Macro!AS108</f>
        <v>66.273685200000003</v>
      </c>
      <c r="AU522" s="6">
        <f>[1]Macro!AT108</f>
        <v>66.334419530000005</v>
      </c>
      <c r="AV522" s="6">
        <f>[1]Macro!AU108</f>
        <v>66.396860660000002</v>
      </c>
      <c r="AW522" s="6">
        <f>[1]Macro!AV108</f>
        <v>66.460017010000001</v>
      </c>
      <c r="AX522" s="6">
        <f>[1]Macro!AW108</f>
        <v>66.519689</v>
      </c>
      <c r="AY522" s="6">
        <f>[1]Macro!AX108</f>
        <v>66.572029330000007</v>
      </c>
      <c r="AZ522" s="6">
        <f>[1]Macro!AY108</f>
        <v>66.623568579999997</v>
      </c>
      <c r="BA522" s="6">
        <f>[1]Macro!AZ108</f>
        <v>66.679880870000005</v>
      </c>
      <c r="BB522" s="6">
        <f>[1]Macro!BA108</f>
        <v>66.181774820000001</v>
      </c>
      <c r="BC522" s="6">
        <f>[1]Macro!BB108</f>
        <v>66.315964530000002</v>
      </c>
      <c r="BD522" s="6">
        <f>[1]Macro!BC108</f>
        <v>66.452371409999998</v>
      </c>
      <c r="BE522" s="6">
        <f>[1]Macro!BD108</f>
        <v>66.591310300000004</v>
      </c>
      <c r="BF522" s="6">
        <f>[1]Macro!BE108</f>
        <v>66.732995119999998</v>
      </c>
    </row>
    <row r="523" spans="2:58" x14ac:dyDescent="0.35">
      <c r="B523" s="6" t="str">
        <f>[1]Macro!A109</f>
        <v>x_toe_0</v>
      </c>
      <c r="C523" s="6">
        <f>[1]Macro!B109</f>
        <v>33.496816299999999</v>
      </c>
      <c r="D523" s="6">
        <f>[1]Macro!C109</f>
        <v>34.016786949999997</v>
      </c>
      <c r="E523" s="6">
        <f>[1]Macro!D109</f>
        <v>34.582499830000003</v>
      </c>
      <c r="F523" s="6">
        <f>[1]Macro!E109</f>
        <v>35.159614640000001</v>
      </c>
      <c r="G523" s="6">
        <f>[1]Macro!F109</f>
        <v>35.747097170000004</v>
      </c>
      <c r="H523" s="6">
        <f>[1]Macro!G109</f>
        <v>36.343856629999998</v>
      </c>
      <c r="I523" s="6">
        <f>[1]Macro!H109</f>
        <v>36.913855409999996</v>
      </c>
      <c r="J523" s="6">
        <f>[1]Macro!I109</f>
        <v>37.49069532</v>
      </c>
      <c r="K523" s="6">
        <f>[1]Macro!J109</f>
        <v>38.074194929999997</v>
      </c>
      <c r="L523" s="6">
        <f>[1]Macro!K109</f>
        <v>38.664416279999998</v>
      </c>
      <c r="M523" s="6">
        <f>[1]Macro!L109</f>
        <v>39.322893180000001</v>
      </c>
      <c r="N523" s="6">
        <f>[1]Macro!M109</f>
        <v>39.928024360000002</v>
      </c>
      <c r="O523" s="6">
        <f>[1]Macro!N109</f>
        <v>40.540657060000001</v>
      </c>
      <c r="P523" s="6">
        <f>[1]Macro!O109</f>
        <v>41.161187570000003</v>
      </c>
      <c r="Q523" s="6">
        <f>[1]Macro!P109</f>
        <v>41.79001264</v>
      </c>
      <c r="R523" s="6">
        <f>[1]Macro!Q109</f>
        <v>42.427522439999997</v>
      </c>
      <c r="S523" s="6">
        <f>[1]Macro!R109</f>
        <v>43.074100129999998</v>
      </c>
      <c r="T523" s="6">
        <f>[1]Macro!S109</f>
        <v>43.730121420000003</v>
      </c>
      <c r="U523" s="6">
        <f>[1]Macro!T109</f>
        <v>44.395952880000003</v>
      </c>
      <c r="V523" s="6">
        <f>[1]Macro!U109</f>
        <v>45.071949160000003</v>
      </c>
      <c r="W523" s="6">
        <f>[1]Macro!V109</f>
        <v>45.712808469999999</v>
      </c>
      <c r="X523" s="6">
        <f>[1]Macro!W109</f>
        <v>46.40961815</v>
      </c>
      <c r="Y523" s="6">
        <f>[1]Macro!X109</f>
        <v>47.117638650000004</v>
      </c>
      <c r="Z523" s="6">
        <f>[1]Macro!Y109</f>
        <v>47.837134499999998</v>
      </c>
      <c r="AA523" s="6">
        <f>[1]Macro!Z109</f>
        <v>48.568352070000003</v>
      </c>
      <c r="AB523" s="6">
        <f>[1]Macro!AA109</f>
        <v>49.179396750000002</v>
      </c>
      <c r="AC523" s="6">
        <f>[1]Macro!AB109</f>
        <v>49.870435129999997</v>
      </c>
      <c r="AD523" s="6">
        <f>[1]Macro!AC109</f>
        <v>50.572466079999998</v>
      </c>
      <c r="AE523" s="6">
        <f>[1]Macro!AD109</f>
        <v>51.285700509999998</v>
      </c>
      <c r="AF523" s="6">
        <f>[1]Macro!AE109</f>
        <v>52.010313379999999</v>
      </c>
      <c r="AG523" s="6">
        <f>[1]Macro!AF109</f>
        <v>52.746449830000003</v>
      </c>
      <c r="AH523" s="6">
        <f>[1]Macro!AG109</f>
        <v>53.494227530000003</v>
      </c>
      <c r="AI523" s="6">
        <f>[1]Macro!AH109</f>
        <v>54.253739699999997</v>
      </c>
      <c r="AJ523" s="6">
        <f>[1]Macro!AI109</f>
        <v>55.025059949999999</v>
      </c>
      <c r="AK523" s="6">
        <f>[1]Macro!AJ109</f>
        <v>55.808248640000002</v>
      </c>
      <c r="AL523" s="6">
        <f>[1]Macro!AK109</f>
        <v>56.603359519999998</v>
      </c>
      <c r="AM523" s="6">
        <f>[1]Macro!AL109</f>
        <v>57.37829799</v>
      </c>
      <c r="AN523" s="6">
        <f>[1]Macro!AM109</f>
        <v>58.164498819999999</v>
      </c>
      <c r="AO523" s="6">
        <f>[1]Macro!AN109</f>
        <v>58.962072650000003</v>
      </c>
      <c r="AP523" s="6">
        <f>[1]Macro!AO109</f>
        <v>59.771125169999998</v>
      </c>
      <c r="AQ523" s="6">
        <f>[1]Macro!AP109</f>
        <v>60.591758579999997</v>
      </c>
      <c r="AR523" s="6">
        <f>[1]Macro!AQ109</f>
        <v>61.424073180000001</v>
      </c>
      <c r="AS523" s="6">
        <f>[1]Macro!AR109</f>
        <v>62.268167890000001</v>
      </c>
      <c r="AT523" s="6">
        <f>[1]Macro!AS109</f>
        <v>63.124140349999998</v>
      </c>
      <c r="AU523" s="6">
        <f>[1]Macro!AT109</f>
        <v>63.992087490000003</v>
      </c>
      <c r="AV523" s="6">
        <f>[1]Macro!AU109</f>
        <v>64.872107130000003</v>
      </c>
      <c r="AW523" s="6">
        <f>[1]Macro!AV109</f>
        <v>65.767224490000004</v>
      </c>
      <c r="AX523" s="6">
        <f>[1]Macro!AW109</f>
        <v>66.674696119999993</v>
      </c>
      <c r="AY523" s="6">
        <f>[1]Macro!AX109</f>
        <v>67.594636359999996</v>
      </c>
      <c r="AZ523" s="6">
        <f>[1]Macro!AY109</f>
        <v>68.527158959999994</v>
      </c>
      <c r="BA523" s="6">
        <f>[1]Macro!AZ109</f>
        <v>69.472374970000004</v>
      </c>
      <c r="BB523" s="6">
        <f>[1]Macro!BA109</f>
        <v>76.411615780000005</v>
      </c>
      <c r="BC523" s="6">
        <f>[1]Macro!BB109</f>
        <v>77.746046530000001</v>
      </c>
      <c r="BD523" s="6">
        <f>[1]Macro!BC109</f>
        <v>79.104607090000002</v>
      </c>
      <c r="BE523" s="6">
        <f>[1]Macro!BD109</f>
        <v>80.487702900000002</v>
      </c>
      <c r="BF523" s="6">
        <f>[1]Macro!BE109</f>
        <v>81.895742740000003</v>
      </c>
    </row>
    <row r="525" spans="2:58" x14ac:dyDescent="0.35">
      <c r="C525" s="2">
        <v>42005</v>
      </c>
      <c r="D525" s="2">
        <v>42370</v>
      </c>
      <c r="E525" s="2">
        <v>42736</v>
      </c>
      <c r="F525" s="2">
        <v>43101</v>
      </c>
      <c r="G525" s="2">
        <v>43466</v>
      </c>
      <c r="H525" s="2">
        <v>43831</v>
      </c>
      <c r="I525" s="2">
        <v>44197</v>
      </c>
      <c r="J525" s="2">
        <v>44562</v>
      </c>
      <c r="K525" s="2">
        <v>44927</v>
      </c>
      <c r="L525" s="2">
        <v>45292</v>
      </c>
      <c r="M525" s="2">
        <v>45658</v>
      </c>
      <c r="N525" s="2">
        <v>46023</v>
      </c>
      <c r="O525" s="2">
        <v>46388</v>
      </c>
      <c r="P525" s="2">
        <v>46753</v>
      </c>
      <c r="Q525" s="2">
        <v>47119</v>
      </c>
      <c r="R525" s="2">
        <v>47484</v>
      </c>
      <c r="S525" s="2">
        <v>47849</v>
      </c>
      <c r="T525" s="2">
        <v>48214</v>
      </c>
      <c r="U525" s="2">
        <v>48580</v>
      </c>
      <c r="V525" s="2">
        <v>48945</v>
      </c>
      <c r="W525" s="2">
        <v>49310</v>
      </c>
      <c r="X525" s="2">
        <v>49675</v>
      </c>
      <c r="Y525" s="2">
        <v>50041</v>
      </c>
      <c r="Z525" s="2">
        <v>50406</v>
      </c>
      <c r="AA525" s="2">
        <v>50771</v>
      </c>
      <c r="AB525" s="2">
        <v>51136</v>
      </c>
      <c r="AC525" s="2">
        <v>51502</v>
      </c>
      <c r="AD525" s="2">
        <v>51867</v>
      </c>
      <c r="AE525" s="2">
        <v>52232</v>
      </c>
      <c r="AF525" s="2">
        <v>52597</v>
      </c>
      <c r="AG525" s="2">
        <v>52963</v>
      </c>
      <c r="AH525" s="2">
        <v>53328</v>
      </c>
      <c r="AI525" s="2">
        <v>53693</v>
      </c>
      <c r="AJ525" s="2">
        <v>54058</v>
      </c>
      <c r="AK525" s="2">
        <v>54424</v>
      </c>
      <c r="AL525" s="2">
        <v>54789</v>
      </c>
      <c r="AM525" s="2">
        <v>54790</v>
      </c>
      <c r="AN525" s="2">
        <v>54791</v>
      </c>
      <c r="AO525" s="2">
        <v>54792</v>
      </c>
      <c r="AP525" s="2">
        <v>54793</v>
      </c>
      <c r="AQ525" s="2">
        <v>54794</v>
      </c>
      <c r="AR525" s="2">
        <v>54795</v>
      </c>
      <c r="AS525" s="2">
        <v>54796</v>
      </c>
      <c r="AT525" s="2">
        <v>54797</v>
      </c>
      <c r="AU525" s="2">
        <v>54798</v>
      </c>
      <c r="AV525" s="2">
        <v>54799</v>
      </c>
      <c r="AW525" s="2">
        <v>54800</v>
      </c>
      <c r="AX525" s="2">
        <v>54801</v>
      </c>
      <c r="AY525" s="2">
        <v>54802</v>
      </c>
      <c r="AZ525" s="2">
        <v>54803</v>
      </c>
      <c r="BA525" s="2">
        <v>54804</v>
      </c>
      <c r="BB525" s="2">
        <v>54805</v>
      </c>
      <c r="BC525" s="2">
        <v>54806</v>
      </c>
      <c r="BD525" s="2">
        <v>54807</v>
      </c>
      <c r="BE525" s="2">
        <v>54808</v>
      </c>
      <c r="BF525" s="2">
        <v>54809</v>
      </c>
    </row>
    <row r="526" spans="2:58" x14ac:dyDescent="0.35">
      <c r="B526" t="s">
        <v>105</v>
      </c>
      <c r="C526" s="9">
        <f>C513/C519-1</f>
        <v>-2.1703652952719366E-2</v>
      </c>
      <c r="D526" s="9">
        <f t="shared" ref="D526:AL526" si="330">D513/D519-1</f>
        <v>-2.6539464309492722E-2</v>
      </c>
      <c r="E526" s="9">
        <f t="shared" si="330"/>
        <v>-2.983121237528763E-2</v>
      </c>
      <c r="F526" s="9">
        <f t="shared" si="330"/>
        <v>-3.2473945700091433E-2</v>
      </c>
      <c r="G526" s="9">
        <f t="shared" si="330"/>
        <v>-3.4605560557872783E-2</v>
      </c>
      <c r="H526" s="9">
        <f t="shared" si="330"/>
        <v>-3.6410205830798792E-2</v>
      </c>
      <c r="I526" s="9">
        <f t="shared" si="330"/>
        <v>-3.7901576679681637E-2</v>
      </c>
      <c r="J526" s="9">
        <f t="shared" si="330"/>
        <v>-3.9155622137769686E-2</v>
      </c>
      <c r="K526" s="9">
        <f t="shared" si="330"/>
        <v>-4.0231773013945538E-2</v>
      </c>
      <c r="L526" s="9">
        <f t="shared" si="330"/>
        <v>-4.1181130051374137E-2</v>
      </c>
      <c r="M526" s="9">
        <f t="shared" si="330"/>
        <v>-4.2062968253525734E-2</v>
      </c>
      <c r="N526" s="9">
        <f t="shared" si="330"/>
        <v>-4.2970788872618182E-2</v>
      </c>
      <c r="O526" s="9">
        <f t="shared" si="330"/>
        <v>-4.3875881151152929E-2</v>
      </c>
      <c r="P526" s="9">
        <f t="shared" si="330"/>
        <v>-4.47916765793821E-2</v>
      </c>
      <c r="Q526" s="9">
        <f t="shared" si="330"/>
        <v>-4.5730556792235144E-2</v>
      </c>
      <c r="R526" s="9">
        <f t="shared" si="330"/>
        <v>-4.670157251145457E-2</v>
      </c>
      <c r="S526" s="9">
        <f t="shared" si="330"/>
        <v>-4.7789166159523999E-2</v>
      </c>
      <c r="T526" s="9">
        <f t="shared" si="330"/>
        <v>-4.8925849168933055E-2</v>
      </c>
      <c r="U526" s="9">
        <f t="shared" si="330"/>
        <v>-5.0105108145813482E-2</v>
      </c>
      <c r="V526" s="9">
        <f t="shared" si="330"/>
        <v>-5.1323060122877129E-2</v>
      </c>
      <c r="W526" s="9">
        <f t="shared" si="330"/>
        <v>-5.2564513405438107E-2</v>
      </c>
      <c r="X526" s="9">
        <f t="shared" si="330"/>
        <v>-5.3846651411379121E-2</v>
      </c>
      <c r="Y526" s="9">
        <f t="shared" si="330"/>
        <v>-5.5152653034927446E-2</v>
      </c>
      <c r="Z526" s="9">
        <f t="shared" si="330"/>
        <v>-5.6478538076612628E-2</v>
      </c>
      <c r="AA526" s="9">
        <f t="shared" si="330"/>
        <v>-5.7820264118035869E-2</v>
      </c>
      <c r="AB526" s="9">
        <f t="shared" si="330"/>
        <v>-5.9138935233561174E-2</v>
      </c>
      <c r="AC526" s="9">
        <f t="shared" si="330"/>
        <v>-6.0455714058291421E-2</v>
      </c>
      <c r="AD526" s="9">
        <f t="shared" si="330"/>
        <v>-6.1770990961739436E-2</v>
      </c>
      <c r="AE526" s="9">
        <f t="shared" si="330"/>
        <v>-6.308359485220727E-2</v>
      </c>
      <c r="AF526" s="9">
        <f t="shared" si="330"/>
        <v>-6.4391450647589887E-2</v>
      </c>
      <c r="AG526" s="9">
        <f t="shared" si="330"/>
        <v>-6.5692619000361718E-2</v>
      </c>
      <c r="AH526" s="9">
        <f t="shared" si="330"/>
        <v>-6.6970095513420591E-2</v>
      </c>
      <c r="AI526" s="9">
        <f t="shared" si="330"/>
        <v>-6.8235430399600228E-2</v>
      </c>
      <c r="AJ526" s="9">
        <f t="shared" si="330"/>
        <v>-6.948850015908703E-2</v>
      </c>
      <c r="AK526" s="9">
        <f t="shared" si="330"/>
        <v>-7.0728630259379033E-2</v>
      </c>
      <c r="AL526" s="9">
        <f t="shared" si="330"/>
        <v>-7.195530556932761E-2</v>
      </c>
      <c r="AM526" s="9">
        <f t="shared" ref="AM526:BC526" si="331">AM513/AM519-1</f>
        <v>-7.3032721712607107E-2</v>
      </c>
      <c r="AN526" s="9">
        <f t="shared" si="331"/>
        <v>-7.4081302048061071E-2</v>
      </c>
      <c r="AO526" s="9">
        <f t="shared" si="331"/>
        <v>-7.5111145012940805E-2</v>
      </c>
      <c r="AP526" s="9">
        <f t="shared" si="331"/>
        <v>-7.6126082489076818E-2</v>
      </c>
      <c r="AQ526" s="9">
        <f t="shared" si="331"/>
        <v>-7.7129084961437888E-2</v>
      </c>
      <c r="AR526" s="9">
        <f t="shared" si="331"/>
        <v>-7.8103585858644076E-2</v>
      </c>
      <c r="AS526" s="9">
        <f t="shared" si="331"/>
        <v>-7.906871098850754E-2</v>
      </c>
      <c r="AT526" s="9">
        <f t="shared" si="331"/>
        <v>-8.0028171667100301E-2</v>
      </c>
      <c r="AU526" s="9">
        <f t="shared" si="331"/>
        <v>-8.0984410373877269E-2</v>
      </c>
      <c r="AV526" s="9">
        <f t="shared" si="331"/>
        <v>-8.1938372158344541E-2</v>
      </c>
      <c r="AW526" s="9">
        <f t="shared" si="331"/>
        <v>-8.2825055860336727E-2</v>
      </c>
      <c r="AX526" s="9">
        <f t="shared" si="331"/>
        <v>-8.3680478810071457E-2</v>
      </c>
      <c r="AY526" s="9">
        <f t="shared" si="331"/>
        <v>-8.4502978636053494E-2</v>
      </c>
      <c r="AZ526" s="9">
        <f t="shared" si="331"/>
        <v>-8.5311627822634684E-2</v>
      </c>
      <c r="BA526" s="9">
        <f t="shared" si="331"/>
        <v>-8.6122585498138116E-2</v>
      </c>
      <c r="BB526" s="9">
        <f t="shared" si="331"/>
        <v>-1.0046073199928007E-2</v>
      </c>
      <c r="BC526" s="9">
        <f t="shared" si="331"/>
        <v>-1.0196735806486612E-2</v>
      </c>
      <c r="BD526" s="9">
        <f t="shared" ref="BD526:BF526" si="332">BD513/BD519-1</f>
        <v>-1.0338859832064951E-2</v>
      </c>
      <c r="BE526" s="9">
        <f t="shared" si="332"/>
        <v>-1.0474195050070967E-2</v>
      </c>
      <c r="BF526" s="9">
        <f t="shared" si="332"/>
        <v>-1.0603780591710965E-2</v>
      </c>
    </row>
    <row r="527" spans="2:58" x14ac:dyDescent="0.35">
      <c r="B527" t="s">
        <v>103</v>
      </c>
      <c r="C527" s="9">
        <f>(C516-C522)/C519</f>
        <v>0</v>
      </c>
      <c r="D527" s="9">
        <f t="shared" ref="D527:AL527" si="333">(D516-D522)/D519</f>
        <v>-1.8248598577733972E-4</v>
      </c>
      <c r="E527" s="9">
        <f t="shared" si="333"/>
        <v>-4.2368078250673753E-4</v>
      </c>
      <c r="F527" s="9">
        <f t="shared" si="333"/>
        <v>-6.5276434336705973E-4</v>
      </c>
      <c r="G527" s="9">
        <f t="shared" si="333"/>
        <v>-7.7684897017575051E-4</v>
      </c>
      <c r="H527" s="9">
        <f t="shared" si="333"/>
        <v>-9.8558128081524857E-4</v>
      </c>
      <c r="I527" s="9">
        <f t="shared" si="333"/>
        <v>-1.1613042524715777E-3</v>
      </c>
      <c r="J527" s="9">
        <f t="shared" si="333"/>
        <v>-1.2834597417068726E-3</v>
      </c>
      <c r="K527" s="9">
        <f t="shared" si="333"/>
        <v>-1.3477685814108013E-3</v>
      </c>
      <c r="L527" s="9">
        <f t="shared" si="333"/>
        <v>-1.3571505638836606E-3</v>
      </c>
      <c r="M527" s="9">
        <f t="shared" si="333"/>
        <v>-1.3193759745228335E-3</v>
      </c>
      <c r="N527" s="9">
        <f t="shared" si="333"/>
        <v>-1.2433508005156844E-3</v>
      </c>
      <c r="O527" s="9">
        <f t="shared" si="333"/>
        <v>-1.1354004764923401E-3</v>
      </c>
      <c r="P527" s="9">
        <f t="shared" si="333"/>
        <v>-1.0012517568812386E-3</v>
      </c>
      <c r="Q527" s="9">
        <f t="shared" si="333"/>
        <v>-8.4747228236577371E-4</v>
      </c>
      <c r="R527" s="9">
        <f t="shared" si="333"/>
        <v>-6.8070603015089643E-4</v>
      </c>
      <c r="S527" s="9">
        <f t="shared" si="333"/>
        <v>-5.0561295016100121E-4</v>
      </c>
      <c r="T527" s="9">
        <f t="shared" si="333"/>
        <v>-3.2556765397630916E-4</v>
      </c>
      <c r="U527" s="9">
        <f t="shared" si="333"/>
        <v>-1.4337494149806469E-4</v>
      </c>
      <c r="V527" s="9">
        <f t="shared" si="333"/>
        <v>3.8829704545704117E-5</v>
      </c>
      <c r="W527" s="9">
        <f t="shared" si="333"/>
        <v>2.2001271171920555E-4</v>
      </c>
      <c r="X527" s="9">
        <f t="shared" si="333"/>
        <v>3.9776519753853497E-4</v>
      </c>
      <c r="Y527" s="9">
        <f t="shared" si="333"/>
        <v>5.7087690806632179E-4</v>
      </c>
      <c r="Z527" s="9">
        <f t="shared" si="333"/>
        <v>7.3823499959665777E-4</v>
      </c>
      <c r="AA527" s="9">
        <f t="shared" si="333"/>
        <v>8.9891152504802346E-4</v>
      </c>
      <c r="AB527" s="9">
        <f t="shared" si="333"/>
        <v>1.0554543145715912E-3</v>
      </c>
      <c r="AC527" s="9">
        <f t="shared" si="333"/>
        <v>1.204398646388201E-3</v>
      </c>
      <c r="AD527" s="9">
        <f t="shared" si="333"/>
        <v>1.3458107951732107E-3</v>
      </c>
      <c r="AE527" s="9">
        <f t="shared" si="333"/>
        <v>1.478451851061061E-3</v>
      </c>
      <c r="AF527" s="9">
        <f t="shared" si="333"/>
        <v>1.6020485226757063E-3</v>
      </c>
      <c r="AG527" s="9">
        <f t="shared" si="333"/>
        <v>1.7165676077749606E-3</v>
      </c>
      <c r="AH527" s="9">
        <f t="shared" si="333"/>
        <v>1.8221238344792048E-3</v>
      </c>
      <c r="AI527" s="9">
        <f t="shared" si="333"/>
        <v>1.9188755402180569E-3</v>
      </c>
      <c r="AJ527" s="9">
        <f t="shared" si="333"/>
        <v>2.0070001702654967E-3</v>
      </c>
      <c r="AK527" s="9">
        <f t="shared" si="333"/>
        <v>2.086680980306193E-3</v>
      </c>
      <c r="AL527" s="9">
        <f t="shared" si="333"/>
        <v>2.1580462939135461E-3</v>
      </c>
      <c r="AM527" s="9">
        <f t="shared" ref="AM527:BC527" si="334">(AM516-AM522)/AM519</f>
        <v>2.2231502271248546E-3</v>
      </c>
      <c r="AN527" s="9">
        <f t="shared" si="334"/>
        <v>2.2820629000029815E-3</v>
      </c>
      <c r="AO527" s="9">
        <f t="shared" si="334"/>
        <v>2.3349394971628095E-3</v>
      </c>
      <c r="AP527" s="9">
        <f t="shared" si="334"/>
        <v>2.3816751644201405E-3</v>
      </c>
      <c r="AQ527" s="9">
        <f t="shared" si="334"/>
        <v>2.4219674656053018E-3</v>
      </c>
      <c r="AR527" s="9">
        <f t="shared" si="334"/>
        <v>2.455558900647789E-3</v>
      </c>
      <c r="AS527" s="9">
        <f t="shared" si="334"/>
        <v>2.4821930279833575E-3</v>
      </c>
      <c r="AT527" s="9">
        <f t="shared" si="334"/>
        <v>2.501811105191458E-3</v>
      </c>
      <c r="AU527" s="9">
        <f t="shared" si="334"/>
        <v>2.5145783365995897E-3</v>
      </c>
      <c r="AV527" s="9">
        <f t="shared" si="334"/>
        <v>2.5224480942535759E-3</v>
      </c>
      <c r="AW527" s="9">
        <f t="shared" si="334"/>
        <v>2.5347480507067889E-3</v>
      </c>
      <c r="AX527" s="9">
        <f t="shared" si="334"/>
        <v>2.568544582821972E-3</v>
      </c>
      <c r="AY527" s="9">
        <f t="shared" si="334"/>
        <v>2.6393280470303547E-3</v>
      </c>
      <c r="AZ527" s="9">
        <f t="shared" si="334"/>
        <v>2.7167610689570942E-3</v>
      </c>
      <c r="BA527" s="9">
        <f t="shared" si="334"/>
        <v>2.7759122708565656E-3</v>
      </c>
      <c r="BB527" s="9">
        <f t="shared" si="334"/>
        <v>-7.0833349140024173E-3</v>
      </c>
      <c r="BC527" s="9">
        <f t="shared" si="334"/>
        <v>-7.116771404767519E-3</v>
      </c>
      <c r="BD527" s="9">
        <f t="shared" ref="BD527:BF527" si="335">(BD516-BD522)/BD519</f>
        <v>-7.1446776100745181E-3</v>
      </c>
      <c r="BE527" s="9">
        <f t="shared" si="335"/>
        <v>-7.1688134820638251E-3</v>
      </c>
      <c r="BF527" s="9">
        <f t="shared" si="335"/>
        <v>-7.1897740228072113E-3</v>
      </c>
    </row>
    <row r="528" spans="2:58" x14ac:dyDescent="0.35">
      <c r="B528" t="s">
        <v>104</v>
      </c>
      <c r="C528" s="9">
        <f>(C515-C521)/C519</f>
        <v>-3.1440389269202423E-2</v>
      </c>
      <c r="D528" s="9">
        <f t="shared" ref="D528:AL528" si="336">(D515-D521)/D519</f>
        <v>-4.2326185719138647E-2</v>
      </c>
      <c r="E528" s="9">
        <f t="shared" si="336"/>
        <v>-4.9024544370454053E-2</v>
      </c>
      <c r="F528" s="9">
        <f t="shared" si="336"/>
        <v>-5.4341997523890032E-2</v>
      </c>
      <c r="G528" s="9">
        <f t="shared" si="336"/>
        <v>-5.8751166259298715E-2</v>
      </c>
      <c r="H528" s="9">
        <f t="shared" si="336"/>
        <v>-6.241635928878593E-2</v>
      </c>
      <c r="I528" s="9">
        <f t="shared" si="336"/>
        <v>-6.5473901091346293E-2</v>
      </c>
      <c r="J528" s="9">
        <f t="shared" si="336"/>
        <v>-6.8044598519838601E-2</v>
      </c>
      <c r="K528" s="9">
        <f t="shared" si="336"/>
        <v>-7.0245072271904907E-2</v>
      </c>
      <c r="L528" s="9">
        <f t="shared" si="336"/>
        <v>-7.217586126484056E-2</v>
      </c>
      <c r="M528" s="9">
        <f t="shared" si="336"/>
        <v>-7.3931600835939942E-2</v>
      </c>
      <c r="N528" s="9">
        <f t="shared" si="336"/>
        <v>-7.5690171348370153E-2</v>
      </c>
      <c r="O528" s="9">
        <f t="shared" si="336"/>
        <v>-7.7418185743026724E-2</v>
      </c>
      <c r="P528" s="9">
        <f t="shared" si="336"/>
        <v>-7.9140291528968287E-2</v>
      </c>
      <c r="Q528" s="9">
        <f t="shared" si="336"/>
        <v>-8.0880604622187505E-2</v>
      </c>
      <c r="R528" s="9">
        <f t="shared" si="336"/>
        <v>-8.2657130767895576E-2</v>
      </c>
      <c r="S528" s="9">
        <f t="shared" si="336"/>
        <v>-8.4596223261222361E-2</v>
      </c>
      <c r="T528" s="9">
        <f t="shared" si="336"/>
        <v>-8.6617608177671834E-2</v>
      </c>
      <c r="U528" s="9">
        <f t="shared" si="336"/>
        <v>-8.8705327466411701E-2</v>
      </c>
      <c r="V528" s="9">
        <f t="shared" si="336"/>
        <v>-9.0853141833374548E-2</v>
      </c>
      <c r="W528" s="9">
        <f t="shared" si="336"/>
        <v>-9.3048153945003473E-2</v>
      </c>
      <c r="X528" s="9">
        <f t="shared" si="336"/>
        <v>-9.5290474960567209E-2</v>
      </c>
      <c r="Y528" s="9">
        <f t="shared" si="336"/>
        <v>-9.7573136364046228E-2</v>
      </c>
      <c r="Z528" s="9">
        <f t="shared" si="336"/>
        <v>-9.988725847307052E-2</v>
      </c>
      <c r="AA528" s="9">
        <f t="shared" si="336"/>
        <v>-0.10222592493064016</v>
      </c>
      <c r="AB528" s="9">
        <f t="shared" si="336"/>
        <v>-0.104559910581199</v>
      </c>
      <c r="AC528" s="9">
        <f t="shared" si="336"/>
        <v>-0.1068570384356977</v>
      </c>
      <c r="AD528" s="9">
        <f t="shared" si="336"/>
        <v>-0.10914458593582343</v>
      </c>
      <c r="AE528" s="9">
        <f t="shared" si="336"/>
        <v>-0.11141892539801346</v>
      </c>
      <c r="AF528" s="9">
        <f t="shared" si="336"/>
        <v>-0.11367647468260521</v>
      </c>
      <c r="AG528" s="9">
        <f t="shared" si="336"/>
        <v>-0.11591407221710362</v>
      </c>
      <c r="AH528" s="9">
        <f t="shared" si="336"/>
        <v>-0.11810695275566428</v>
      </c>
      <c r="AI528" s="9">
        <f t="shared" si="336"/>
        <v>-0.12026903760062753</v>
      </c>
      <c r="AJ528" s="9">
        <f t="shared" si="336"/>
        <v>-0.12240171450729916</v>
      </c>
      <c r="AK528" s="9">
        <f t="shared" si="336"/>
        <v>-0.1245043635277982</v>
      </c>
      <c r="AL528" s="9">
        <f t="shared" si="336"/>
        <v>-0.12657632666591684</v>
      </c>
      <c r="AM528" s="9">
        <f t="shared" ref="AM528:BC528" si="337">(AM515-AM521)/AM519</f>
        <v>-0.12842819859395957</v>
      </c>
      <c r="AN528" s="9">
        <f t="shared" si="337"/>
        <v>-0.1301995555101382</v>
      </c>
      <c r="AO528" s="9">
        <f t="shared" si="337"/>
        <v>-0.13192105862912704</v>
      </c>
      <c r="AP528" s="9">
        <f t="shared" si="337"/>
        <v>-0.1336023054504604</v>
      </c>
      <c r="AQ528" s="9">
        <f t="shared" si="337"/>
        <v>-0.13524984057322087</v>
      </c>
      <c r="AR528" s="9">
        <f t="shared" si="337"/>
        <v>-0.13684171102148004</v>
      </c>
      <c r="AS528" s="9">
        <f t="shared" si="337"/>
        <v>-0.13840411773221201</v>
      </c>
      <c r="AT528" s="9">
        <f t="shared" si="337"/>
        <v>-0.13994648253664896</v>
      </c>
      <c r="AU528" s="9">
        <f t="shared" si="337"/>
        <v>-0.14147476105569839</v>
      </c>
      <c r="AV528" s="9">
        <f t="shared" si="337"/>
        <v>-0.14299365945023876</v>
      </c>
      <c r="AW528" s="9">
        <f t="shared" si="337"/>
        <v>-0.14441718630889935</v>
      </c>
      <c r="AX528" s="9">
        <f t="shared" si="337"/>
        <v>-0.14580511390620426</v>
      </c>
      <c r="AY528" s="9">
        <f t="shared" si="337"/>
        <v>-0.14717062198917569</v>
      </c>
      <c r="AZ528" s="9">
        <f t="shared" si="337"/>
        <v>-0.1485246740506744</v>
      </c>
      <c r="BA528" s="9">
        <f t="shared" si="337"/>
        <v>-0.14987658842211318</v>
      </c>
      <c r="BB528" s="9">
        <f t="shared" si="337"/>
        <v>-3.6814216923427494E-3</v>
      </c>
      <c r="BC528" s="9">
        <f t="shared" si="337"/>
        <v>-3.6885411797333667E-3</v>
      </c>
      <c r="BD528" s="9">
        <f t="shared" ref="BD528:BF528" si="338">(BD515-BD521)/BD519</f>
        <v>-3.6885639402220861E-3</v>
      </c>
      <c r="BE528" s="9">
        <f t="shared" si="338"/>
        <v>-3.6820563046828817E-3</v>
      </c>
      <c r="BF528" s="9">
        <f t="shared" si="338"/>
        <v>-3.6695656661842584E-3</v>
      </c>
    </row>
    <row r="529" spans="2:58" x14ac:dyDescent="0.35">
      <c r="B529" t="s">
        <v>20</v>
      </c>
      <c r="C529" s="9">
        <f>(C517-C514-(C523-C520))/C519</f>
        <v>9.7367361732222362E-3</v>
      </c>
      <c r="D529" s="9">
        <f t="shared" ref="D529:AL529" si="339">(D517-D514-(D523-D520))/D519</f>
        <v>1.5969207963944212E-2</v>
      </c>
      <c r="E529" s="9">
        <f t="shared" si="339"/>
        <v>1.9617012424941134E-2</v>
      </c>
      <c r="F529" s="9">
        <f t="shared" si="339"/>
        <v>2.2520816027165314E-2</v>
      </c>
      <c r="G529" s="9">
        <f t="shared" si="339"/>
        <v>2.4922454532789583E-2</v>
      </c>
      <c r="H529" s="9">
        <f t="shared" si="339"/>
        <v>2.6991734601280432E-2</v>
      </c>
      <c r="I529" s="9">
        <f t="shared" si="339"/>
        <v>2.8733628527917821E-2</v>
      </c>
      <c r="J529" s="9">
        <f t="shared" si="339"/>
        <v>3.0172436123775875E-2</v>
      </c>
      <c r="K529" s="9">
        <f t="shared" si="339"/>
        <v>3.1361067505629454E-2</v>
      </c>
      <c r="L529" s="9">
        <f t="shared" si="339"/>
        <v>3.2351881182876303E-2</v>
      </c>
      <c r="M529" s="9">
        <f t="shared" si="339"/>
        <v>3.3188008295754377E-2</v>
      </c>
      <c r="N529" s="9">
        <f t="shared" si="339"/>
        <v>3.3962733857516678E-2</v>
      </c>
      <c r="O529" s="9">
        <f t="shared" si="339"/>
        <v>3.4677704748950093E-2</v>
      </c>
      <c r="P529" s="9">
        <f t="shared" si="339"/>
        <v>3.5349866706467226E-2</v>
      </c>
      <c r="Q529" s="9">
        <f t="shared" si="339"/>
        <v>3.5997520299852905E-2</v>
      </c>
      <c r="R529" s="9">
        <f t="shared" si="339"/>
        <v>3.6636264410270007E-2</v>
      </c>
      <c r="S529" s="9">
        <f t="shared" si="339"/>
        <v>3.7312669440107166E-2</v>
      </c>
      <c r="T529" s="9">
        <f t="shared" si="339"/>
        <v>3.8017326844273308E-2</v>
      </c>
      <c r="U529" s="9">
        <f t="shared" si="339"/>
        <v>3.8743593663384604E-2</v>
      </c>
      <c r="V529" s="9">
        <f t="shared" si="339"/>
        <v>3.9491251591342945E-2</v>
      </c>
      <c r="W529" s="9">
        <f t="shared" si="339"/>
        <v>4.0263627769216076E-2</v>
      </c>
      <c r="X529" s="9">
        <f t="shared" si="339"/>
        <v>4.1046058815733935E-2</v>
      </c>
      <c r="Y529" s="9">
        <f t="shared" si="339"/>
        <v>4.1849606421052746E-2</v>
      </c>
      <c r="Z529" s="9">
        <f t="shared" si="339"/>
        <v>4.2670484999431123E-2</v>
      </c>
      <c r="AA529" s="9">
        <f t="shared" si="339"/>
        <v>4.3506749568370091E-2</v>
      </c>
      <c r="AB529" s="9">
        <f t="shared" si="339"/>
        <v>4.4365520921779415E-2</v>
      </c>
      <c r="AC529" s="9">
        <f t="shared" si="339"/>
        <v>4.5196925565706085E-2</v>
      </c>
      <c r="AD529" s="9">
        <f t="shared" si="339"/>
        <v>4.6027783524102223E-2</v>
      </c>
      <c r="AE529" s="9">
        <f t="shared" si="339"/>
        <v>4.6856879018949991E-2</v>
      </c>
      <c r="AF529" s="9">
        <f t="shared" si="339"/>
        <v>4.7682975565843166E-2</v>
      </c>
      <c r="AG529" s="9">
        <f t="shared" si="339"/>
        <v>4.8504885714917609E-2</v>
      </c>
      <c r="AH529" s="9">
        <f t="shared" si="339"/>
        <v>4.9314733565110659E-2</v>
      </c>
      <c r="AI529" s="9">
        <f t="shared" si="339"/>
        <v>5.0114731972351174E-2</v>
      </c>
      <c r="AJ529" s="9">
        <f t="shared" si="339"/>
        <v>5.0906213355547056E-2</v>
      </c>
      <c r="AK529" s="9">
        <f t="shared" si="339"/>
        <v>5.1689052237235349E-2</v>
      </c>
      <c r="AL529" s="9">
        <f t="shared" si="339"/>
        <v>5.2462975406962813E-2</v>
      </c>
      <c r="AM529" s="9">
        <f t="shared" ref="AM529:BC529" si="340">(AM517-AM514-(AM523-AM520))/AM519</f>
        <v>5.3172326803795654E-2</v>
      </c>
      <c r="AN529" s="9">
        <f t="shared" si="340"/>
        <v>5.3836190611435811E-2</v>
      </c>
      <c r="AO529" s="9">
        <f t="shared" si="340"/>
        <v>5.4474974461128214E-2</v>
      </c>
      <c r="AP529" s="9">
        <f t="shared" si="340"/>
        <v>5.5094548232442517E-2</v>
      </c>
      <c r="AQ529" s="9">
        <f t="shared" si="340"/>
        <v>5.5698789247981363E-2</v>
      </c>
      <c r="AR529" s="9">
        <f t="shared" si="340"/>
        <v>5.6282566262188423E-2</v>
      </c>
      <c r="AS529" s="9">
        <f t="shared" si="340"/>
        <v>5.6853214091318542E-2</v>
      </c>
      <c r="AT529" s="9">
        <f t="shared" si="340"/>
        <v>5.7416499624927043E-2</v>
      </c>
      <c r="AU529" s="9">
        <f t="shared" si="340"/>
        <v>5.797577239122774E-2</v>
      </c>
      <c r="AV529" s="9">
        <f t="shared" si="340"/>
        <v>5.8532839379795788E-2</v>
      </c>
      <c r="AW529" s="9">
        <f t="shared" si="340"/>
        <v>5.9057382758441669E-2</v>
      </c>
      <c r="AX529" s="9">
        <f t="shared" si="340"/>
        <v>5.9556091004034889E-2</v>
      </c>
      <c r="AY529" s="9">
        <f t="shared" si="340"/>
        <v>6.0028315041170392E-2</v>
      </c>
      <c r="AZ529" s="9">
        <f t="shared" si="340"/>
        <v>6.0496284765786799E-2</v>
      </c>
      <c r="BA529" s="9">
        <f t="shared" si="340"/>
        <v>6.0978090653118294E-2</v>
      </c>
      <c r="BB529" s="9">
        <f t="shared" si="340"/>
        <v>7.1868328581924535E-4</v>
      </c>
      <c r="BC529" s="9">
        <f t="shared" si="340"/>
        <v>6.0857681767124885E-4</v>
      </c>
      <c r="BD529" s="9">
        <f t="shared" ref="BD529:BF529" si="341">(BD517-BD514-(BD523-BD520))/BD519</f>
        <v>4.9438203119265157E-4</v>
      </c>
      <c r="BE529" s="9">
        <f t="shared" si="341"/>
        <v>3.7667500679916332E-4</v>
      </c>
      <c r="BF529" s="9">
        <f t="shared" si="341"/>
        <v>2.5555905921704927E-4</v>
      </c>
    </row>
  </sheetData>
  <mergeCells count="2">
    <mergeCell ref="A61:A62"/>
    <mergeCell ref="A64:A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21</vt:i4>
      </vt:variant>
    </vt:vector>
  </HeadingPairs>
  <TitlesOfParts>
    <vt:vector size="22" baseType="lpstr">
      <vt:lpstr>Données</vt:lpstr>
      <vt:lpstr>Gr Macro</vt:lpstr>
      <vt:lpstr>Gr inflation</vt:lpstr>
      <vt:lpstr>Gr émissions</vt:lpstr>
      <vt:lpstr>Gr conso éner</vt:lpstr>
      <vt:lpstr>GR macro ener</vt:lpstr>
      <vt:lpstr>Gr éner prim</vt:lpstr>
      <vt:lpstr>BUIL (class,base)</vt:lpstr>
      <vt:lpstr>BUIL (class,shock)</vt:lpstr>
      <vt:lpstr>Auto (class,base)</vt:lpstr>
      <vt:lpstr>Auto (class,shock)</vt:lpstr>
      <vt:lpstr>Auto (ener,shock)</vt:lpstr>
      <vt:lpstr>Auto (ener,base)</vt:lpstr>
      <vt:lpstr>Employment</vt:lpstr>
      <vt:lpstr>Investment</vt:lpstr>
      <vt:lpstr>Firms' emissions</vt:lpstr>
      <vt:lpstr>Capital intensity</vt:lpstr>
      <vt:lpstr>Energy intensity</vt:lpstr>
      <vt:lpstr>Gr VA secteurs (% dev)</vt:lpstr>
      <vt:lpstr>Gr VA secteurs (% share)</vt:lpstr>
      <vt:lpstr>Gr Y secteurs (% dev)</vt:lpstr>
      <vt:lpstr>Gr Y secteurs (% share)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2022-03-22T15:00:35Z</dcterms:modified>
</cp:coreProperties>
</file>