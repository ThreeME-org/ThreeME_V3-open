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boonmanhj\Documents\Gitlab\ThreeME_V3\data\NLD\"/>
    </mc:Choice>
  </mc:AlternateContent>
  <xr:revisionPtr revIDLastSave="0" documentId="13_ncr:1_{6F524FB2-C4A9-4A02-A30B-8F45D0523334}" xr6:coauthVersionLast="47" xr6:coauthVersionMax="47" xr10:uidLastSave="{00000000-0000-0000-0000-000000000000}"/>
  <bookViews>
    <workbookView xWindow="3255" yWindow="2115" windowWidth="21600" windowHeight="11280" xr2:uid="{B5E0DD62-2FCC-462B-81F0-A01C64586FAC}"/>
  </bookViews>
  <sheets>
    <sheet name="SUT" sheetId="1" r:id="rId1"/>
    <sheet name="GHG" sheetId="2" r:id="rId2"/>
    <sheet name="TAX" sheetId="3" r:id="rId3"/>
    <sheet name="HH" sheetId="4" r:id="rId4"/>
    <sheet name="OTH" sheetId="5" r:id="rId5"/>
    <sheet name="ENR" sheetId="7" r:id="rId6"/>
    <sheet name="ENR_Share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S41" i="1" l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29" i="7"/>
  <c r="AM30" i="1"/>
  <c r="AN30" i="1"/>
  <c r="AO30" i="1"/>
  <c r="AP30" i="1"/>
  <c r="AQ30" i="1"/>
  <c r="AR30" i="1"/>
  <c r="AS30" i="1"/>
  <c r="AT30" i="1"/>
  <c r="AU30" i="1"/>
  <c r="AV30" i="1"/>
  <c r="AM31" i="1"/>
  <c r="AN31" i="1"/>
  <c r="AO31" i="1"/>
  <c r="AP31" i="1"/>
  <c r="AQ31" i="1"/>
  <c r="AR31" i="1"/>
  <c r="AS31" i="1"/>
  <c r="AT31" i="1"/>
  <c r="AU31" i="1"/>
  <c r="AV31" i="1"/>
  <c r="AM32" i="1"/>
  <c r="AN32" i="1"/>
  <c r="AO32" i="1"/>
  <c r="AP32" i="1"/>
  <c r="AQ32" i="1"/>
  <c r="AR32" i="1"/>
  <c r="AS32" i="1"/>
  <c r="AT32" i="1"/>
  <c r="AU32" i="1"/>
  <c r="AV32" i="1"/>
  <c r="AM33" i="1"/>
  <c r="AN33" i="1"/>
  <c r="AO33" i="1"/>
  <c r="AP33" i="1"/>
  <c r="AQ33" i="1"/>
  <c r="AR33" i="1"/>
  <c r="AS33" i="1"/>
  <c r="AT33" i="1"/>
  <c r="AU33" i="1"/>
  <c r="AV33" i="1"/>
  <c r="AM34" i="1"/>
  <c r="AN34" i="1"/>
  <c r="AO34" i="1"/>
  <c r="AP34" i="1"/>
  <c r="AQ34" i="1"/>
  <c r="AR34" i="1"/>
  <c r="AS34" i="1"/>
  <c r="AT34" i="1"/>
  <c r="AU34" i="1"/>
  <c r="AV34" i="1"/>
  <c r="AM35" i="1"/>
  <c r="AN35" i="1"/>
  <c r="AO35" i="1"/>
  <c r="AP35" i="1"/>
  <c r="AQ35" i="1"/>
  <c r="AR35" i="1"/>
  <c r="AS35" i="1"/>
  <c r="AT35" i="1"/>
  <c r="AU35" i="1"/>
  <c r="AV35" i="1"/>
  <c r="AM36" i="1"/>
  <c r="AN36" i="1"/>
  <c r="AO36" i="1"/>
  <c r="AP36" i="1"/>
  <c r="AQ36" i="1"/>
  <c r="AR36" i="1"/>
  <c r="AS36" i="1"/>
  <c r="AT36" i="1"/>
  <c r="AU36" i="1"/>
  <c r="AV36" i="1"/>
  <c r="AM37" i="1"/>
  <c r="AN37" i="1"/>
  <c r="AO37" i="1"/>
  <c r="AP37" i="1"/>
  <c r="AQ37" i="1"/>
  <c r="AR37" i="1"/>
  <c r="AS37" i="1"/>
  <c r="AT37" i="1"/>
  <c r="AU37" i="1"/>
  <c r="AV37" i="1"/>
  <c r="AM38" i="1"/>
  <c r="AN38" i="1"/>
  <c r="AO38" i="1"/>
  <c r="AP38" i="1"/>
  <c r="AQ38" i="1"/>
  <c r="AR38" i="1"/>
  <c r="AS38" i="1"/>
  <c r="AT38" i="1"/>
  <c r="AU38" i="1"/>
  <c r="AV38" i="1"/>
  <c r="AM39" i="1"/>
  <c r="AN39" i="1"/>
  <c r="AO39" i="1"/>
  <c r="AP39" i="1"/>
  <c r="AQ39" i="1"/>
  <c r="AR39" i="1"/>
  <c r="AS39" i="1"/>
  <c r="AT39" i="1"/>
  <c r="AU39" i="1"/>
  <c r="AV39" i="1"/>
  <c r="AM40" i="1"/>
  <c r="AN40" i="1"/>
  <c r="AO40" i="1"/>
  <c r="AP40" i="1"/>
  <c r="AQ40" i="1"/>
  <c r="AR40" i="1"/>
  <c r="AS40" i="1"/>
  <c r="AT40" i="1"/>
  <c r="AU40" i="1"/>
  <c r="AV40" i="1"/>
  <c r="AM41" i="1"/>
  <c r="AN41" i="1"/>
  <c r="AO41" i="1"/>
  <c r="AP41" i="1"/>
  <c r="AQ41" i="1"/>
  <c r="AR41" i="1"/>
  <c r="AS41" i="1"/>
  <c r="AT41" i="1"/>
  <c r="AU41" i="1"/>
  <c r="AV41" i="1"/>
  <c r="AL31" i="1"/>
  <c r="AL32" i="1"/>
  <c r="AL33" i="1"/>
  <c r="AL34" i="1"/>
  <c r="AL35" i="1"/>
  <c r="AL36" i="1"/>
  <c r="AL37" i="1"/>
  <c r="AL38" i="1"/>
  <c r="AL39" i="1"/>
  <c r="AL40" i="1"/>
  <c r="AL41" i="1"/>
  <c r="AL30" i="1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B13" i="6"/>
  <c r="CC13" i="6"/>
  <c r="CD13" i="6"/>
  <c r="CE13" i="6"/>
  <c r="CF13" i="6"/>
  <c r="CG13" i="6"/>
  <c r="CH13" i="6"/>
  <c r="CI13" i="6"/>
  <c r="CJ13" i="6"/>
  <c r="CK13" i="6"/>
  <c r="CL13" i="6"/>
  <c r="CM13" i="6"/>
  <c r="CN13" i="6"/>
  <c r="CO13" i="6"/>
  <c r="CP13" i="6"/>
  <c r="CQ13" i="6"/>
  <c r="CR13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C14" i="6"/>
  <c r="CD14" i="6"/>
  <c r="CE14" i="6"/>
  <c r="CF14" i="6"/>
  <c r="CG14" i="6"/>
  <c r="CH14" i="6"/>
  <c r="CI14" i="6"/>
  <c r="CJ14" i="6"/>
  <c r="CK14" i="6"/>
  <c r="CL14" i="6"/>
  <c r="CM14" i="6"/>
  <c r="CN14" i="6"/>
  <c r="CO14" i="6"/>
  <c r="CP14" i="6"/>
  <c r="CQ14" i="6"/>
  <c r="CR14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B15" i="6"/>
  <c r="CC15" i="6"/>
  <c r="CD15" i="6"/>
  <c r="CE15" i="6"/>
  <c r="CF15" i="6"/>
  <c r="CG15" i="6"/>
  <c r="CH15" i="6"/>
  <c r="CI15" i="6"/>
  <c r="CJ15" i="6"/>
  <c r="CK15" i="6"/>
  <c r="CL15" i="6"/>
  <c r="CM15" i="6"/>
  <c r="CN15" i="6"/>
  <c r="CO15" i="6"/>
  <c r="CP15" i="6"/>
  <c r="CQ15" i="6"/>
  <c r="CR15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CB16" i="6"/>
  <c r="CC16" i="6"/>
  <c r="CD16" i="6"/>
  <c r="CE16" i="6"/>
  <c r="CF16" i="6"/>
  <c r="CG16" i="6"/>
  <c r="CH16" i="6"/>
  <c r="CI16" i="6"/>
  <c r="CJ16" i="6"/>
  <c r="CK16" i="6"/>
  <c r="CL16" i="6"/>
  <c r="CM16" i="6"/>
  <c r="CN16" i="6"/>
  <c r="CO16" i="6"/>
  <c r="CP16" i="6"/>
  <c r="CQ16" i="6"/>
  <c r="CR16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CB17" i="6"/>
  <c r="CC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P17" i="6"/>
  <c r="CQ17" i="6"/>
  <c r="CR17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CC19" i="6"/>
  <c r="CD19" i="6"/>
  <c r="CE19" i="6"/>
  <c r="CF19" i="6"/>
  <c r="CG19" i="6"/>
  <c r="CH19" i="6"/>
  <c r="CI19" i="6"/>
  <c r="CJ19" i="6"/>
  <c r="CK19" i="6"/>
  <c r="CL19" i="6"/>
  <c r="CM19" i="6"/>
  <c r="CN19" i="6"/>
  <c r="CO19" i="6"/>
  <c r="CP19" i="6"/>
  <c r="CQ19" i="6"/>
  <c r="CR19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CM20" i="6"/>
  <c r="CN20" i="6"/>
  <c r="CO20" i="6"/>
  <c r="CP20" i="6"/>
  <c r="CQ20" i="6"/>
  <c r="CR20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CB21" i="6"/>
  <c r="CC21" i="6"/>
  <c r="CD21" i="6"/>
  <c r="CE21" i="6"/>
  <c r="CF21" i="6"/>
  <c r="CG21" i="6"/>
  <c r="CH21" i="6"/>
  <c r="CI21" i="6"/>
  <c r="CJ21" i="6"/>
  <c r="CK21" i="6"/>
  <c r="CL21" i="6"/>
  <c r="CM21" i="6"/>
  <c r="CN21" i="6"/>
  <c r="CO21" i="6"/>
  <c r="CP21" i="6"/>
  <c r="CQ21" i="6"/>
  <c r="CR21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C22" i="6"/>
  <c r="CD22" i="6"/>
  <c r="CE22" i="6"/>
  <c r="CF22" i="6"/>
  <c r="CG22" i="6"/>
  <c r="CH22" i="6"/>
  <c r="CI22" i="6"/>
  <c r="CJ22" i="6"/>
  <c r="CK22" i="6"/>
  <c r="CL22" i="6"/>
  <c r="CM22" i="6"/>
  <c r="CN22" i="6"/>
  <c r="CO22" i="6"/>
  <c r="CP22" i="6"/>
  <c r="CQ22" i="6"/>
  <c r="CR22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CC23" i="6"/>
  <c r="CD23" i="6"/>
  <c r="CE23" i="6"/>
  <c r="CF23" i="6"/>
  <c r="CG23" i="6"/>
  <c r="CH23" i="6"/>
  <c r="CI23" i="6"/>
  <c r="CJ23" i="6"/>
  <c r="CK23" i="6"/>
  <c r="CL23" i="6"/>
  <c r="CM23" i="6"/>
  <c r="CN23" i="6"/>
  <c r="CO23" i="6"/>
  <c r="CP23" i="6"/>
  <c r="CQ23" i="6"/>
  <c r="CR23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CC24" i="6"/>
  <c r="CD24" i="6"/>
  <c r="CE24" i="6"/>
  <c r="CF24" i="6"/>
  <c r="CG24" i="6"/>
  <c r="CH24" i="6"/>
  <c r="CI24" i="6"/>
  <c r="CJ24" i="6"/>
  <c r="CK24" i="6"/>
  <c r="CL24" i="6"/>
  <c r="CM24" i="6"/>
  <c r="CN24" i="6"/>
  <c r="CO24" i="6"/>
  <c r="CP24" i="6"/>
  <c r="CQ24" i="6"/>
  <c r="CR24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C25" i="6"/>
  <c r="CD25" i="6"/>
  <c r="CE25" i="6"/>
  <c r="CF25" i="6"/>
  <c r="CG25" i="6"/>
  <c r="CH25" i="6"/>
  <c r="CI25" i="6"/>
  <c r="CJ25" i="6"/>
  <c r="CK25" i="6"/>
  <c r="CL25" i="6"/>
  <c r="CM25" i="6"/>
  <c r="CN25" i="6"/>
  <c r="CO25" i="6"/>
  <c r="CP25" i="6"/>
  <c r="CQ25" i="6"/>
  <c r="CR25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B26" i="6"/>
  <c r="CC26" i="6"/>
  <c r="CD26" i="6"/>
  <c r="CE26" i="6"/>
  <c r="CF26" i="6"/>
  <c r="CG26" i="6"/>
  <c r="CH26" i="6"/>
  <c r="CI26" i="6"/>
  <c r="CJ26" i="6"/>
  <c r="CK26" i="6"/>
  <c r="CL26" i="6"/>
  <c r="CM26" i="6"/>
  <c r="CN26" i="6"/>
  <c r="CO26" i="6"/>
  <c r="CP26" i="6"/>
  <c r="CQ26" i="6"/>
  <c r="CR26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CH27" i="6"/>
  <c r="CI27" i="6"/>
  <c r="CJ27" i="6"/>
  <c r="CK27" i="6"/>
  <c r="CL27" i="6"/>
  <c r="CM27" i="6"/>
  <c r="CN27" i="6"/>
  <c r="CO27" i="6"/>
  <c r="CP27" i="6"/>
  <c r="CQ27" i="6"/>
  <c r="CR27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B28" i="6"/>
  <c r="CC28" i="6"/>
  <c r="CD28" i="6"/>
  <c r="CE28" i="6"/>
  <c r="CF28" i="6"/>
  <c r="CG28" i="6"/>
  <c r="CH28" i="6"/>
  <c r="CI28" i="6"/>
  <c r="CJ28" i="6"/>
  <c r="CK28" i="6"/>
  <c r="CL28" i="6"/>
  <c r="CM28" i="6"/>
  <c r="CN28" i="6"/>
  <c r="CO28" i="6"/>
  <c r="CP28" i="6"/>
  <c r="CQ28" i="6"/>
  <c r="CR28" i="6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tc={C3234702-EE6E-4CCE-83BC-E02871806DE7}</author>
    <author>tc={3B3D7FB9-B2FF-48C9-9552-8A56E7362424}</author>
  </authors>
  <commentList>
    <comment ref="AM23" authorId="0" shapeId="0" xr:uid="{C3234702-EE6E-4CCE-83BC-E02871806DE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non zero in R-recalibration: Consistant with toe!!!</t>
      </text>
    </comment>
    <comment ref="AV32" authorId="1" shapeId="0" xr:uid="{3B3D7FB9-B2FF-48C9-9552-8A56E7362424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regarding price per TOE in aviation!!!
Correct in R-recalibration</t>
      </text>
    </comment>
  </commentList>
</comments>
</file>

<file path=xl/sharedStrings.xml><?xml version="1.0" encoding="utf-8"?>
<sst xmlns="http://schemas.openxmlformats.org/spreadsheetml/2006/main" count="1394" uniqueCount="152">
  <si>
    <t>Products of agriculture, Hunting, Forestry, and Fishing</t>
  </si>
  <si>
    <t>Basic metals (Steel, Aluminum, Zinc)</t>
  </si>
  <si>
    <t>Chemical products (Nitric Acid, Urea, Chlorine,  other)</t>
  </si>
  <si>
    <t>Rubber and Plastic (Ethylene, Propylene,  other HVC)</t>
  </si>
  <si>
    <t>non-metallic mineral products (Glass, Ceramic)</t>
  </si>
  <si>
    <t>Paper and paperboard</t>
  </si>
  <si>
    <t>Food products and beverages</t>
  </si>
  <si>
    <t>Rest of economy</t>
  </si>
  <si>
    <t>Land transport</t>
  </si>
  <si>
    <t>Water transport (navigation)</t>
  </si>
  <si>
    <t>Air transport (aviation)</t>
  </si>
  <si>
    <t>Mining and production of coal products</t>
  </si>
  <si>
    <t>Crude oil</t>
  </si>
  <si>
    <t>Production and refining of petroleum products for energy use</t>
  </si>
  <si>
    <t>Production and refining of petroleum products for chemical use</t>
  </si>
  <si>
    <t>Production of natural gas</t>
  </si>
  <si>
    <t>Production of bio gas</t>
  </si>
  <si>
    <t>Production of biomass</t>
  </si>
  <si>
    <t>Production of biofuels</t>
  </si>
  <si>
    <t>Electricity production by solid fossil fuels</t>
  </si>
  <si>
    <t>Electricity production by gas</t>
  </si>
  <si>
    <t>Electricity production by petroleum</t>
  </si>
  <si>
    <t>Electricity production by hydro</t>
  </si>
  <si>
    <t>Electricity production by wind</t>
  </si>
  <si>
    <t>Electricity production by solar photovoltaic and solar thermal</t>
  </si>
  <si>
    <t>Electricity production by biomass and biofuels</t>
  </si>
  <si>
    <t>Electricity production by nuclear</t>
  </si>
  <si>
    <t>Heat</t>
  </si>
  <si>
    <t>Imports</t>
  </si>
  <si>
    <t>Taxes less subsidies</t>
  </si>
  <si>
    <t>Margins supplied</t>
  </si>
  <si>
    <t>Households</t>
  </si>
  <si>
    <t>Government</t>
  </si>
  <si>
    <t>Exports</t>
  </si>
  <si>
    <t>Stocks</t>
  </si>
  <si>
    <t>sagr</t>
  </si>
  <si>
    <t>smet</t>
  </si>
  <si>
    <t>schem</t>
  </si>
  <si>
    <t>spla</t>
  </si>
  <si>
    <t>sgla</t>
  </si>
  <si>
    <t>spap</t>
  </si>
  <si>
    <t>sfoo</t>
  </si>
  <si>
    <t>sres</t>
  </si>
  <si>
    <t>sroa</t>
  </si>
  <si>
    <t>swat</t>
  </si>
  <si>
    <t>sair</t>
  </si>
  <si>
    <t>scoa</t>
  </si>
  <si>
    <t>soil</t>
  </si>
  <si>
    <t>spen</t>
  </si>
  <si>
    <t>spch</t>
  </si>
  <si>
    <t>sgas</t>
  </si>
  <si>
    <t>sgasb</t>
  </si>
  <si>
    <t>sbiom</t>
  </si>
  <si>
    <t>sbiof</t>
  </si>
  <si>
    <t>sesf</t>
  </si>
  <si>
    <t>sega</t>
  </si>
  <si>
    <t>sepe</t>
  </si>
  <si>
    <t>sehy</t>
  </si>
  <si>
    <t>sewi</t>
  </si>
  <si>
    <t>seso</t>
  </si>
  <si>
    <t>sebi</t>
  </si>
  <si>
    <t>senu</t>
  </si>
  <si>
    <t>shea</t>
  </si>
  <si>
    <t/>
  </si>
  <si>
    <t>cres</t>
  </si>
  <si>
    <t>croa</t>
  </si>
  <si>
    <t>PRODUCTION</t>
  </si>
  <si>
    <t>MARGINS PAID</t>
  </si>
  <si>
    <t>INTERMEDIATE USE</t>
  </si>
  <si>
    <t>INVESTMENT</t>
  </si>
  <si>
    <t>SUPPLY</t>
  </si>
  <si>
    <t>USE</t>
  </si>
  <si>
    <t>Supply and use table in mln euro, NLD 2015</t>
  </si>
  <si>
    <t>Coal and coal products</t>
  </si>
  <si>
    <t>Gasoline and other fuels</t>
  </si>
  <si>
    <t>Petroleum products for chemical use</t>
  </si>
  <si>
    <t>Electricity</t>
  </si>
  <si>
    <t>Natural gas</t>
  </si>
  <si>
    <t>Manufactured gas</t>
  </si>
  <si>
    <t>Biogas</t>
  </si>
  <si>
    <t>Biomass</t>
  </si>
  <si>
    <t>Biofuel</t>
  </si>
  <si>
    <t>Waste</t>
  </si>
  <si>
    <t>Total</t>
  </si>
  <si>
    <t>Value added</t>
  </si>
  <si>
    <t>Taxes on sectors</t>
  </si>
  <si>
    <t>Wages</t>
  </si>
  <si>
    <t>Employer social contribution</t>
  </si>
  <si>
    <t>Labor</t>
  </si>
  <si>
    <t>Investment</t>
  </si>
  <si>
    <t>Depreciation ratio</t>
  </si>
  <si>
    <t>Capital stock</t>
  </si>
  <si>
    <t>Gross Operating Surplus</t>
  </si>
  <si>
    <t>Net Operating Surplus</t>
  </si>
  <si>
    <t>cagr</t>
  </si>
  <si>
    <t>cmet</t>
  </si>
  <si>
    <t>cchem</t>
  </si>
  <si>
    <t>cpla</t>
  </si>
  <si>
    <t>cgla</t>
  </si>
  <si>
    <t>cpap</t>
  </si>
  <si>
    <t>cfoo</t>
  </si>
  <si>
    <t>cwat</t>
  </si>
  <si>
    <t>cair</t>
  </si>
  <si>
    <t>ccoa</t>
  </si>
  <si>
    <t>coil</t>
  </si>
  <si>
    <t>cfue</t>
  </si>
  <si>
    <t>cpch</t>
  </si>
  <si>
    <t>cele</t>
  </si>
  <si>
    <t>cgas</t>
  </si>
  <si>
    <t>cmga</t>
  </si>
  <si>
    <t>cbiog</t>
  </si>
  <si>
    <t>cbiom</t>
  </si>
  <si>
    <t>cbiof</t>
  </si>
  <si>
    <t>chea</t>
  </si>
  <si>
    <t>cwas</t>
  </si>
  <si>
    <t>TOTAL</t>
  </si>
  <si>
    <t>DOMESTIC</t>
  </si>
  <si>
    <t>IMPORTED</t>
  </si>
  <si>
    <t>Final consumption expenditure by households</t>
  </si>
  <si>
    <t>Material related emissions</t>
  </si>
  <si>
    <t>Production related emissions</t>
  </si>
  <si>
    <t>Total emissions</t>
  </si>
  <si>
    <t>GHG emissions in Mton CO2-eq, NLD 2015</t>
  </si>
  <si>
    <t>CO2</t>
  </si>
  <si>
    <t>CH4</t>
  </si>
  <si>
    <t>N2O</t>
  </si>
  <si>
    <t>SF6</t>
  </si>
  <si>
    <t>HFC</t>
  </si>
  <si>
    <t>PFC</t>
  </si>
  <si>
    <t>Taxes on domestic products</t>
  </si>
  <si>
    <t>Taxes on imported products</t>
  </si>
  <si>
    <t>Total VAT</t>
  </si>
  <si>
    <t>Total subsidies</t>
  </si>
  <si>
    <t>Total other taxes</t>
  </si>
  <si>
    <t>Product taxes in mln euro, NLD 2015</t>
  </si>
  <si>
    <t>VAT</t>
  </si>
  <si>
    <t>Subsidies</t>
  </si>
  <si>
    <t>Other taxes</t>
  </si>
  <si>
    <t>Household income</t>
  </si>
  <si>
    <t>Household income in mln euro, NLD 2015</t>
  </si>
  <si>
    <t>Property income</t>
  </si>
  <si>
    <t>Social benefits</t>
  </si>
  <si>
    <t>Transfers</t>
  </si>
  <si>
    <t>Total household income before tax</t>
  </si>
  <si>
    <t>Other indicators</t>
  </si>
  <si>
    <t>Other indicators, NLD 2015</t>
  </si>
  <si>
    <t>Government debt in % of GDP</t>
  </si>
  <si>
    <t>Population</t>
  </si>
  <si>
    <t>Working age population 15-64yr</t>
  </si>
  <si>
    <t>Labour force</t>
  </si>
  <si>
    <t>Unemployment rate in % of active population</t>
  </si>
  <si>
    <t>Supply and use table in Mtoe, NLD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</si>
</sst>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777777"/>
      <name val="Calibri"/>
    </font>
    <font>
      <b/>
      <sz val="11"/>
      <color rgb="FF000000"/>
      <name val="Calibri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10" fontId="1" fillId="0" borderId="0" xfId="0" applyNumberFormat="1" applyFont="1"/>
    <xf numFmtId="164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164" fontId="0" fillId="0" borderId="0" xfId="0" applyNumberFormat="1"/>
    <xf numFmtId="0" fontId="3" fillId="2" borderId="0" xfId="0" applyFont="1" applyFill="1"/>
    <xf numFmtId="4" fontId="1" fillId="3" borderId="0" xfId="0" applyNumberFormat="1" applyFont="1" applyFill="1"/>
    <xf numFmtId="0" fontId="3" fillId="2" borderId="0" xfId="0" applyFont="1" applyFill="1" applyAlignment="1">
      <alignment wrapText="1"/>
    </xf>
    <xf numFmtId="0" fontId="1" fillId="4" borderId="0" xfId="0" applyNumberFormat="1" applyFont="1" applyFill="1"/>
    <xf numFmtId="164" fontId="1" fillId="4" borderId="0" xfId="0" applyNumberFormat="1" applyFont="1" applyFill="1"/>
    <xf numFmtId="0" fontId="0" fillId="0" borderId="0" xfId="0" applyNumberFormat="1"/>
    <xf numFmtId="0" fontId="0" fillId="5" borderId="0" xfId="0" applyNumberFormat="1" applyFill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16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ynès, F.G.D. (Frédéric)" id="{4F75F415-0AE8-40C5-82D8-3AD2D3227679}" userId="S::frederic.reynes@tno.nl::deb1e91a-3e09-4496-8a8d-54671de05f7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M23" dT="2022-03-30T08:17:17.30" personId="{4F75F415-0AE8-40C5-82D8-3AD2D3227679}" id="{C3234702-EE6E-4CCE-83BC-E02871806DE7}">
    <text>Add non zero in R-recalibration: Consistant with toe!!!</text>
  </threadedComment>
  <threadedComment ref="AV32" dT="2022-03-30T08:16:20.42" personId="{4F75F415-0AE8-40C5-82D8-3AD2D3227679}" id="{3B3D7FB9-B2FF-48C9-9552-8A56E7362424}">
    <text>Error regarding price per TOE in aviation!!!
Correct in R-recalibration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93"/>
  <sheetViews>
    <sheetView tabSelected="1" workbookViewId="0">
      <pane xSplit="4" ySplit="5" topLeftCell="BL6" activePane="bottomRight" state="frozen"/>
      <selection pane="topRight" activeCell="E1" sqref="E1"/>
      <selection pane="bottomLeft" activeCell="A6" sqref="A6"/>
      <selection pane="bottomRight" activeCell="BQ15" sqref="BQ15"/>
    </sheetView>
  </sheetViews>
  <sheetFormatPr defaultColWidth="11.5703125" defaultRowHeight="15" x14ac:dyDescent="0.25"/>
  <cols>
    <col min="2" max="2" width="23.7109375" customWidth="1"/>
    <col min="4" max="4" width="3.7109375" customWidth="1"/>
    <col min="5" max="97" width="15.7109375" customWidth="1"/>
  </cols>
  <sheetData>
    <row r="1" spans="1:97" x14ac:dyDescent="0.25">
      <c r="A1" s="18" t="s">
        <v>72</v>
      </c>
      <c r="B1" s="18"/>
      <c r="C1" s="18"/>
      <c r="E1" s="17" t="s">
        <v>70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 t="s">
        <v>71</v>
      </c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</row>
    <row r="2" spans="1:97" x14ac:dyDescent="0.25">
      <c r="E2" s="17" t="s">
        <v>66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H2" s="17" t="s">
        <v>67</v>
      </c>
      <c r="AI2" s="17"/>
      <c r="AL2" s="17" t="s">
        <v>68</v>
      </c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P2" s="17" t="s">
        <v>69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</row>
    <row r="3" spans="1:97" ht="90" x14ac:dyDescent="0.25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7</v>
      </c>
      <c r="AI3" s="3" t="s">
        <v>8</v>
      </c>
      <c r="AJ3" s="3" t="s">
        <v>29</v>
      </c>
      <c r="AK3" s="3" t="s">
        <v>30</v>
      </c>
      <c r="AL3" s="3" t="s">
        <v>0</v>
      </c>
      <c r="AM3" s="3" t="s">
        <v>1</v>
      </c>
      <c r="AN3" s="3" t="s">
        <v>2</v>
      </c>
      <c r="AO3" s="3" t="s">
        <v>3</v>
      </c>
      <c r="AP3" s="3" t="s">
        <v>4</v>
      </c>
      <c r="AQ3" s="3" t="s">
        <v>5</v>
      </c>
      <c r="AR3" s="3" t="s">
        <v>6</v>
      </c>
      <c r="AS3" s="3" t="s">
        <v>7</v>
      </c>
      <c r="AT3" s="3" t="s">
        <v>8</v>
      </c>
      <c r="AU3" s="3" t="s">
        <v>9</v>
      </c>
      <c r="AV3" s="3" t="s">
        <v>10</v>
      </c>
      <c r="AW3" s="3" t="s">
        <v>11</v>
      </c>
      <c r="AX3" s="3" t="s">
        <v>12</v>
      </c>
      <c r="AY3" s="3" t="s">
        <v>13</v>
      </c>
      <c r="AZ3" s="3" t="s">
        <v>14</v>
      </c>
      <c r="BA3" s="3" t="s">
        <v>15</v>
      </c>
      <c r="BB3" s="3" t="s">
        <v>16</v>
      </c>
      <c r="BC3" s="3" t="s">
        <v>17</v>
      </c>
      <c r="BD3" s="3" t="s">
        <v>18</v>
      </c>
      <c r="BE3" s="3" t="s">
        <v>19</v>
      </c>
      <c r="BF3" s="3" t="s">
        <v>20</v>
      </c>
      <c r="BG3" s="3" t="s">
        <v>21</v>
      </c>
      <c r="BH3" s="3" t="s">
        <v>22</v>
      </c>
      <c r="BI3" s="3" t="s">
        <v>23</v>
      </c>
      <c r="BJ3" s="3" t="s">
        <v>24</v>
      </c>
      <c r="BK3" s="3" t="s">
        <v>25</v>
      </c>
      <c r="BL3" s="3" t="s">
        <v>26</v>
      </c>
      <c r="BM3" s="3" t="s">
        <v>27</v>
      </c>
      <c r="BN3" s="3" t="s">
        <v>31</v>
      </c>
      <c r="BO3" s="3" t="s">
        <v>32</v>
      </c>
      <c r="BP3" s="3" t="s">
        <v>0</v>
      </c>
      <c r="BQ3" s="3" t="s">
        <v>1</v>
      </c>
      <c r="BR3" s="3" t="s">
        <v>2</v>
      </c>
      <c r="BS3" s="3" t="s">
        <v>3</v>
      </c>
      <c r="BT3" s="3" t="s">
        <v>4</v>
      </c>
      <c r="BU3" s="3" t="s">
        <v>5</v>
      </c>
      <c r="BV3" s="3" t="s">
        <v>6</v>
      </c>
      <c r="BW3" s="3" t="s">
        <v>7</v>
      </c>
      <c r="BX3" s="3" t="s">
        <v>8</v>
      </c>
      <c r="BY3" s="3" t="s">
        <v>9</v>
      </c>
      <c r="BZ3" s="3" t="s">
        <v>10</v>
      </c>
      <c r="CA3" s="3" t="s">
        <v>11</v>
      </c>
      <c r="CB3" s="3" t="s">
        <v>12</v>
      </c>
      <c r="CC3" s="3" t="s">
        <v>13</v>
      </c>
      <c r="CD3" s="3" t="s">
        <v>14</v>
      </c>
      <c r="CE3" s="3" t="s">
        <v>15</v>
      </c>
      <c r="CF3" s="3" t="s">
        <v>16</v>
      </c>
      <c r="CG3" s="3" t="s">
        <v>17</v>
      </c>
      <c r="CH3" s="3" t="s">
        <v>18</v>
      </c>
      <c r="CI3" s="3" t="s">
        <v>19</v>
      </c>
      <c r="CJ3" s="3" t="s">
        <v>20</v>
      </c>
      <c r="CK3" s="3" t="s">
        <v>21</v>
      </c>
      <c r="CL3" s="3" t="s">
        <v>22</v>
      </c>
      <c r="CM3" s="3" t="s">
        <v>23</v>
      </c>
      <c r="CN3" s="3" t="s">
        <v>24</v>
      </c>
      <c r="CO3" s="3" t="s">
        <v>25</v>
      </c>
      <c r="CP3" s="3" t="s">
        <v>26</v>
      </c>
      <c r="CQ3" s="3" t="s">
        <v>27</v>
      </c>
      <c r="CR3" s="3" t="s">
        <v>33</v>
      </c>
      <c r="CS3" s="3" t="s">
        <v>34</v>
      </c>
    </row>
    <row r="4" spans="1:97" x14ac:dyDescent="0.25"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 t="s">
        <v>48</v>
      </c>
      <c r="S4" s="3" t="s">
        <v>49</v>
      </c>
      <c r="T4" s="3" t="s">
        <v>50</v>
      </c>
      <c r="U4" s="3" t="s">
        <v>51</v>
      </c>
      <c r="V4" s="3" t="s">
        <v>52</v>
      </c>
      <c r="W4" s="3" t="s">
        <v>53</v>
      </c>
      <c r="X4" s="3" t="s">
        <v>54</v>
      </c>
      <c r="Y4" s="3" t="s">
        <v>55</v>
      </c>
      <c r="Z4" s="3" t="s">
        <v>56</v>
      </c>
      <c r="AA4" s="3" t="s">
        <v>57</v>
      </c>
      <c r="AB4" s="3" t="s">
        <v>58</v>
      </c>
      <c r="AC4" s="3" t="s">
        <v>59</v>
      </c>
      <c r="AD4" s="3" t="s">
        <v>60</v>
      </c>
      <c r="AE4" s="3" t="s">
        <v>61</v>
      </c>
      <c r="AF4" s="3" t="s">
        <v>62</v>
      </c>
      <c r="AG4" s="3" t="s">
        <v>63</v>
      </c>
      <c r="AH4" s="3" t="s">
        <v>64</v>
      </c>
      <c r="AI4" s="3" t="s">
        <v>65</v>
      </c>
      <c r="AJ4" s="3" t="s">
        <v>63</v>
      </c>
      <c r="AK4" s="3" t="s">
        <v>63</v>
      </c>
      <c r="AL4" s="3" t="s">
        <v>35</v>
      </c>
      <c r="AM4" s="3" t="s">
        <v>36</v>
      </c>
      <c r="AN4" s="3" t="s">
        <v>37</v>
      </c>
      <c r="AO4" s="3" t="s">
        <v>38</v>
      </c>
      <c r="AP4" s="3" t="s">
        <v>39</v>
      </c>
      <c r="AQ4" s="3" t="s">
        <v>40</v>
      </c>
      <c r="AR4" s="3" t="s">
        <v>41</v>
      </c>
      <c r="AS4" s="3" t="s">
        <v>42</v>
      </c>
      <c r="AT4" s="3" t="s">
        <v>43</v>
      </c>
      <c r="AU4" s="3" t="s">
        <v>44</v>
      </c>
      <c r="AV4" s="3" t="s">
        <v>45</v>
      </c>
      <c r="AW4" s="3" t="s">
        <v>46</v>
      </c>
      <c r="AX4" s="3" t="s">
        <v>47</v>
      </c>
      <c r="AY4" s="3" t="s">
        <v>48</v>
      </c>
      <c r="AZ4" s="3" t="s">
        <v>49</v>
      </c>
      <c r="BA4" s="3" t="s">
        <v>50</v>
      </c>
      <c r="BB4" s="3" t="s">
        <v>51</v>
      </c>
      <c r="BC4" s="3" t="s">
        <v>52</v>
      </c>
      <c r="BD4" s="3" t="s">
        <v>53</v>
      </c>
      <c r="BE4" s="3" t="s">
        <v>54</v>
      </c>
      <c r="BF4" s="3" t="s">
        <v>55</v>
      </c>
      <c r="BG4" s="3" t="s">
        <v>56</v>
      </c>
      <c r="BH4" s="3" t="s">
        <v>57</v>
      </c>
      <c r="BI4" s="3" t="s">
        <v>58</v>
      </c>
      <c r="BJ4" s="3" t="s">
        <v>59</v>
      </c>
      <c r="BK4" s="3" t="s">
        <v>60</v>
      </c>
      <c r="BL4" s="3" t="s">
        <v>61</v>
      </c>
      <c r="BM4" s="3" t="s">
        <v>62</v>
      </c>
      <c r="BN4" s="3" t="s">
        <v>63</v>
      </c>
      <c r="BO4" s="3" t="s">
        <v>63</v>
      </c>
      <c r="BP4" s="3" t="s">
        <v>35</v>
      </c>
      <c r="BQ4" s="3" t="s">
        <v>36</v>
      </c>
      <c r="BR4" s="3" t="s">
        <v>37</v>
      </c>
      <c r="BS4" s="3" t="s">
        <v>38</v>
      </c>
      <c r="BT4" s="3" t="s">
        <v>39</v>
      </c>
      <c r="BU4" s="3" t="s">
        <v>40</v>
      </c>
      <c r="BV4" s="3" t="s">
        <v>41</v>
      </c>
      <c r="BW4" s="3" t="s">
        <v>42</v>
      </c>
      <c r="BX4" s="3" t="s">
        <v>43</v>
      </c>
      <c r="BY4" s="3" t="s">
        <v>44</v>
      </c>
      <c r="BZ4" s="3" t="s">
        <v>45</v>
      </c>
      <c r="CA4" s="3" t="s">
        <v>46</v>
      </c>
      <c r="CB4" s="3" t="s">
        <v>47</v>
      </c>
      <c r="CC4" s="3" t="s">
        <v>48</v>
      </c>
      <c r="CD4" s="3" t="s">
        <v>49</v>
      </c>
      <c r="CE4" s="3" t="s">
        <v>50</v>
      </c>
      <c r="CF4" s="3" t="s">
        <v>51</v>
      </c>
      <c r="CG4" s="3" t="s">
        <v>52</v>
      </c>
      <c r="CH4" s="3" t="s">
        <v>53</v>
      </c>
      <c r="CI4" s="3" t="s">
        <v>54</v>
      </c>
      <c r="CJ4" s="3" t="s">
        <v>55</v>
      </c>
      <c r="CK4" s="3" t="s">
        <v>56</v>
      </c>
      <c r="CL4" s="3" t="s">
        <v>57</v>
      </c>
      <c r="CM4" s="3" t="s">
        <v>58</v>
      </c>
      <c r="CN4" s="3" t="s">
        <v>59</v>
      </c>
      <c r="CO4" s="3" t="s">
        <v>60</v>
      </c>
      <c r="CP4" s="3" t="s">
        <v>61</v>
      </c>
      <c r="CQ4" s="3" t="s">
        <v>62</v>
      </c>
      <c r="CR4" s="3" t="s">
        <v>63</v>
      </c>
      <c r="CS4" s="3" t="s">
        <v>63</v>
      </c>
    </row>
    <row r="5" spans="1:97" x14ac:dyDescent="0.25"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21</v>
      </c>
      <c r="Z5" s="2">
        <v>22</v>
      </c>
      <c r="AA5" s="2">
        <v>23</v>
      </c>
      <c r="AB5" s="2">
        <v>24</v>
      </c>
      <c r="AC5" s="2">
        <v>25</v>
      </c>
      <c r="AD5" s="2">
        <v>26</v>
      </c>
      <c r="AE5" s="2">
        <v>27</v>
      </c>
      <c r="AF5" s="2">
        <v>28</v>
      </c>
      <c r="AG5" s="2">
        <v>29</v>
      </c>
      <c r="AH5" s="2">
        <v>30</v>
      </c>
      <c r="AI5" s="2">
        <v>31</v>
      </c>
      <c r="AJ5" s="2">
        <v>32</v>
      </c>
      <c r="AK5" s="2">
        <v>33</v>
      </c>
      <c r="AL5" s="2">
        <v>34</v>
      </c>
      <c r="AM5" s="2">
        <v>35</v>
      </c>
      <c r="AN5" s="2">
        <v>36</v>
      </c>
      <c r="AO5" s="2">
        <v>37</v>
      </c>
      <c r="AP5" s="2">
        <v>38</v>
      </c>
      <c r="AQ5" s="2">
        <v>39</v>
      </c>
      <c r="AR5" s="2">
        <v>40</v>
      </c>
      <c r="AS5" s="2">
        <v>41</v>
      </c>
      <c r="AT5" s="2">
        <v>42</v>
      </c>
      <c r="AU5" s="2">
        <v>43</v>
      </c>
      <c r="AV5" s="2">
        <v>44</v>
      </c>
      <c r="AW5" s="2">
        <v>45</v>
      </c>
      <c r="AX5" s="2">
        <v>46</v>
      </c>
      <c r="AY5" s="2">
        <v>47</v>
      </c>
      <c r="AZ5" s="2">
        <v>48</v>
      </c>
      <c r="BA5" s="2">
        <v>49</v>
      </c>
      <c r="BB5" s="2">
        <v>50</v>
      </c>
      <c r="BC5" s="2">
        <v>51</v>
      </c>
      <c r="BD5" s="2">
        <v>52</v>
      </c>
      <c r="BE5" s="2">
        <v>53</v>
      </c>
      <c r="BF5" s="2">
        <v>54</v>
      </c>
      <c r="BG5" s="2">
        <v>55</v>
      </c>
      <c r="BH5" s="2">
        <v>56</v>
      </c>
      <c r="BI5" s="2">
        <v>57</v>
      </c>
      <c r="BJ5" s="2">
        <v>58</v>
      </c>
      <c r="BK5" s="2">
        <v>59</v>
      </c>
      <c r="BL5" s="2">
        <v>60</v>
      </c>
      <c r="BM5" s="2">
        <v>61</v>
      </c>
      <c r="BN5" s="2">
        <v>62</v>
      </c>
      <c r="BO5" s="2">
        <v>63</v>
      </c>
      <c r="BP5" s="2">
        <v>64</v>
      </c>
      <c r="BQ5" s="2">
        <v>65</v>
      </c>
      <c r="BR5" s="2">
        <v>66</v>
      </c>
      <c r="BS5" s="2">
        <v>67</v>
      </c>
      <c r="BT5" s="2">
        <v>68</v>
      </c>
      <c r="BU5" s="2">
        <v>69</v>
      </c>
      <c r="BV5" s="2">
        <v>70</v>
      </c>
      <c r="BW5" s="2">
        <v>71</v>
      </c>
      <c r="BX5" s="2">
        <v>72</v>
      </c>
      <c r="BY5" s="2">
        <v>73</v>
      </c>
      <c r="BZ5" s="2">
        <v>74</v>
      </c>
      <c r="CA5" s="2">
        <v>75</v>
      </c>
      <c r="CB5" s="2">
        <v>76</v>
      </c>
      <c r="CC5" s="2">
        <v>77</v>
      </c>
      <c r="CD5" s="2">
        <v>78</v>
      </c>
      <c r="CE5" s="2">
        <v>79</v>
      </c>
      <c r="CF5" s="2">
        <v>80</v>
      </c>
      <c r="CG5" s="2">
        <v>81</v>
      </c>
      <c r="CH5" s="2">
        <v>82</v>
      </c>
      <c r="CI5" s="2">
        <v>83</v>
      </c>
      <c r="CJ5" s="2">
        <v>84</v>
      </c>
      <c r="CK5" s="2">
        <v>85</v>
      </c>
      <c r="CL5" s="2">
        <v>86</v>
      </c>
      <c r="CM5" s="2">
        <v>87</v>
      </c>
      <c r="CN5" s="2">
        <v>88</v>
      </c>
      <c r="CO5" s="2">
        <v>89</v>
      </c>
      <c r="CP5" s="2">
        <v>90</v>
      </c>
      <c r="CQ5" s="2">
        <v>91</v>
      </c>
      <c r="CR5" s="2">
        <v>92</v>
      </c>
      <c r="CS5" s="2">
        <v>93</v>
      </c>
    </row>
    <row r="6" spans="1:97" x14ac:dyDescent="0.25">
      <c r="A6" s="17" t="s">
        <v>115</v>
      </c>
      <c r="B6" s="4" t="s">
        <v>0</v>
      </c>
      <c r="C6" s="4" t="s">
        <v>94</v>
      </c>
      <c r="D6" s="2">
        <v>1</v>
      </c>
      <c r="E6" s="1">
        <v>27141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59</v>
      </c>
      <c r="L6" s="1">
        <v>97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19866.714441190499</v>
      </c>
      <c r="AH6" s="1">
        <v>8664.8464783982308</v>
      </c>
      <c r="AI6" s="1">
        <v>975.15352160177304</v>
      </c>
      <c r="AJ6" s="1">
        <v>770</v>
      </c>
      <c r="AK6" s="1">
        <v>0</v>
      </c>
      <c r="AL6" s="1">
        <v>5512.2957822558301</v>
      </c>
      <c r="AM6" s="1">
        <v>0</v>
      </c>
      <c r="AN6" s="1">
        <v>6.7030198735934601</v>
      </c>
      <c r="AO6" s="1">
        <v>68</v>
      </c>
      <c r="AP6" s="1">
        <v>0</v>
      </c>
      <c r="AQ6" s="1">
        <v>6</v>
      </c>
      <c r="AR6" s="1">
        <v>18522</v>
      </c>
      <c r="AS6" s="1">
        <v>1888.8901507708899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2.0929288403255399</v>
      </c>
      <c r="BA6" s="1">
        <v>0</v>
      </c>
      <c r="BB6" s="1">
        <v>0</v>
      </c>
      <c r="BC6" s="1">
        <v>28.672156101282901</v>
      </c>
      <c r="BD6" s="1">
        <v>0.20405128608099499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6580</v>
      </c>
      <c r="BO6" s="1">
        <v>0</v>
      </c>
      <c r="BP6" s="1">
        <v>364.96406173249198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3.5938267505178097E-2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24703.491620773701</v>
      </c>
      <c r="CS6" s="1">
        <v>-109.63526871114701</v>
      </c>
    </row>
    <row r="7" spans="1:97" x14ac:dyDescent="0.25">
      <c r="A7" s="17"/>
      <c r="B7" s="4" t="s">
        <v>1</v>
      </c>
      <c r="C7" s="4" t="s">
        <v>95</v>
      </c>
      <c r="D7" s="2">
        <v>2</v>
      </c>
      <c r="E7" s="1">
        <v>0</v>
      </c>
      <c r="F7" s="1">
        <v>5680.2036831296</v>
      </c>
      <c r="G7" s="1">
        <v>74</v>
      </c>
      <c r="H7" s="1">
        <v>6</v>
      </c>
      <c r="I7" s="1">
        <v>0</v>
      </c>
      <c r="J7" s="1">
        <v>0</v>
      </c>
      <c r="K7" s="1">
        <v>16</v>
      </c>
      <c r="L7" s="1">
        <v>1194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13433</v>
      </c>
      <c r="AH7" s="1">
        <v>2738.7746078505602</v>
      </c>
      <c r="AI7" s="1">
        <v>308.22539214943998</v>
      </c>
      <c r="AJ7" s="1">
        <v>65</v>
      </c>
      <c r="AK7" s="1">
        <v>0</v>
      </c>
      <c r="AL7" s="1">
        <v>6</v>
      </c>
      <c r="AM7" s="1">
        <v>1559.2001684484901</v>
      </c>
      <c r="AN7" s="1">
        <v>134.80517745782399</v>
      </c>
      <c r="AO7" s="1">
        <v>78</v>
      </c>
      <c r="AP7" s="1">
        <v>91</v>
      </c>
      <c r="AQ7" s="1">
        <v>4</v>
      </c>
      <c r="AR7" s="1">
        <v>0</v>
      </c>
      <c r="AS7" s="1">
        <v>9070.0257442494003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42.091124455435903</v>
      </c>
      <c r="BA7" s="1">
        <v>64.428495258905102</v>
      </c>
      <c r="BB7" s="1">
        <v>0</v>
      </c>
      <c r="BC7" s="1">
        <v>2.97425575059752</v>
      </c>
      <c r="BD7" s="1">
        <v>4.1036980867400104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12941</v>
      </c>
      <c r="CS7" s="1">
        <v>-482.42498057779801</v>
      </c>
    </row>
    <row r="8" spans="1:97" x14ac:dyDescent="0.25">
      <c r="A8" s="17"/>
      <c r="B8" s="4" t="s">
        <v>2</v>
      </c>
      <c r="C8" s="4" t="s">
        <v>96</v>
      </c>
      <c r="D8" s="2">
        <v>3</v>
      </c>
      <c r="E8" s="1">
        <v>1</v>
      </c>
      <c r="F8" s="1">
        <v>45</v>
      </c>
      <c r="G8" s="1">
        <v>27202.397373164698</v>
      </c>
      <c r="H8" s="1">
        <v>145</v>
      </c>
      <c r="I8" s="1">
        <v>18</v>
      </c>
      <c r="J8" s="1">
        <v>2</v>
      </c>
      <c r="K8" s="1">
        <v>242</v>
      </c>
      <c r="L8" s="1">
        <v>1305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608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22860.831797557101</v>
      </c>
      <c r="AH8" s="1">
        <v>6319.9203492034203</v>
      </c>
      <c r="AI8" s="1">
        <v>711.25236899842798</v>
      </c>
      <c r="AJ8" s="1">
        <v>973.698069806852</v>
      </c>
      <c r="AK8" s="1">
        <v>0</v>
      </c>
      <c r="AL8" s="1">
        <v>802.51344554370098</v>
      </c>
      <c r="AM8" s="1">
        <v>26.977815523802899</v>
      </c>
      <c r="AN8" s="1">
        <v>12031.502667376601</v>
      </c>
      <c r="AO8" s="1">
        <v>2737.3353154553702</v>
      </c>
      <c r="AP8" s="1">
        <v>110.399939948723</v>
      </c>
      <c r="AQ8" s="1">
        <v>540.13853582213699</v>
      </c>
      <c r="AR8" s="1">
        <v>597.48023195975998</v>
      </c>
      <c r="AS8" s="1">
        <v>5009.0169889844401</v>
      </c>
      <c r="AT8" s="1">
        <v>1.90753920465069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3756.6767516544401</v>
      </c>
      <c r="BA8" s="1">
        <v>1.11476389930134</v>
      </c>
      <c r="BB8" s="1">
        <v>0</v>
      </c>
      <c r="BC8" s="1">
        <v>8.9133873241463704</v>
      </c>
      <c r="BD8" s="1">
        <v>366.25933371267001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4830.2496679224496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39306.097597374501</v>
      </c>
      <c r="CS8" s="1">
        <v>-9692.4840229762704</v>
      </c>
    </row>
    <row r="9" spans="1:97" x14ac:dyDescent="0.25">
      <c r="A9" s="17"/>
      <c r="B9" s="4" t="s">
        <v>3</v>
      </c>
      <c r="C9" s="4" t="s">
        <v>97</v>
      </c>
      <c r="D9" s="2">
        <v>4</v>
      </c>
      <c r="E9" s="1">
        <v>0</v>
      </c>
      <c r="F9" s="1">
        <v>10</v>
      </c>
      <c r="G9" s="1">
        <v>410</v>
      </c>
      <c r="H9" s="1">
        <v>7447</v>
      </c>
      <c r="I9" s="1">
        <v>0</v>
      </c>
      <c r="J9" s="1">
        <v>70</v>
      </c>
      <c r="K9" s="1">
        <v>0</v>
      </c>
      <c r="L9" s="1">
        <v>478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9919</v>
      </c>
      <c r="AH9" s="1">
        <v>2312.7230278961301</v>
      </c>
      <c r="AI9" s="1">
        <v>260.27697210387601</v>
      </c>
      <c r="AJ9" s="1">
        <v>496</v>
      </c>
      <c r="AK9" s="1">
        <v>0</v>
      </c>
      <c r="AL9" s="1">
        <v>189</v>
      </c>
      <c r="AM9" s="1">
        <v>35.531773688242097</v>
      </c>
      <c r="AN9" s="1">
        <v>175.02329669938501</v>
      </c>
      <c r="AO9" s="1">
        <v>870</v>
      </c>
      <c r="AP9" s="1">
        <v>272</v>
      </c>
      <c r="AQ9" s="1">
        <v>151</v>
      </c>
      <c r="AR9" s="1">
        <v>881</v>
      </c>
      <c r="AS9" s="1">
        <v>6783.9778831654503</v>
      </c>
      <c r="AT9" s="1">
        <v>341</v>
      </c>
      <c r="AU9" s="1">
        <v>19</v>
      </c>
      <c r="AV9" s="1">
        <v>4</v>
      </c>
      <c r="AW9" s="1">
        <v>0.35342534522561603</v>
      </c>
      <c r="AX9" s="1">
        <v>5.2236800270315298</v>
      </c>
      <c r="AY9" s="1">
        <v>17.605453193932899</v>
      </c>
      <c r="AZ9" s="1">
        <v>54.648697497389101</v>
      </c>
      <c r="BA9" s="1">
        <v>29.525482962687601</v>
      </c>
      <c r="BB9" s="1">
        <v>0.18775793737163299</v>
      </c>
      <c r="BC9" s="1">
        <v>29.4839265711406</v>
      </c>
      <c r="BD9" s="1">
        <v>5.3280058032259801</v>
      </c>
      <c r="BE9" s="1">
        <v>4.3842563355540696</v>
      </c>
      <c r="BF9" s="1">
        <v>7.2753329333660597</v>
      </c>
      <c r="BG9" s="1">
        <v>8.3638041204660604E-2</v>
      </c>
      <c r="BH9" s="1">
        <v>1.0318029288879199E-2</v>
      </c>
      <c r="BI9" s="1">
        <v>0.70890725055106596</v>
      </c>
      <c r="BJ9" s="1">
        <v>1.3837628038905799E-3</v>
      </c>
      <c r="BK9" s="1">
        <v>0.29062513885977698</v>
      </c>
      <c r="BL9" s="1">
        <v>0.45389491081255801</v>
      </c>
      <c r="BM9" s="1">
        <v>1.9022607064766499</v>
      </c>
      <c r="BN9" s="1">
        <v>1754</v>
      </c>
      <c r="BO9" s="1">
        <v>0</v>
      </c>
      <c r="BP9" s="1">
        <v>71.505327529179496</v>
      </c>
      <c r="BQ9" s="1">
        <v>25.532581117400301</v>
      </c>
      <c r="BR9" s="1">
        <v>3.5335706161218701</v>
      </c>
      <c r="BS9" s="1">
        <v>18.219115487653301</v>
      </c>
      <c r="BT9" s="1">
        <v>68.388582267205805</v>
      </c>
      <c r="BU9" s="1">
        <v>11.7260592379748</v>
      </c>
      <c r="BV9" s="1">
        <v>4.70813281717008</v>
      </c>
      <c r="BW9" s="1">
        <v>8.6790108426001495</v>
      </c>
      <c r="BX9" s="1">
        <v>0.50282946281153496</v>
      </c>
      <c r="BY9" s="1">
        <v>0.84403554616487098</v>
      </c>
      <c r="BZ9" s="1">
        <v>19.035428021661499</v>
      </c>
      <c r="CA9" s="1">
        <v>2.6962010789802E-2</v>
      </c>
      <c r="CB9" s="1">
        <v>3.7046422183883098E-3</v>
      </c>
      <c r="CC9" s="1">
        <v>1.21189065004526</v>
      </c>
      <c r="CD9" s="1">
        <v>64.517870764407505</v>
      </c>
      <c r="CE9" s="1">
        <v>27.334081406020001</v>
      </c>
      <c r="CF9" s="1">
        <v>3.1622493609076399</v>
      </c>
      <c r="CG9" s="1">
        <v>1.7267159674633401</v>
      </c>
      <c r="CH9" s="1">
        <v>34.9302755330067</v>
      </c>
      <c r="CI9" s="1">
        <v>12.347832886149</v>
      </c>
      <c r="CJ9" s="1">
        <v>4.69734503819903</v>
      </c>
      <c r="CK9" s="1">
        <v>4.67055424764769</v>
      </c>
      <c r="CL9" s="1">
        <v>0.38734606463432802</v>
      </c>
      <c r="CM9" s="1">
        <v>0.82852664758294503</v>
      </c>
      <c r="CN9" s="1">
        <v>0.24038222523913999</v>
      </c>
      <c r="CO9" s="1">
        <v>2.7461647942132902E-2</v>
      </c>
      <c r="CP9" s="1">
        <v>3.70035961790568E-3</v>
      </c>
      <c r="CQ9" s="1">
        <v>1.20842760186946</v>
      </c>
      <c r="CR9" s="1">
        <v>9261</v>
      </c>
      <c r="CS9" s="1">
        <v>119.000000000317</v>
      </c>
    </row>
    <row r="10" spans="1:97" x14ac:dyDescent="0.25">
      <c r="A10" s="17"/>
      <c r="B10" s="4" t="s">
        <v>4</v>
      </c>
      <c r="C10" s="4" t="s">
        <v>98</v>
      </c>
      <c r="D10" s="2">
        <v>5</v>
      </c>
      <c r="E10" s="1">
        <v>0</v>
      </c>
      <c r="F10" s="1">
        <v>30</v>
      </c>
      <c r="G10" s="1">
        <v>0</v>
      </c>
      <c r="H10" s="1">
        <v>13</v>
      </c>
      <c r="I10" s="1">
        <v>4655</v>
      </c>
      <c r="J10" s="1">
        <v>0</v>
      </c>
      <c r="K10" s="1">
        <v>0</v>
      </c>
      <c r="L10" s="1">
        <v>451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3578</v>
      </c>
      <c r="AH10" s="1">
        <v>3109.0979220725599</v>
      </c>
      <c r="AI10" s="1">
        <v>349.90207792744098</v>
      </c>
      <c r="AJ10" s="1">
        <v>323</v>
      </c>
      <c r="AK10" s="1">
        <v>0</v>
      </c>
      <c r="AL10" s="1">
        <v>63</v>
      </c>
      <c r="AM10" s="1">
        <v>46.095273973935697</v>
      </c>
      <c r="AN10" s="1">
        <v>17.129939676961101</v>
      </c>
      <c r="AO10" s="1">
        <v>35</v>
      </c>
      <c r="AP10" s="1">
        <v>948</v>
      </c>
      <c r="AQ10" s="1">
        <v>0</v>
      </c>
      <c r="AR10" s="1">
        <v>350</v>
      </c>
      <c r="AS10" s="1">
        <v>7237.2121268315304</v>
      </c>
      <c r="AT10" s="1">
        <v>2</v>
      </c>
      <c r="AU10" s="1">
        <v>0</v>
      </c>
      <c r="AV10" s="1">
        <v>0</v>
      </c>
      <c r="AW10" s="1">
        <v>0</v>
      </c>
      <c r="AX10" s="1">
        <v>1.11936000579247</v>
      </c>
      <c r="AY10" s="1">
        <v>0</v>
      </c>
      <c r="AZ10" s="1">
        <v>5.3485959252763804</v>
      </c>
      <c r="BA10" s="1">
        <v>7.9081835667974598</v>
      </c>
      <c r="BB10" s="1">
        <v>0.117348710857271</v>
      </c>
      <c r="BC10" s="1">
        <v>3.1035712180148001</v>
      </c>
      <c r="BD10" s="1">
        <v>0.52146439776254305</v>
      </c>
      <c r="BE10" s="1">
        <v>2.7401602097212998</v>
      </c>
      <c r="BF10" s="1">
        <v>4.5470830833537796</v>
      </c>
      <c r="BG10" s="1">
        <v>5.22737757529129E-2</v>
      </c>
      <c r="BH10" s="1">
        <v>6.4487683055494804E-3</v>
      </c>
      <c r="BI10" s="1">
        <v>0.44306703159441602</v>
      </c>
      <c r="BJ10" s="1">
        <v>8.6485175243161401E-4</v>
      </c>
      <c r="BK10" s="1">
        <v>0.18164071178736099</v>
      </c>
      <c r="BL10" s="1">
        <v>0.28368431925784898</v>
      </c>
      <c r="BM10" s="1">
        <v>1.1889129415479001</v>
      </c>
      <c r="BN10" s="1">
        <v>1086</v>
      </c>
      <c r="BO10" s="1">
        <v>0</v>
      </c>
      <c r="BP10" s="1">
        <v>0.74698577588123205</v>
      </c>
      <c r="BQ10" s="1">
        <v>0.71705282668739001</v>
      </c>
      <c r="BR10" s="1">
        <v>0.42271199632722001</v>
      </c>
      <c r="BS10" s="1">
        <v>149.28825279421801</v>
      </c>
      <c r="BT10" s="1">
        <v>1.6837242336109399</v>
      </c>
      <c r="BU10" s="1">
        <v>2.8568191976776399E-2</v>
      </c>
      <c r="BV10" s="1">
        <v>1.51905073510169</v>
      </c>
      <c r="BW10" s="1">
        <v>3.9703838415626702</v>
      </c>
      <c r="BX10" s="1">
        <v>3.9355000378551698E-2</v>
      </c>
      <c r="BY10" s="1">
        <v>1.8207668195662601</v>
      </c>
      <c r="BZ10" s="1">
        <v>3.4021248747877597E-2</v>
      </c>
      <c r="CA10" s="1">
        <v>0.28799275535469498</v>
      </c>
      <c r="CB10" s="1">
        <v>0.120963521028364</v>
      </c>
      <c r="CC10" s="1">
        <v>0.789613893836006</v>
      </c>
      <c r="CD10" s="1">
        <v>0.67399078385438205</v>
      </c>
      <c r="CE10" s="1">
        <v>0.76764586576531302</v>
      </c>
      <c r="CF10" s="1">
        <v>0.37829178625579701</v>
      </c>
      <c r="CG10" s="1">
        <v>14.148788399149799</v>
      </c>
      <c r="CH10" s="1">
        <v>0.85998202407294599</v>
      </c>
      <c r="CI10" s="1">
        <v>3.0083018790000599E-2</v>
      </c>
      <c r="CJ10" s="1">
        <v>1.5155701231027401</v>
      </c>
      <c r="CK10" s="1">
        <v>2.1366367034571798</v>
      </c>
      <c r="CL10" s="1">
        <v>3.03164505020822E-2</v>
      </c>
      <c r="CM10" s="1">
        <v>1.78731077843826</v>
      </c>
      <c r="CN10" s="1">
        <v>4.2962540532961898E-4</v>
      </c>
      <c r="CO10" s="1">
        <v>0.29332959322258001</v>
      </c>
      <c r="CP10" s="1">
        <v>0.120823686085339</v>
      </c>
      <c r="CQ10" s="1">
        <v>0.78735752610634901</v>
      </c>
      <c r="CR10" s="1">
        <v>2498</v>
      </c>
      <c r="CS10" s="1">
        <v>14.000000001516099</v>
      </c>
    </row>
    <row r="11" spans="1:97" x14ac:dyDescent="0.25">
      <c r="A11" s="17"/>
      <c r="B11" s="4" t="s">
        <v>5</v>
      </c>
      <c r="C11" s="4" t="s">
        <v>99</v>
      </c>
      <c r="D11" s="2">
        <v>6</v>
      </c>
      <c r="E11" s="1">
        <v>0</v>
      </c>
      <c r="F11" s="1">
        <v>19</v>
      </c>
      <c r="G11" s="1">
        <v>54</v>
      </c>
      <c r="H11" s="1">
        <v>36</v>
      </c>
      <c r="I11" s="1">
        <v>0</v>
      </c>
      <c r="J11" s="1">
        <v>6202</v>
      </c>
      <c r="K11" s="1">
        <v>0</v>
      </c>
      <c r="L11" s="1">
        <v>467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5611</v>
      </c>
      <c r="AH11" s="1">
        <v>2361.2605496630899</v>
      </c>
      <c r="AI11" s="1">
        <v>265.73945033691501</v>
      </c>
      <c r="AJ11" s="1">
        <v>396</v>
      </c>
      <c r="AK11" s="1">
        <v>0</v>
      </c>
      <c r="AL11" s="1">
        <v>27</v>
      </c>
      <c r="AM11" s="1">
        <v>30.730182649290501</v>
      </c>
      <c r="AN11" s="1">
        <v>67.030198735934604</v>
      </c>
      <c r="AO11" s="1">
        <v>98</v>
      </c>
      <c r="AP11" s="1">
        <v>37</v>
      </c>
      <c r="AQ11" s="1">
        <v>2338</v>
      </c>
      <c r="AR11" s="1">
        <v>1320</v>
      </c>
      <c r="AS11" s="1">
        <v>3849.9658795209898</v>
      </c>
      <c r="AT11" s="1">
        <v>54</v>
      </c>
      <c r="AU11" s="1">
        <v>14</v>
      </c>
      <c r="AV11" s="1">
        <v>6</v>
      </c>
      <c r="AW11" s="1">
        <v>3.9269482802846201E-2</v>
      </c>
      <c r="AX11" s="1">
        <v>2.4874666795388198</v>
      </c>
      <c r="AY11" s="1">
        <v>1.9561614659925399</v>
      </c>
      <c r="AZ11" s="1">
        <v>20.929288403255399</v>
      </c>
      <c r="BA11" s="1">
        <v>14.615403159098999</v>
      </c>
      <c r="BB11" s="1">
        <v>8.8011533142953194E-2</v>
      </c>
      <c r="BC11" s="1">
        <v>1.03452373933827</v>
      </c>
      <c r="BD11" s="1">
        <v>2.0405128608099501</v>
      </c>
      <c r="BE11" s="1">
        <v>2.0551201572909701</v>
      </c>
      <c r="BF11" s="1">
        <v>3.4103123125153401</v>
      </c>
      <c r="BG11" s="1">
        <v>3.9205331814684601E-2</v>
      </c>
      <c r="BH11" s="1">
        <v>4.8365762291621098E-3</v>
      </c>
      <c r="BI11" s="1">
        <v>0.332300273695812</v>
      </c>
      <c r="BJ11" s="1">
        <v>6.4863881432371002E-4</v>
      </c>
      <c r="BK11" s="1">
        <v>0.136230533840521</v>
      </c>
      <c r="BL11" s="1">
        <v>0.21276323944338699</v>
      </c>
      <c r="BM11" s="1">
        <v>0.89168470616092699</v>
      </c>
      <c r="BN11" s="1">
        <v>1788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5722</v>
      </c>
      <c r="CS11" s="1">
        <v>9.9999999999997708</v>
      </c>
    </row>
    <row r="12" spans="1:97" x14ac:dyDescent="0.25">
      <c r="A12" s="17"/>
      <c r="B12" s="4" t="s">
        <v>6</v>
      </c>
      <c r="C12" s="4" t="s">
        <v>100</v>
      </c>
      <c r="D12" s="2">
        <v>7</v>
      </c>
      <c r="E12" s="1">
        <v>329</v>
      </c>
      <c r="F12" s="1">
        <v>0</v>
      </c>
      <c r="G12" s="1">
        <v>105</v>
      </c>
      <c r="H12" s="1">
        <v>0</v>
      </c>
      <c r="I12" s="1">
        <v>0</v>
      </c>
      <c r="J12" s="1">
        <v>0</v>
      </c>
      <c r="K12" s="1">
        <v>63777</v>
      </c>
      <c r="L12" s="1">
        <v>1540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33613</v>
      </c>
      <c r="AH12" s="1">
        <v>24986.9364370324</v>
      </c>
      <c r="AI12" s="1">
        <v>2812.0635629675999</v>
      </c>
      <c r="AJ12" s="1">
        <v>7866</v>
      </c>
      <c r="AK12" s="1">
        <v>0</v>
      </c>
      <c r="AL12" s="1">
        <v>4484</v>
      </c>
      <c r="AM12" s="1">
        <v>1.9206364155806599</v>
      </c>
      <c r="AN12" s="1">
        <v>307.59413419934498</v>
      </c>
      <c r="AO12" s="1">
        <v>28</v>
      </c>
      <c r="AP12" s="1">
        <v>1</v>
      </c>
      <c r="AQ12" s="1">
        <v>41</v>
      </c>
      <c r="AR12" s="1">
        <v>18730</v>
      </c>
      <c r="AS12" s="1">
        <v>10438.677141972599</v>
      </c>
      <c r="AT12" s="1">
        <v>20</v>
      </c>
      <c r="AU12" s="1">
        <v>4</v>
      </c>
      <c r="AV12" s="1">
        <v>5</v>
      </c>
      <c r="AW12" s="1">
        <v>5.9296919032297799</v>
      </c>
      <c r="AX12" s="1">
        <v>0.124373333976941</v>
      </c>
      <c r="AY12" s="1">
        <v>295.38038136487398</v>
      </c>
      <c r="AZ12" s="1">
        <v>96.042179006049807</v>
      </c>
      <c r="BA12" s="1">
        <v>1.4363411541748199</v>
      </c>
      <c r="BB12" s="1">
        <v>1.0620058332583</v>
      </c>
      <c r="BC12" s="1">
        <v>0</v>
      </c>
      <c r="BD12" s="1">
        <v>9.3636867946056697</v>
      </c>
      <c r="BE12" s="1">
        <v>24.798449897977701</v>
      </c>
      <c r="BF12" s="1">
        <v>41.151101904351798</v>
      </c>
      <c r="BG12" s="1">
        <v>0.47307767056386102</v>
      </c>
      <c r="BH12" s="1">
        <v>5.8361353165222798E-2</v>
      </c>
      <c r="BI12" s="1">
        <v>4.0097566359294596</v>
      </c>
      <c r="BJ12" s="1">
        <v>7.8269083595061007E-3</v>
      </c>
      <c r="BK12" s="1">
        <v>1.6438484416756201</v>
      </c>
      <c r="BL12" s="1">
        <v>2.5673430892835301</v>
      </c>
      <c r="BM12" s="1">
        <v>10.7596621210085</v>
      </c>
      <c r="BN12" s="1">
        <v>41288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58525</v>
      </c>
      <c r="CS12" s="1">
        <v>660.000000000005</v>
      </c>
    </row>
    <row r="13" spans="1:97" x14ac:dyDescent="0.25">
      <c r="A13" s="17"/>
      <c r="B13" s="4" t="s">
        <v>7</v>
      </c>
      <c r="C13" s="4" t="s">
        <v>64</v>
      </c>
      <c r="D13" s="2">
        <v>8</v>
      </c>
      <c r="E13" s="1">
        <v>2477</v>
      </c>
      <c r="F13" s="1">
        <v>966</v>
      </c>
      <c r="G13" s="1">
        <v>2568</v>
      </c>
      <c r="H13" s="1">
        <v>675</v>
      </c>
      <c r="I13" s="1">
        <v>340</v>
      </c>
      <c r="J13" s="1">
        <v>272</v>
      </c>
      <c r="K13" s="1">
        <v>2265</v>
      </c>
      <c r="L13" s="1">
        <v>1038958.34250209</v>
      </c>
      <c r="M13" s="1">
        <v>5179</v>
      </c>
      <c r="N13" s="1">
        <v>178</v>
      </c>
      <c r="O13" s="1">
        <v>1316</v>
      </c>
      <c r="P13" s="1">
        <v>0</v>
      </c>
      <c r="Q13" s="1">
        <v>0</v>
      </c>
      <c r="R13" s="1">
        <v>320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316063.31951212301</v>
      </c>
      <c r="AH13" s="1">
        <v>72562.889759487603</v>
      </c>
      <c r="AI13" s="1">
        <v>8166.3255849913403</v>
      </c>
      <c r="AJ13" s="1">
        <v>42572.413854324201</v>
      </c>
      <c r="AK13" s="1">
        <v>130592</v>
      </c>
      <c r="AL13" s="1">
        <v>4880.44146832153</v>
      </c>
      <c r="AM13" s="1">
        <v>1932.89387878706</v>
      </c>
      <c r="AN13" s="1">
        <v>6578.6872039789496</v>
      </c>
      <c r="AO13" s="1">
        <v>1592.6116969581201</v>
      </c>
      <c r="AP13" s="1">
        <v>1532.98333306513</v>
      </c>
      <c r="AQ13" s="1">
        <v>1638.2075592710501</v>
      </c>
      <c r="AR13" s="1">
        <v>9993.4499693605703</v>
      </c>
      <c r="AS13" s="1">
        <v>449526.20301776601</v>
      </c>
      <c r="AT13" s="1">
        <v>13014.5144801889</v>
      </c>
      <c r="AU13" s="1">
        <v>2217</v>
      </c>
      <c r="AV13" s="1">
        <v>2549</v>
      </c>
      <c r="AW13" s="1">
        <v>19.9488972638459</v>
      </c>
      <c r="AX13" s="1">
        <v>658.92204940877502</v>
      </c>
      <c r="AY13" s="1">
        <v>993.73002472421194</v>
      </c>
      <c r="AZ13" s="1">
        <v>2054.1076172144399</v>
      </c>
      <c r="BA13" s="1">
        <v>3616.1842676308402</v>
      </c>
      <c r="BB13" s="1">
        <v>28.539830326353499</v>
      </c>
      <c r="BC13" s="1">
        <v>244.29596200877899</v>
      </c>
      <c r="BD13" s="1">
        <v>200.26638888314099</v>
      </c>
      <c r="BE13" s="1">
        <v>666.42153016566795</v>
      </c>
      <c r="BF13" s="1">
        <v>1105.8747789448701</v>
      </c>
      <c r="BG13" s="1">
        <v>12.7132601594622</v>
      </c>
      <c r="BH13" s="1">
        <v>1.5683747346675301</v>
      </c>
      <c r="BI13" s="1">
        <v>107.75625750406201</v>
      </c>
      <c r="BJ13" s="1">
        <v>0.21033654389155501</v>
      </c>
      <c r="BK13" s="1">
        <v>44.1759867398506</v>
      </c>
      <c r="BL13" s="1">
        <v>68.993534557985001</v>
      </c>
      <c r="BM13" s="1">
        <v>289.14994784947498</v>
      </c>
      <c r="BN13" s="1">
        <v>222722.88032767901</v>
      </c>
      <c r="BO13" s="1">
        <v>171490.55409534101</v>
      </c>
      <c r="BP13" s="1">
        <v>4354.3250915885801</v>
      </c>
      <c r="BQ13" s="1">
        <v>295.71825485804601</v>
      </c>
      <c r="BR13" s="1">
        <v>1824.89048184238</v>
      </c>
      <c r="BS13" s="1">
        <v>162.859987463831</v>
      </c>
      <c r="BT13" s="1">
        <v>162.89901320217399</v>
      </c>
      <c r="BU13" s="1">
        <v>167.510838881653</v>
      </c>
      <c r="BV13" s="1">
        <v>2425.1827781611</v>
      </c>
      <c r="BW13" s="1">
        <v>128137.735630686</v>
      </c>
      <c r="BX13" s="1">
        <v>6433.9722536232503</v>
      </c>
      <c r="BY13" s="1">
        <v>1016.3172127973399</v>
      </c>
      <c r="BZ13" s="1">
        <v>806.50069368132199</v>
      </c>
      <c r="CA13" s="1">
        <v>12.6224756536327</v>
      </c>
      <c r="CB13" s="1">
        <v>310.41035950325897</v>
      </c>
      <c r="CC13" s="1">
        <v>642.46083745298301</v>
      </c>
      <c r="CD13" s="1">
        <v>505.841226529332</v>
      </c>
      <c r="CE13" s="1">
        <v>1652.1986108178301</v>
      </c>
      <c r="CF13" s="1">
        <v>29.542504606443799</v>
      </c>
      <c r="CG13" s="1">
        <v>0.74368889559550799</v>
      </c>
      <c r="CH13" s="1">
        <v>19.8829377145337</v>
      </c>
      <c r="CI13" s="1">
        <v>760.13031983258804</v>
      </c>
      <c r="CJ13" s="1">
        <v>1275.7045136122799</v>
      </c>
      <c r="CK13" s="1">
        <v>7.9298752025304102</v>
      </c>
      <c r="CL13" s="1">
        <v>1.40037958646275</v>
      </c>
      <c r="CM13" s="1">
        <v>122.293987071167</v>
      </c>
      <c r="CN13" s="1">
        <v>3.00787167512749E-3</v>
      </c>
      <c r="CO13" s="1">
        <v>50.887508661575197</v>
      </c>
      <c r="CP13" s="1">
        <v>79.851994188087204</v>
      </c>
      <c r="CQ13" s="1">
        <v>333.18353601620697</v>
      </c>
      <c r="CR13" s="1">
        <v>321404.098642066</v>
      </c>
      <c r="CS13" s="1">
        <v>-8492.0935044334201</v>
      </c>
    </row>
    <row r="14" spans="1:97" x14ac:dyDescent="0.25">
      <c r="A14" s="17"/>
      <c r="B14" s="4" t="s">
        <v>8</v>
      </c>
      <c r="C14" s="4" t="s">
        <v>65</v>
      </c>
      <c r="D14" s="2">
        <v>9</v>
      </c>
      <c r="E14" s="1">
        <v>252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2901</v>
      </c>
      <c r="M14" s="1">
        <v>50076</v>
      </c>
      <c r="N14" s="1">
        <v>905</v>
      </c>
      <c r="O14" s="1">
        <v>37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10351</v>
      </c>
      <c r="AH14" s="1">
        <v>0</v>
      </c>
      <c r="AI14" s="1">
        <v>0</v>
      </c>
      <c r="AJ14" s="1">
        <v>534</v>
      </c>
      <c r="AK14" s="1">
        <v>14697</v>
      </c>
      <c r="AL14" s="1">
        <v>287</v>
      </c>
      <c r="AM14" s="1">
        <v>24.0079551947582</v>
      </c>
      <c r="AN14" s="1">
        <v>236.84003553363601</v>
      </c>
      <c r="AO14" s="1">
        <v>24</v>
      </c>
      <c r="AP14" s="1">
        <v>24</v>
      </c>
      <c r="AQ14" s="1">
        <v>18</v>
      </c>
      <c r="AR14" s="1">
        <v>224</v>
      </c>
      <c r="AS14" s="1">
        <v>9486.6618552649397</v>
      </c>
      <c r="AT14" s="1">
        <v>14551</v>
      </c>
      <c r="AU14" s="1">
        <v>1061</v>
      </c>
      <c r="AV14" s="1">
        <v>1624</v>
      </c>
      <c r="AW14" s="1">
        <v>18.770812779760501</v>
      </c>
      <c r="AX14" s="1">
        <v>33.456426839797203</v>
      </c>
      <c r="AY14" s="1">
        <v>935.04518074443604</v>
      </c>
      <c r="AZ14" s="1">
        <v>73.950152358169106</v>
      </c>
      <c r="BA14" s="1">
        <v>182.61272666518201</v>
      </c>
      <c r="BB14" s="1">
        <v>0.72756200731507903</v>
      </c>
      <c r="BC14" s="1">
        <v>1.1638392067555501</v>
      </c>
      <c r="BD14" s="1">
        <v>7.2098121081951598</v>
      </c>
      <c r="BE14" s="1">
        <v>16.988993300272</v>
      </c>
      <c r="BF14" s="1">
        <v>28.191915116793499</v>
      </c>
      <c r="BG14" s="1">
        <v>0.32409740966806</v>
      </c>
      <c r="BH14" s="1">
        <v>3.99823634944068E-2</v>
      </c>
      <c r="BI14" s="1">
        <v>2.7470155958853799</v>
      </c>
      <c r="BJ14" s="1">
        <v>5.3620808650760004E-3</v>
      </c>
      <c r="BK14" s="1">
        <v>1.12617241308164</v>
      </c>
      <c r="BL14" s="1">
        <v>1.7588427793986601</v>
      </c>
      <c r="BM14" s="1">
        <v>7.3712602375970002</v>
      </c>
      <c r="BN14" s="1">
        <v>4878</v>
      </c>
      <c r="BO14" s="1">
        <v>819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15790</v>
      </c>
      <c r="CS14" s="1">
        <v>3.18323145620525E-12</v>
      </c>
    </row>
    <row r="15" spans="1:97" x14ac:dyDescent="0.25">
      <c r="A15" s="17"/>
      <c r="B15" s="4" t="s">
        <v>9</v>
      </c>
      <c r="C15" s="4" t="s">
        <v>101</v>
      </c>
      <c r="D15" s="2">
        <v>10</v>
      </c>
      <c r="E15" s="1">
        <v>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126</v>
      </c>
      <c r="M15" s="1">
        <v>39</v>
      </c>
      <c r="N15" s="1">
        <v>8324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2291</v>
      </c>
      <c r="AH15" s="1">
        <v>0</v>
      </c>
      <c r="AI15" s="1">
        <v>0</v>
      </c>
      <c r="AJ15" s="1">
        <v>5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832</v>
      </c>
      <c r="AT15" s="1">
        <v>429</v>
      </c>
      <c r="AU15" s="1">
        <v>2090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198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7238</v>
      </c>
      <c r="CS15" s="1">
        <v>1.3642420526593899E-12</v>
      </c>
    </row>
    <row r="16" spans="1:97" x14ac:dyDescent="0.25">
      <c r="A16" s="17"/>
      <c r="B16" s="4" t="s">
        <v>10</v>
      </c>
      <c r="C16" s="4" t="s">
        <v>102</v>
      </c>
      <c r="D16" s="2">
        <v>11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213</v>
      </c>
      <c r="M16" s="1">
        <v>10</v>
      </c>
      <c r="N16" s="1">
        <v>0</v>
      </c>
      <c r="O16" s="1">
        <v>9882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1638</v>
      </c>
      <c r="AH16" s="1">
        <v>0</v>
      </c>
      <c r="AI16" s="1">
        <v>0</v>
      </c>
      <c r="AJ16" s="1">
        <v>0</v>
      </c>
      <c r="AK16" s="1">
        <v>0</v>
      </c>
      <c r="AL16" s="1">
        <v>20.973908192557602</v>
      </c>
      <c r="AM16" s="1">
        <v>0</v>
      </c>
      <c r="AN16" s="1">
        <v>2.2343399578644898</v>
      </c>
      <c r="AO16" s="1">
        <v>0</v>
      </c>
      <c r="AP16" s="1">
        <v>1</v>
      </c>
      <c r="AQ16" s="1">
        <v>0</v>
      </c>
      <c r="AR16" s="1">
        <v>8</v>
      </c>
      <c r="AS16" s="1">
        <v>1262.0438515596099</v>
      </c>
      <c r="AT16" s="1">
        <v>139</v>
      </c>
      <c r="AU16" s="1">
        <v>0</v>
      </c>
      <c r="AV16" s="1">
        <v>758</v>
      </c>
      <c r="AW16" s="1">
        <v>0</v>
      </c>
      <c r="AX16" s="1">
        <v>0</v>
      </c>
      <c r="AY16" s="1">
        <v>0</v>
      </c>
      <c r="AZ16" s="1">
        <v>0.69764294677518002</v>
      </c>
      <c r="BA16" s="1">
        <v>0</v>
      </c>
      <c r="BB16" s="1">
        <v>1.17348710857271E-2</v>
      </c>
      <c r="BC16" s="1">
        <v>3.0260918074423802</v>
      </c>
      <c r="BD16" s="1">
        <v>6.8017095360331695E-2</v>
      </c>
      <c r="BE16" s="1">
        <v>0.27401602097213001</v>
      </c>
      <c r="BF16" s="1">
        <v>0.45470830833537901</v>
      </c>
      <c r="BG16" s="1">
        <v>5.2273775752912904E-3</v>
      </c>
      <c r="BH16" s="1">
        <v>6.4487683055494802E-4</v>
      </c>
      <c r="BI16" s="1">
        <v>4.4306703159441602E-2</v>
      </c>
      <c r="BJ16" s="1">
        <v>8.6485175243161395E-5</v>
      </c>
      <c r="BK16" s="1">
        <v>1.8164071178736099E-2</v>
      </c>
      <c r="BL16" s="1">
        <v>2.83684319257849E-2</v>
      </c>
      <c r="BM16" s="1">
        <v>0.11889129415478999</v>
      </c>
      <c r="BN16" s="1">
        <v>2284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7263</v>
      </c>
      <c r="CS16" s="1">
        <v>0</v>
      </c>
    </row>
    <row r="17" spans="1:97" x14ac:dyDescent="0.25">
      <c r="A17" s="17"/>
      <c r="B17" s="10" t="s">
        <v>73</v>
      </c>
      <c r="C17" s="4" t="s">
        <v>103</v>
      </c>
      <c r="D17" s="2">
        <v>12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21">
        <v>685.74405713470105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5261.6293592920802</v>
      </c>
      <c r="AH17" s="1">
        <v>296.858962985912</v>
      </c>
      <c r="AI17" s="1">
        <v>33.408908501316702</v>
      </c>
      <c r="AJ17" s="1">
        <v>592.30841212141604</v>
      </c>
      <c r="AK17" s="1">
        <v>0</v>
      </c>
      <c r="AL17" s="14">
        <v>2.0240807621463301</v>
      </c>
      <c r="AM17" s="14">
        <v>1894.7818609651199</v>
      </c>
      <c r="AN17" s="14">
        <v>6.1330781320664096</v>
      </c>
      <c r="AO17" s="14">
        <v>0.18663200099260599</v>
      </c>
      <c r="AP17" s="14">
        <v>29.071125528090001</v>
      </c>
      <c r="AQ17" s="14">
        <v>0.21240990168219201</v>
      </c>
      <c r="AR17" s="14">
        <v>18.450328552471799</v>
      </c>
      <c r="AS17" s="14">
        <v>24.539852420206302</v>
      </c>
      <c r="AT17" s="14">
        <v>0</v>
      </c>
      <c r="AU17" s="14">
        <v>0</v>
      </c>
      <c r="AV17" s="14">
        <v>0</v>
      </c>
      <c r="AW17" s="21">
        <v>1397.78597759688</v>
      </c>
      <c r="AX17" s="1">
        <v>0.14022454347341501</v>
      </c>
      <c r="AY17" s="1">
        <v>21.392522971128599</v>
      </c>
      <c r="AZ17" s="1">
        <v>2.5415026212695199E-2</v>
      </c>
      <c r="BA17" s="1">
        <v>252.017318075601</v>
      </c>
      <c r="BB17" s="1">
        <v>2.15098167026924E-3</v>
      </c>
      <c r="BC17" s="1">
        <v>7.4192200867520802E-4</v>
      </c>
      <c r="BD17" s="1">
        <v>4.6027643205594698E-4</v>
      </c>
      <c r="BE17" s="1">
        <v>6530.1916579593299</v>
      </c>
      <c r="BF17" s="1">
        <v>2.8300657889856001E-2</v>
      </c>
      <c r="BG17" s="1">
        <v>3.2534752875091298E-4</v>
      </c>
      <c r="BH17" s="1">
        <v>4.0136584768909202E-5</v>
      </c>
      <c r="BI17" s="1">
        <v>2.75761147389881E-3</v>
      </c>
      <c r="BJ17" s="1">
        <v>5.3827636580057603E-6</v>
      </c>
      <c r="BK17" s="1">
        <v>1.13051632198735E-3</v>
      </c>
      <c r="BL17" s="1">
        <v>1.7656270450443501E-3</v>
      </c>
      <c r="BM17" s="1">
        <v>1.9495612045364201E-2</v>
      </c>
      <c r="BN17" s="1">
        <v>0.71560224804444506</v>
      </c>
      <c r="BO17" s="1">
        <v>9.4528765963620596E-4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56.279533447221198</v>
      </c>
      <c r="CS17" s="1">
        <v>-3364.0560394546601</v>
      </c>
    </row>
    <row r="18" spans="1:97" x14ac:dyDescent="0.25">
      <c r="A18" s="17"/>
      <c r="B18" s="10" t="s">
        <v>12</v>
      </c>
      <c r="C18" s="4" t="s">
        <v>104</v>
      </c>
      <c r="D18" s="2">
        <v>13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21">
        <v>2347.4223054807899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25079.2938580761</v>
      </c>
      <c r="AH18" s="1">
        <v>761.84558947257301</v>
      </c>
      <c r="AI18" s="1">
        <v>85.739131252131898</v>
      </c>
      <c r="AJ18" s="1">
        <v>1412.29707424043</v>
      </c>
      <c r="AK18" s="1">
        <v>0</v>
      </c>
      <c r="AL18" s="14">
        <v>39.450974535847003</v>
      </c>
      <c r="AM18" s="14">
        <v>27.231823991886198</v>
      </c>
      <c r="AN18" s="14">
        <v>119.53866354519501</v>
      </c>
      <c r="AO18" s="14">
        <v>3.63760896127779</v>
      </c>
      <c r="AP18" s="14">
        <v>17.464542471549201</v>
      </c>
      <c r="AQ18" s="14">
        <v>4.1400411382498596</v>
      </c>
      <c r="AR18" s="14">
        <v>26.247056925020999</v>
      </c>
      <c r="AS18" s="14">
        <v>255.091022076554</v>
      </c>
      <c r="AT18" s="14">
        <v>0</v>
      </c>
      <c r="AU18" s="14">
        <v>0</v>
      </c>
      <c r="AV18" s="14">
        <v>0</v>
      </c>
      <c r="AW18" s="1">
        <v>2.8005770517293999E-2</v>
      </c>
      <c r="AX18" s="21">
        <v>1.3101975749711099</v>
      </c>
      <c r="AY18" s="21">
        <v>26065.195426606599</v>
      </c>
      <c r="AZ18" s="1">
        <v>520.62985475968799</v>
      </c>
      <c r="BA18" s="1">
        <v>0.46854634707367798</v>
      </c>
      <c r="BB18" s="1">
        <v>6.5979393479972297E-3</v>
      </c>
      <c r="BC18" s="1">
        <v>1.44606612637298E-2</v>
      </c>
      <c r="BD18" s="1">
        <v>8.9711607066679504E-3</v>
      </c>
      <c r="BE18" s="1">
        <v>5.4950278976095897E-2</v>
      </c>
      <c r="BF18" s="1">
        <v>9.11857208462971E-2</v>
      </c>
      <c r="BG18" s="1">
        <v>1.04828124668251E-3</v>
      </c>
      <c r="BH18" s="1">
        <v>1.2932149594209E-4</v>
      </c>
      <c r="BI18" s="1">
        <v>8.8851217183758009E-3</v>
      </c>
      <c r="BJ18" s="1">
        <v>1.7343454919344399E-5</v>
      </c>
      <c r="BK18" s="1">
        <v>3.6425635810350301E-3</v>
      </c>
      <c r="BL18" s="1">
        <v>5.6889127975287904E-3</v>
      </c>
      <c r="BM18" s="1">
        <v>5.9801005097033802E-2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140.02997030252999</v>
      </c>
      <c r="CS18" s="1">
        <v>2465.8788452045701</v>
      </c>
    </row>
    <row r="19" spans="1:97" x14ac:dyDescent="0.25">
      <c r="A19" s="17"/>
      <c r="B19" s="10" t="s">
        <v>74</v>
      </c>
      <c r="C19" s="4" t="s">
        <v>105</v>
      </c>
      <c r="D19" s="2">
        <v>14</v>
      </c>
      <c r="E19" s="1">
        <v>0</v>
      </c>
      <c r="F19" s="1">
        <v>21</v>
      </c>
      <c r="G19" s="1">
        <v>705</v>
      </c>
      <c r="H19" s="1">
        <v>0</v>
      </c>
      <c r="I19" s="1">
        <v>0</v>
      </c>
      <c r="J19" s="1">
        <v>0</v>
      </c>
      <c r="K19" s="1">
        <v>0</v>
      </c>
      <c r="L19" s="1">
        <v>48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21">
        <v>33231.505151493002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38617.0418507457</v>
      </c>
      <c r="AH19" s="1">
        <v>3496.8439650774699</v>
      </c>
      <c r="AI19" s="1">
        <v>393.53954112613002</v>
      </c>
      <c r="AJ19" s="1">
        <v>9842.9961977215207</v>
      </c>
      <c r="AK19" s="1">
        <v>0</v>
      </c>
      <c r="AL19" s="14">
        <v>829.03962052981001</v>
      </c>
      <c r="AM19" s="14">
        <v>101.665639906908</v>
      </c>
      <c r="AN19" s="14">
        <v>975.40532036635796</v>
      </c>
      <c r="AO19" s="14">
        <v>29.6819709122917</v>
      </c>
      <c r="AP19" s="14">
        <v>72.618391614132506</v>
      </c>
      <c r="AQ19" s="14">
        <v>14.8284637542161</v>
      </c>
      <c r="AR19" s="14">
        <v>105.76007564136501</v>
      </c>
      <c r="AS19" s="14">
        <v>5057.6503425702804</v>
      </c>
      <c r="AT19" s="14">
        <v>2601</v>
      </c>
      <c r="AU19" s="14">
        <v>896</v>
      </c>
      <c r="AV19" s="14">
        <v>2743</v>
      </c>
      <c r="AW19" s="1">
        <v>0.104189822499933</v>
      </c>
      <c r="AX19" s="1">
        <v>4.8721326722650904</v>
      </c>
      <c r="AY19" s="21">
        <v>5274.7296238676299</v>
      </c>
      <c r="AZ19" s="1">
        <v>6316.9718932268197</v>
      </c>
      <c r="BA19" s="1">
        <v>31.925935502753202</v>
      </c>
      <c r="BB19" s="1">
        <v>2.4292394365296802E-2</v>
      </c>
      <c r="BC19" s="1">
        <v>1.03742669215525</v>
      </c>
      <c r="BD19" s="1">
        <v>7.3202406850040994E-2</v>
      </c>
      <c r="BE19" s="1">
        <v>0</v>
      </c>
      <c r="BF19" s="1">
        <v>0</v>
      </c>
      <c r="BG19" s="1">
        <v>318.44017639463698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326.29996433747101</v>
      </c>
      <c r="BN19" s="1">
        <v>10993.6141123784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58418.766092350001</v>
      </c>
      <c r="CS19" s="1">
        <v>-8757.58216117747</v>
      </c>
    </row>
    <row r="20" spans="1:97" x14ac:dyDescent="0.25">
      <c r="A20" s="17"/>
      <c r="B20" s="10" t="s">
        <v>75</v>
      </c>
      <c r="C20" s="4" t="s">
        <v>106</v>
      </c>
      <c r="D20" s="2">
        <v>15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9716.30586738686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9898.4277304205407</v>
      </c>
      <c r="AH20" s="1">
        <v>1849.9866911904501</v>
      </c>
      <c r="AI20" s="1">
        <v>208.20000000326201</v>
      </c>
      <c r="AJ20" s="1">
        <v>285.02391974094201</v>
      </c>
      <c r="AK20" s="1">
        <v>0</v>
      </c>
      <c r="AL20" s="14">
        <v>93.971136801677005</v>
      </c>
      <c r="AM20" s="14">
        <v>64.865456121381797</v>
      </c>
      <c r="AN20" s="14">
        <v>284.73781033946801</v>
      </c>
      <c r="AO20" s="14">
        <v>8.6646845446273808</v>
      </c>
      <c r="AP20" s="14">
        <v>41.600060051277303</v>
      </c>
      <c r="AQ20" s="14">
        <v>9.8614641778631995</v>
      </c>
      <c r="AR20" s="14">
        <v>62.519768040239498</v>
      </c>
      <c r="AS20" s="14">
        <v>622.47030333359805</v>
      </c>
      <c r="AT20" s="14">
        <v>12.6543534682</v>
      </c>
      <c r="AU20" s="14">
        <v>4.2174758098114902</v>
      </c>
      <c r="AV20" s="14">
        <v>12.7920789463157</v>
      </c>
      <c r="AW20" s="1">
        <v>6.6708975468418197E-2</v>
      </c>
      <c r="AX20" s="1">
        <v>3.1208546050735002</v>
      </c>
      <c r="AY20" s="21">
        <v>9490.1677521271104</v>
      </c>
      <c r="AZ20" s="1">
        <v>1895.6784414256099</v>
      </c>
      <c r="BA20" s="1">
        <v>1.1160645179697399</v>
      </c>
      <c r="BB20" s="1">
        <v>1.57161101436529E-2</v>
      </c>
      <c r="BC20" s="1">
        <v>3.4444897593642901E-2</v>
      </c>
      <c r="BD20" s="1">
        <v>2.1369058178020602E-2</v>
      </c>
      <c r="BE20" s="1">
        <v>0.13089005388855501</v>
      </c>
      <c r="BF20" s="1">
        <v>0.21720188027854401</v>
      </c>
      <c r="BG20" s="1">
        <v>2.4969771114050801E-3</v>
      </c>
      <c r="BH20" s="1">
        <v>3.0804024817002602E-4</v>
      </c>
      <c r="BI20" s="1">
        <v>2.11641156731977E-2</v>
      </c>
      <c r="BJ20" s="1">
        <v>4.13116328307311E-5</v>
      </c>
      <c r="BK20" s="1">
        <v>8.6764863126821794E-3</v>
      </c>
      <c r="BL20" s="1">
        <v>1.35508338903931E-2</v>
      </c>
      <c r="BM20" s="1">
        <v>0.14244435015781301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7918.5585025629998</v>
      </c>
      <c r="CS20" s="1">
        <v>1430.27298877825</v>
      </c>
    </row>
    <row r="21" spans="1:97" x14ac:dyDescent="0.25">
      <c r="A21" s="17"/>
      <c r="B21" s="10" t="s">
        <v>76</v>
      </c>
      <c r="C21" s="4" t="s">
        <v>107</v>
      </c>
      <c r="D21" s="2">
        <v>16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20">
        <v>2446.8260592706301</v>
      </c>
      <c r="Y21" s="20">
        <v>4060.3178392807599</v>
      </c>
      <c r="Z21" s="20">
        <v>46.677868058563497</v>
      </c>
      <c r="AA21" s="20">
        <v>5.7584276584404099</v>
      </c>
      <c r="AB21" s="20">
        <v>395.63670586223401</v>
      </c>
      <c r="AC21" s="20">
        <v>0.77226937233380899</v>
      </c>
      <c r="AD21" s="20">
        <v>162.19607359052401</v>
      </c>
      <c r="AE21" s="20">
        <v>253.31591288129599</v>
      </c>
      <c r="AF21" s="1">
        <v>0</v>
      </c>
      <c r="AG21" s="1">
        <v>1982.82167401841</v>
      </c>
      <c r="AH21" s="1">
        <v>0</v>
      </c>
      <c r="AI21" s="1">
        <v>0</v>
      </c>
      <c r="AJ21" s="1">
        <v>1351.1939971971899</v>
      </c>
      <c r="AK21" s="1">
        <v>0</v>
      </c>
      <c r="AL21" s="14">
        <v>724.41912049776795</v>
      </c>
      <c r="AM21" s="14">
        <v>380.902792569018</v>
      </c>
      <c r="AN21" s="14">
        <v>225.76399773672799</v>
      </c>
      <c r="AO21" s="14">
        <v>6.8700880279669896</v>
      </c>
      <c r="AP21" s="14">
        <v>94.9426123338</v>
      </c>
      <c r="AQ21" s="14">
        <v>204.3652445427</v>
      </c>
      <c r="AR21" s="14">
        <v>501.52047582180001</v>
      </c>
      <c r="AS21" s="14">
        <v>3508.68625212099</v>
      </c>
      <c r="AT21" s="14">
        <v>127.127859576297</v>
      </c>
      <c r="AU21" s="14">
        <v>0</v>
      </c>
      <c r="AV21" s="14">
        <v>0</v>
      </c>
      <c r="AW21" s="1">
        <v>7.28413540665181</v>
      </c>
      <c r="AX21" s="1">
        <v>151.06523683120901</v>
      </c>
      <c r="AY21" s="1">
        <v>993.93632980303801</v>
      </c>
      <c r="AZ21" s="1">
        <v>39.410183310936503</v>
      </c>
      <c r="BA21" s="1">
        <v>53.320794086625902</v>
      </c>
      <c r="BB21" s="1">
        <v>4.9349872616184898E-2</v>
      </c>
      <c r="BC21" s="1">
        <v>1.50977549322533</v>
      </c>
      <c r="BD21" s="1">
        <v>0.71373440299533097</v>
      </c>
      <c r="BE21" s="1">
        <v>0</v>
      </c>
      <c r="BF21" s="1">
        <v>0</v>
      </c>
      <c r="BG21" s="1">
        <v>0</v>
      </c>
      <c r="BH21" s="1">
        <v>10.1278184892789</v>
      </c>
      <c r="BI21" s="1">
        <v>695.83868763129703</v>
      </c>
      <c r="BJ21" s="1">
        <v>1.3582534142565801</v>
      </c>
      <c r="BK21" s="1">
        <v>0</v>
      </c>
      <c r="BL21" s="1">
        <v>0</v>
      </c>
      <c r="BM21" s="1">
        <v>0.44728692220462102</v>
      </c>
      <c r="BN21" s="1">
        <v>4247.14386504089</v>
      </c>
      <c r="BO21" s="1">
        <v>9.6819389020688895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1464.6269655332001</v>
      </c>
      <c r="CS21" s="1">
        <v>-2745.5959711771702</v>
      </c>
    </row>
    <row r="22" spans="1:97" x14ac:dyDescent="0.25">
      <c r="A22" s="17"/>
      <c r="B22" s="10" t="s">
        <v>77</v>
      </c>
      <c r="C22" s="4" t="s">
        <v>108</v>
      </c>
      <c r="D22" s="2">
        <v>17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12589.917513755399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9330.9403752539802</v>
      </c>
      <c r="AH22" s="1">
        <v>767.20275838493706</v>
      </c>
      <c r="AI22" s="1">
        <v>86.342034274560703</v>
      </c>
      <c r="AJ22" s="1">
        <v>1422.22810762265</v>
      </c>
      <c r="AK22" s="1">
        <v>0</v>
      </c>
      <c r="AL22" s="14">
        <v>828.78114536656994</v>
      </c>
      <c r="AM22" s="14">
        <v>146.609237014114</v>
      </c>
      <c r="AN22" s="14">
        <v>263.413890424626</v>
      </c>
      <c r="AO22" s="14">
        <v>8.01578920088388</v>
      </c>
      <c r="AP22" s="14">
        <v>172.87510278450401</v>
      </c>
      <c r="AQ22" s="14">
        <v>129.635567344365</v>
      </c>
      <c r="AR22" s="14">
        <v>473.29407720437001</v>
      </c>
      <c r="AS22" s="14">
        <v>1636.8101468811999</v>
      </c>
      <c r="AT22" s="14">
        <v>2.35766023479641</v>
      </c>
      <c r="AU22" s="14">
        <v>0</v>
      </c>
      <c r="AV22" s="14">
        <v>0</v>
      </c>
      <c r="AW22" s="1">
        <v>3.4766683101893597E-2</v>
      </c>
      <c r="AX22" s="1">
        <v>146.348184852439</v>
      </c>
      <c r="AY22" s="1">
        <v>1260.67169767471</v>
      </c>
      <c r="AZ22" s="1">
        <v>12.837135981242</v>
      </c>
      <c r="BA22" s="1">
        <v>50.4344298268988</v>
      </c>
      <c r="BB22" s="1">
        <v>2.0207505195268601E-2</v>
      </c>
      <c r="BC22" s="1">
        <v>0.61147256076657697</v>
      </c>
      <c r="BD22" s="1">
        <v>0.23248573886229701</v>
      </c>
      <c r="BE22" s="1">
        <v>0</v>
      </c>
      <c r="BF22" s="1">
        <v>2945.1184121808801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76.718341616875406</v>
      </c>
      <c r="BN22" s="1">
        <v>6541.9369201258396</v>
      </c>
      <c r="BO22" s="1">
        <v>33.999054712340403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12681.3748652944</v>
      </c>
      <c r="CS22" s="1">
        <v>-3215.4998019175</v>
      </c>
    </row>
    <row r="23" spans="1:97" x14ac:dyDescent="0.25">
      <c r="A23" s="17"/>
      <c r="B23" s="10" t="s">
        <v>78</v>
      </c>
      <c r="C23" s="4" t="s">
        <v>109</v>
      </c>
      <c r="D23" s="2">
        <v>18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359.5834565696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41.751178186945502</v>
      </c>
      <c r="AK23" s="1">
        <v>0</v>
      </c>
      <c r="AL23" s="14">
        <v>0</v>
      </c>
      <c r="AM23" s="14">
        <v>170.81098153930699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">
        <v>17.602378617599999</v>
      </c>
      <c r="AX23" s="1">
        <v>0</v>
      </c>
      <c r="AY23" s="1">
        <v>0</v>
      </c>
      <c r="AZ23" s="1">
        <v>0</v>
      </c>
      <c r="BA23" s="1">
        <v>0.110505502693088</v>
      </c>
      <c r="BB23" s="1">
        <v>0</v>
      </c>
      <c r="BC23" s="1">
        <v>0</v>
      </c>
      <c r="BD23" s="1">
        <v>0</v>
      </c>
      <c r="BE23" s="1">
        <v>0</v>
      </c>
      <c r="BF23" s="1">
        <v>227.10838879260001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-14.2976196956546</v>
      </c>
    </row>
    <row r="24" spans="1:97" x14ac:dyDescent="0.25">
      <c r="A24" s="17"/>
      <c r="B24" s="10" t="s">
        <v>79</v>
      </c>
      <c r="C24" s="4" t="s">
        <v>110</v>
      </c>
      <c r="D24" s="2">
        <v>19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104.78653136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12.1667367591679</v>
      </c>
      <c r="AK24" s="1">
        <v>0</v>
      </c>
      <c r="AL24" s="14">
        <v>20.489822009126801</v>
      </c>
      <c r="AM24" s="14">
        <v>0</v>
      </c>
      <c r="AN24" s="14">
        <v>0</v>
      </c>
      <c r="AO24" s="14">
        <v>0</v>
      </c>
      <c r="AP24" s="14">
        <v>0</v>
      </c>
      <c r="AQ24" s="14">
        <v>1.7771348466000001</v>
      </c>
      <c r="AR24" s="14">
        <v>4.3493134121999999</v>
      </c>
      <c r="AS24" s="14">
        <v>13.614654535566199</v>
      </c>
      <c r="AT24" s="14">
        <v>0</v>
      </c>
      <c r="AU24" s="14">
        <v>0</v>
      </c>
      <c r="AV24" s="14">
        <v>0</v>
      </c>
      <c r="AW24" s="1">
        <v>0</v>
      </c>
      <c r="AX24" s="1">
        <v>0</v>
      </c>
      <c r="AY24" s="1">
        <v>0</v>
      </c>
      <c r="AZ24" s="1">
        <v>0</v>
      </c>
      <c r="BA24" s="1">
        <v>22.232078677800001</v>
      </c>
      <c r="BB24" s="1">
        <v>1.6682843190559299E-4</v>
      </c>
      <c r="BC24" s="1">
        <v>3.8594510732180699E-3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58.651111514998099</v>
      </c>
      <c r="BL24" s="1">
        <v>0</v>
      </c>
      <c r="BM24" s="1">
        <v>1.5120642037645901E-3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-4.1663852208321099</v>
      </c>
    </row>
    <row r="25" spans="1:97" x14ac:dyDescent="0.25">
      <c r="A25" s="17"/>
      <c r="B25" s="10" t="s">
        <v>80</v>
      </c>
      <c r="C25" s="4" t="s">
        <v>111</v>
      </c>
      <c r="D25" s="2">
        <v>20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671.147275895701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63.709293945465902</v>
      </c>
      <c r="AH25" s="1">
        <v>226.64480736250201</v>
      </c>
      <c r="AI25" s="1">
        <v>25.506912627164699</v>
      </c>
      <c r="AJ25" s="1">
        <v>31.868028686205999</v>
      </c>
      <c r="AK25" s="1">
        <v>0</v>
      </c>
      <c r="AL25" s="14">
        <v>64.975666510210004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137.29776389491801</v>
      </c>
      <c r="AT25" s="14">
        <v>0</v>
      </c>
      <c r="AU25" s="14">
        <v>0</v>
      </c>
      <c r="AV25" s="14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2.5484277781533799E-2</v>
      </c>
      <c r="BC25" s="1">
        <v>0.39491735898365699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495.43087839552402</v>
      </c>
      <c r="BL25" s="1">
        <v>0</v>
      </c>
      <c r="BM25" s="1">
        <v>22.2052922822492</v>
      </c>
      <c r="BN25" s="1">
        <v>558.70893766560005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152.80175680733299</v>
      </c>
      <c r="CS25" s="1">
        <v>-412.96437867556102</v>
      </c>
    </row>
    <row r="26" spans="1:97" x14ac:dyDescent="0.25">
      <c r="A26" s="17"/>
      <c r="B26" s="10" t="s">
        <v>81</v>
      </c>
      <c r="C26" s="4" t="s">
        <v>112</v>
      </c>
      <c r="D26" s="2">
        <v>21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947.29675944845997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76.602295695873295</v>
      </c>
      <c r="AH26" s="1">
        <v>130.976513534524</v>
      </c>
      <c r="AI26" s="1">
        <v>14.740273672329799</v>
      </c>
      <c r="AJ26" s="1">
        <v>20.1793015373479</v>
      </c>
      <c r="AK26" s="1">
        <v>0</v>
      </c>
      <c r="AL26" s="14">
        <v>10.614747417289699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11.5007248746667</v>
      </c>
      <c r="AT26" s="14">
        <v>53.640002161852699</v>
      </c>
      <c r="AU26" s="14">
        <v>0</v>
      </c>
      <c r="AV26" s="14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1.9993877103153699E-3</v>
      </c>
      <c r="BD26" s="1">
        <v>371.12362643300003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341.89088962732399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664.558901707833</v>
      </c>
      <c r="CS26" s="1">
        <v>-263.535747721142</v>
      </c>
    </row>
    <row r="27" spans="1:97" x14ac:dyDescent="0.25">
      <c r="A27" s="17"/>
      <c r="B27" s="10" t="s">
        <v>27</v>
      </c>
      <c r="C27" s="4" t="s">
        <v>113</v>
      </c>
      <c r="D27" s="2">
        <v>22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1061.6398111552001</v>
      </c>
      <c r="AG27" s="1">
        <v>0</v>
      </c>
      <c r="AH27" s="1">
        <v>0</v>
      </c>
      <c r="AI27" s="1">
        <v>0</v>
      </c>
      <c r="AJ27" s="1">
        <v>144.015211964336</v>
      </c>
      <c r="AK27" s="1">
        <v>0</v>
      </c>
      <c r="AL27" s="14">
        <v>52.402141599787498</v>
      </c>
      <c r="AM27" s="14">
        <v>10.8402590658854</v>
      </c>
      <c r="AN27" s="14">
        <v>126.519130940072</v>
      </c>
      <c r="AO27" s="14">
        <v>3.8500273537580698</v>
      </c>
      <c r="AP27" s="14">
        <v>2.8407594599999999E-2</v>
      </c>
      <c r="AQ27" s="14">
        <v>15.946990605</v>
      </c>
      <c r="AR27" s="14">
        <v>40.928703082200002</v>
      </c>
      <c r="AS27" s="14">
        <v>94.113001562082601</v>
      </c>
      <c r="AT27" s="14">
        <v>0</v>
      </c>
      <c r="AU27" s="14">
        <v>0</v>
      </c>
      <c r="AV27" s="14">
        <v>0</v>
      </c>
      <c r="AW27" s="1">
        <v>7.5385300486829204E-3</v>
      </c>
      <c r="AX27" s="1">
        <v>0.35792494111722101</v>
      </c>
      <c r="AY27" s="1">
        <v>524.41506053144099</v>
      </c>
      <c r="AZ27" s="1">
        <v>6.2691440291106701</v>
      </c>
      <c r="BA27" s="1">
        <v>0.38971663615466401</v>
      </c>
      <c r="BB27" s="1">
        <v>1.46882807358483E-4</v>
      </c>
      <c r="BC27" s="1">
        <v>0.177585518750497</v>
      </c>
      <c r="BD27" s="1">
        <v>0.113536740887662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3.6854064198953598E-3</v>
      </c>
      <c r="BM27" s="1">
        <v>221.415657544677</v>
      </c>
      <c r="BN27" s="1">
        <v>335.1263120644</v>
      </c>
      <c r="BO27" s="1">
        <v>0.76396575698571401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-228.01391326665001</v>
      </c>
    </row>
    <row r="28" spans="1:97" x14ac:dyDescent="0.25">
      <c r="A28" s="17"/>
      <c r="B28" s="10" t="s">
        <v>82</v>
      </c>
      <c r="C28" s="4" t="s">
        <v>114</v>
      </c>
      <c r="D28" s="2">
        <v>23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603.81654223998896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166.39492906750101</v>
      </c>
      <c r="AH28" s="1">
        <v>5.1915803876817703</v>
      </c>
      <c r="AI28" s="1">
        <v>0.58426746629011705</v>
      </c>
      <c r="AJ28" s="1">
        <v>15.8599100908244</v>
      </c>
      <c r="AK28" s="1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33.212964448224803</v>
      </c>
      <c r="AT28" s="14">
        <v>0</v>
      </c>
      <c r="AU28" s="14">
        <v>0</v>
      </c>
      <c r="AV28" s="14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234.018216424001</v>
      </c>
      <c r="BF28" s="1">
        <v>388.33505768132801</v>
      </c>
      <c r="BG28" s="1">
        <v>4.4643432614069898</v>
      </c>
      <c r="BH28" s="1">
        <v>0.55074489865313703</v>
      </c>
      <c r="BI28" s="1">
        <v>37.839304476488103</v>
      </c>
      <c r="BJ28" s="1">
        <v>7.3861033328340694E-2</v>
      </c>
      <c r="BK28" s="1">
        <v>15.512682525518301</v>
      </c>
      <c r="BL28" s="1">
        <v>24.2275244289205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26.361177577654502</v>
      </c>
      <c r="CS28" s="1">
        <v>27.251352496763499</v>
      </c>
    </row>
    <row r="29" spans="1:97" x14ac:dyDescent="0.25">
      <c r="A29" s="17"/>
      <c r="B29" s="4" t="s">
        <v>83</v>
      </c>
      <c r="C29" s="4" t="s">
        <v>63</v>
      </c>
      <c r="D29" s="2">
        <v>24</v>
      </c>
      <c r="E29" s="1">
        <v>30202</v>
      </c>
      <c r="F29" s="1">
        <v>6771.2036831296</v>
      </c>
      <c r="G29" s="1">
        <v>31118.397373164698</v>
      </c>
      <c r="H29" s="1">
        <v>8322</v>
      </c>
      <c r="I29" s="1">
        <v>5013</v>
      </c>
      <c r="J29" s="1">
        <v>6546</v>
      </c>
      <c r="K29" s="1">
        <v>66359</v>
      </c>
      <c r="L29" s="1">
        <v>1048382.15904433</v>
      </c>
      <c r="M29" s="1">
        <v>55304</v>
      </c>
      <c r="N29" s="1">
        <v>9407</v>
      </c>
      <c r="O29" s="1">
        <v>11235</v>
      </c>
      <c r="P29" s="1">
        <v>685.74405713470105</v>
      </c>
      <c r="Q29" s="1">
        <v>2347.4223054807899</v>
      </c>
      <c r="R29" s="1">
        <v>34159.505151493002</v>
      </c>
      <c r="S29" s="1">
        <v>9716.30586738686</v>
      </c>
      <c r="T29" s="1">
        <v>12949.500970325</v>
      </c>
      <c r="U29" s="1">
        <v>104.78653136</v>
      </c>
      <c r="V29" s="1">
        <v>671.147275895701</v>
      </c>
      <c r="W29" s="1">
        <v>947.29675944845997</v>
      </c>
      <c r="X29" s="1">
        <v>2446.8260592706301</v>
      </c>
      <c r="Y29" s="1">
        <v>4060.3178392807599</v>
      </c>
      <c r="Z29" s="1">
        <v>46.677868058563497</v>
      </c>
      <c r="AA29" s="1">
        <v>5.7584276584404099</v>
      </c>
      <c r="AB29" s="1">
        <v>395.63670586223401</v>
      </c>
      <c r="AC29" s="1">
        <v>0.77226937233380899</v>
      </c>
      <c r="AD29" s="1">
        <v>162.19607359052401</v>
      </c>
      <c r="AE29" s="1">
        <v>253.31591288129599</v>
      </c>
      <c r="AF29" s="1">
        <v>1061.6398111552001</v>
      </c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</row>
    <row r="30" spans="1:97" x14ac:dyDescent="0.25">
      <c r="A30" s="17"/>
      <c r="B30" s="4" t="s">
        <v>84</v>
      </c>
      <c r="C30" s="4" t="s">
        <v>63</v>
      </c>
      <c r="D30" s="2">
        <v>25</v>
      </c>
      <c r="E30" s="1">
        <v>11263.6069396561</v>
      </c>
      <c r="F30" s="1">
        <v>316.13794727481798</v>
      </c>
      <c r="G30" s="1">
        <v>9559.3354681900491</v>
      </c>
      <c r="H30" s="1">
        <v>2730.14618658471</v>
      </c>
      <c r="I30" s="1">
        <v>1567.0164846082</v>
      </c>
      <c r="J30" s="1">
        <v>1428.88658859614</v>
      </c>
      <c r="K30" s="1">
        <v>14500</v>
      </c>
      <c r="L30" s="1">
        <v>531602.49737552204</v>
      </c>
      <c r="M30" s="1">
        <v>23954.798105165301</v>
      </c>
      <c r="N30" s="1">
        <v>3101.7825241901901</v>
      </c>
      <c r="O30" s="1">
        <v>3533.2079210536799</v>
      </c>
      <c r="P30" s="21">
        <v>-782.21174104293198</v>
      </c>
      <c r="Q30" s="21">
        <v>1338.8741931653301</v>
      </c>
      <c r="R30" s="21">
        <v>-11714.7204635821</v>
      </c>
      <c r="S30" s="1">
        <v>-5182.1011786743202</v>
      </c>
      <c r="T30" s="1">
        <v>8619.6599168544108</v>
      </c>
      <c r="U30" s="1">
        <v>73.9081673482561</v>
      </c>
      <c r="V30" s="1">
        <v>344.692878224673</v>
      </c>
      <c r="W30" s="1">
        <v>-20.355597798043199</v>
      </c>
      <c r="X30" s="20">
        <v>-5035.2321815330197</v>
      </c>
      <c r="Y30" s="20">
        <v>-691.48594023664202</v>
      </c>
      <c r="Z30" s="20">
        <v>-289.921301969409</v>
      </c>
      <c r="AA30" s="20">
        <v>-6.6095799298018303</v>
      </c>
      <c r="AB30" s="20">
        <v>-454.11570408929401</v>
      </c>
      <c r="AC30" s="20">
        <v>-0.88641838476454105</v>
      </c>
      <c r="AD30" s="20">
        <v>-454.98471646200699</v>
      </c>
      <c r="AE30" s="20">
        <v>154.76526634411599</v>
      </c>
      <c r="AF30" s="1">
        <v>102.947395563798</v>
      </c>
      <c r="AK30" s="10" t="s">
        <v>73</v>
      </c>
      <c r="AL30">
        <f>AL17/ENR!AL17</f>
        <v>812.17963913043502</v>
      </c>
      <c r="AM30">
        <f>AM17/ENR!AM17</f>
        <v>812.17963913043684</v>
      </c>
      <c r="AN30">
        <f>AN17/ENR!AN17</f>
        <v>812.17963913043525</v>
      </c>
      <c r="AO30">
        <f>AO17/ENR!AO17</f>
        <v>812.17963913043491</v>
      </c>
      <c r="AP30">
        <f>AP17/ENR!AP17</f>
        <v>812.17963913043297</v>
      </c>
      <c r="AQ30">
        <f>AQ17/ENR!AQ17</f>
        <v>812.17963913043366</v>
      </c>
      <c r="AR30">
        <f>AR17/ENR!AR17</f>
        <v>812.17963913043536</v>
      </c>
      <c r="AS30">
        <f>AS17/ENR!AS17</f>
        <v>812.94982141583546</v>
      </c>
      <c r="AT30" t="e">
        <f>AT17/ENR!AT17</f>
        <v>#DIV/0!</v>
      </c>
      <c r="AU30" t="e">
        <f>AU17/ENR!AU17</f>
        <v>#DIV/0!</v>
      </c>
      <c r="AV30" t="e">
        <f>AV17/ENR!AV17</f>
        <v>#DIV/0!</v>
      </c>
      <c r="AW30">
        <f>AW17/ENR!AW17</f>
        <v>812.1796391304357</v>
      </c>
      <c r="AX30">
        <f>AX17/ENR!AX17</f>
        <v>815.24161283757394</v>
      </c>
      <c r="AY30">
        <f>AY17/ENR!AY17</f>
        <v>811.27119921143128</v>
      </c>
      <c r="AZ30">
        <f>AZ17/ENR!AZ17</f>
        <v>812.17963913043536</v>
      </c>
      <c r="BA30">
        <f>BA17/ENR!BA17</f>
        <v>812.18021678297885</v>
      </c>
      <c r="BB30">
        <f>BB17/ENR!BB17</f>
        <v>812.1796391304365</v>
      </c>
      <c r="BC30">
        <f>BC17/ENR!BC17</f>
        <v>812.17963913043502</v>
      </c>
      <c r="BD30">
        <f>BD17/ENR!BD17</f>
        <v>812.17963913043525</v>
      </c>
      <c r="BE30">
        <f>BE17/ENR!BE17</f>
        <v>812.17963913043491</v>
      </c>
      <c r="BF30">
        <f>BF17/ENR!BF17</f>
        <v>812.17963913043479</v>
      </c>
      <c r="BG30">
        <f>BG17/ENR!BG17</f>
        <v>812.17963913043297</v>
      </c>
      <c r="BH30">
        <f>BH17/ENR!BH17</f>
        <v>812.17963913043457</v>
      </c>
      <c r="BI30">
        <f>BI17/ENR!BI17</f>
        <v>812.17963913043445</v>
      </c>
      <c r="BJ30">
        <f>BJ17/ENR!BJ17</f>
        <v>812.179639130434</v>
      </c>
      <c r="BK30">
        <f>BK17/ENR!BK17</f>
        <v>812.17963913043377</v>
      </c>
      <c r="BL30">
        <f>BL17/ENR!BL17</f>
        <v>812.17963913043741</v>
      </c>
      <c r="BM30">
        <f>BM17/ENR!BM17</f>
        <v>812.17963913043764</v>
      </c>
      <c r="BN30">
        <f>BN17/ENR!BN17</f>
        <v>1327.6479555555568</v>
      </c>
      <c r="BO30" t="e">
        <f>BO17/ENR!BO17</f>
        <v>#DIV/0!</v>
      </c>
      <c r="BP30" t="e">
        <f>BP17/ENR!BP17</f>
        <v>#DIV/0!</v>
      </c>
      <c r="BQ30" t="e">
        <f>BQ17/ENR!BQ17</f>
        <v>#DIV/0!</v>
      </c>
      <c r="BR30" t="e">
        <f>BR17/ENR!BR17</f>
        <v>#DIV/0!</v>
      </c>
      <c r="BS30" t="e">
        <f>BS17/ENR!BS17</f>
        <v>#DIV/0!</v>
      </c>
      <c r="BT30" t="e">
        <f>BT17/ENR!BT17</f>
        <v>#DIV/0!</v>
      </c>
      <c r="BU30" t="e">
        <f>BU17/ENR!BU17</f>
        <v>#DIV/0!</v>
      </c>
      <c r="BV30" t="e">
        <f>BV17/ENR!BV17</f>
        <v>#DIV/0!</v>
      </c>
      <c r="BW30" t="e">
        <f>BW17/ENR!BW17</f>
        <v>#DIV/0!</v>
      </c>
      <c r="BX30" t="e">
        <f>BX17/ENR!BX17</f>
        <v>#DIV/0!</v>
      </c>
      <c r="BY30" t="e">
        <f>BY17/ENR!BY17</f>
        <v>#DIV/0!</v>
      </c>
      <c r="BZ30" t="e">
        <f>BZ17/ENR!BZ17</f>
        <v>#DIV/0!</v>
      </c>
      <c r="CA30" t="e">
        <f>CA17/ENR!CA17</f>
        <v>#DIV/0!</v>
      </c>
      <c r="CB30" t="e">
        <f>CB17/ENR!CB17</f>
        <v>#DIV/0!</v>
      </c>
      <c r="CC30" t="e">
        <f>CC17/ENR!CC17</f>
        <v>#DIV/0!</v>
      </c>
      <c r="CD30" t="e">
        <f>CD17/ENR!CD17</f>
        <v>#DIV/0!</v>
      </c>
      <c r="CE30" t="e">
        <f>CE17/ENR!CE17</f>
        <v>#DIV/0!</v>
      </c>
      <c r="CF30" t="e">
        <f>CF17/ENR!CF17</f>
        <v>#DIV/0!</v>
      </c>
      <c r="CG30" t="e">
        <f>CG17/ENR!CG17</f>
        <v>#DIV/0!</v>
      </c>
      <c r="CH30" t="e">
        <f>CH17/ENR!CH17</f>
        <v>#DIV/0!</v>
      </c>
      <c r="CI30" t="e">
        <f>CI17/ENR!CI17</f>
        <v>#DIV/0!</v>
      </c>
      <c r="CJ30" t="e">
        <f>CJ17/ENR!CJ17</f>
        <v>#DIV/0!</v>
      </c>
      <c r="CK30" t="e">
        <f>CK17/ENR!CK17</f>
        <v>#DIV/0!</v>
      </c>
      <c r="CL30" t="e">
        <f>CL17/ENR!CL17</f>
        <v>#DIV/0!</v>
      </c>
      <c r="CM30" t="e">
        <f>CM17/ENR!CM17</f>
        <v>#DIV/0!</v>
      </c>
      <c r="CN30" t="e">
        <f>CN17/ENR!CN17</f>
        <v>#DIV/0!</v>
      </c>
      <c r="CO30" t="e">
        <f>CO17/ENR!CO17</f>
        <v>#DIV/0!</v>
      </c>
      <c r="CP30" t="e">
        <f>CP17/ENR!CP17</f>
        <v>#DIV/0!</v>
      </c>
      <c r="CQ30" t="e">
        <f>CQ17/ENR!CQ17</f>
        <v>#DIV/0!</v>
      </c>
      <c r="CR30">
        <f>CR17/ENR!CR17</f>
        <v>470.12048355000042</v>
      </c>
      <c r="CS30" t="e">
        <f>CS17/ENR!CS17</f>
        <v>#DIV/0!</v>
      </c>
    </row>
    <row r="31" spans="1:97" x14ac:dyDescent="0.25">
      <c r="A31" s="17"/>
      <c r="B31" s="4" t="s">
        <v>85</v>
      </c>
      <c r="C31" s="4" t="s">
        <v>63</v>
      </c>
      <c r="D31" s="2">
        <v>26</v>
      </c>
      <c r="E31" s="1">
        <v>-722.21738524069701</v>
      </c>
      <c r="F31" s="1">
        <v>4.8015910389516403</v>
      </c>
      <c r="G31" s="1">
        <v>11.1716997893224</v>
      </c>
      <c r="H31" s="1">
        <v>-10</v>
      </c>
      <c r="I31" s="1">
        <v>18</v>
      </c>
      <c r="J31" s="1">
        <v>12</v>
      </c>
      <c r="K31" s="1">
        <v>80</v>
      </c>
      <c r="L31" s="1">
        <v>2893.0534763610199</v>
      </c>
      <c r="M31" s="1">
        <v>-748</v>
      </c>
      <c r="N31" s="1">
        <v>-63</v>
      </c>
      <c r="O31" s="1">
        <v>39</v>
      </c>
      <c r="P31" s="1">
        <v>0.82465913885977005</v>
      </c>
      <c r="Q31" s="1">
        <v>0.74624000386164702</v>
      </c>
      <c r="R31" s="1">
        <v>41.079390785843401</v>
      </c>
      <c r="S31" s="1">
        <v>3.4882147338759002</v>
      </c>
      <c r="T31" s="1">
        <v>4.2966640635006499</v>
      </c>
      <c r="U31" s="1">
        <v>0.68062252297217096</v>
      </c>
      <c r="V31" s="1">
        <v>-4.0412456941375403</v>
      </c>
      <c r="W31" s="1">
        <v>0.34008547680165901</v>
      </c>
      <c r="X31" s="1">
        <v>15.8929292163835</v>
      </c>
      <c r="Y31" s="1">
        <v>26.373081883451999</v>
      </c>
      <c r="Z31" s="1">
        <v>0.303187899366895</v>
      </c>
      <c r="AA31" s="1">
        <v>3.7402856172186999E-2</v>
      </c>
      <c r="AB31" s="1">
        <v>2.5697887832476098</v>
      </c>
      <c r="AC31" s="1">
        <v>5.0161401641033599E-3</v>
      </c>
      <c r="AD31" s="1">
        <v>1.0535161283666901</v>
      </c>
      <c r="AE31" s="1">
        <v>1.6453690516955199</v>
      </c>
      <c r="AF31" s="1">
        <v>6.8956950609778396</v>
      </c>
      <c r="AK31" s="10" t="s">
        <v>12</v>
      </c>
      <c r="AL31">
        <f>AL18/ENR!AL18</f>
        <v>416.96019645000013</v>
      </c>
      <c r="AM31">
        <f>AM18/ENR!AM18</f>
        <v>416.9601964499999</v>
      </c>
      <c r="AN31">
        <f>AN18/ENR!AN18</f>
        <v>416.96019644999973</v>
      </c>
      <c r="AO31">
        <f>AO18/ENR!AO18</f>
        <v>416.96019645000001</v>
      </c>
      <c r="AP31">
        <f>AP18/ENR!AP18</f>
        <v>416.96019645000126</v>
      </c>
      <c r="AQ31">
        <f>AQ18/ENR!AQ18</f>
        <v>416.96019644999984</v>
      </c>
      <c r="AR31">
        <f>AR18/ENR!AR18</f>
        <v>416.96019645000064</v>
      </c>
      <c r="AS31">
        <f>AS18/ENR!AS18</f>
        <v>417.31556901922238</v>
      </c>
      <c r="AT31" t="e">
        <f>AT18/ENR!AT18</f>
        <v>#DIV/0!</v>
      </c>
      <c r="AU31" t="e">
        <f>AU18/ENR!AU18</f>
        <v>#DIV/0!</v>
      </c>
      <c r="AV31" t="e">
        <f>AV18/ENR!AV18</f>
        <v>#DIV/0!</v>
      </c>
      <c r="AW31">
        <f>AW18/ENR!AW18</f>
        <v>416.96019644999967</v>
      </c>
      <c r="AX31">
        <f>AX18/ENR!AX18</f>
        <v>418.5321653802016</v>
      </c>
      <c r="AY31">
        <f>AY18/ENR!AY18</f>
        <v>416.95661602320268</v>
      </c>
      <c r="AZ31">
        <f>AZ18/ENR!AZ18</f>
        <v>416.96019645000007</v>
      </c>
      <c r="BA31">
        <f>BA18/ENR!BA18</f>
        <v>418.4559312457634</v>
      </c>
      <c r="BB31">
        <f>BB18/ENR!BB18</f>
        <v>416.96019644999984</v>
      </c>
      <c r="BC31">
        <f>BC18/ENR!BC18</f>
        <v>416.96019645000018</v>
      </c>
      <c r="BD31">
        <f>BD18/ENR!BD18</f>
        <v>416.9601964500003</v>
      </c>
      <c r="BE31">
        <f>BE18/ENR!BE18</f>
        <v>416.96019644999819</v>
      </c>
      <c r="BF31">
        <f>BF18/ENR!BF18</f>
        <v>416.96019644999961</v>
      </c>
      <c r="BG31">
        <f>BG18/ENR!BG18</f>
        <v>416.96019645000109</v>
      </c>
      <c r="BH31">
        <f>BH18/ENR!BH18</f>
        <v>416.96019644999996</v>
      </c>
      <c r="BI31">
        <f>BI18/ENR!BI18</f>
        <v>416.96019644999927</v>
      </c>
      <c r="BJ31">
        <f>BJ18/ENR!BJ18</f>
        <v>416.96019644999984</v>
      </c>
      <c r="BK31">
        <f>BK18/ENR!BK18</f>
        <v>416.96019644999956</v>
      </c>
      <c r="BL31">
        <f>BL18/ENR!BL18</f>
        <v>416.96019645000041</v>
      </c>
      <c r="BM31">
        <f>BM18/ENR!BM18</f>
        <v>416.96019645000058</v>
      </c>
      <c r="BN31" t="e">
        <f>BN18/ENR!BN18</f>
        <v>#DIV/0!</v>
      </c>
      <c r="BO31" t="e">
        <f>BO18/ENR!BO18</f>
        <v>#DIV/0!</v>
      </c>
      <c r="BP31" t="e">
        <f>BP18/ENR!BP18</f>
        <v>#DIV/0!</v>
      </c>
      <c r="BQ31" t="e">
        <f>BQ18/ENR!BQ18</f>
        <v>#DIV/0!</v>
      </c>
      <c r="BR31" t="e">
        <f>BR18/ENR!BR18</f>
        <v>#DIV/0!</v>
      </c>
      <c r="BS31" t="e">
        <f>BS18/ENR!BS18</f>
        <v>#DIV/0!</v>
      </c>
      <c r="BT31" t="e">
        <f>BT18/ENR!BT18</f>
        <v>#DIV/0!</v>
      </c>
      <c r="BU31" t="e">
        <f>BU18/ENR!BU18</f>
        <v>#DIV/0!</v>
      </c>
      <c r="BV31" t="e">
        <f>BV18/ENR!BV18</f>
        <v>#DIV/0!</v>
      </c>
      <c r="BW31" t="e">
        <f>BW18/ENR!BW18</f>
        <v>#DIV/0!</v>
      </c>
      <c r="BX31" t="e">
        <f>BX18/ENR!BX18</f>
        <v>#DIV/0!</v>
      </c>
      <c r="BY31" t="e">
        <f>BY18/ENR!BY18</f>
        <v>#DIV/0!</v>
      </c>
      <c r="BZ31" t="e">
        <f>BZ18/ENR!BZ18</f>
        <v>#DIV/0!</v>
      </c>
      <c r="CA31" t="e">
        <f>CA18/ENR!CA18</f>
        <v>#DIV/0!</v>
      </c>
      <c r="CB31" t="e">
        <f>CB18/ENR!CB18</f>
        <v>#DIV/0!</v>
      </c>
      <c r="CC31" t="e">
        <f>CC18/ENR!CC18</f>
        <v>#DIV/0!</v>
      </c>
      <c r="CD31" t="e">
        <f>CD18/ENR!CD18</f>
        <v>#DIV/0!</v>
      </c>
      <c r="CE31" t="e">
        <f>CE18/ENR!CE18</f>
        <v>#DIV/0!</v>
      </c>
      <c r="CF31" t="e">
        <f>CF18/ENR!CF18</f>
        <v>#DIV/0!</v>
      </c>
      <c r="CG31" t="e">
        <f>CG18/ENR!CG18</f>
        <v>#DIV/0!</v>
      </c>
      <c r="CH31" t="e">
        <f>CH18/ENR!CH18</f>
        <v>#DIV/0!</v>
      </c>
      <c r="CI31" t="e">
        <f>CI18/ENR!CI18</f>
        <v>#DIV/0!</v>
      </c>
      <c r="CJ31" t="e">
        <f>CJ18/ENR!CJ18</f>
        <v>#DIV/0!</v>
      </c>
      <c r="CK31" t="e">
        <f>CK18/ENR!CK18</f>
        <v>#DIV/0!</v>
      </c>
      <c r="CL31" t="e">
        <f>CL18/ENR!CL18</f>
        <v>#DIV/0!</v>
      </c>
      <c r="CM31" t="e">
        <f>CM18/ENR!CM18</f>
        <v>#DIV/0!</v>
      </c>
      <c r="CN31" t="e">
        <f>CN18/ENR!CN18</f>
        <v>#DIV/0!</v>
      </c>
      <c r="CO31" t="e">
        <f>CO18/ENR!CO18</f>
        <v>#DIV/0!</v>
      </c>
      <c r="CP31" t="e">
        <f>CP18/ENR!CP18</f>
        <v>#DIV/0!</v>
      </c>
      <c r="CQ31" t="e">
        <f>CQ18/ENR!CQ18</f>
        <v>#DIV/0!</v>
      </c>
      <c r="CR31">
        <f>CR18/ENR!CR18</f>
        <v>420.13192409999999</v>
      </c>
      <c r="CS31" t="e">
        <f>CS18/ENR!CS18</f>
        <v>#DIV/0!</v>
      </c>
    </row>
    <row r="32" spans="1:97" x14ac:dyDescent="0.25">
      <c r="A32" s="17"/>
      <c r="B32" s="4" t="s">
        <v>86</v>
      </c>
      <c r="C32" s="4" t="s">
        <v>63</v>
      </c>
      <c r="D32" s="2">
        <v>27</v>
      </c>
      <c r="E32" s="1">
        <v>10320.669457284401</v>
      </c>
      <c r="F32" s="1">
        <v>978.56425373834395</v>
      </c>
      <c r="G32" s="1">
        <v>2121.1333999993499</v>
      </c>
      <c r="H32" s="1">
        <v>1310</v>
      </c>
      <c r="I32" s="1">
        <v>885</v>
      </c>
      <c r="J32" s="1">
        <v>809</v>
      </c>
      <c r="K32" s="1">
        <v>7261</v>
      </c>
      <c r="L32" s="1">
        <v>291972.35801576602</v>
      </c>
      <c r="M32" s="1">
        <v>12427</v>
      </c>
      <c r="N32" s="1">
        <v>1238</v>
      </c>
      <c r="O32" s="1">
        <v>1599</v>
      </c>
      <c r="P32" s="1">
        <v>8.4233040612105103</v>
      </c>
      <c r="Q32" s="1">
        <v>116.164693934463</v>
      </c>
      <c r="R32" s="1">
        <v>419.59663445540002</v>
      </c>
      <c r="S32" s="1">
        <v>662.29570413857095</v>
      </c>
      <c r="T32" s="1">
        <v>664.44129030557804</v>
      </c>
      <c r="U32" s="1">
        <v>11.0014416428691</v>
      </c>
      <c r="V32" s="1">
        <v>125.393187585953</v>
      </c>
      <c r="W32" s="1">
        <v>64.570895862074906</v>
      </c>
      <c r="X32" s="1">
        <v>256.89001966137198</v>
      </c>
      <c r="Y32" s="1">
        <v>426.28903906441701</v>
      </c>
      <c r="Z32" s="1">
        <v>4.9006664768355801</v>
      </c>
      <c r="AA32" s="1">
        <v>0.60457202864526405</v>
      </c>
      <c r="AB32" s="1">
        <v>41.537534211976499</v>
      </c>
      <c r="AC32" s="1">
        <v>8.10798517904638E-2</v>
      </c>
      <c r="AD32" s="1">
        <v>17.028816730065099</v>
      </c>
      <c r="AE32" s="1">
        <v>26.5954049304233</v>
      </c>
      <c r="AF32" s="1">
        <v>111.46058827011601</v>
      </c>
      <c r="AK32" s="10" t="s">
        <v>74</v>
      </c>
      <c r="AL32">
        <f>AL19/ENR!AL19</f>
        <v>1105.4273633762148</v>
      </c>
      <c r="AM32">
        <f>AM19/ENR!AM19</f>
        <v>1001.1076666666667</v>
      </c>
      <c r="AN32">
        <f>AN19/ENR!AN19</f>
        <v>1001.1076666666667</v>
      </c>
      <c r="AO32">
        <f>AO19/ENR!AO19</f>
        <v>1001.1076666666684</v>
      </c>
      <c r="AP32">
        <f>AP19/ENR!AP19</f>
        <v>1001.107666666667</v>
      </c>
      <c r="AQ32">
        <f>AQ19/ENR!AQ19</f>
        <v>1001.1076666666677</v>
      </c>
      <c r="AR32">
        <f>AR19/ENR!AR19</f>
        <v>1004.8122913252488</v>
      </c>
      <c r="AS32">
        <f>AS19/ENR!AS19</f>
        <v>3189.3746118661379</v>
      </c>
      <c r="AT32">
        <f>AT19/ENR!AT19</f>
        <v>1516.1019320729372</v>
      </c>
      <c r="AU32">
        <f>AU19/ENR!AU19</f>
        <v>2639.8206336158764</v>
      </c>
      <c r="AV32" s="16">
        <f>AV19/ENR!AV19</f>
        <v>263699.28859834647</v>
      </c>
      <c r="AW32" s="15">
        <f>AW19/ENR!AW19</f>
        <v>1001.1076666666603</v>
      </c>
      <c r="AX32" s="15">
        <f>AX19/ENR!AX19</f>
        <v>1004.4297590159441</v>
      </c>
      <c r="AY32" s="15">
        <f>AY19/ENR!AY19</f>
        <v>1000.9496529757679</v>
      </c>
      <c r="AZ32" s="15">
        <f>AZ19/ENR!AZ19</f>
        <v>1001.1076666666667</v>
      </c>
      <c r="BA32" s="15">
        <f>BA19/ENR!BA19</f>
        <v>1004.4186126460769</v>
      </c>
      <c r="BB32" s="15">
        <f>BB19/ENR!BB19</f>
        <v>1001.1076666666653</v>
      </c>
      <c r="BC32" s="15">
        <f>BC19/ENR!BC19</f>
        <v>7890.4301517152571</v>
      </c>
      <c r="BD32" s="15">
        <f>BD19/ENR!BD19</f>
        <v>1001.1076666666667</v>
      </c>
      <c r="BE32" s="15" t="e">
        <f>BE19/ENR!BE19</f>
        <v>#DIV/0!</v>
      </c>
      <c r="BF32" s="15" t="e">
        <f>BF19/ENR!BF19</f>
        <v>#DIV/0!</v>
      </c>
      <c r="BG32" s="15">
        <f>BG19/ENR!BG19</f>
        <v>1001.1076666666667</v>
      </c>
      <c r="BH32" s="15" t="e">
        <f>BH19/ENR!BH19</f>
        <v>#DIV/0!</v>
      </c>
      <c r="BI32" s="15" t="e">
        <f>BI19/ENR!BI19</f>
        <v>#DIV/0!</v>
      </c>
      <c r="BJ32" s="15" t="e">
        <f>BJ19/ENR!BJ19</f>
        <v>#DIV/0!</v>
      </c>
      <c r="BK32" s="15" t="e">
        <f>BK19/ENR!BK19</f>
        <v>#DIV/0!</v>
      </c>
      <c r="BL32" s="15" t="e">
        <f>BL19/ENR!BL19</f>
        <v>#DIV/0!</v>
      </c>
      <c r="BM32" s="15">
        <f>BM19/ENR!BM19</f>
        <v>1001.1076666666687</v>
      </c>
      <c r="BN32" s="15">
        <f>BN19/ENR!BN19</f>
        <v>1397.1076499999936</v>
      </c>
      <c r="BO32" s="15" t="e">
        <f>BO19/ENR!BO19</f>
        <v>#DIV/0!</v>
      </c>
      <c r="BP32" s="15" t="e">
        <f>BP19/ENR!BP19</f>
        <v>#DIV/0!</v>
      </c>
      <c r="BQ32" s="15" t="e">
        <f>BQ19/ENR!BQ19</f>
        <v>#DIV/0!</v>
      </c>
      <c r="BR32" s="15" t="e">
        <f>BR19/ENR!BR19</f>
        <v>#DIV/0!</v>
      </c>
      <c r="BS32" s="15" t="e">
        <f>BS19/ENR!BS19</f>
        <v>#DIV/0!</v>
      </c>
      <c r="BT32" s="15" t="e">
        <f>BT19/ENR!BT19</f>
        <v>#DIV/0!</v>
      </c>
      <c r="BU32" s="15" t="e">
        <f>BU19/ENR!BU19</f>
        <v>#DIV/0!</v>
      </c>
      <c r="BV32" s="15" t="e">
        <f>BV19/ENR!BV19</f>
        <v>#DIV/0!</v>
      </c>
      <c r="BW32" s="15" t="e">
        <f>BW19/ENR!BW19</f>
        <v>#DIV/0!</v>
      </c>
      <c r="BX32" s="15" t="e">
        <f>BX19/ENR!BX19</f>
        <v>#DIV/0!</v>
      </c>
      <c r="BY32" s="15" t="e">
        <f>BY19/ENR!BY19</f>
        <v>#DIV/0!</v>
      </c>
      <c r="BZ32" s="15" t="e">
        <f>BZ19/ENR!BZ19</f>
        <v>#DIV/0!</v>
      </c>
      <c r="CA32" s="15" t="e">
        <f>CA19/ENR!CA19</f>
        <v>#DIV/0!</v>
      </c>
      <c r="CB32" s="15" t="e">
        <f>CB19/ENR!CB19</f>
        <v>#DIV/0!</v>
      </c>
      <c r="CC32" s="15" t="e">
        <f>CC19/ENR!CC19</f>
        <v>#DIV/0!</v>
      </c>
      <c r="CD32" s="15" t="e">
        <f>CD19/ENR!CD19</f>
        <v>#DIV/0!</v>
      </c>
      <c r="CE32" s="15" t="e">
        <f>CE19/ENR!CE19</f>
        <v>#DIV/0!</v>
      </c>
      <c r="CF32" s="15" t="e">
        <f>CF19/ENR!CF19</f>
        <v>#DIV/0!</v>
      </c>
      <c r="CG32" s="15" t="e">
        <f>CG19/ENR!CG19</f>
        <v>#DIV/0!</v>
      </c>
      <c r="CH32" s="15" t="e">
        <f>CH19/ENR!CH19</f>
        <v>#DIV/0!</v>
      </c>
      <c r="CI32" s="15" t="e">
        <f>CI19/ENR!CI19</f>
        <v>#DIV/0!</v>
      </c>
      <c r="CJ32" s="15" t="e">
        <f>CJ19/ENR!CJ19</f>
        <v>#DIV/0!</v>
      </c>
      <c r="CK32" s="15" t="e">
        <f>CK19/ENR!CK19</f>
        <v>#DIV/0!</v>
      </c>
      <c r="CL32" s="15" t="e">
        <f>CL19/ENR!CL19</f>
        <v>#DIV/0!</v>
      </c>
      <c r="CM32" s="15" t="e">
        <f>CM19/ENR!CM19</f>
        <v>#DIV/0!</v>
      </c>
      <c r="CN32" s="15" t="e">
        <f>CN19/ENR!CN19</f>
        <v>#DIV/0!</v>
      </c>
      <c r="CO32" s="15" t="e">
        <f>CO19/ENR!CO19</f>
        <v>#DIV/0!</v>
      </c>
      <c r="CP32" s="15" t="e">
        <f>CP19/ENR!CP19</f>
        <v>#DIV/0!</v>
      </c>
      <c r="CQ32" s="15" t="e">
        <f>CQ19/ENR!CQ19</f>
        <v>#DIV/0!</v>
      </c>
      <c r="CR32" s="15">
        <f>CR19/ENR!CR19</f>
        <v>519.95316666666668</v>
      </c>
      <c r="CS32" s="15" t="e">
        <f>CS19/ENR!CS19</f>
        <v>#DIV/0!</v>
      </c>
    </row>
    <row r="33" spans="1:97" x14ac:dyDescent="0.25">
      <c r="A33" s="17"/>
      <c r="B33" s="4" t="s">
        <v>87</v>
      </c>
      <c r="C33" s="4" t="s">
        <v>63</v>
      </c>
      <c r="D33" s="2">
        <v>28</v>
      </c>
      <c r="E33" s="1">
        <v>603.38258686650897</v>
      </c>
      <c r="F33" s="1">
        <v>242.00018836316301</v>
      </c>
      <c r="G33" s="1">
        <v>471.44573110940701</v>
      </c>
      <c r="H33" s="1">
        <v>332</v>
      </c>
      <c r="I33" s="1">
        <v>265</v>
      </c>
      <c r="J33" s="1">
        <v>191</v>
      </c>
      <c r="K33" s="1">
        <v>1227</v>
      </c>
      <c r="L33" s="1">
        <v>61630.569727280003</v>
      </c>
      <c r="M33" s="1">
        <v>3215</v>
      </c>
      <c r="N33" s="1">
        <v>182</v>
      </c>
      <c r="O33" s="1">
        <v>410</v>
      </c>
      <c r="P33" s="1">
        <v>3.4753492280518898</v>
      </c>
      <c r="Q33" s="1">
        <v>39.426346870690402</v>
      </c>
      <c r="R33" s="1">
        <v>173.12028974034001</v>
      </c>
      <c r="S33" s="1">
        <v>147.20266176956301</v>
      </c>
      <c r="T33" s="1">
        <v>221.85928826982601</v>
      </c>
      <c r="U33" s="1">
        <v>2.2178906352024201</v>
      </c>
      <c r="V33" s="1">
        <v>27.454168147139999</v>
      </c>
      <c r="W33" s="1">
        <v>14.35160712103</v>
      </c>
      <c r="X33" s="1">
        <v>51.789027963732501</v>
      </c>
      <c r="Y33" s="1">
        <v>85.939870275386596</v>
      </c>
      <c r="Z33" s="1">
        <v>0.98797436173005304</v>
      </c>
      <c r="AA33" s="1">
        <v>0.12188172097488501</v>
      </c>
      <c r="AB33" s="1">
        <v>8.3739668971344603</v>
      </c>
      <c r="AC33" s="1">
        <v>1.63456981209575E-2</v>
      </c>
      <c r="AD33" s="1">
        <v>3.4330094527811199</v>
      </c>
      <c r="AE33" s="1">
        <v>5.3616336339733497</v>
      </c>
      <c r="AF33" s="1">
        <v>22.470454595255401</v>
      </c>
      <c r="AK33" s="10" t="s">
        <v>75</v>
      </c>
      <c r="AL33">
        <f>AL20/ENR!AL20</f>
        <v>511.56579999999911</v>
      </c>
      <c r="AM33">
        <f>AM20/ENR!AM20</f>
        <v>511.56580000000082</v>
      </c>
      <c r="AN33">
        <f>AN20/ENR!AN20</f>
        <v>511.56580000000076</v>
      </c>
      <c r="AO33">
        <f>AO20/ENR!AO20</f>
        <v>511.5657999999994</v>
      </c>
      <c r="AP33">
        <f>AP20/ENR!AP20</f>
        <v>511.56579999999991</v>
      </c>
      <c r="AQ33">
        <f>AQ20/ENR!AQ20</f>
        <v>511.56580000000116</v>
      </c>
      <c r="AR33">
        <f>AR20/ENR!AR20</f>
        <v>511.56579999999946</v>
      </c>
      <c r="AS33">
        <f>AS20/ENR!AS20</f>
        <v>511.99139376531906</v>
      </c>
      <c r="AT33">
        <f>AT20/ENR!AT20</f>
        <v>511.56580000000019</v>
      </c>
      <c r="AU33">
        <f>AU20/ENR!AU20</f>
        <v>511.56579999999957</v>
      </c>
      <c r="AV33">
        <f>AV20/ENR!AV20</f>
        <v>511.56580000000264</v>
      </c>
      <c r="AW33">
        <f>AW20/ENR!AW20</f>
        <v>511.56579999999815</v>
      </c>
      <c r="AX33">
        <f>AX20/ENR!AX20</f>
        <v>513.49443863313525</v>
      </c>
      <c r="AY33">
        <f>AY20/ENR!AY20</f>
        <v>511.53706277184295</v>
      </c>
      <c r="AZ33">
        <f>AZ20/ENR!AZ20</f>
        <v>511.56580000000031</v>
      </c>
      <c r="BA33">
        <f>BA20/ENR!BA20</f>
        <v>513.40090746084729</v>
      </c>
      <c r="BB33">
        <f>BB20/ENR!BB20</f>
        <v>511.56580000000076</v>
      </c>
      <c r="BC33">
        <f>BC20/ENR!BC20</f>
        <v>511.56579999999974</v>
      </c>
      <c r="BD33">
        <f>BD20/ENR!BD20</f>
        <v>511.56580000000008</v>
      </c>
      <c r="BE33">
        <f>BE20/ENR!BE20</f>
        <v>511.56579999999923</v>
      </c>
      <c r="BF33">
        <f>BF20/ENR!BF20</f>
        <v>511.56580000000065</v>
      </c>
      <c r="BG33">
        <f>BG20/ENR!BG20</f>
        <v>511.56580000000099</v>
      </c>
      <c r="BH33">
        <f>BH20/ENR!BH20</f>
        <v>511.56580000000014</v>
      </c>
      <c r="BI33">
        <f>BI20/ENR!BI20</f>
        <v>511.56579999999889</v>
      </c>
      <c r="BJ33">
        <f>BJ20/ENR!BJ20</f>
        <v>511.56580000000031</v>
      </c>
      <c r="BK33">
        <f>BK20/ENR!BK20</f>
        <v>511.56580000000059</v>
      </c>
      <c r="BL33">
        <f>BL20/ENR!BL20</f>
        <v>511.56580000000122</v>
      </c>
      <c r="BM33">
        <f>BM20/ENR!BM20</f>
        <v>511.56580000000008</v>
      </c>
      <c r="BN33" t="e">
        <f>BN20/ENR!BN20</f>
        <v>#DIV/0!</v>
      </c>
      <c r="BO33" t="e">
        <f>BO20/ENR!BO20</f>
        <v>#DIV/0!</v>
      </c>
      <c r="BP33" t="e">
        <f>BP20/ENR!BP20</f>
        <v>#DIV/0!</v>
      </c>
      <c r="BQ33" t="e">
        <f>BQ20/ENR!BQ20</f>
        <v>#DIV/0!</v>
      </c>
      <c r="BR33" t="e">
        <f>BR20/ENR!BR20</f>
        <v>#DIV/0!</v>
      </c>
      <c r="BS33" t="e">
        <f>BS20/ENR!BS20</f>
        <v>#DIV/0!</v>
      </c>
      <c r="BT33" t="e">
        <f>BT20/ENR!BT20</f>
        <v>#DIV/0!</v>
      </c>
      <c r="BU33" t="e">
        <f>BU20/ENR!BU20</f>
        <v>#DIV/0!</v>
      </c>
      <c r="BV33" t="e">
        <f>BV20/ENR!BV20</f>
        <v>#DIV/0!</v>
      </c>
      <c r="BW33" t="e">
        <f>BW20/ENR!BW20</f>
        <v>#DIV/0!</v>
      </c>
      <c r="BX33" t="e">
        <f>BX20/ENR!BX20</f>
        <v>#DIV/0!</v>
      </c>
      <c r="BY33" t="e">
        <f>BY20/ENR!BY20</f>
        <v>#DIV/0!</v>
      </c>
      <c r="BZ33" t="e">
        <f>BZ20/ENR!BZ20</f>
        <v>#DIV/0!</v>
      </c>
      <c r="CA33" t="e">
        <f>CA20/ENR!CA20</f>
        <v>#DIV/0!</v>
      </c>
      <c r="CB33" t="e">
        <f>CB20/ENR!CB20</f>
        <v>#DIV/0!</v>
      </c>
      <c r="CC33" t="e">
        <f>CC20/ENR!CC20</f>
        <v>#DIV/0!</v>
      </c>
      <c r="CD33" t="e">
        <f>CD20/ENR!CD20</f>
        <v>#DIV/0!</v>
      </c>
      <c r="CE33" t="e">
        <f>CE20/ENR!CE20</f>
        <v>#DIV/0!</v>
      </c>
      <c r="CF33" t="e">
        <f>CF20/ENR!CF20</f>
        <v>#DIV/0!</v>
      </c>
      <c r="CG33" t="e">
        <f>CG20/ENR!CG20</f>
        <v>#DIV/0!</v>
      </c>
      <c r="CH33" t="e">
        <f>CH20/ENR!CH20</f>
        <v>#DIV/0!</v>
      </c>
      <c r="CI33" t="e">
        <f>CI20/ENR!CI20</f>
        <v>#DIV/0!</v>
      </c>
      <c r="CJ33" t="e">
        <f>CJ20/ENR!CJ20</f>
        <v>#DIV/0!</v>
      </c>
      <c r="CK33" t="e">
        <f>CK20/ENR!CK20</f>
        <v>#DIV/0!</v>
      </c>
      <c r="CL33" t="e">
        <f>CL20/ENR!CL20</f>
        <v>#DIV/0!</v>
      </c>
      <c r="CM33" t="e">
        <f>CM20/ENR!CM20</f>
        <v>#DIV/0!</v>
      </c>
      <c r="CN33" t="e">
        <f>CN20/ENR!CN20</f>
        <v>#DIV/0!</v>
      </c>
      <c r="CO33" t="e">
        <f>CO20/ENR!CO20</f>
        <v>#DIV/0!</v>
      </c>
      <c r="CP33" t="e">
        <f>CP20/ENR!CP20</f>
        <v>#DIV/0!</v>
      </c>
      <c r="CQ33" t="e">
        <f>CQ20/ENR!CQ20</f>
        <v>#DIV/0!</v>
      </c>
      <c r="CR33">
        <f>CR20/ENR!CR20</f>
        <v>474.52689999999996</v>
      </c>
      <c r="CS33" t="e">
        <f>CS20/ENR!CS20</f>
        <v>#DIV/0!</v>
      </c>
    </row>
    <row r="34" spans="1:97" x14ac:dyDescent="0.25">
      <c r="A34" s="17"/>
      <c r="B34" s="4" t="s">
        <v>88</v>
      </c>
      <c r="C34" s="4" t="s">
        <v>63</v>
      </c>
      <c r="D34" s="2">
        <v>29</v>
      </c>
      <c r="E34" s="1">
        <v>192.46510292655501</v>
      </c>
      <c r="F34" s="1">
        <v>18.243974652074801</v>
      </c>
      <c r="G34" s="1">
        <v>32.021903848390899</v>
      </c>
      <c r="H34" s="1">
        <v>30.996480871835601</v>
      </c>
      <c r="I34" s="1">
        <v>20.997616074469299</v>
      </c>
      <c r="J34" s="1">
        <v>16.9980701555228</v>
      </c>
      <c r="K34" s="1">
        <v>127.985469406289</v>
      </c>
      <c r="L34" s="1">
        <v>7945.80311701757</v>
      </c>
      <c r="M34" s="1">
        <v>334.96197071177198</v>
      </c>
      <c r="N34" s="1">
        <v>20.997616074469299</v>
      </c>
      <c r="O34" s="1">
        <v>24.997161993415801</v>
      </c>
      <c r="P34" s="1">
        <v>9.8162562302040304E-2</v>
      </c>
      <c r="Q34" s="1">
        <v>1.36795136591644</v>
      </c>
      <c r="R34" s="1">
        <v>4.8898485050693399</v>
      </c>
      <c r="S34" s="1">
        <v>9.9984137523524801</v>
      </c>
      <c r="T34" s="1">
        <v>8.1020160490299702</v>
      </c>
      <c r="U34" s="1">
        <v>0.15840277569095701</v>
      </c>
      <c r="V34" s="1">
        <v>3.1937843797394501</v>
      </c>
      <c r="W34" s="1">
        <v>0.97480102793179202</v>
      </c>
      <c r="X34" s="1">
        <v>3.6987963471170402</v>
      </c>
      <c r="Y34" s="1">
        <v>6.1378653113342301</v>
      </c>
      <c r="Z34" s="1">
        <v>7.0561586187165001E-2</v>
      </c>
      <c r="AA34" s="1">
        <v>8.7048489235586092E-3</v>
      </c>
      <c r="AB34" s="1">
        <v>0.59807259158620496</v>
      </c>
      <c r="AC34" s="1">
        <v>1.1674173252144201E-3</v>
      </c>
      <c r="AD34" s="1">
        <v>0.24518712404599299</v>
      </c>
      <c r="AE34" s="1">
        <v>0.38293035570793899</v>
      </c>
      <c r="AF34" s="1">
        <v>1.60485026738084</v>
      </c>
      <c r="AK34" s="10" t="s">
        <v>76</v>
      </c>
      <c r="AL34">
        <f>AL21/ENR!AL21</f>
        <v>938.37210000000073</v>
      </c>
      <c r="AM34">
        <f>AM21/ENR!AM21</f>
        <v>938.37210000000186</v>
      </c>
      <c r="AN34">
        <f>AN21/ENR!AN21</f>
        <v>938.37210000000266</v>
      </c>
      <c r="AO34">
        <f>AO21/ENR!AO21</f>
        <v>938.37209999999902</v>
      </c>
      <c r="AP34">
        <f>AP21/ENR!AP21</f>
        <v>938.37209999999993</v>
      </c>
      <c r="AQ34">
        <f>AQ21/ENR!AQ21</f>
        <v>938.37209999999993</v>
      </c>
      <c r="AR34">
        <f>AR21/ENR!AR21</f>
        <v>938.37210000000005</v>
      </c>
      <c r="AS34">
        <f>AS21/ENR!AS21</f>
        <v>938.37369054825774</v>
      </c>
      <c r="AT34">
        <f>AT21/ENR!AT21</f>
        <v>938.37209999999948</v>
      </c>
      <c r="AU34" t="e">
        <f>AU21/ENR!AU21</f>
        <v>#DIV/0!</v>
      </c>
      <c r="AV34" t="e">
        <f>AV21/ENR!AV21</f>
        <v>#DIV/0!</v>
      </c>
      <c r="AW34">
        <f>AW21/ENR!AW21</f>
        <v>938.37210000000061</v>
      </c>
      <c r="AX34">
        <f>AX21/ENR!AX21</f>
        <v>938.67563224892126</v>
      </c>
      <c r="AY34">
        <f>AY21/ENR!AY21</f>
        <v>938.30467655938605</v>
      </c>
      <c r="AZ34">
        <f>AZ21/ENR!AZ21</f>
        <v>938.37210000000073</v>
      </c>
      <c r="BA34">
        <f>BA21/ENR!BA21</f>
        <v>938.66476666328936</v>
      </c>
      <c r="BB34">
        <f>BB21/ENR!BB21</f>
        <v>938.37209999999834</v>
      </c>
      <c r="BC34">
        <f>BC21/ENR!BC21</f>
        <v>938.37209999999959</v>
      </c>
      <c r="BD34">
        <f>BD21/ENR!BD21</f>
        <v>938.37209999999982</v>
      </c>
      <c r="BE34" t="e">
        <f>BE21/ENR!BE21</f>
        <v>#DIV/0!</v>
      </c>
      <c r="BF34" t="e">
        <f>BF21/ENR!BF21</f>
        <v>#DIV/0!</v>
      </c>
      <c r="BG34" t="e">
        <f>BG21/ENR!BG21</f>
        <v>#DIV/0!</v>
      </c>
      <c r="BH34">
        <f>BH21/ENR!BH21</f>
        <v>938.37209999999573</v>
      </c>
      <c r="BI34">
        <f>BI21/ENR!BI21</f>
        <v>938.37209999999982</v>
      </c>
      <c r="BJ34">
        <f>BJ21/ENR!BJ21</f>
        <v>938.37210000000266</v>
      </c>
      <c r="BK34" t="e">
        <f>BK21/ENR!BK21</f>
        <v>#DIV/0!</v>
      </c>
      <c r="BL34" t="e">
        <f>BL21/ENR!BL21</f>
        <v>#DIV/0!</v>
      </c>
      <c r="BM34">
        <f>BM21/ENR!BM21</f>
        <v>938.37210000000084</v>
      </c>
      <c r="BN34">
        <f>BN21/ENR!BN21</f>
        <v>2168.8566000000028</v>
      </c>
      <c r="BO34" t="e">
        <f>BO21/ENR!BO21</f>
        <v>#DIV/0!</v>
      </c>
      <c r="BP34" t="e">
        <f>BP21/ENR!BP21</f>
        <v>#DIV/0!</v>
      </c>
      <c r="BQ34" t="e">
        <f>BQ21/ENR!BQ21</f>
        <v>#DIV/0!</v>
      </c>
      <c r="BR34" t="e">
        <f>BR21/ENR!BR21</f>
        <v>#DIV/0!</v>
      </c>
      <c r="BS34" t="e">
        <f>BS21/ENR!BS21</f>
        <v>#DIV/0!</v>
      </c>
      <c r="BT34" t="e">
        <f>BT21/ENR!BT21</f>
        <v>#DIV/0!</v>
      </c>
      <c r="BU34" t="e">
        <f>BU21/ENR!BU21</f>
        <v>#DIV/0!</v>
      </c>
      <c r="BV34" t="e">
        <f>BV21/ENR!BV21</f>
        <v>#DIV/0!</v>
      </c>
      <c r="BW34" t="e">
        <f>BW21/ENR!BW21</f>
        <v>#DIV/0!</v>
      </c>
      <c r="BX34" t="e">
        <f>BX21/ENR!BX21</f>
        <v>#DIV/0!</v>
      </c>
      <c r="BY34" t="e">
        <f>BY21/ENR!BY21</f>
        <v>#DIV/0!</v>
      </c>
      <c r="BZ34" t="e">
        <f>BZ21/ENR!BZ21</f>
        <v>#DIV/0!</v>
      </c>
      <c r="CA34" t="e">
        <f>CA21/ENR!CA21</f>
        <v>#DIV/0!</v>
      </c>
      <c r="CB34" t="e">
        <f>CB21/ENR!CB21</f>
        <v>#DIV/0!</v>
      </c>
      <c r="CC34" t="e">
        <f>CC21/ENR!CC21</f>
        <v>#DIV/0!</v>
      </c>
      <c r="CD34" t="e">
        <f>CD21/ENR!CD21</f>
        <v>#DIV/0!</v>
      </c>
      <c r="CE34" t="e">
        <f>CE21/ENR!CE21</f>
        <v>#DIV/0!</v>
      </c>
      <c r="CF34" t="e">
        <f>CF21/ENR!CF21</f>
        <v>#DIV/0!</v>
      </c>
      <c r="CG34" t="e">
        <f>CG21/ENR!CG21</f>
        <v>#DIV/0!</v>
      </c>
      <c r="CH34" t="e">
        <f>CH21/ENR!CH21</f>
        <v>#DIV/0!</v>
      </c>
      <c r="CI34" t="e">
        <f>CI21/ENR!CI21</f>
        <v>#DIV/0!</v>
      </c>
      <c r="CJ34" t="e">
        <f>CJ21/ENR!CJ21</f>
        <v>#DIV/0!</v>
      </c>
      <c r="CK34" t="e">
        <f>CK21/ENR!CK21</f>
        <v>#DIV/0!</v>
      </c>
      <c r="CL34" t="e">
        <f>CL21/ENR!CL21</f>
        <v>#DIV/0!</v>
      </c>
      <c r="CM34" t="e">
        <f>CM21/ENR!CM21</f>
        <v>#DIV/0!</v>
      </c>
      <c r="CN34" t="e">
        <f>CN21/ENR!CN21</f>
        <v>#DIV/0!</v>
      </c>
      <c r="CO34" t="e">
        <f>CO21/ENR!CO21</f>
        <v>#DIV/0!</v>
      </c>
      <c r="CP34" t="e">
        <f>CP21/ENR!CP21</f>
        <v>#DIV/0!</v>
      </c>
      <c r="CQ34" t="e">
        <f>CQ21/ENR!CQ21</f>
        <v>#DIV/0!</v>
      </c>
      <c r="CR34">
        <f>CR21/ENR!CR21</f>
        <v>773.83720000000005</v>
      </c>
      <c r="CS34" t="e">
        <f>CS21/ENR!CS21</f>
        <v>#DIV/0!</v>
      </c>
    </row>
    <row r="35" spans="1:97" x14ac:dyDescent="0.25">
      <c r="A35" s="17"/>
      <c r="B35" s="4" t="s">
        <v>89</v>
      </c>
      <c r="C35" s="4" t="s">
        <v>63</v>
      </c>
      <c r="D35" s="2">
        <v>30</v>
      </c>
      <c r="E35" s="1">
        <v>4791.5414666261304</v>
      </c>
      <c r="F35" s="1">
        <v>321.96788880213398</v>
      </c>
      <c r="G35" s="1">
        <v>1828.84676445483</v>
      </c>
      <c r="H35" s="1">
        <v>330.36735574570201</v>
      </c>
      <c r="I35" s="1">
        <v>232.97131970299</v>
      </c>
      <c r="J35" s="1">
        <v>179.265466311604</v>
      </c>
      <c r="K35" s="1">
        <v>2431.4099617133802</v>
      </c>
      <c r="L35" s="1">
        <v>128150.38502536999</v>
      </c>
      <c r="M35" s="1">
        <v>6434.5144380864404</v>
      </c>
      <c r="N35" s="1">
        <v>1018.9820151630699</v>
      </c>
      <c r="O35" s="1">
        <v>825.57014295173201</v>
      </c>
      <c r="P35" s="1">
        <v>12.937430419777201</v>
      </c>
      <c r="Q35" s="1">
        <v>310.53502766650598</v>
      </c>
      <c r="R35" s="1">
        <v>644.46234199686398</v>
      </c>
      <c r="S35" s="1">
        <v>571.03308807759402</v>
      </c>
      <c r="T35" s="1">
        <v>1680.30033808962</v>
      </c>
      <c r="U35" s="1">
        <v>33.083045753607202</v>
      </c>
      <c r="V35" s="1">
        <v>16.655131529713799</v>
      </c>
      <c r="W35" s="1">
        <v>55.673195271613402</v>
      </c>
      <c r="X35" s="1">
        <v>772.508235737527</v>
      </c>
      <c r="Y35" s="1">
        <v>1281.91742877358</v>
      </c>
      <c r="Z35" s="1">
        <v>14.7370661536353</v>
      </c>
      <c r="AA35" s="1">
        <v>1.8180421015991699</v>
      </c>
      <c r="AB35" s="1">
        <v>124.909824497188</v>
      </c>
      <c r="AC35" s="1">
        <v>0.243819722319597</v>
      </c>
      <c r="AD35" s="1">
        <v>51.208299902739903</v>
      </c>
      <c r="AE35" s="1">
        <v>79.9765182337905</v>
      </c>
      <c r="AF35" s="1">
        <v>335.17932114418198</v>
      </c>
      <c r="AK35" s="10" t="s">
        <v>77</v>
      </c>
      <c r="AL35">
        <f>AL22/ENR!AL22</f>
        <v>368.92980000000017</v>
      </c>
      <c r="AM35">
        <f>AM22/ENR!AM22</f>
        <v>368.92979999999943</v>
      </c>
      <c r="AN35">
        <f>AN22/ENR!AN22</f>
        <v>368.92979999999966</v>
      </c>
      <c r="AO35">
        <f>AO22/ENR!AO22</f>
        <v>368.92980000000006</v>
      </c>
      <c r="AP35">
        <f>AP22/ENR!AP22</f>
        <v>368.92979999999989</v>
      </c>
      <c r="AQ35">
        <f>AQ22/ENR!AQ22</f>
        <v>368.92980000000102</v>
      </c>
      <c r="AR35">
        <f>AR22/ENR!AR22</f>
        <v>368.92980000000028</v>
      </c>
      <c r="AS35">
        <f>AS22/ENR!AS22</f>
        <v>368.94654843369085</v>
      </c>
      <c r="AT35">
        <f>AT22/ENR!AT22</f>
        <v>368.9298</v>
      </c>
      <c r="AU35" t="e">
        <f>AU22/ENR!AU22</f>
        <v>#DIV/0!</v>
      </c>
      <c r="AV35" t="e">
        <f>AV22/ENR!AV22</f>
        <v>#DIV/0!</v>
      </c>
      <c r="AW35">
        <f>AW22/ENR!AW22</f>
        <v>368.92979999999949</v>
      </c>
      <c r="AX35">
        <f>AX22/ENR!AX22</f>
        <v>369.31304096858219</v>
      </c>
      <c r="AY35">
        <f>AY22/ENR!AY22</f>
        <v>368.84850446899799</v>
      </c>
      <c r="AZ35">
        <f>AZ22/ENR!AZ22</f>
        <v>368.92979999999966</v>
      </c>
      <c r="BA35">
        <f>BA22/ENR!BA22</f>
        <v>369.30827052315078</v>
      </c>
      <c r="BB35">
        <f>BB22/ENR!BB22</f>
        <v>368.92980000000028</v>
      </c>
      <c r="BC35">
        <f>BC22/ENR!BC22</f>
        <v>368.92980000000011</v>
      </c>
      <c r="BD35">
        <f>BD22/ENR!BD22</f>
        <v>368.92979999999977</v>
      </c>
      <c r="BE35" t="e">
        <f>BE22/ENR!BE22</f>
        <v>#DIV/0!</v>
      </c>
      <c r="BF35">
        <f>BF22/ENR!BF22</f>
        <v>368.9298</v>
      </c>
      <c r="BG35" t="e">
        <f>BG22/ENR!BG22</f>
        <v>#DIV/0!</v>
      </c>
      <c r="BH35" t="e">
        <f>BH22/ENR!BH22</f>
        <v>#DIV/0!</v>
      </c>
      <c r="BI35" t="e">
        <f>BI22/ENR!BI22</f>
        <v>#DIV/0!</v>
      </c>
      <c r="BJ35" t="e">
        <f>BJ22/ENR!BJ22</f>
        <v>#DIV/0!</v>
      </c>
      <c r="BK35" t="e">
        <f>BK22/ENR!BK22</f>
        <v>#DIV/0!</v>
      </c>
      <c r="BL35" t="e">
        <f>BL22/ENR!BL22</f>
        <v>#DIV/0!</v>
      </c>
      <c r="BM35">
        <f>BM22/ENR!BM22</f>
        <v>368.92979999999983</v>
      </c>
      <c r="BN35">
        <f>BN22/ENR!BN22</f>
        <v>955.91420000000107</v>
      </c>
      <c r="BO35" t="e">
        <f>BO22/ENR!BO22</f>
        <v>#DIV/0!</v>
      </c>
      <c r="BP35" t="e">
        <f>BP22/ENR!BP22</f>
        <v>#DIV/0!</v>
      </c>
      <c r="BQ35" t="e">
        <f>BQ22/ENR!BQ22</f>
        <v>#DIV/0!</v>
      </c>
      <c r="BR35" t="e">
        <f>BR22/ENR!BR22</f>
        <v>#DIV/0!</v>
      </c>
      <c r="BS35" t="e">
        <f>BS22/ENR!BS22</f>
        <v>#DIV/0!</v>
      </c>
      <c r="BT35" t="e">
        <f>BT22/ENR!BT22</f>
        <v>#DIV/0!</v>
      </c>
      <c r="BU35" t="e">
        <f>BU22/ENR!BU22</f>
        <v>#DIV/0!</v>
      </c>
      <c r="BV35" t="e">
        <f>BV22/ENR!BV22</f>
        <v>#DIV/0!</v>
      </c>
      <c r="BW35" t="e">
        <f>BW22/ENR!BW22</f>
        <v>#DIV/0!</v>
      </c>
      <c r="BX35" t="e">
        <f>BX22/ENR!BX22</f>
        <v>#DIV/0!</v>
      </c>
      <c r="BY35" t="e">
        <f>BY22/ENR!BY22</f>
        <v>#DIV/0!</v>
      </c>
      <c r="BZ35" t="e">
        <f>BZ22/ENR!BZ22</f>
        <v>#DIV/0!</v>
      </c>
      <c r="CA35" t="e">
        <f>CA22/ENR!CA22</f>
        <v>#DIV/0!</v>
      </c>
      <c r="CB35" t="e">
        <f>CB22/ENR!CB22</f>
        <v>#DIV/0!</v>
      </c>
      <c r="CC35" t="e">
        <f>CC22/ENR!CC22</f>
        <v>#DIV/0!</v>
      </c>
      <c r="CD35" t="e">
        <f>CD22/ENR!CD22</f>
        <v>#DIV/0!</v>
      </c>
      <c r="CE35" t="e">
        <f>CE22/ENR!CE22</f>
        <v>#DIV/0!</v>
      </c>
      <c r="CF35" t="e">
        <f>CF22/ENR!CF22</f>
        <v>#DIV/0!</v>
      </c>
      <c r="CG35" t="e">
        <f>CG22/ENR!CG22</f>
        <v>#DIV/0!</v>
      </c>
      <c r="CH35" t="e">
        <f>CH22/ENR!CH22</f>
        <v>#DIV/0!</v>
      </c>
      <c r="CI35" t="e">
        <f>CI22/ENR!CI22</f>
        <v>#DIV/0!</v>
      </c>
      <c r="CJ35" t="e">
        <f>CJ22/ENR!CJ22</f>
        <v>#DIV/0!</v>
      </c>
      <c r="CK35" t="e">
        <f>CK22/ENR!CK22</f>
        <v>#DIV/0!</v>
      </c>
      <c r="CL35" t="e">
        <f>CL22/ENR!CL22</f>
        <v>#DIV/0!</v>
      </c>
      <c r="CM35" t="e">
        <f>CM22/ENR!CM22</f>
        <v>#DIV/0!</v>
      </c>
      <c r="CN35" t="e">
        <f>CN22/ENR!CN22</f>
        <v>#DIV/0!</v>
      </c>
      <c r="CO35" t="e">
        <f>CO22/ENR!CO22</f>
        <v>#DIV/0!</v>
      </c>
      <c r="CP35" t="e">
        <f>CP22/ENR!CP22</f>
        <v>#DIV/0!</v>
      </c>
      <c r="CQ35" t="e">
        <f>CQ22/ENR!CQ22</f>
        <v>#DIV/0!</v>
      </c>
      <c r="CR35">
        <f>CR22/ENR!CR22</f>
        <v>319.17919999999998</v>
      </c>
      <c r="CS35" t="e">
        <f>CS22/ENR!CS22</f>
        <v>#DIV/0!</v>
      </c>
    </row>
    <row r="36" spans="1:97" x14ac:dyDescent="0.25">
      <c r="A36" s="17"/>
      <c r="B36" s="4" t="s">
        <v>90</v>
      </c>
      <c r="C36" s="4" t="s">
        <v>63</v>
      </c>
      <c r="D36" s="2">
        <v>31</v>
      </c>
      <c r="E36" s="1">
        <v>5.31798733436189E-2</v>
      </c>
      <c r="F36" s="1">
        <v>4.0171208539052199E-2</v>
      </c>
      <c r="G36" s="1">
        <v>3.6413813679421203E-2</v>
      </c>
      <c r="H36" s="1">
        <v>3.0830213578430601E-2</v>
      </c>
      <c r="I36" s="1">
        <v>3.08302136531645E-2</v>
      </c>
      <c r="J36" s="1">
        <v>1.78571429000886E-2</v>
      </c>
      <c r="K36" s="1">
        <v>4.8291708291708299E-2</v>
      </c>
      <c r="L36" s="1">
        <v>4.92236861975162E-2</v>
      </c>
      <c r="M36" s="1">
        <v>5.9724671324619102E-2</v>
      </c>
      <c r="N36" s="1">
        <v>5.9724671558151102E-2</v>
      </c>
      <c r="O36" s="1">
        <v>5.9724671338579297E-2</v>
      </c>
      <c r="P36" s="1">
        <v>5.60739662700111E-2</v>
      </c>
      <c r="Q36" s="1">
        <v>4.6830188679245301E-2</v>
      </c>
      <c r="R36" s="1">
        <v>5.60739662700111E-2</v>
      </c>
      <c r="S36" s="1">
        <v>3.6413813679421203E-2</v>
      </c>
      <c r="T36" s="1">
        <v>4.6775704048112099E-2</v>
      </c>
      <c r="U36" s="1">
        <v>5.8465197300483003E-2</v>
      </c>
      <c r="V36" s="1">
        <v>2.9535687213604101E-2</v>
      </c>
      <c r="W36" s="1">
        <v>3.6413813679421203E-2</v>
      </c>
      <c r="X36" s="1">
        <v>5.8465197300482899E-2</v>
      </c>
      <c r="Y36" s="1">
        <v>5.8465197300482899E-2</v>
      </c>
      <c r="Z36" s="1">
        <v>5.8465197300483003E-2</v>
      </c>
      <c r="AA36" s="1">
        <v>5.8465197300482899E-2</v>
      </c>
      <c r="AB36" s="1">
        <v>5.8465197300482899E-2</v>
      </c>
      <c r="AC36" s="1">
        <v>5.8465197300483003E-2</v>
      </c>
      <c r="AD36" s="1">
        <v>5.8465197300482899E-2</v>
      </c>
      <c r="AE36" s="1">
        <v>5.8465197300482899E-2</v>
      </c>
      <c r="AF36" s="1">
        <v>5.8465197300482899E-2</v>
      </c>
      <c r="AK36" s="10" t="s">
        <v>78</v>
      </c>
      <c r="AL36" t="e">
        <f>AL23/ENR!AL23</f>
        <v>#DIV/0!</v>
      </c>
      <c r="AM36">
        <f>AM23/ENR!AM23</f>
        <v>368.92980000000045</v>
      </c>
      <c r="AN36" t="e">
        <f>AN23/ENR!AN23</f>
        <v>#DIV/0!</v>
      </c>
      <c r="AO36" t="e">
        <f>AO23/ENR!AO23</f>
        <v>#DIV/0!</v>
      </c>
      <c r="AP36" t="e">
        <f>AP23/ENR!AP23</f>
        <v>#DIV/0!</v>
      </c>
      <c r="AQ36" t="e">
        <f>AQ23/ENR!AQ23</f>
        <v>#DIV/0!</v>
      </c>
      <c r="AR36" t="e">
        <f>AR23/ENR!AR23</f>
        <v>#DIV/0!</v>
      </c>
      <c r="AS36" t="e">
        <f>AS23/ENR!AS23</f>
        <v>#DIV/0!</v>
      </c>
      <c r="AT36" t="e">
        <f>AT23/ENR!AT23</f>
        <v>#DIV/0!</v>
      </c>
      <c r="AU36" t="e">
        <f>AU23/ENR!AU23</f>
        <v>#DIV/0!</v>
      </c>
      <c r="AV36" t="e">
        <f>AV23/ENR!AV23</f>
        <v>#DIV/0!</v>
      </c>
      <c r="AW36">
        <f>AW23/ENR!AW23</f>
        <v>368.9298</v>
      </c>
      <c r="AX36" t="e">
        <f>AX23/ENR!AX23</f>
        <v>#DIV/0!</v>
      </c>
      <c r="AY36" t="e">
        <f>AY23/ENR!AY23</f>
        <v>#DIV/0!</v>
      </c>
      <c r="AZ36" t="e">
        <f>AZ23/ENR!AZ23</f>
        <v>#DIV/0!</v>
      </c>
      <c r="BA36">
        <f>BA23/ENR!BA23</f>
        <v>368.92979999999824</v>
      </c>
      <c r="BB36" t="e">
        <f>BB23/ENR!BB23</f>
        <v>#DIV/0!</v>
      </c>
      <c r="BC36" t="e">
        <f>BC23/ENR!BC23</f>
        <v>#DIV/0!</v>
      </c>
      <c r="BD36" t="e">
        <f>BD23/ENR!BD23</f>
        <v>#DIV/0!</v>
      </c>
      <c r="BE36" t="e">
        <f>BE23/ENR!BE23</f>
        <v>#DIV/0!</v>
      </c>
      <c r="BF36">
        <f>BF23/ENR!BF23</f>
        <v>368.9298</v>
      </c>
      <c r="BG36" t="e">
        <f>BG23/ENR!BG23</f>
        <v>#DIV/0!</v>
      </c>
      <c r="BH36" t="e">
        <f>BH23/ENR!BH23</f>
        <v>#DIV/0!</v>
      </c>
      <c r="BI36" t="e">
        <f>BI23/ENR!BI23</f>
        <v>#DIV/0!</v>
      </c>
      <c r="BJ36" t="e">
        <f>BJ23/ENR!BJ23</f>
        <v>#DIV/0!</v>
      </c>
      <c r="BK36" t="e">
        <f>BK23/ENR!BK23</f>
        <v>#DIV/0!</v>
      </c>
      <c r="BL36" t="e">
        <f>BL23/ENR!BL23</f>
        <v>#DIV/0!</v>
      </c>
      <c r="BM36" t="e">
        <f>BM23/ENR!BM23</f>
        <v>#DIV/0!</v>
      </c>
      <c r="BN36" t="e">
        <f>BN23/ENR!BN23</f>
        <v>#DIV/0!</v>
      </c>
      <c r="BO36" t="e">
        <f>BO23/ENR!BO23</f>
        <v>#DIV/0!</v>
      </c>
      <c r="BP36" t="e">
        <f>BP23/ENR!BP23</f>
        <v>#DIV/0!</v>
      </c>
      <c r="BQ36" t="e">
        <f>BQ23/ENR!BQ23</f>
        <v>#DIV/0!</v>
      </c>
      <c r="BR36" t="e">
        <f>BR23/ENR!BR23</f>
        <v>#DIV/0!</v>
      </c>
      <c r="BS36" t="e">
        <f>BS23/ENR!BS23</f>
        <v>#DIV/0!</v>
      </c>
      <c r="BT36" t="e">
        <f>BT23/ENR!BT23</f>
        <v>#DIV/0!</v>
      </c>
      <c r="BU36" t="e">
        <f>BU23/ENR!BU23</f>
        <v>#DIV/0!</v>
      </c>
      <c r="BV36" t="e">
        <f>BV23/ENR!BV23</f>
        <v>#DIV/0!</v>
      </c>
      <c r="BW36" t="e">
        <f>BW23/ENR!BW23</f>
        <v>#DIV/0!</v>
      </c>
      <c r="BX36" t="e">
        <f>BX23/ENR!BX23</f>
        <v>#DIV/0!</v>
      </c>
      <c r="BY36" t="e">
        <f>BY23/ENR!BY23</f>
        <v>#DIV/0!</v>
      </c>
      <c r="BZ36" t="e">
        <f>BZ23/ENR!BZ23</f>
        <v>#DIV/0!</v>
      </c>
      <c r="CA36" t="e">
        <f>CA23/ENR!CA23</f>
        <v>#DIV/0!</v>
      </c>
      <c r="CB36" t="e">
        <f>CB23/ENR!CB23</f>
        <v>#DIV/0!</v>
      </c>
      <c r="CC36" t="e">
        <f>CC23/ENR!CC23</f>
        <v>#DIV/0!</v>
      </c>
      <c r="CD36" t="e">
        <f>CD23/ENR!CD23</f>
        <v>#DIV/0!</v>
      </c>
      <c r="CE36" t="e">
        <f>CE23/ENR!CE23</f>
        <v>#DIV/0!</v>
      </c>
      <c r="CF36" t="e">
        <f>CF23/ENR!CF23</f>
        <v>#DIV/0!</v>
      </c>
      <c r="CG36" t="e">
        <f>CG23/ENR!CG23</f>
        <v>#DIV/0!</v>
      </c>
      <c r="CH36" t="e">
        <f>CH23/ENR!CH23</f>
        <v>#DIV/0!</v>
      </c>
      <c r="CI36" t="e">
        <f>CI23/ENR!CI23</f>
        <v>#DIV/0!</v>
      </c>
      <c r="CJ36" t="e">
        <f>CJ23/ENR!CJ23</f>
        <v>#DIV/0!</v>
      </c>
      <c r="CK36" t="e">
        <f>CK23/ENR!CK23</f>
        <v>#DIV/0!</v>
      </c>
      <c r="CL36" t="e">
        <f>CL23/ENR!CL23</f>
        <v>#DIV/0!</v>
      </c>
      <c r="CM36" t="e">
        <f>CM23/ENR!CM23</f>
        <v>#DIV/0!</v>
      </c>
      <c r="CN36" t="e">
        <f>CN23/ENR!CN23</f>
        <v>#DIV/0!</v>
      </c>
      <c r="CO36" t="e">
        <f>CO23/ENR!CO23</f>
        <v>#DIV/0!</v>
      </c>
      <c r="CP36" t="e">
        <f>CP23/ENR!CP23</f>
        <v>#DIV/0!</v>
      </c>
      <c r="CQ36" t="e">
        <f>CQ23/ENR!CQ23</f>
        <v>#DIV/0!</v>
      </c>
      <c r="CR36" t="e">
        <f>CR23/ENR!CR23</f>
        <v>#DIV/0!</v>
      </c>
      <c r="CS36" t="e">
        <f>CS23/ENR!CS23</f>
        <v>#DIV/0!</v>
      </c>
    </row>
    <row r="37" spans="1:97" x14ac:dyDescent="0.25">
      <c r="A37" s="17"/>
      <c r="B37" s="4" t="s">
        <v>91</v>
      </c>
      <c r="C37" s="4" t="s">
        <v>63</v>
      </c>
      <c r="D37" s="2">
        <v>32</v>
      </c>
      <c r="E37" s="1">
        <v>90100.655856508703</v>
      </c>
      <c r="F37" s="1">
        <v>8014.89177227852</v>
      </c>
      <c r="G37" s="1">
        <v>50223.983144297097</v>
      </c>
      <c r="H37" s="1">
        <v>10715.701171036801</v>
      </c>
      <c r="I37" s="1">
        <v>7556.5911519097599</v>
      </c>
      <c r="J37" s="1">
        <v>10038.866089306801</v>
      </c>
      <c r="K37" s="1">
        <v>50348.394118226897</v>
      </c>
      <c r="L37" s="1">
        <v>2603429.2619035202</v>
      </c>
      <c r="M37" s="1">
        <v>107736.288796186</v>
      </c>
      <c r="N37" s="1">
        <v>17061.324718561798</v>
      </c>
      <c r="O37" s="1">
        <v>13822.933210826301</v>
      </c>
      <c r="P37" s="1">
        <v>230.72080111972099</v>
      </c>
      <c r="Q37" s="1">
        <v>6631.0864086723604</v>
      </c>
      <c r="R37" s="1">
        <v>11493.075750939501</v>
      </c>
      <c r="S37" s="1">
        <v>15681.7710197794</v>
      </c>
      <c r="T37" s="1">
        <v>35922.502339276602</v>
      </c>
      <c r="U37" s="1">
        <v>565.85878917976197</v>
      </c>
      <c r="V37" s="1">
        <v>563.898561400071</v>
      </c>
      <c r="W37" s="1">
        <v>1528.9031728933201</v>
      </c>
      <c r="X37" s="1">
        <v>13213.1297148833</v>
      </c>
      <c r="Y37" s="1">
        <v>21926.1627081345</v>
      </c>
      <c r="Z37" s="1">
        <v>252.06561910488099</v>
      </c>
      <c r="AA37" s="1">
        <v>31.096142415380999</v>
      </c>
      <c r="AB37" s="1">
        <v>2136.4817064622598</v>
      </c>
      <c r="AC37" s="1">
        <v>4.1703395109825898</v>
      </c>
      <c r="AD37" s="1">
        <v>875.87662861298304</v>
      </c>
      <c r="AE37" s="1">
        <v>1367.93377815437</v>
      </c>
      <c r="AF37" s="1">
        <v>5732.9716929119804</v>
      </c>
      <c r="AK37" s="10" t="s">
        <v>79</v>
      </c>
      <c r="AL37">
        <f>AL24/ENR!AL24</f>
        <v>368.92980000000057</v>
      </c>
      <c r="AM37" t="e">
        <f>AM24/ENR!AM24</f>
        <v>#DIV/0!</v>
      </c>
      <c r="AN37" t="e">
        <f>AN24/ENR!AN24</f>
        <v>#DIV/0!</v>
      </c>
      <c r="AO37" t="e">
        <f>AO24/ENR!AO24</f>
        <v>#DIV/0!</v>
      </c>
      <c r="AP37" t="e">
        <f>AP24/ENR!AP24</f>
        <v>#DIV/0!</v>
      </c>
      <c r="AQ37">
        <f>AQ24/ENR!AQ24</f>
        <v>368.9298</v>
      </c>
      <c r="AR37">
        <f>AR24/ENR!AR24</f>
        <v>368.92979999999994</v>
      </c>
      <c r="AS37">
        <f>AS24/ENR!AS24</f>
        <v>368.92979999999932</v>
      </c>
      <c r="AT37" t="e">
        <f>AT24/ENR!AT24</f>
        <v>#DIV/0!</v>
      </c>
      <c r="AU37" t="e">
        <f>AU24/ENR!AU24</f>
        <v>#DIV/0!</v>
      </c>
      <c r="AV37" t="e">
        <f>AV24/ENR!AV24</f>
        <v>#DIV/0!</v>
      </c>
      <c r="AW37" t="e">
        <f>AW24/ENR!AW24</f>
        <v>#DIV/0!</v>
      </c>
      <c r="AX37" t="e">
        <f>AX24/ENR!AX24</f>
        <v>#DIV/0!</v>
      </c>
      <c r="AY37" t="e">
        <f>AY24/ENR!AY24</f>
        <v>#DIV/0!</v>
      </c>
      <c r="AZ37" t="e">
        <f>AZ24/ENR!AZ24</f>
        <v>#DIV/0!</v>
      </c>
      <c r="BA37">
        <f>BA24/ENR!BA24</f>
        <v>368.9298</v>
      </c>
      <c r="BB37">
        <f>BB24/ENR!BB24</f>
        <v>368.92980000000006</v>
      </c>
      <c r="BC37">
        <f>BC24/ENR!BC24</f>
        <v>368.9298</v>
      </c>
      <c r="BD37" t="e">
        <f>BD24/ENR!BD24</f>
        <v>#DIV/0!</v>
      </c>
      <c r="BE37" t="e">
        <f>BE24/ENR!BE24</f>
        <v>#DIV/0!</v>
      </c>
      <c r="BF37" t="e">
        <f>BF24/ENR!BF24</f>
        <v>#DIV/0!</v>
      </c>
      <c r="BG37" t="e">
        <f>BG24/ENR!BG24</f>
        <v>#DIV/0!</v>
      </c>
      <c r="BH37" t="e">
        <f>BH24/ENR!BH24</f>
        <v>#DIV/0!</v>
      </c>
      <c r="BI37" t="e">
        <f>BI24/ENR!BI24</f>
        <v>#DIV/0!</v>
      </c>
      <c r="BJ37" t="e">
        <f>BJ24/ENR!BJ24</f>
        <v>#DIV/0!</v>
      </c>
      <c r="BK37">
        <f>BK24/ENR!BK24</f>
        <v>368.9298</v>
      </c>
      <c r="BL37" t="e">
        <f>BL24/ENR!BL24</f>
        <v>#DIV/0!</v>
      </c>
      <c r="BM37">
        <f>BM24/ENR!BM24</f>
        <v>368.92979999999903</v>
      </c>
      <c r="BN37" t="e">
        <f>BN24/ENR!BN24</f>
        <v>#DIV/0!</v>
      </c>
      <c r="BO37" t="e">
        <f>BO24/ENR!BO24</f>
        <v>#DIV/0!</v>
      </c>
      <c r="BP37" t="e">
        <f>BP24/ENR!BP24</f>
        <v>#DIV/0!</v>
      </c>
      <c r="BQ37" t="e">
        <f>BQ24/ENR!BQ24</f>
        <v>#DIV/0!</v>
      </c>
      <c r="BR37" t="e">
        <f>BR24/ENR!BR24</f>
        <v>#DIV/0!</v>
      </c>
      <c r="BS37" t="e">
        <f>BS24/ENR!BS24</f>
        <v>#DIV/0!</v>
      </c>
      <c r="BT37" t="e">
        <f>BT24/ENR!BT24</f>
        <v>#DIV/0!</v>
      </c>
      <c r="BU37" t="e">
        <f>BU24/ENR!BU24</f>
        <v>#DIV/0!</v>
      </c>
      <c r="BV37" t="e">
        <f>BV24/ENR!BV24</f>
        <v>#DIV/0!</v>
      </c>
      <c r="BW37" t="e">
        <f>BW24/ENR!BW24</f>
        <v>#DIV/0!</v>
      </c>
      <c r="BX37" t="e">
        <f>BX24/ENR!BX24</f>
        <v>#DIV/0!</v>
      </c>
      <c r="BY37" t="e">
        <f>BY24/ENR!BY24</f>
        <v>#DIV/0!</v>
      </c>
      <c r="BZ37" t="e">
        <f>BZ24/ENR!BZ24</f>
        <v>#DIV/0!</v>
      </c>
      <c r="CA37" t="e">
        <f>CA24/ENR!CA24</f>
        <v>#DIV/0!</v>
      </c>
      <c r="CB37" t="e">
        <f>CB24/ENR!CB24</f>
        <v>#DIV/0!</v>
      </c>
      <c r="CC37" t="e">
        <f>CC24/ENR!CC24</f>
        <v>#DIV/0!</v>
      </c>
      <c r="CD37" t="e">
        <f>CD24/ENR!CD24</f>
        <v>#DIV/0!</v>
      </c>
      <c r="CE37" t="e">
        <f>CE24/ENR!CE24</f>
        <v>#DIV/0!</v>
      </c>
      <c r="CF37" t="e">
        <f>CF24/ENR!CF24</f>
        <v>#DIV/0!</v>
      </c>
      <c r="CG37" t="e">
        <f>CG24/ENR!CG24</f>
        <v>#DIV/0!</v>
      </c>
      <c r="CH37" t="e">
        <f>CH24/ENR!CH24</f>
        <v>#DIV/0!</v>
      </c>
      <c r="CI37" t="e">
        <f>CI24/ENR!CI24</f>
        <v>#DIV/0!</v>
      </c>
      <c r="CJ37" t="e">
        <f>CJ24/ENR!CJ24</f>
        <v>#DIV/0!</v>
      </c>
      <c r="CK37" t="e">
        <f>CK24/ENR!CK24</f>
        <v>#DIV/0!</v>
      </c>
      <c r="CL37" t="e">
        <f>CL24/ENR!CL24</f>
        <v>#DIV/0!</v>
      </c>
      <c r="CM37" t="e">
        <f>CM24/ENR!CM24</f>
        <v>#DIV/0!</v>
      </c>
      <c r="CN37" t="e">
        <f>CN24/ENR!CN24</f>
        <v>#DIV/0!</v>
      </c>
      <c r="CO37" t="e">
        <f>CO24/ENR!CO24</f>
        <v>#DIV/0!</v>
      </c>
      <c r="CP37" t="e">
        <f>CP24/ENR!CP24</f>
        <v>#DIV/0!</v>
      </c>
      <c r="CQ37" t="e">
        <f>CQ24/ENR!CQ24</f>
        <v>#DIV/0!</v>
      </c>
      <c r="CR37" t="e">
        <f>CR24/ENR!CR24</f>
        <v>#DIV/0!</v>
      </c>
      <c r="CS37" t="e">
        <f>CS24/ENR!CS24</f>
        <v>#DIV/0!</v>
      </c>
    </row>
    <row r="38" spans="1:97" x14ac:dyDescent="0.25">
      <c r="A38" s="17"/>
      <c r="B38" s="4" t="s">
        <v>92</v>
      </c>
      <c r="C38" s="4" t="s">
        <v>63</v>
      </c>
      <c r="D38" s="2">
        <v>33</v>
      </c>
      <c r="E38" s="1">
        <v>1061.7722807459299</v>
      </c>
      <c r="F38" s="1">
        <v>-909.22808586563997</v>
      </c>
      <c r="G38" s="1">
        <v>6955.5846372919596</v>
      </c>
      <c r="H38" s="1">
        <v>1098.14618658471</v>
      </c>
      <c r="I38" s="1">
        <v>399.01648460819803</v>
      </c>
      <c r="J38" s="1">
        <v>416.88658859613997</v>
      </c>
      <c r="K38" s="1">
        <v>5932</v>
      </c>
      <c r="L38" s="1">
        <v>175106.51615611499</v>
      </c>
      <c r="M38" s="1">
        <v>9060.7981051653005</v>
      </c>
      <c r="N38" s="1">
        <v>1744.7825241901901</v>
      </c>
      <c r="O38" s="1">
        <v>1485.2079210536799</v>
      </c>
      <c r="P38" s="1">
        <v>-794.93505347105497</v>
      </c>
      <c r="Q38" s="1">
        <v>1182.53691235631</v>
      </c>
      <c r="R38" s="1">
        <v>-12348.5167785637</v>
      </c>
      <c r="S38" s="1">
        <v>-5995.0877593163304</v>
      </c>
      <c r="T38" s="1">
        <v>7729.0626742155</v>
      </c>
      <c r="U38" s="1">
        <v>60.008212547212302</v>
      </c>
      <c r="V38" s="1">
        <v>195.88676818571699</v>
      </c>
      <c r="W38" s="1">
        <v>-99.618186257949702</v>
      </c>
      <c r="X38" s="1">
        <v>-5359.8041583745098</v>
      </c>
      <c r="Y38" s="1">
        <v>-1230.0879314598999</v>
      </c>
      <c r="Z38" s="1">
        <v>-296.11313070734201</v>
      </c>
      <c r="AA38" s="1">
        <v>-7.37343653559416</v>
      </c>
      <c r="AB38" s="1">
        <v>-506.59699398165202</v>
      </c>
      <c r="AC38" s="1">
        <v>-0.988860074840065</v>
      </c>
      <c r="AD38" s="1">
        <v>-476.50005877322002</v>
      </c>
      <c r="AE38" s="1">
        <v>121.16285872802401</v>
      </c>
      <c r="AF38" s="1">
        <v>-37.879342362550702</v>
      </c>
      <c r="AK38" s="10" t="s">
        <v>80</v>
      </c>
      <c r="AL38">
        <f>AL25/ENR!AL25</f>
        <v>1001.1076666666664</v>
      </c>
      <c r="AM38" t="e">
        <f>AM25/ENR!AM25</f>
        <v>#DIV/0!</v>
      </c>
      <c r="AN38" t="e">
        <f>AN25/ENR!AN25</f>
        <v>#DIV/0!</v>
      </c>
      <c r="AO38" t="e">
        <f>AO25/ENR!AO25</f>
        <v>#DIV/0!</v>
      </c>
      <c r="AP38" t="e">
        <f>AP25/ENR!AP25</f>
        <v>#DIV/0!</v>
      </c>
      <c r="AQ38" t="e">
        <f>AQ25/ENR!AQ25</f>
        <v>#DIV/0!</v>
      </c>
      <c r="AR38" t="e">
        <f>AR25/ENR!AR25</f>
        <v>#DIV/0!</v>
      </c>
      <c r="AS38">
        <f>AS25/ENR!AS25</f>
        <v>1001.1076666666679</v>
      </c>
      <c r="AT38" t="e">
        <f>AT25/ENR!AT25</f>
        <v>#DIV/0!</v>
      </c>
      <c r="AU38" t="e">
        <f>AU25/ENR!AU25</f>
        <v>#DIV/0!</v>
      </c>
      <c r="AV38" t="e">
        <f>AV25/ENR!AV25</f>
        <v>#DIV/0!</v>
      </c>
      <c r="AW38" t="e">
        <f>AW25/ENR!AW25</f>
        <v>#DIV/0!</v>
      </c>
      <c r="AX38" t="e">
        <f>AX25/ENR!AX25</f>
        <v>#DIV/0!</v>
      </c>
      <c r="AY38" t="e">
        <f>AY25/ENR!AY25</f>
        <v>#DIV/0!</v>
      </c>
      <c r="AZ38" t="e">
        <f>AZ25/ENR!AZ25</f>
        <v>#DIV/0!</v>
      </c>
      <c r="BA38" t="e">
        <f>BA25/ENR!BA25</f>
        <v>#DIV/0!</v>
      </c>
      <c r="BB38">
        <f>BB25/ENR!BB25</f>
        <v>1001.1076666666678</v>
      </c>
      <c r="BC38">
        <f>BC25/ENR!BC25</f>
        <v>1001.1076666666678</v>
      </c>
      <c r="BD38" t="e">
        <f>BD25/ENR!BD25</f>
        <v>#DIV/0!</v>
      </c>
      <c r="BE38" t="e">
        <f>BE25/ENR!BE25</f>
        <v>#DIV/0!</v>
      </c>
      <c r="BF38" t="e">
        <f>BF25/ENR!BF25</f>
        <v>#DIV/0!</v>
      </c>
      <c r="BG38" t="e">
        <f>BG25/ENR!BG25</f>
        <v>#DIV/0!</v>
      </c>
      <c r="BH38" t="e">
        <f>BH25/ENR!BH25</f>
        <v>#DIV/0!</v>
      </c>
      <c r="BI38" t="e">
        <f>BI25/ENR!BI25</f>
        <v>#DIV/0!</v>
      </c>
      <c r="BJ38" t="e">
        <f>BJ25/ENR!BJ25</f>
        <v>#DIV/0!</v>
      </c>
      <c r="BK38">
        <f>BK25/ENR!BK25</f>
        <v>1001.1076666666664</v>
      </c>
      <c r="BL38" t="e">
        <f>BL25/ENR!BL25</f>
        <v>#DIV/0!</v>
      </c>
      <c r="BM38">
        <f>BM25/ENR!BM25</f>
        <v>1001.1076666666676</v>
      </c>
      <c r="BN38">
        <f>BN25/ENR!BN25</f>
        <v>1397.1076500000001</v>
      </c>
      <c r="BO38" t="e">
        <f>BO25/ENR!BO25</f>
        <v>#DIV/0!</v>
      </c>
      <c r="BP38" t="e">
        <f>BP25/ENR!BP25</f>
        <v>#DIV/0!</v>
      </c>
      <c r="BQ38" t="e">
        <f>BQ25/ENR!BQ25</f>
        <v>#DIV/0!</v>
      </c>
      <c r="BR38" t="e">
        <f>BR25/ENR!BR25</f>
        <v>#DIV/0!</v>
      </c>
      <c r="BS38" t="e">
        <f>BS25/ENR!BS25</f>
        <v>#DIV/0!</v>
      </c>
      <c r="BT38" t="e">
        <f>BT25/ENR!BT25</f>
        <v>#DIV/0!</v>
      </c>
      <c r="BU38" t="e">
        <f>BU25/ENR!BU25</f>
        <v>#DIV/0!</v>
      </c>
      <c r="BV38" t="e">
        <f>BV25/ENR!BV25</f>
        <v>#DIV/0!</v>
      </c>
      <c r="BW38" t="e">
        <f>BW25/ENR!BW25</f>
        <v>#DIV/0!</v>
      </c>
      <c r="BX38" t="e">
        <f>BX25/ENR!BX25</f>
        <v>#DIV/0!</v>
      </c>
      <c r="BY38" t="e">
        <f>BY25/ENR!BY25</f>
        <v>#DIV/0!</v>
      </c>
      <c r="BZ38" t="e">
        <f>BZ25/ENR!BZ25</f>
        <v>#DIV/0!</v>
      </c>
      <c r="CA38" t="e">
        <f>CA25/ENR!CA25</f>
        <v>#DIV/0!</v>
      </c>
      <c r="CB38" t="e">
        <f>CB25/ENR!CB25</f>
        <v>#DIV/0!</v>
      </c>
      <c r="CC38" t="e">
        <f>CC25/ENR!CC25</f>
        <v>#DIV/0!</v>
      </c>
      <c r="CD38" t="e">
        <f>CD25/ENR!CD25</f>
        <v>#DIV/0!</v>
      </c>
      <c r="CE38" t="e">
        <f>CE25/ENR!CE25</f>
        <v>#DIV/0!</v>
      </c>
      <c r="CF38" t="e">
        <f>CF25/ENR!CF25</f>
        <v>#DIV/0!</v>
      </c>
      <c r="CG38" t="e">
        <f>CG25/ENR!CG25</f>
        <v>#DIV/0!</v>
      </c>
      <c r="CH38" t="e">
        <f>CH25/ENR!CH25</f>
        <v>#DIV/0!</v>
      </c>
      <c r="CI38" t="e">
        <f>CI25/ENR!CI25</f>
        <v>#DIV/0!</v>
      </c>
      <c r="CJ38" t="e">
        <f>CJ25/ENR!CJ25</f>
        <v>#DIV/0!</v>
      </c>
      <c r="CK38" t="e">
        <f>CK25/ENR!CK25</f>
        <v>#DIV/0!</v>
      </c>
      <c r="CL38" t="e">
        <f>CL25/ENR!CL25</f>
        <v>#DIV/0!</v>
      </c>
      <c r="CM38" t="e">
        <f>CM25/ENR!CM25</f>
        <v>#DIV/0!</v>
      </c>
      <c r="CN38" t="e">
        <f>CN25/ENR!CN25</f>
        <v>#DIV/0!</v>
      </c>
      <c r="CO38" t="e">
        <f>CO25/ENR!CO25</f>
        <v>#DIV/0!</v>
      </c>
      <c r="CP38" t="e">
        <f>CP25/ENR!CP25</f>
        <v>#DIV/0!</v>
      </c>
      <c r="CQ38" t="e">
        <f>CQ25/ENR!CQ25</f>
        <v>#DIV/0!</v>
      </c>
      <c r="CR38">
        <f>CR25/ENR!CR25</f>
        <v>519.95316666666542</v>
      </c>
      <c r="CS38" t="e">
        <f>CS25/ENR!CS25</f>
        <v>#DIV/0!</v>
      </c>
    </row>
    <row r="39" spans="1:97" x14ac:dyDescent="0.25">
      <c r="A39" s="17"/>
      <c r="B39" s="4" t="s">
        <v>93</v>
      </c>
      <c r="C39" s="4" t="s">
        <v>63</v>
      </c>
      <c r="D39" s="2">
        <v>34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K39" s="10" t="s">
        <v>81</v>
      </c>
      <c r="AL39">
        <f>AL26/ENR!AL26</f>
        <v>1001.1076666666698</v>
      </c>
      <c r="AM39" t="e">
        <f>AM26/ENR!AM26</f>
        <v>#DIV/0!</v>
      </c>
      <c r="AN39" t="e">
        <f>AN26/ENR!AN26</f>
        <v>#DIV/0!</v>
      </c>
      <c r="AO39" t="e">
        <f>AO26/ENR!AO26</f>
        <v>#DIV/0!</v>
      </c>
      <c r="AP39" t="e">
        <f>AP26/ENR!AP26</f>
        <v>#DIV/0!</v>
      </c>
      <c r="AQ39" t="e">
        <f>AQ26/ENR!AQ26</f>
        <v>#DIV/0!</v>
      </c>
      <c r="AR39" t="e">
        <f>AR26/ENR!AR26</f>
        <v>#DIV/0!</v>
      </c>
      <c r="AS39">
        <f>AS26/ENR!AS26</f>
        <v>1001.1076666666696</v>
      </c>
      <c r="AT39">
        <f>AT26/ENR!AT26</f>
        <v>1001.107666666666</v>
      </c>
      <c r="AU39" t="e">
        <f>AU26/ENR!AU26</f>
        <v>#DIV/0!</v>
      </c>
      <c r="AV39" t="e">
        <f>AV26/ENR!AV26</f>
        <v>#DIV/0!</v>
      </c>
      <c r="AW39" t="e">
        <f>AW26/ENR!AW26</f>
        <v>#DIV/0!</v>
      </c>
      <c r="AX39" t="e">
        <f>AX26/ENR!AX26</f>
        <v>#DIV/0!</v>
      </c>
      <c r="AY39" t="e">
        <f>AY26/ENR!AY26</f>
        <v>#DIV/0!</v>
      </c>
      <c r="AZ39" t="e">
        <f>AZ26/ENR!AZ26</f>
        <v>#DIV/0!</v>
      </c>
      <c r="BA39" t="e">
        <f>BA26/ENR!BA26</f>
        <v>#DIV/0!</v>
      </c>
      <c r="BB39" t="e">
        <f>BB26/ENR!BB26</f>
        <v>#DIV/0!</v>
      </c>
      <c r="BC39">
        <f>BC26/ENR!BC26</f>
        <v>1001.1076666666695</v>
      </c>
      <c r="BD39">
        <f>BD26/ENR!BD26</f>
        <v>1001.1076666666667</v>
      </c>
      <c r="BE39" t="e">
        <f>BE26/ENR!BE26</f>
        <v>#DIV/0!</v>
      </c>
      <c r="BF39" t="e">
        <f>BF26/ENR!BF26</f>
        <v>#DIV/0!</v>
      </c>
      <c r="BG39" t="e">
        <f>BG26/ENR!BG26</f>
        <v>#DIV/0!</v>
      </c>
      <c r="BH39" t="e">
        <f>BH26/ENR!BH26</f>
        <v>#DIV/0!</v>
      </c>
      <c r="BI39" t="e">
        <f>BI26/ENR!BI26</f>
        <v>#DIV/0!</v>
      </c>
      <c r="BJ39" t="e">
        <f>BJ26/ENR!BJ26</f>
        <v>#DIV/0!</v>
      </c>
      <c r="BK39" t="e">
        <f>BK26/ENR!BK26</f>
        <v>#DIV/0!</v>
      </c>
      <c r="BL39" t="e">
        <f>BL26/ENR!BL26</f>
        <v>#DIV/0!</v>
      </c>
      <c r="BM39" t="e">
        <f>BM26/ENR!BM26</f>
        <v>#DIV/0!</v>
      </c>
      <c r="BN39">
        <f>BN26/ENR!BN26</f>
        <v>1397.1076499999981</v>
      </c>
      <c r="BO39" t="e">
        <f>BO26/ENR!BO26</f>
        <v>#DIV/0!</v>
      </c>
      <c r="BP39" t="e">
        <f>BP26/ENR!BP26</f>
        <v>#DIV/0!</v>
      </c>
      <c r="BQ39" t="e">
        <f>BQ26/ENR!BQ26</f>
        <v>#DIV/0!</v>
      </c>
      <c r="BR39" t="e">
        <f>BR26/ENR!BR26</f>
        <v>#DIV/0!</v>
      </c>
      <c r="BS39" t="e">
        <f>BS26/ENR!BS26</f>
        <v>#DIV/0!</v>
      </c>
      <c r="BT39" t="e">
        <f>BT26/ENR!BT26</f>
        <v>#DIV/0!</v>
      </c>
      <c r="BU39" t="e">
        <f>BU26/ENR!BU26</f>
        <v>#DIV/0!</v>
      </c>
      <c r="BV39" t="e">
        <f>BV26/ENR!BV26</f>
        <v>#DIV/0!</v>
      </c>
      <c r="BW39" t="e">
        <f>BW26/ENR!BW26</f>
        <v>#DIV/0!</v>
      </c>
      <c r="BX39" t="e">
        <f>BX26/ENR!BX26</f>
        <v>#DIV/0!</v>
      </c>
      <c r="BY39" t="e">
        <f>BY26/ENR!BY26</f>
        <v>#DIV/0!</v>
      </c>
      <c r="BZ39" t="e">
        <f>BZ26/ENR!BZ26</f>
        <v>#DIV/0!</v>
      </c>
      <c r="CA39" t="e">
        <f>CA26/ENR!CA26</f>
        <v>#DIV/0!</v>
      </c>
      <c r="CB39" t="e">
        <f>CB26/ENR!CB26</f>
        <v>#DIV/0!</v>
      </c>
      <c r="CC39" t="e">
        <f>CC26/ENR!CC26</f>
        <v>#DIV/0!</v>
      </c>
      <c r="CD39" t="e">
        <f>CD26/ENR!CD26</f>
        <v>#DIV/0!</v>
      </c>
      <c r="CE39" t="e">
        <f>CE26/ENR!CE26</f>
        <v>#DIV/0!</v>
      </c>
      <c r="CF39" t="e">
        <f>CF26/ENR!CF26</f>
        <v>#DIV/0!</v>
      </c>
      <c r="CG39" t="e">
        <f>CG26/ENR!CG26</f>
        <v>#DIV/0!</v>
      </c>
      <c r="CH39" t="e">
        <f>CH26/ENR!CH26</f>
        <v>#DIV/0!</v>
      </c>
      <c r="CI39" t="e">
        <f>CI26/ENR!CI26</f>
        <v>#DIV/0!</v>
      </c>
      <c r="CJ39" t="e">
        <f>CJ26/ENR!CJ26</f>
        <v>#DIV/0!</v>
      </c>
      <c r="CK39" t="e">
        <f>CK26/ENR!CK26</f>
        <v>#DIV/0!</v>
      </c>
      <c r="CL39" t="e">
        <f>CL26/ENR!CL26</f>
        <v>#DIV/0!</v>
      </c>
      <c r="CM39" t="e">
        <f>CM26/ENR!CM26</f>
        <v>#DIV/0!</v>
      </c>
      <c r="CN39" t="e">
        <f>CN26/ENR!CN26</f>
        <v>#DIV/0!</v>
      </c>
      <c r="CO39" t="e">
        <f>CO26/ENR!CO26</f>
        <v>#DIV/0!</v>
      </c>
      <c r="CP39" t="e">
        <f>CP26/ENR!CP26</f>
        <v>#DIV/0!</v>
      </c>
      <c r="CQ39" t="e">
        <f>CQ26/ENR!CQ26</f>
        <v>#DIV/0!</v>
      </c>
      <c r="CR39">
        <f>CR26/ENR!CR26</f>
        <v>519.95316666666633</v>
      </c>
      <c r="CS39" t="e">
        <f>CS26/ENR!CS26</f>
        <v>#DIV/0!</v>
      </c>
    </row>
    <row r="40" spans="1:97" x14ac:dyDescent="0.25">
      <c r="A40" s="7"/>
      <c r="B40" s="8"/>
      <c r="C40" s="8"/>
      <c r="D40" s="2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K40" s="10" t="s">
        <v>27</v>
      </c>
      <c r="AL40">
        <f>AL27/ENR!AL27</f>
        <v>368.9298000000004</v>
      </c>
      <c r="AM40">
        <f>AM27/ENR!AM27</f>
        <v>368.92980000000085</v>
      </c>
      <c r="AN40">
        <f>AN27/ENR!AN27</f>
        <v>368.92979999999994</v>
      </c>
      <c r="AO40">
        <f>AO27/ENR!AO27</f>
        <v>368.92979999999932</v>
      </c>
      <c r="AP40">
        <f>AP27/ENR!AP27</f>
        <v>368.9298</v>
      </c>
      <c r="AQ40">
        <f>AQ27/ENR!AQ27</f>
        <v>368.9298</v>
      </c>
      <c r="AR40">
        <f>AR27/ENR!AR27</f>
        <v>368.92980000000006</v>
      </c>
      <c r="AS40">
        <f>AS27/ENR!AS27</f>
        <v>369.15905936454021</v>
      </c>
      <c r="AT40" t="e">
        <f>AT27/ENR!AT27</f>
        <v>#DIV/0!</v>
      </c>
      <c r="AU40" t="e">
        <f>AU27/ENR!AU27</f>
        <v>#DIV/0!</v>
      </c>
      <c r="AV40" t="e">
        <f>AV27/ENR!AV27</f>
        <v>#DIV/0!</v>
      </c>
      <c r="AW40">
        <f>AW27/ENR!AW27</f>
        <v>368.92979999999932</v>
      </c>
      <c r="AX40">
        <f>AX27/ENR!AX27</f>
        <v>370.320081171146</v>
      </c>
      <c r="AY40">
        <f>AY27/ENR!AY27</f>
        <v>368.88741982472362</v>
      </c>
      <c r="AZ40">
        <f>AZ27/ENR!AZ27</f>
        <v>368.92980000000102</v>
      </c>
      <c r="BA40">
        <f>BA27/ENR!BA27</f>
        <v>369.3632385959304</v>
      </c>
      <c r="BB40">
        <f>BB27/ENR!BB27</f>
        <v>368.92979999999972</v>
      </c>
      <c r="BC40">
        <f>BC27/ENR!BC27</f>
        <v>368.92979999999955</v>
      </c>
      <c r="BD40">
        <f>BD27/ENR!BD27</f>
        <v>368.92980000000125</v>
      </c>
      <c r="BE40" t="e">
        <f>BE27/ENR!BE27</f>
        <v>#DIV/0!</v>
      </c>
      <c r="BF40" t="e">
        <f>BF27/ENR!BF27</f>
        <v>#DIV/0!</v>
      </c>
      <c r="BG40" t="e">
        <f>BG27/ENR!BG27</f>
        <v>#DIV/0!</v>
      </c>
      <c r="BH40" t="e">
        <f>BH27/ENR!BH27</f>
        <v>#DIV/0!</v>
      </c>
      <c r="BI40" t="e">
        <f>BI27/ENR!BI27</f>
        <v>#DIV/0!</v>
      </c>
      <c r="BJ40" t="e">
        <f>BJ27/ENR!BJ27</f>
        <v>#DIV/0!</v>
      </c>
      <c r="BK40" t="e">
        <f>BK27/ENR!BK27</f>
        <v>#DIV/0!</v>
      </c>
      <c r="BL40">
        <f>BL27/ENR!BL27</f>
        <v>368.92980000000028</v>
      </c>
      <c r="BM40">
        <f>BM27/ENR!BM27</f>
        <v>368.92980000000006</v>
      </c>
      <c r="BN40">
        <f>BN27/ENR!BN27</f>
        <v>955.91419999999994</v>
      </c>
      <c r="BO40" t="e">
        <f>BO27/ENR!BO27</f>
        <v>#DIV/0!</v>
      </c>
      <c r="BP40" t="e">
        <f>BP27/ENR!BP27</f>
        <v>#DIV/0!</v>
      </c>
      <c r="BQ40" t="e">
        <f>BQ27/ENR!BQ27</f>
        <v>#DIV/0!</v>
      </c>
      <c r="BR40" t="e">
        <f>BR27/ENR!BR27</f>
        <v>#DIV/0!</v>
      </c>
      <c r="BS40" t="e">
        <f>BS27/ENR!BS27</f>
        <v>#DIV/0!</v>
      </c>
      <c r="BT40" t="e">
        <f>BT27/ENR!BT27</f>
        <v>#DIV/0!</v>
      </c>
      <c r="BU40" t="e">
        <f>BU27/ENR!BU27</f>
        <v>#DIV/0!</v>
      </c>
      <c r="BV40" t="e">
        <f>BV27/ENR!BV27</f>
        <v>#DIV/0!</v>
      </c>
      <c r="BW40" t="e">
        <f>BW27/ENR!BW27</f>
        <v>#DIV/0!</v>
      </c>
      <c r="BX40" t="e">
        <f>BX27/ENR!BX27</f>
        <v>#DIV/0!</v>
      </c>
      <c r="BY40" t="e">
        <f>BY27/ENR!BY27</f>
        <v>#DIV/0!</v>
      </c>
      <c r="BZ40" t="e">
        <f>BZ27/ENR!BZ27</f>
        <v>#DIV/0!</v>
      </c>
      <c r="CA40" t="e">
        <f>CA27/ENR!CA27</f>
        <v>#DIV/0!</v>
      </c>
      <c r="CB40" t="e">
        <f>CB27/ENR!CB27</f>
        <v>#DIV/0!</v>
      </c>
      <c r="CC40" t="e">
        <f>CC27/ENR!CC27</f>
        <v>#DIV/0!</v>
      </c>
      <c r="CD40" t="e">
        <f>CD27/ENR!CD27</f>
        <v>#DIV/0!</v>
      </c>
      <c r="CE40" t="e">
        <f>CE27/ENR!CE27</f>
        <v>#DIV/0!</v>
      </c>
      <c r="CF40" t="e">
        <f>CF27/ENR!CF27</f>
        <v>#DIV/0!</v>
      </c>
      <c r="CG40" t="e">
        <f>CG27/ENR!CG27</f>
        <v>#DIV/0!</v>
      </c>
      <c r="CH40" t="e">
        <f>CH27/ENR!CH27</f>
        <v>#DIV/0!</v>
      </c>
      <c r="CI40" t="e">
        <f>CI27/ENR!CI27</f>
        <v>#DIV/0!</v>
      </c>
      <c r="CJ40" t="e">
        <f>CJ27/ENR!CJ27</f>
        <v>#DIV/0!</v>
      </c>
      <c r="CK40" t="e">
        <f>CK27/ENR!CK27</f>
        <v>#DIV/0!</v>
      </c>
      <c r="CL40" t="e">
        <f>CL27/ENR!CL27</f>
        <v>#DIV/0!</v>
      </c>
      <c r="CM40" t="e">
        <f>CM27/ENR!CM27</f>
        <v>#DIV/0!</v>
      </c>
      <c r="CN40" t="e">
        <f>CN27/ENR!CN27</f>
        <v>#DIV/0!</v>
      </c>
      <c r="CO40" t="e">
        <f>CO27/ENR!CO27</f>
        <v>#DIV/0!</v>
      </c>
      <c r="CP40" t="e">
        <f>CP27/ENR!CP27</f>
        <v>#DIV/0!</v>
      </c>
      <c r="CQ40" t="e">
        <f>CQ27/ENR!CQ27</f>
        <v>#DIV/0!</v>
      </c>
      <c r="CR40" t="e">
        <f>CR27/ENR!CR27</f>
        <v>#DIV/0!</v>
      </c>
      <c r="CS40" t="e">
        <f>CS27/ENR!CS27</f>
        <v>#DIV/0!</v>
      </c>
    </row>
    <row r="41" spans="1:97" x14ac:dyDescent="0.25">
      <c r="A41" s="7"/>
      <c r="B41" s="8"/>
      <c r="C41" s="8"/>
      <c r="D41" s="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K41" s="10" t="s">
        <v>82</v>
      </c>
      <c r="AL41" t="e">
        <f>AL28/ENR!AL28</f>
        <v>#DIV/0!</v>
      </c>
      <c r="AM41" t="e">
        <f>AM28/ENR!AM28</f>
        <v>#DIV/0!</v>
      </c>
      <c r="AN41" t="e">
        <f>AN28/ENR!AN28</f>
        <v>#DIV/0!</v>
      </c>
      <c r="AO41" t="e">
        <f>AO28/ENR!AO28</f>
        <v>#DIV/0!</v>
      </c>
      <c r="AP41" t="e">
        <f>AP28/ENR!AP28</f>
        <v>#DIV/0!</v>
      </c>
      <c r="AQ41" t="e">
        <f>AQ28/ENR!AQ28</f>
        <v>#DIV/0!</v>
      </c>
      <c r="AR41" t="e">
        <f>AR28/ENR!AR28</f>
        <v>#DIV/0!</v>
      </c>
      <c r="AS41">
        <f>AS28/ENR!AS28</f>
        <v>416.96019645000064</v>
      </c>
      <c r="AT41" t="e">
        <f>AT28/ENR!AT28</f>
        <v>#DIV/0!</v>
      </c>
      <c r="AU41" t="e">
        <f>AU28/ENR!AU28</f>
        <v>#DIV/0!</v>
      </c>
      <c r="AV41" t="e">
        <f>AV28/ENR!AV28</f>
        <v>#DIV/0!</v>
      </c>
      <c r="AW41" t="e">
        <f>AW28/ENR!AW28</f>
        <v>#DIV/0!</v>
      </c>
      <c r="AX41" t="e">
        <f>AX28/ENR!AX28</f>
        <v>#DIV/0!</v>
      </c>
      <c r="AY41" t="e">
        <f>AY28/ENR!AY28</f>
        <v>#DIV/0!</v>
      </c>
      <c r="AZ41" t="e">
        <f>AZ28/ENR!AZ28</f>
        <v>#DIV/0!</v>
      </c>
      <c r="BA41" t="e">
        <f>BA28/ENR!BA28</f>
        <v>#DIV/0!</v>
      </c>
      <c r="BB41" t="e">
        <f>BB28/ENR!BB28</f>
        <v>#DIV/0!</v>
      </c>
      <c r="BC41" t="e">
        <f>BC28/ENR!BC28</f>
        <v>#DIV/0!</v>
      </c>
      <c r="BD41" t="e">
        <f>BD28/ENR!BD28</f>
        <v>#DIV/0!</v>
      </c>
      <c r="BE41">
        <f>BE28/ENR!BE28</f>
        <v>416.96019645000064</v>
      </c>
      <c r="BF41">
        <f>BF28/ENR!BF28</f>
        <v>416.96019645000035</v>
      </c>
      <c r="BG41">
        <f>BG28/ENR!BG28</f>
        <v>416.96019645000132</v>
      </c>
      <c r="BH41">
        <f>BH28/ENR!BH28</f>
        <v>416.96019644999893</v>
      </c>
      <c r="BI41">
        <f>BI28/ENR!BI28</f>
        <v>416.9601964500003</v>
      </c>
      <c r="BJ41">
        <f>BJ28/ENR!BJ28</f>
        <v>416.9601964500003</v>
      </c>
      <c r="BK41">
        <f>BK28/ENR!BK28</f>
        <v>416.96019644999967</v>
      </c>
      <c r="BL41">
        <f>BL28/ENR!BL28</f>
        <v>416.96019645000047</v>
      </c>
      <c r="BM41" t="e">
        <f>BM28/ENR!BM28</f>
        <v>#DIV/0!</v>
      </c>
      <c r="BN41" t="e">
        <f>BN28/ENR!BN28</f>
        <v>#DIV/0!</v>
      </c>
      <c r="BO41" t="e">
        <f>BO28/ENR!BO28</f>
        <v>#DIV/0!</v>
      </c>
      <c r="BP41" t="e">
        <f>BP28/ENR!BP28</f>
        <v>#DIV/0!</v>
      </c>
      <c r="BQ41" t="e">
        <f>BQ28/ENR!BQ28</f>
        <v>#DIV/0!</v>
      </c>
      <c r="BR41" t="e">
        <f>BR28/ENR!BR28</f>
        <v>#DIV/0!</v>
      </c>
      <c r="BS41" t="e">
        <f>BS28/ENR!BS28</f>
        <v>#DIV/0!</v>
      </c>
      <c r="BT41" t="e">
        <f>BT28/ENR!BT28</f>
        <v>#DIV/0!</v>
      </c>
      <c r="BU41" t="e">
        <f>BU28/ENR!BU28</f>
        <v>#DIV/0!</v>
      </c>
      <c r="BV41" t="e">
        <f>BV28/ENR!BV28</f>
        <v>#DIV/0!</v>
      </c>
      <c r="BW41" t="e">
        <f>BW28/ENR!BW28</f>
        <v>#DIV/0!</v>
      </c>
      <c r="BX41" t="e">
        <f>BX28/ENR!BX28</f>
        <v>#DIV/0!</v>
      </c>
      <c r="BY41" t="e">
        <f>BY28/ENR!BY28</f>
        <v>#DIV/0!</v>
      </c>
      <c r="BZ41" t="e">
        <f>BZ28/ENR!BZ28</f>
        <v>#DIV/0!</v>
      </c>
      <c r="CA41" t="e">
        <f>CA28/ENR!CA28</f>
        <v>#DIV/0!</v>
      </c>
      <c r="CB41" t="e">
        <f>CB28/ENR!CB28</f>
        <v>#DIV/0!</v>
      </c>
      <c r="CC41" t="e">
        <f>CC28/ENR!CC28</f>
        <v>#DIV/0!</v>
      </c>
      <c r="CD41" t="e">
        <f>CD28/ENR!CD28</f>
        <v>#DIV/0!</v>
      </c>
      <c r="CE41" t="e">
        <f>CE28/ENR!CE28</f>
        <v>#DIV/0!</v>
      </c>
      <c r="CF41" t="e">
        <f>CF28/ENR!CF28</f>
        <v>#DIV/0!</v>
      </c>
      <c r="CG41" t="e">
        <f>CG28/ENR!CG28</f>
        <v>#DIV/0!</v>
      </c>
      <c r="CH41" t="e">
        <f>CH28/ENR!CH28</f>
        <v>#DIV/0!</v>
      </c>
      <c r="CI41" t="e">
        <f>CI28/ENR!CI28</f>
        <v>#DIV/0!</v>
      </c>
      <c r="CJ41" t="e">
        <f>CJ28/ENR!CJ28</f>
        <v>#DIV/0!</v>
      </c>
      <c r="CK41" t="e">
        <f>CK28/ENR!CK28</f>
        <v>#DIV/0!</v>
      </c>
      <c r="CL41" t="e">
        <f>CL28/ENR!CL28</f>
        <v>#DIV/0!</v>
      </c>
      <c r="CM41" t="e">
        <f>CM28/ENR!CM28</f>
        <v>#DIV/0!</v>
      </c>
      <c r="CN41" t="e">
        <f>CN28/ENR!CN28</f>
        <v>#DIV/0!</v>
      </c>
      <c r="CO41" t="e">
        <f>CO28/ENR!CO28</f>
        <v>#DIV/0!</v>
      </c>
      <c r="CP41" t="e">
        <f>CP28/ENR!CP28</f>
        <v>#DIV/0!</v>
      </c>
      <c r="CQ41" t="e">
        <f>CQ28/ENR!CQ28</f>
        <v>#DIV/0!</v>
      </c>
      <c r="CR41">
        <f>CR28/ENR!CR28</f>
        <v>420.13192410000005</v>
      </c>
      <c r="CS41" t="e">
        <f>CS28/ENR!CS28</f>
        <v>#DIV/0!</v>
      </c>
    </row>
    <row r="42" spans="1:97" x14ac:dyDescent="0.25">
      <c r="D42" s="2">
        <v>35</v>
      </c>
    </row>
    <row r="43" spans="1:97" x14ac:dyDescent="0.25">
      <c r="A43" s="17" t="s">
        <v>116</v>
      </c>
      <c r="B43" s="4" t="s">
        <v>0</v>
      </c>
      <c r="C43" s="4" t="s">
        <v>94</v>
      </c>
      <c r="D43" s="2">
        <v>36</v>
      </c>
      <c r="E43" s="1">
        <v>27141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59</v>
      </c>
      <c r="L43" s="1">
        <v>97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H43" s="1">
        <v>5014.9636669470501</v>
      </c>
      <c r="AI43" s="1">
        <v>564.39078207792795</v>
      </c>
      <c r="AJ43" s="1">
        <v>445.65383047191199</v>
      </c>
      <c r="AK43" s="1">
        <v>0</v>
      </c>
      <c r="AL43" s="1">
        <v>4708.30838402888</v>
      </c>
      <c r="AM43" s="1">
        <v>0</v>
      </c>
      <c r="AN43" s="1">
        <v>0.53542255336815203</v>
      </c>
      <c r="AO43" s="1">
        <v>25.7259001323992</v>
      </c>
      <c r="AP43" s="1">
        <v>0</v>
      </c>
      <c r="AQ43" s="1">
        <v>0.12161158635509101</v>
      </c>
      <c r="AR43" s="1">
        <v>9866.9442664567105</v>
      </c>
      <c r="AS43" s="1">
        <v>965.39174957374803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0.167178573961798</v>
      </c>
      <c r="BA43" s="1">
        <v>0</v>
      </c>
      <c r="BB43" s="1">
        <v>0</v>
      </c>
      <c r="BC43" s="1">
        <v>0.24834720633040999</v>
      </c>
      <c r="BD43" s="1">
        <v>1.6299170026624302E-2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3280.4817136977999</v>
      </c>
      <c r="BO43" s="1">
        <v>0</v>
      </c>
      <c r="BP43" s="1">
        <v>311.32012697845698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3.0861705186587499E-2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13764.7611278349</v>
      </c>
      <c r="CS43" s="1">
        <v>397.95528999877399</v>
      </c>
    </row>
    <row r="44" spans="1:97" x14ac:dyDescent="0.25">
      <c r="A44" s="17"/>
      <c r="B44" s="4" t="s">
        <v>1</v>
      </c>
      <c r="C44" s="4" t="s">
        <v>95</v>
      </c>
      <c r="D44" s="2">
        <v>37</v>
      </c>
      <c r="E44" s="1">
        <v>0</v>
      </c>
      <c r="F44" s="1">
        <v>5680.2036831296</v>
      </c>
      <c r="G44" s="1">
        <v>74</v>
      </c>
      <c r="H44" s="1">
        <v>6</v>
      </c>
      <c r="I44" s="1">
        <v>0</v>
      </c>
      <c r="J44" s="1">
        <v>0</v>
      </c>
      <c r="K44" s="1">
        <v>16</v>
      </c>
      <c r="L44" s="1">
        <v>1194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H44" s="1">
        <v>935.62840205757595</v>
      </c>
      <c r="AI44" s="1">
        <v>105.296883614924</v>
      </c>
      <c r="AJ44" s="1">
        <v>22.2054950996759</v>
      </c>
      <c r="AK44" s="1">
        <v>0</v>
      </c>
      <c r="AL44" s="1">
        <v>1.94787262924939</v>
      </c>
      <c r="AM44" s="1">
        <v>440.615010142296</v>
      </c>
      <c r="AN44" s="1">
        <v>47.415552827147799</v>
      </c>
      <c r="AO44" s="1">
        <v>5.8762936703655804</v>
      </c>
      <c r="AP44" s="1">
        <v>6.8378152873907299</v>
      </c>
      <c r="AQ44" s="1">
        <v>2.97019280053479</v>
      </c>
      <c r="AR44" s="1">
        <v>0</v>
      </c>
      <c r="AS44" s="1">
        <v>2843.05564263618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14.804875990725099</v>
      </c>
      <c r="BA44" s="1">
        <v>18.2068746953789</v>
      </c>
      <c r="BB44" s="1">
        <v>0</v>
      </c>
      <c r="BC44" s="1">
        <v>0.96557856149608401</v>
      </c>
      <c r="BD44" s="1">
        <v>1.44340979395516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4930.2951818245601</v>
      </c>
      <c r="CS44" s="1">
        <v>-281.099836957496</v>
      </c>
    </row>
    <row r="45" spans="1:97" x14ac:dyDescent="0.25">
      <c r="A45" s="17"/>
      <c r="B45" s="4" t="s">
        <v>2</v>
      </c>
      <c r="C45" s="4" t="s">
        <v>96</v>
      </c>
      <c r="D45" s="2">
        <v>38</v>
      </c>
      <c r="E45" s="1">
        <v>1</v>
      </c>
      <c r="F45" s="1">
        <v>45</v>
      </c>
      <c r="G45" s="1">
        <v>27202.397373164698</v>
      </c>
      <c r="H45" s="1">
        <v>145</v>
      </c>
      <c r="I45" s="1">
        <v>18</v>
      </c>
      <c r="J45" s="1">
        <v>2</v>
      </c>
      <c r="K45" s="1">
        <v>242</v>
      </c>
      <c r="L45" s="1">
        <v>1305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608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H45" s="1">
        <v>3564.2316167476802</v>
      </c>
      <c r="AI45" s="1">
        <v>401.12343842915902</v>
      </c>
      <c r="AJ45" s="1">
        <v>549.13436464578297</v>
      </c>
      <c r="AK45" s="1">
        <v>0</v>
      </c>
      <c r="AL45" s="1">
        <v>348.57366966299497</v>
      </c>
      <c r="AM45" s="1">
        <v>15.3505931363432</v>
      </c>
      <c r="AN45" s="1">
        <v>5755.42276205075</v>
      </c>
      <c r="AO45" s="1">
        <v>1570.7264720256901</v>
      </c>
      <c r="AP45" s="1">
        <v>58.353438029225899</v>
      </c>
      <c r="AQ45" s="1">
        <v>356.38894775741801</v>
      </c>
      <c r="AR45" s="1">
        <v>271.63467727538301</v>
      </c>
      <c r="AS45" s="1">
        <v>2324.0812189281801</v>
      </c>
      <c r="AT45" s="1">
        <v>1.1154520178932601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1797.05424034562</v>
      </c>
      <c r="BA45" s="1">
        <v>0.60996597854804102</v>
      </c>
      <c r="BB45" s="1">
        <v>0</v>
      </c>
      <c r="BC45" s="1">
        <v>3.9266659158263399</v>
      </c>
      <c r="BD45" s="1">
        <v>175.204823897784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1243.816567072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24398.119509402099</v>
      </c>
      <c r="CS45" s="1">
        <v>-4237.4922105084797</v>
      </c>
    </row>
    <row r="46" spans="1:97" x14ac:dyDescent="0.25">
      <c r="A46" s="17"/>
      <c r="B46" s="4" t="s">
        <v>3</v>
      </c>
      <c r="C46" s="4" t="s">
        <v>97</v>
      </c>
      <c r="D46" s="2">
        <v>39</v>
      </c>
      <c r="E46" s="1">
        <v>0</v>
      </c>
      <c r="F46" s="1">
        <v>10</v>
      </c>
      <c r="G46" s="1">
        <v>410</v>
      </c>
      <c r="H46" s="1">
        <v>7447</v>
      </c>
      <c r="I46" s="1">
        <v>0</v>
      </c>
      <c r="J46" s="1">
        <v>70</v>
      </c>
      <c r="K46" s="1">
        <v>0</v>
      </c>
      <c r="L46" s="1">
        <v>478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H46" s="1">
        <v>1061.5012697581501</v>
      </c>
      <c r="AI46" s="1">
        <v>119.462786094366</v>
      </c>
      <c r="AJ46" s="1">
        <v>227.65572161012301</v>
      </c>
      <c r="AK46" s="1">
        <v>0</v>
      </c>
      <c r="AL46" s="1">
        <v>73.44</v>
      </c>
      <c r="AM46" s="1">
        <v>18.810939011422299</v>
      </c>
      <c r="AN46" s="1">
        <v>84.270476188592696</v>
      </c>
      <c r="AO46" s="1">
        <v>237.56857855361599</v>
      </c>
      <c r="AP46" s="1">
        <v>167.71541501976299</v>
      </c>
      <c r="AQ46" s="1">
        <v>37.489655172413798</v>
      </c>
      <c r="AR46" s="1">
        <v>422.44223602484499</v>
      </c>
      <c r="AS46" s="1">
        <v>2824.3957518048601</v>
      </c>
      <c r="AT46" s="1">
        <v>63.441860465116299</v>
      </c>
      <c r="AU46" s="1">
        <v>13.0625</v>
      </c>
      <c r="AV46" s="1">
        <v>4</v>
      </c>
      <c r="AW46" s="1">
        <v>0.21598215541565399</v>
      </c>
      <c r="AX46" s="1">
        <v>4.4981689121660402</v>
      </c>
      <c r="AY46" s="1">
        <v>10.758888062959</v>
      </c>
      <c r="AZ46" s="1">
        <v>26.312335832076201</v>
      </c>
      <c r="BA46" s="1">
        <v>24.8926486079345</v>
      </c>
      <c r="BB46" s="1">
        <v>2.6822562481661899E-2</v>
      </c>
      <c r="BC46" s="1">
        <v>20.772766447849101</v>
      </c>
      <c r="BD46" s="1">
        <v>2.5653361274791799</v>
      </c>
      <c r="BE46" s="1">
        <v>0.62632233365058199</v>
      </c>
      <c r="BF46" s="1">
        <v>1.0393332761951499</v>
      </c>
      <c r="BG46" s="1">
        <v>1.19482916006658E-2</v>
      </c>
      <c r="BH46" s="1">
        <v>1.4740041841256001E-3</v>
      </c>
      <c r="BI46" s="1">
        <v>0.101272464364438</v>
      </c>
      <c r="BJ46" s="1">
        <v>1.9768040055579699E-4</v>
      </c>
      <c r="BK46" s="1">
        <v>4.1517876979968199E-2</v>
      </c>
      <c r="BL46" s="1">
        <v>6.4842130116079796E-2</v>
      </c>
      <c r="BM46" s="1">
        <v>0.27175152949666398</v>
      </c>
      <c r="BN46" s="1">
        <v>945.21111111111099</v>
      </c>
      <c r="BO46" s="1">
        <v>0</v>
      </c>
      <c r="BP46" s="1">
        <v>29.621376217841</v>
      </c>
      <c r="BQ46" s="1">
        <v>11.0349325396376</v>
      </c>
      <c r="BR46" s="1">
        <v>1.50222647777704</v>
      </c>
      <c r="BS46" s="1">
        <v>8.0905985360349302</v>
      </c>
      <c r="BT46" s="1">
        <v>28.668025497713302</v>
      </c>
      <c r="BU46" s="1">
        <v>5.4241359282953399</v>
      </c>
      <c r="BV46" s="1">
        <v>2.0176900440478902</v>
      </c>
      <c r="BW46" s="1">
        <v>3.7557919764814298</v>
      </c>
      <c r="BX46" s="1">
        <v>0.217549035918322</v>
      </c>
      <c r="BY46" s="1">
        <v>0.36495535814708602</v>
      </c>
      <c r="BZ46" s="1">
        <v>8.3500565809416898</v>
      </c>
      <c r="CA46" s="1">
        <v>3.32881708128498E-3</v>
      </c>
      <c r="CB46" s="1">
        <v>1.74937888743757E-3</v>
      </c>
      <c r="CC46" s="1">
        <v>0.51478346055944602</v>
      </c>
      <c r="CD46" s="1">
        <v>28.171150736283298</v>
      </c>
      <c r="CE46" s="1">
        <v>11.7261159539334</v>
      </c>
      <c r="CF46" s="1">
        <v>1.6393427681631501</v>
      </c>
      <c r="CG46" s="1">
        <v>0.73482618699257296</v>
      </c>
      <c r="CH46" s="1">
        <v>7.6678490545793503</v>
      </c>
      <c r="CI46" s="1">
        <v>5.3257484819389296</v>
      </c>
      <c r="CJ46" s="1">
        <v>1.9652354120815001</v>
      </c>
      <c r="CK46" s="1">
        <v>2.94379858955817</v>
      </c>
      <c r="CL46" s="1">
        <v>0.176087430930535</v>
      </c>
      <c r="CM46" s="1">
        <v>0.30648767971556201</v>
      </c>
      <c r="CN46" s="1">
        <v>7.0062820628094297E-2</v>
      </c>
      <c r="CO46" s="1">
        <v>1.3149343660520899E-2</v>
      </c>
      <c r="CP46" s="1">
        <v>1.6028190339755599E-3</v>
      </c>
      <c r="CQ46" s="1">
        <v>0.51386666878080201</v>
      </c>
      <c r="CR46" s="1">
        <v>4595.1117415470098</v>
      </c>
      <c r="CS46" s="1">
        <v>83.635380472891498</v>
      </c>
    </row>
    <row r="47" spans="1:97" x14ac:dyDescent="0.25">
      <c r="A47" s="17"/>
      <c r="B47" s="4" t="s">
        <v>4</v>
      </c>
      <c r="C47" s="4" t="s">
        <v>98</v>
      </c>
      <c r="D47" s="2">
        <v>40</v>
      </c>
      <c r="E47" s="1">
        <v>0</v>
      </c>
      <c r="F47" s="1">
        <v>30</v>
      </c>
      <c r="G47" s="1">
        <v>0</v>
      </c>
      <c r="H47" s="1">
        <v>13</v>
      </c>
      <c r="I47" s="1">
        <v>4655</v>
      </c>
      <c r="J47" s="1">
        <v>0</v>
      </c>
      <c r="K47" s="1">
        <v>0</v>
      </c>
      <c r="L47" s="1">
        <v>451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H47" s="1">
        <v>1834.3927123583801</v>
      </c>
      <c r="AI47" s="1">
        <v>206.44503257114599</v>
      </c>
      <c r="AJ47" s="1">
        <v>190.57259081012899</v>
      </c>
      <c r="AK47" s="1">
        <v>0</v>
      </c>
      <c r="AL47" s="1">
        <v>16.5</v>
      </c>
      <c r="AM47" s="1">
        <v>10.6373709170621</v>
      </c>
      <c r="AN47" s="1">
        <v>8.1141819522447207</v>
      </c>
      <c r="AO47" s="1">
        <v>10.2083333333333</v>
      </c>
      <c r="AP47" s="1">
        <v>306.239382239382</v>
      </c>
      <c r="AQ47" s="1">
        <v>0</v>
      </c>
      <c r="AR47" s="1">
        <v>134.82490272373499</v>
      </c>
      <c r="AS47" s="1">
        <v>4913.7428756830705</v>
      </c>
      <c r="AT47" s="1">
        <v>0</v>
      </c>
      <c r="AU47" s="1">
        <v>0</v>
      </c>
      <c r="AV47" s="1">
        <v>0</v>
      </c>
      <c r="AW47" s="1">
        <v>0</v>
      </c>
      <c r="AX47" s="1">
        <v>1.11936000579247</v>
      </c>
      <c r="AY47" s="1">
        <v>0</v>
      </c>
      <c r="AZ47" s="1">
        <v>2.5335454382888098</v>
      </c>
      <c r="BA47" s="1">
        <v>6.66142581692693</v>
      </c>
      <c r="BB47" s="1">
        <v>6.7056406204154803E-2</v>
      </c>
      <c r="BC47" s="1">
        <v>0</v>
      </c>
      <c r="BD47" s="1">
        <v>0.24700945157173099</v>
      </c>
      <c r="BE47" s="1">
        <v>1.56580583412645</v>
      </c>
      <c r="BF47" s="1">
        <v>2.5983331904878799</v>
      </c>
      <c r="BG47" s="1">
        <v>2.9870729001664501E-2</v>
      </c>
      <c r="BH47" s="1">
        <v>3.6850104603139899E-3</v>
      </c>
      <c r="BI47" s="1">
        <v>0.25318116091109499</v>
      </c>
      <c r="BJ47" s="1">
        <v>4.9420100138949398E-4</v>
      </c>
      <c r="BK47" s="1">
        <v>0.10379469244992</v>
      </c>
      <c r="BL47" s="1">
        <v>0.162105325290199</v>
      </c>
      <c r="BM47" s="1">
        <v>0.67937882374165903</v>
      </c>
      <c r="BN47" s="1">
        <v>240.432835820896</v>
      </c>
      <c r="BO47" s="1">
        <v>0</v>
      </c>
      <c r="BP47" s="1">
        <v>0.32171125581843002</v>
      </c>
      <c r="BQ47" s="1">
        <v>0.32180014940559099</v>
      </c>
      <c r="BR47" s="1">
        <v>0.186695433484031</v>
      </c>
      <c r="BS47" s="1">
        <v>68.784469291452695</v>
      </c>
      <c r="BT47" s="1">
        <v>0.73354550977289001</v>
      </c>
      <c r="BU47" s="1">
        <v>1.36939969850413E-2</v>
      </c>
      <c r="BV47" s="1">
        <v>0.67615291930689103</v>
      </c>
      <c r="BW47" s="1">
        <v>1.7840525986910001</v>
      </c>
      <c r="BX47" s="1">
        <v>1.7680030205297501E-2</v>
      </c>
      <c r="BY47" s="1">
        <v>0.81749951009170896</v>
      </c>
      <c r="BZ47" s="1">
        <v>1.54898517575578E-2</v>
      </c>
      <c r="CA47" s="1">
        <v>3.7708582755374899E-2</v>
      </c>
      <c r="CB47" s="1">
        <v>5.9153247868919297E-2</v>
      </c>
      <c r="CC47" s="1">
        <v>0.34846067898033001</v>
      </c>
      <c r="CD47" s="1">
        <v>0.305497724891997</v>
      </c>
      <c r="CE47" s="1">
        <v>0.34203035132847998</v>
      </c>
      <c r="CF47" s="1">
        <v>0.202458692264843</v>
      </c>
      <c r="CG47" s="1">
        <v>6.2551501218599199</v>
      </c>
      <c r="CH47" s="1">
        <v>0.19888905798564699</v>
      </c>
      <c r="CI47" s="1">
        <v>1.34740230755186E-2</v>
      </c>
      <c r="CJ47" s="1">
        <v>0.65902853632143299</v>
      </c>
      <c r="CK47" s="1">
        <v>1.3799154124170601</v>
      </c>
      <c r="CL47" s="1">
        <v>1.42892749228555E-2</v>
      </c>
      <c r="CM47" s="1">
        <v>0.68944405150043098</v>
      </c>
      <c r="CN47" s="1">
        <v>1.3127655317276101E-4</v>
      </c>
      <c r="CO47" s="1">
        <v>0.14538724882319501</v>
      </c>
      <c r="CP47" s="1">
        <v>5.4340611495435898E-2</v>
      </c>
      <c r="CQ47" s="1">
        <v>0.34782930497891201</v>
      </c>
      <c r="CR47" s="1">
        <v>1501.78863409771</v>
      </c>
      <c r="CS47" s="1">
        <v>137.17079414098001</v>
      </c>
    </row>
    <row r="48" spans="1:97" x14ac:dyDescent="0.25">
      <c r="A48" s="17"/>
      <c r="B48" s="4" t="s">
        <v>5</v>
      </c>
      <c r="C48" s="4" t="s">
        <v>99</v>
      </c>
      <c r="D48" s="2">
        <v>41</v>
      </c>
      <c r="E48" s="1">
        <v>0</v>
      </c>
      <c r="F48" s="1">
        <v>19</v>
      </c>
      <c r="G48" s="1">
        <v>54</v>
      </c>
      <c r="H48" s="1">
        <v>36</v>
      </c>
      <c r="I48" s="1">
        <v>0</v>
      </c>
      <c r="J48" s="1">
        <v>6202</v>
      </c>
      <c r="K48" s="1">
        <v>0</v>
      </c>
      <c r="L48" s="1">
        <v>467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H48" s="1">
        <v>1291.8414727271299</v>
      </c>
      <c r="AI48" s="1">
        <v>145.38558353245699</v>
      </c>
      <c r="AJ48" s="1">
        <v>216.65089999192799</v>
      </c>
      <c r="AK48" s="1">
        <v>0</v>
      </c>
      <c r="AL48" s="1">
        <v>16.875</v>
      </c>
      <c r="AM48" s="1">
        <v>19.755117417400999</v>
      </c>
      <c r="AN48" s="1">
        <v>42.968076112778597</v>
      </c>
      <c r="AO48" s="1">
        <v>70.512195121951194</v>
      </c>
      <c r="AP48" s="1">
        <v>25.7878787878788</v>
      </c>
      <c r="AQ48" s="1">
        <v>755.89473684210498</v>
      </c>
      <c r="AR48" s="1">
        <v>796.10008628127696</v>
      </c>
      <c r="AS48" s="1">
        <v>1614.5594134282901</v>
      </c>
      <c r="AT48" s="1">
        <v>25.714285714285701</v>
      </c>
      <c r="AU48" s="1">
        <v>9.8000000000000007</v>
      </c>
      <c r="AV48" s="1">
        <v>6</v>
      </c>
      <c r="AW48" s="1">
        <v>3.9269482802846201E-2</v>
      </c>
      <c r="AX48" s="1">
        <v>2.4874666795388198</v>
      </c>
      <c r="AY48" s="1">
        <v>1.9561614659925399</v>
      </c>
      <c r="AZ48" s="1">
        <v>13.4162105149073</v>
      </c>
      <c r="BA48" s="1">
        <v>14.093918225248499</v>
      </c>
      <c r="BB48" s="1">
        <v>2.9337177714317701E-2</v>
      </c>
      <c r="BC48" s="1">
        <v>0.38794640225185001</v>
      </c>
      <c r="BD48" s="1">
        <v>1.30802106462176</v>
      </c>
      <c r="BE48" s="1">
        <v>0.68504005243032395</v>
      </c>
      <c r="BF48" s="1">
        <v>1.13677077083845</v>
      </c>
      <c r="BG48" s="1">
        <v>1.3068443938228201E-2</v>
      </c>
      <c r="BH48" s="1">
        <v>1.6121920763873701E-3</v>
      </c>
      <c r="BI48" s="1">
        <v>0.110766757898604</v>
      </c>
      <c r="BJ48" s="1">
        <v>2.1621293810790299E-4</v>
      </c>
      <c r="BK48" s="1">
        <v>4.5410177946840199E-2</v>
      </c>
      <c r="BL48" s="1">
        <v>7.0921079814462204E-2</v>
      </c>
      <c r="BM48" s="1">
        <v>0.29722823538697601</v>
      </c>
      <c r="BN48" s="1">
        <v>838.21157836381701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4005.4</v>
      </c>
      <c r="CS48" s="1">
        <v>168.22022324538199</v>
      </c>
    </row>
    <row r="49" spans="1:97" x14ac:dyDescent="0.25">
      <c r="A49" s="17"/>
      <c r="B49" s="4" t="s">
        <v>6</v>
      </c>
      <c r="C49" s="4" t="s">
        <v>100</v>
      </c>
      <c r="D49" s="2">
        <v>42</v>
      </c>
      <c r="E49" s="1">
        <v>329</v>
      </c>
      <c r="F49" s="1">
        <v>0</v>
      </c>
      <c r="G49" s="1">
        <v>105</v>
      </c>
      <c r="H49" s="1">
        <v>0</v>
      </c>
      <c r="I49" s="1">
        <v>0</v>
      </c>
      <c r="J49" s="1">
        <v>0</v>
      </c>
      <c r="K49" s="1">
        <v>63777</v>
      </c>
      <c r="L49" s="1">
        <v>1540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H49" s="1">
        <v>16534.318844564601</v>
      </c>
      <c r="AI49" s="1">
        <v>1860.7945667312399</v>
      </c>
      <c r="AJ49" s="1">
        <v>5205.0779557988799</v>
      </c>
      <c r="AK49" s="1">
        <v>0</v>
      </c>
      <c r="AL49" s="1">
        <v>4334.6034725481004</v>
      </c>
      <c r="AM49" s="1">
        <v>0.96031820779032795</v>
      </c>
      <c r="AN49" s="1">
        <v>215.48967593626401</v>
      </c>
      <c r="AO49" s="1">
        <v>26.88</v>
      </c>
      <c r="AP49" s="1">
        <v>1</v>
      </c>
      <c r="AQ49" s="1">
        <v>30.147058823529399</v>
      </c>
      <c r="AR49" s="1">
        <v>9017.7229543364992</v>
      </c>
      <c r="AS49" s="1">
        <v>6139.3426994231804</v>
      </c>
      <c r="AT49" s="1">
        <v>11.103130225494301</v>
      </c>
      <c r="AU49" s="1">
        <v>1.3333333333333299</v>
      </c>
      <c r="AV49" s="1">
        <v>1.25</v>
      </c>
      <c r="AW49" s="1">
        <v>2.9195811279261101</v>
      </c>
      <c r="AX49" s="1">
        <v>0.124373333976941</v>
      </c>
      <c r="AY49" s="1">
        <v>145.43537861094899</v>
      </c>
      <c r="AZ49" s="1">
        <v>67.283786422317405</v>
      </c>
      <c r="BA49" s="1">
        <v>1.06947732464303</v>
      </c>
      <c r="BB49" s="1">
        <v>0.115731404906353</v>
      </c>
      <c r="BC49" s="1">
        <v>0</v>
      </c>
      <c r="BD49" s="1">
        <v>6.5598709747519903</v>
      </c>
      <c r="BE49" s="1">
        <v>2.7023951811898801</v>
      </c>
      <c r="BF49" s="1">
        <v>4.4844149511152596</v>
      </c>
      <c r="BG49" s="1">
        <v>5.1553335894779798E-2</v>
      </c>
      <c r="BH49" s="1">
        <v>6.3598910500563301E-3</v>
      </c>
      <c r="BI49" s="1">
        <v>0.43696065904359499</v>
      </c>
      <c r="BJ49" s="1">
        <v>8.5293232122822895E-4</v>
      </c>
      <c r="BK49" s="1">
        <v>0.179137330182599</v>
      </c>
      <c r="BL49" s="1">
        <v>0.27977456742192303</v>
      </c>
      <c r="BM49" s="1">
        <v>1.1725272824176001</v>
      </c>
      <c r="BN49" s="1">
        <v>23436.199364120501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43405.447482474199</v>
      </c>
      <c r="CS49" s="1">
        <v>2496.8897023357599</v>
      </c>
    </row>
    <row r="50" spans="1:97" x14ac:dyDescent="0.25">
      <c r="A50" s="17"/>
      <c r="B50" s="4" t="s">
        <v>7</v>
      </c>
      <c r="C50" s="4" t="s">
        <v>64</v>
      </c>
      <c r="D50" s="2">
        <v>43</v>
      </c>
      <c r="E50" s="1">
        <v>2477</v>
      </c>
      <c r="F50" s="1">
        <v>966</v>
      </c>
      <c r="G50" s="1">
        <v>2568</v>
      </c>
      <c r="H50" s="1">
        <v>675</v>
      </c>
      <c r="I50" s="1">
        <v>340</v>
      </c>
      <c r="J50" s="1">
        <v>272</v>
      </c>
      <c r="K50" s="1">
        <v>2265</v>
      </c>
      <c r="L50" s="1">
        <v>1038958.34250209</v>
      </c>
      <c r="M50" s="1">
        <v>5179</v>
      </c>
      <c r="N50" s="1">
        <v>178</v>
      </c>
      <c r="O50" s="1">
        <v>1316</v>
      </c>
      <c r="P50" s="1">
        <v>0</v>
      </c>
      <c r="Q50" s="1">
        <v>0</v>
      </c>
      <c r="R50" s="1">
        <v>320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H50" s="1">
        <v>55841.6581107483</v>
      </c>
      <c r="AI50" s="1">
        <v>6284.4955989162199</v>
      </c>
      <c r="AJ50" s="1">
        <v>32762.1210688018</v>
      </c>
      <c r="AK50" s="1">
        <v>100498.668674442</v>
      </c>
      <c r="AL50" s="1">
        <v>4430.4027318704502</v>
      </c>
      <c r="AM50" s="1">
        <v>1629.9852941076999</v>
      </c>
      <c r="AN50" s="1">
        <v>5756.8213472083398</v>
      </c>
      <c r="AO50" s="1">
        <v>1327.56358466762</v>
      </c>
      <c r="AP50" s="1">
        <v>1373.63871772627</v>
      </c>
      <c r="AQ50" s="1">
        <v>1273.4570565729</v>
      </c>
      <c r="AR50" s="1">
        <v>8094.3364426704902</v>
      </c>
      <c r="AS50" s="1">
        <v>322149.75361339899</v>
      </c>
      <c r="AT50" s="1">
        <v>11571.008142881799</v>
      </c>
      <c r="AU50" s="1">
        <v>1326.5710845814399</v>
      </c>
      <c r="AV50" s="1">
        <v>2268.9928041366402</v>
      </c>
      <c r="AW50" s="1">
        <v>18.246847522849901</v>
      </c>
      <c r="AX50" s="1">
        <v>593.70138879656395</v>
      </c>
      <c r="AY50" s="1">
        <v>908.94448952237099</v>
      </c>
      <c r="AZ50" s="1">
        <v>1797.4909299671899</v>
      </c>
      <c r="BA50" s="1">
        <v>3251.72237888481</v>
      </c>
      <c r="BB50" s="1">
        <v>26.370277298669102</v>
      </c>
      <c r="BC50" s="1">
        <v>153.85556068012701</v>
      </c>
      <c r="BD50" s="1">
        <v>175.24739920048</v>
      </c>
      <c r="BE50" s="1">
        <v>615.761213269883</v>
      </c>
      <c r="BF50" s="1">
        <v>1021.80791703769</v>
      </c>
      <c r="BG50" s="1">
        <v>11.7468181114437</v>
      </c>
      <c r="BH50" s="1">
        <v>1.4491493533239099</v>
      </c>
      <c r="BI50" s="1">
        <v>99.564796235842095</v>
      </c>
      <c r="BJ50" s="1">
        <v>0.19434709054111801</v>
      </c>
      <c r="BK50" s="1">
        <v>40.817797686642002</v>
      </c>
      <c r="BL50" s="1">
        <v>63.748754540750397</v>
      </c>
      <c r="BM50" s="1">
        <v>267.16922344999102</v>
      </c>
      <c r="BN50" s="1">
        <v>206494.74588711499</v>
      </c>
      <c r="BO50" s="1">
        <v>169913.88729818701</v>
      </c>
      <c r="BP50" s="1">
        <v>2698.2140670546701</v>
      </c>
      <c r="BQ50" s="1">
        <v>188.320356079367</v>
      </c>
      <c r="BR50" s="1">
        <v>1149.91846050711</v>
      </c>
      <c r="BS50" s="1">
        <v>105.51888545472499</v>
      </c>
      <c r="BT50" s="1">
        <v>101.720698317336</v>
      </c>
      <c r="BU50" s="1">
        <v>111.352594534017</v>
      </c>
      <c r="BV50" s="1">
        <v>1536.07765654317</v>
      </c>
      <c r="BW50" s="1">
        <v>81668.002468205203</v>
      </c>
      <c r="BX50" s="1">
        <v>4100.0903664979596</v>
      </c>
      <c r="BY50" s="1">
        <v>647.40926625299596</v>
      </c>
      <c r="BZ50" s="1">
        <v>518.48888774198997</v>
      </c>
      <c r="CA50" s="1">
        <v>3.0923869264286101</v>
      </c>
      <c r="CB50" s="1">
        <v>209.00692218283899</v>
      </c>
      <c r="CC50" s="1">
        <v>404.61774801515497</v>
      </c>
      <c r="CD50" s="1">
        <v>324.24560619436301</v>
      </c>
      <c r="CE50" s="1">
        <v>1047.1664483627501</v>
      </c>
      <c r="CF50" s="1">
        <v>21.052919595124902</v>
      </c>
      <c r="CG50" s="1">
        <v>0.46892773464259002</v>
      </c>
      <c r="CH50" s="1">
        <v>7.8176486377520602</v>
      </c>
      <c r="CI50" s="1">
        <v>483.438119466432</v>
      </c>
      <c r="CJ50" s="1">
        <v>795.59092838143897</v>
      </c>
      <c r="CK50" s="1">
        <v>6.3205367510707902</v>
      </c>
      <c r="CL50" s="1">
        <v>0.92082805366507403</v>
      </c>
      <c r="CM50" s="1">
        <v>70.309446356715199</v>
      </c>
      <c r="CN50" s="1">
        <v>1.4635206865078001E-3</v>
      </c>
      <c r="CO50" s="1">
        <v>34.559235844414701</v>
      </c>
      <c r="CP50" s="1">
        <v>50.923970208131998</v>
      </c>
      <c r="CQ50" s="1">
        <v>209.98262917671801</v>
      </c>
      <c r="CR50" s="1">
        <v>220850.63442561799</v>
      </c>
      <c r="CS50" s="1">
        <v>-14100.3185858783</v>
      </c>
    </row>
    <row r="51" spans="1:97" x14ac:dyDescent="0.25">
      <c r="A51" s="17"/>
      <c r="B51" s="4" t="s">
        <v>8</v>
      </c>
      <c r="C51" s="4" t="s">
        <v>65</v>
      </c>
      <c r="D51" s="2">
        <v>44</v>
      </c>
      <c r="E51" s="1">
        <v>252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2901</v>
      </c>
      <c r="M51" s="1">
        <v>50076</v>
      </c>
      <c r="N51" s="1">
        <v>905</v>
      </c>
      <c r="O51" s="1">
        <v>37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H51" s="1">
        <v>0</v>
      </c>
      <c r="AI51" s="1">
        <v>0</v>
      </c>
      <c r="AJ51" s="1">
        <v>448.33256873624498</v>
      </c>
      <c r="AK51" s="1">
        <v>12339.220529431799</v>
      </c>
      <c r="AL51" s="1">
        <v>258.25469482683002</v>
      </c>
      <c r="AM51" s="1">
        <v>21.1104433609081</v>
      </c>
      <c r="AN51" s="1">
        <v>213.07812407384699</v>
      </c>
      <c r="AO51" s="1">
        <v>20.957746478873201</v>
      </c>
      <c r="AP51" s="1">
        <v>20.760736196319002</v>
      </c>
      <c r="AQ51" s="1">
        <v>15.3</v>
      </c>
      <c r="AR51" s="1">
        <v>194.65943992773299</v>
      </c>
      <c r="AS51" s="1">
        <v>7626.0314022549801</v>
      </c>
      <c r="AT51" s="1">
        <v>10076.1591018665</v>
      </c>
      <c r="AU51" s="1">
        <v>451.72274436090203</v>
      </c>
      <c r="AV51" s="1">
        <v>557.28422344996898</v>
      </c>
      <c r="AW51" s="1">
        <v>15.6141595795605</v>
      </c>
      <c r="AX51" s="1">
        <v>30.197683965791001</v>
      </c>
      <c r="AY51" s="1">
        <v>777.80034554417</v>
      </c>
      <c r="AZ51" s="1">
        <v>66.530811414339595</v>
      </c>
      <c r="BA51" s="1">
        <v>164.59469011603301</v>
      </c>
      <c r="BB51" s="1">
        <v>0.63173676732724005</v>
      </c>
      <c r="BC51" s="1">
        <v>1.02005715705711</v>
      </c>
      <c r="BD51" s="1">
        <v>6.4864592486558497</v>
      </c>
      <c r="BE51" s="1">
        <v>14.7514185729191</v>
      </c>
      <c r="BF51" s="1">
        <v>24.478833613606</v>
      </c>
      <c r="BG51" s="1">
        <v>0.281411409370315</v>
      </c>
      <c r="BH51" s="1">
        <v>3.4716393668314201E-2</v>
      </c>
      <c r="BI51" s="1">
        <v>2.3852135417931599</v>
      </c>
      <c r="BJ51" s="1">
        <v>4.6558555804074604E-3</v>
      </c>
      <c r="BK51" s="1">
        <v>0.977847265992836</v>
      </c>
      <c r="BL51" s="1">
        <v>1.52719031577055</v>
      </c>
      <c r="BM51" s="1">
        <v>6.4004113282549602</v>
      </c>
      <c r="BN51" s="1">
        <v>4664.2394224311602</v>
      </c>
      <c r="BO51" s="1">
        <v>808.93407821229096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15221.871752684399</v>
      </c>
      <c r="CS51" s="1">
        <v>1016.03048708975</v>
      </c>
    </row>
    <row r="52" spans="1:97" x14ac:dyDescent="0.25">
      <c r="A52" s="17"/>
      <c r="B52" s="4" t="s">
        <v>9</v>
      </c>
      <c r="C52" s="4" t="s">
        <v>101</v>
      </c>
      <c r="D52" s="2">
        <v>45</v>
      </c>
      <c r="E52" s="1">
        <v>2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126</v>
      </c>
      <c r="M52" s="1">
        <v>39</v>
      </c>
      <c r="N52" s="1">
        <v>8324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H52" s="1">
        <v>0</v>
      </c>
      <c r="AI52" s="1">
        <v>0</v>
      </c>
      <c r="AJ52" s="1">
        <v>3.93758115377481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223.92344497607701</v>
      </c>
      <c r="AT52" s="1">
        <v>260</v>
      </c>
      <c r="AU52" s="1">
        <v>577.55268199233706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198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7238</v>
      </c>
      <c r="CS52" s="1">
        <v>-2.53854581463747</v>
      </c>
    </row>
    <row r="53" spans="1:97" x14ac:dyDescent="0.25">
      <c r="A53" s="17"/>
      <c r="B53" s="4" t="s">
        <v>10</v>
      </c>
      <c r="C53" s="4" t="s">
        <v>102</v>
      </c>
      <c r="D53" s="2">
        <v>46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213</v>
      </c>
      <c r="M53" s="1">
        <v>10</v>
      </c>
      <c r="N53" s="1">
        <v>0</v>
      </c>
      <c r="O53" s="1">
        <v>9882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10.486954096278801</v>
      </c>
      <c r="AM53" s="1">
        <v>0</v>
      </c>
      <c r="AN53" s="1">
        <v>2.2343399578644898</v>
      </c>
      <c r="AO53" s="1">
        <v>0</v>
      </c>
      <c r="AP53" s="1">
        <v>1</v>
      </c>
      <c r="AQ53" s="1">
        <v>0</v>
      </c>
      <c r="AR53" s="1">
        <v>8</v>
      </c>
      <c r="AS53" s="1">
        <v>965.04385155960699</v>
      </c>
      <c r="AT53" s="1">
        <v>99</v>
      </c>
      <c r="AU53" s="1">
        <v>0</v>
      </c>
      <c r="AV53" s="1">
        <v>128</v>
      </c>
      <c r="AW53" s="1">
        <v>0</v>
      </c>
      <c r="AX53" s="1">
        <v>0</v>
      </c>
      <c r="AY53" s="1">
        <v>0</v>
      </c>
      <c r="AZ53" s="1">
        <v>0.69764294677518002</v>
      </c>
      <c r="BA53" s="1">
        <v>0</v>
      </c>
      <c r="BB53" s="1">
        <v>1.17348710857271E-2</v>
      </c>
      <c r="BC53" s="1">
        <v>1.5130459037211901</v>
      </c>
      <c r="BD53" s="1">
        <v>6.8017095360331695E-2</v>
      </c>
      <c r="BE53" s="1">
        <v>0.27401602097213001</v>
      </c>
      <c r="BF53" s="1">
        <v>0.45470830833537901</v>
      </c>
      <c r="BG53" s="1">
        <v>5.2273775752912904E-3</v>
      </c>
      <c r="BH53" s="1">
        <v>6.4487683055494802E-4</v>
      </c>
      <c r="BI53" s="1">
        <v>4.4306703159441602E-2</v>
      </c>
      <c r="BJ53" s="1">
        <v>8.6485175243161395E-5</v>
      </c>
      <c r="BK53" s="1">
        <v>1.8164071178736099E-2</v>
      </c>
      <c r="BL53" s="1">
        <v>2.83684319257849E-2</v>
      </c>
      <c r="BM53" s="1">
        <v>0.11889129415478999</v>
      </c>
      <c r="BN53" s="1">
        <v>1625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7263</v>
      </c>
      <c r="CS53" s="1">
        <v>0</v>
      </c>
    </row>
    <row r="54" spans="1:97" x14ac:dyDescent="0.25">
      <c r="A54" s="17"/>
      <c r="B54" s="4" t="s">
        <v>73</v>
      </c>
      <c r="C54" s="4" t="s">
        <v>103</v>
      </c>
      <c r="D54" s="2">
        <v>47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685.74405713470105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H54" s="1">
        <v>34.228432523254099</v>
      </c>
      <c r="AI54" s="1">
        <v>3.8521140100026501</v>
      </c>
      <c r="AJ54" s="1">
        <v>68.294345278757206</v>
      </c>
      <c r="AK54" s="1">
        <v>0</v>
      </c>
      <c r="AL54" s="1">
        <v>0.106895682853407</v>
      </c>
      <c r="AM54" s="1">
        <v>2.0803160554613198</v>
      </c>
      <c r="AN54" s="1">
        <v>0.37978930813860601</v>
      </c>
      <c r="AO54" s="1">
        <v>0.150830556317256</v>
      </c>
      <c r="AP54" s="1">
        <v>5.0057070770470301E-2</v>
      </c>
      <c r="AQ54" s="1">
        <v>5.7419152021206902E-3</v>
      </c>
      <c r="AR54" s="1">
        <v>0.72654595122833898</v>
      </c>
      <c r="AS54" s="1">
        <v>1.59047634889275</v>
      </c>
      <c r="AT54" s="1">
        <v>0</v>
      </c>
      <c r="AU54" s="1">
        <v>0</v>
      </c>
      <c r="AV54" s="1">
        <v>0</v>
      </c>
      <c r="AW54" s="1">
        <v>7.9374926682054901E-4</v>
      </c>
      <c r="AX54" s="1">
        <v>3.0307809893804398E-4</v>
      </c>
      <c r="AY54" s="1">
        <v>17.938344030817699</v>
      </c>
      <c r="AZ54" s="1">
        <v>1.5738190536294201E-3</v>
      </c>
      <c r="BA54" s="1">
        <v>1.9770966140743099E-3</v>
      </c>
      <c r="BB54" s="1">
        <v>2.0499332924257198E-3</v>
      </c>
      <c r="BC54" s="1">
        <v>1.29763524155497E-4</v>
      </c>
      <c r="BD54" s="1">
        <v>2.8502501340894599E-5</v>
      </c>
      <c r="BE54" s="1">
        <v>4.7359772624317897E-2</v>
      </c>
      <c r="BF54" s="1">
        <v>2.74459687660552E-2</v>
      </c>
      <c r="BG54" s="1">
        <v>3.1552192698006002E-4</v>
      </c>
      <c r="BH54" s="1">
        <v>3.8924446782505898E-5</v>
      </c>
      <c r="BI54" s="1">
        <v>2.6743307055300098E-3</v>
      </c>
      <c r="BJ54" s="1">
        <v>5.3827636580057603E-6</v>
      </c>
      <c r="BK54" s="1">
        <v>1.09637435933608E-3</v>
      </c>
      <c r="BL54" s="1">
        <v>1.7123045308483401E-3</v>
      </c>
      <c r="BM54" s="1">
        <v>1.85797511621777E-2</v>
      </c>
      <c r="BN54" s="1">
        <v>0.19160639772680099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14.830841837018999</v>
      </c>
      <c r="CS54" s="1">
        <v>753.96141951865002</v>
      </c>
    </row>
    <row r="55" spans="1:97" x14ac:dyDescent="0.25">
      <c r="A55" s="17"/>
      <c r="B55" s="4" t="s">
        <v>12</v>
      </c>
      <c r="C55" s="4" t="s">
        <v>104</v>
      </c>
      <c r="D55" s="2">
        <v>48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2347.4223054807899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H55" s="1">
        <v>65.205521484791106</v>
      </c>
      <c r="AI55" s="1">
        <v>7.33831742573798</v>
      </c>
      <c r="AJ55" s="1">
        <v>120.87694473764201</v>
      </c>
      <c r="AK55" s="1">
        <v>0</v>
      </c>
      <c r="AL55" s="1">
        <v>6.5695677321393404</v>
      </c>
      <c r="AM55" s="1">
        <v>0.54596328040853404</v>
      </c>
      <c r="AN55" s="1">
        <v>9.3633269141529905</v>
      </c>
      <c r="AO55" s="1">
        <v>3.63760896127779</v>
      </c>
      <c r="AP55" s="1">
        <v>4.3165646101354298</v>
      </c>
      <c r="AQ55" s="1">
        <v>1.1084567181556999</v>
      </c>
      <c r="AR55" s="1">
        <v>8.8311740202589508</v>
      </c>
      <c r="AS55" s="1">
        <v>14.8586631417416</v>
      </c>
      <c r="AT55" s="1">
        <v>0</v>
      </c>
      <c r="AU55" s="1">
        <v>0</v>
      </c>
      <c r="AV55" s="1">
        <v>0</v>
      </c>
      <c r="AW55" s="1">
        <v>1.50726450697924E-4</v>
      </c>
      <c r="AX55" s="1">
        <v>5.1703185167446299E-2</v>
      </c>
      <c r="AY55" s="1">
        <v>140.28231756644999</v>
      </c>
      <c r="AZ55" s="1">
        <v>40.780341579943098</v>
      </c>
      <c r="BA55" s="1">
        <v>1.78995157585728E-2</v>
      </c>
      <c r="BB55" s="1">
        <v>9.3575366952215004E-5</v>
      </c>
      <c r="BC55" s="1">
        <v>1.67515232060333E-3</v>
      </c>
      <c r="BD55" s="1">
        <v>7.0270076646939599E-4</v>
      </c>
      <c r="BE55" s="1">
        <v>7.7933309903425898E-4</v>
      </c>
      <c r="BF55" s="1">
        <v>1.2932427594358801E-3</v>
      </c>
      <c r="BG55" s="1">
        <v>1.48672634217556E-5</v>
      </c>
      <c r="BH55" s="1">
        <v>1.8341039223502E-6</v>
      </c>
      <c r="BI55" s="1">
        <v>1.2601336286373799E-4</v>
      </c>
      <c r="BJ55" s="1">
        <v>2.4597379161866298E-7</v>
      </c>
      <c r="BK55" s="1">
        <v>5.16607088614102E-5</v>
      </c>
      <c r="BL55" s="1">
        <v>8.0683085204397696E-5</v>
      </c>
      <c r="BM55" s="1">
        <v>8.4812858999148305E-4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36.517798779438898</v>
      </c>
      <c r="CS55" s="1">
        <v>2273.9558849600799</v>
      </c>
    </row>
    <row r="56" spans="1:97" x14ac:dyDescent="0.25">
      <c r="A56" s="17"/>
      <c r="B56" s="4" t="s">
        <v>74</v>
      </c>
      <c r="C56" s="4" t="s">
        <v>105</v>
      </c>
      <c r="D56" s="2">
        <v>49</v>
      </c>
      <c r="E56" s="1">
        <v>0</v>
      </c>
      <c r="F56" s="1">
        <v>21</v>
      </c>
      <c r="G56" s="1">
        <v>705</v>
      </c>
      <c r="H56" s="1">
        <v>0</v>
      </c>
      <c r="I56" s="1">
        <v>0</v>
      </c>
      <c r="J56" s="1">
        <v>0</v>
      </c>
      <c r="K56" s="1">
        <v>0</v>
      </c>
      <c r="L56" s="1">
        <v>48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33231.505151493002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H56" s="1">
        <v>1637.39706712219</v>
      </c>
      <c r="AI56" s="1">
        <v>184.27487668076799</v>
      </c>
      <c r="AJ56" s="1">
        <v>4608.9826331404702</v>
      </c>
      <c r="AK56" s="1">
        <v>0</v>
      </c>
      <c r="AL56" s="1">
        <v>490.82014580867298</v>
      </c>
      <c r="AM56" s="1">
        <v>33.382524198716197</v>
      </c>
      <c r="AN56" s="1">
        <v>440.08659323513501</v>
      </c>
      <c r="AO56" s="1">
        <v>3.6407100388652198</v>
      </c>
      <c r="AP56" s="1">
        <v>4.3126819650984096</v>
      </c>
      <c r="AQ56" s="1">
        <v>14.8284637542161</v>
      </c>
      <c r="AR56" s="1">
        <v>58.009868795907899</v>
      </c>
      <c r="AS56" s="1">
        <v>2466.7311466692299</v>
      </c>
      <c r="AT56" s="1">
        <v>548.09773517318001</v>
      </c>
      <c r="AU56" s="1">
        <v>254.74907285838501</v>
      </c>
      <c r="AV56" s="1">
        <v>679.02826435433803</v>
      </c>
      <c r="AW56" s="1">
        <v>9.8042798054716607E-2</v>
      </c>
      <c r="AX56" s="1">
        <v>3.54467142941734</v>
      </c>
      <c r="AY56" s="1">
        <v>2126.4051688187901</v>
      </c>
      <c r="AZ56" s="1">
        <v>2670.3355477621799</v>
      </c>
      <c r="BA56" s="1">
        <v>23.108741732164901</v>
      </c>
      <c r="BB56" s="1">
        <v>2.1372099115464199E-2</v>
      </c>
      <c r="BC56" s="1">
        <v>0.76394911806606602</v>
      </c>
      <c r="BD56" s="1">
        <v>7.1372822080289194E-2</v>
      </c>
      <c r="BE56" s="1">
        <v>0</v>
      </c>
      <c r="BF56" s="1">
        <v>0</v>
      </c>
      <c r="BG56" s="1">
        <v>162.46336745076701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166.82648263153499</v>
      </c>
      <c r="BN56" s="1">
        <v>9260.9390813973296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33384.1527002043</v>
      </c>
      <c r="CS56" s="1">
        <v>-12356.2579766791</v>
      </c>
    </row>
    <row r="57" spans="1:97" x14ac:dyDescent="0.25">
      <c r="A57" s="17"/>
      <c r="B57" s="4" t="s">
        <v>75</v>
      </c>
      <c r="C57" s="4" t="s">
        <v>106</v>
      </c>
      <c r="D57" s="2">
        <v>50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9716.30586738686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H57" s="1">
        <v>916.40482663555804</v>
      </c>
      <c r="AI57" s="1">
        <v>103.133436482042</v>
      </c>
      <c r="AJ57" s="1">
        <v>141.18874314123201</v>
      </c>
      <c r="AK57" s="1">
        <v>0</v>
      </c>
      <c r="AL57" s="1">
        <v>34.557320222313002</v>
      </c>
      <c r="AM57" s="1">
        <v>32.4644063840962</v>
      </c>
      <c r="AN57" s="1">
        <v>116.84657610122601</v>
      </c>
      <c r="AO57" s="1">
        <v>4.3790985371509299</v>
      </c>
      <c r="AP57" s="1">
        <v>19.124370080234399</v>
      </c>
      <c r="AQ57" s="1">
        <v>5.87213991520301</v>
      </c>
      <c r="AR57" s="1">
        <v>24.226649316742702</v>
      </c>
      <c r="AS57" s="1">
        <v>245.388753794715</v>
      </c>
      <c r="AT57" s="1">
        <v>6.5374525868987599</v>
      </c>
      <c r="AU57" s="1">
        <v>4.2174758098114902</v>
      </c>
      <c r="AV57" s="1">
        <v>12.7920789463157</v>
      </c>
      <c r="AW57" s="1">
        <v>4.9203820254754997E-2</v>
      </c>
      <c r="AX57" s="1">
        <v>1.38855196892822</v>
      </c>
      <c r="AY57" s="1">
        <v>6999.8452979419899</v>
      </c>
      <c r="AZ57" s="1">
        <v>777.92104605079498</v>
      </c>
      <c r="BA57" s="1">
        <v>0.51372512629822398</v>
      </c>
      <c r="BB57" s="1">
        <v>1.77390113596875E-3</v>
      </c>
      <c r="BC57" s="1">
        <v>1.35954214855852E-2</v>
      </c>
      <c r="BD57" s="1">
        <v>8.7691244082855804E-3</v>
      </c>
      <c r="BE57" s="1">
        <v>1.47737584655253E-2</v>
      </c>
      <c r="BF57" s="1">
        <v>2.4515904930601601E-2</v>
      </c>
      <c r="BG57" s="1">
        <v>2.8183758537721302E-4</v>
      </c>
      <c r="BH57" s="1">
        <v>3.4768968985216003E-5</v>
      </c>
      <c r="BI57" s="1">
        <v>2.3888257648551599E-3</v>
      </c>
      <c r="BJ57" s="1">
        <v>4.6629065167727899E-6</v>
      </c>
      <c r="BK57" s="1">
        <v>9.7932814071681603E-4</v>
      </c>
      <c r="BL57" s="1">
        <v>1.52950312843157E-3</v>
      </c>
      <c r="BM57" s="1">
        <v>1.6077909371189001E-2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4386.70979122873</v>
      </c>
      <c r="CS57" s="1">
        <v>-1795.8857891323</v>
      </c>
    </row>
    <row r="58" spans="1:97" x14ac:dyDescent="0.25">
      <c r="A58" s="17"/>
      <c r="B58" s="4" t="s">
        <v>76</v>
      </c>
      <c r="C58" s="4" t="s">
        <v>107</v>
      </c>
      <c r="D58" s="2">
        <v>51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2446.8260592706301</v>
      </c>
      <c r="Y58" s="1">
        <v>4060.3178392807599</v>
      </c>
      <c r="Z58" s="1">
        <v>46.677868058563497</v>
      </c>
      <c r="AA58" s="1">
        <v>5.7584276584404099</v>
      </c>
      <c r="AB58" s="1">
        <v>395.63670586223401</v>
      </c>
      <c r="AC58" s="1">
        <v>0.77226937233380899</v>
      </c>
      <c r="AD58" s="1">
        <v>162.19607359052401</v>
      </c>
      <c r="AE58" s="1">
        <v>253.31591288129599</v>
      </c>
      <c r="AF58" s="1">
        <v>0</v>
      </c>
      <c r="AH58" s="1">
        <v>0</v>
      </c>
      <c r="AI58" s="1">
        <v>0</v>
      </c>
      <c r="AJ58" s="1">
        <v>1064.7834475360401</v>
      </c>
      <c r="AK58" s="1">
        <v>0</v>
      </c>
      <c r="AL58" s="1">
        <v>676.76562950099105</v>
      </c>
      <c r="AM58" s="1">
        <v>301.181197219306</v>
      </c>
      <c r="AN58" s="1">
        <v>203.52278344871999</v>
      </c>
      <c r="AO58" s="1">
        <v>6.3235354050815298</v>
      </c>
      <c r="AP58" s="1">
        <v>86.805819715831603</v>
      </c>
      <c r="AQ58" s="1">
        <v>195.15394357526301</v>
      </c>
      <c r="AR58" s="1">
        <v>349.16993939521399</v>
      </c>
      <c r="AS58" s="1">
        <v>2955.7433203210899</v>
      </c>
      <c r="AT58" s="1">
        <v>108.14725931828499</v>
      </c>
      <c r="AU58" s="1">
        <v>0</v>
      </c>
      <c r="AV58" s="1">
        <v>0</v>
      </c>
      <c r="AW58" s="1">
        <v>5.66309557169334</v>
      </c>
      <c r="AX58" s="1">
        <v>148.99616427609601</v>
      </c>
      <c r="AY58" s="1">
        <v>772.74187170004905</v>
      </c>
      <c r="AZ58" s="1">
        <v>35.527676175452697</v>
      </c>
      <c r="BA58" s="1">
        <v>52.557290743632997</v>
      </c>
      <c r="BB58" s="1">
        <v>4.8608745138737697E-2</v>
      </c>
      <c r="BC58" s="1">
        <v>1.50977549322533</v>
      </c>
      <c r="BD58" s="1">
        <v>0.64342062417815205</v>
      </c>
      <c r="BE58" s="1">
        <v>0</v>
      </c>
      <c r="BF58" s="1">
        <v>0</v>
      </c>
      <c r="BG58" s="1">
        <v>0</v>
      </c>
      <c r="BH58" s="1">
        <v>9.9757207396579606</v>
      </c>
      <c r="BI58" s="1">
        <v>685.38870784542701</v>
      </c>
      <c r="BJ58" s="1">
        <v>1.3378554096969499</v>
      </c>
      <c r="BK58" s="1">
        <v>0</v>
      </c>
      <c r="BL58" s="1">
        <v>0</v>
      </c>
      <c r="BM58" s="1">
        <v>0.44056964795901499</v>
      </c>
      <c r="BN58" s="1">
        <v>3658.3862732247399</v>
      </c>
      <c r="BO58" s="1">
        <v>9.6819389020688895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1464.6269655332001</v>
      </c>
      <c r="CS58" s="1">
        <v>-3294.05475902117</v>
      </c>
    </row>
    <row r="59" spans="1:97" x14ac:dyDescent="0.25">
      <c r="A59" s="17"/>
      <c r="B59" s="4" t="s">
        <v>77</v>
      </c>
      <c r="C59" s="4" t="s">
        <v>108</v>
      </c>
      <c r="D59" s="2">
        <v>52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12589.917513755399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H59" s="1">
        <v>440.63145216751701</v>
      </c>
      <c r="AI59" s="1">
        <v>49.589258549574197</v>
      </c>
      <c r="AJ59" s="1">
        <v>816.83548387451901</v>
      </c>
      <c r="AK59" s="1">
        <v>0</v>
      </c>
      <c r="AL59" s="1">
        <v>615.18340297186796</v>
      </c>
      <c r="AM59" s="1">
        <v>33.390449581783798</v>
      </c>
      <c r="AN59" s="1">
        <v>145.030316560232</v>
      </c>
      <c r="AO59" s="1">
        <v>8.01578920088388</v>
      </c>
      <c r="AP59" s="1">
        <v>142.718670390017</v>
      </c>
      <c r="AQ59" s="1">
        <v>108.962439241976</v>
      </c>
      <c r="AR59" s="1">
        <v>416.33667476234598</v>
      </c>
      <c r="AS59" s="1">
        <v>1141.0691657759701</v>
      </c>
      <c r="AT59" s="1">
        <v>1.8602196576581</v>
      </c>
      <c r="AU59" s="1">
        <v>0</v>
      </c>
      <c r="AV59" s="1">
        <v>0</v>
      </c>
      <c r="AW59" s="1">
        <v>2.5156531342684801E-3</v>
      </c>
      <c r="AX59" s="1">
        <v>54.433988455064998</v>
      </c>
      <c r="AY59" s="1">
        <v>91.2198813514714</v>
      </c>
      <c r="AZ59" s="1">
        <v>7.0678652977831504</v>
      </c>
      <c r="BA59" s="1">
        <v>18.588978471665399</v>
      </c>
      <c r="BB59" s="1">
        <v>3.4709233029700999E-3</v>
      </c>
      <c r="BC59" s="1">
        <v>0.399793500487784</v>
      </c>
      <c r="BD59" s="1">
        <v>0.128001906993535</v>
      </c>
      <c r="BE59" s="1">
        <v>0</v>
      </c>
      <c r="BF59" s="1">
        <v>505.86552016516998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13.1774544710043</v>
      </c>
      <c r="BN59" s="1">
        <v>4844.2813630971996</v>
      </c>
      <c r="BO59" s="1">
        <v>26.675538646499898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10597.5117509702</v>
      </c>
      <c r="CS59" s="1">
        <v>-4874.94954270579</v>
      </c>
    </row>
    <row r="60" spans="1:97" x14ac:dyDescent="0.25">
      <c r="A60" s="17"/>
      <c r="B60" s="4" t="s">
        <v>78</v>
      </c>
      <c r="C60" s="4" t="s">
        <v>109</v>
      </c>
      <c r="D60" s="2">
        <v>53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359.5834565696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H60" s="1">
        <v>0</v>
      </c>
      <c r="AI60" s="1">
        <v>0</v>
      </c>
      <c r="AJ60" s="1">
        <v>41.751178186945502</v>
      </c>
      <c r="AK60" s="1">
        <v>0</v>
      </c>
      <c r="AL60" s="1">
        <v>0</v>
      </c>
      <c r="AM60" s="1">
        <v>170.81098153930699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17.602378617599999</v>
      </c>
      <c r="AX60" s="1">
        <v>0</v>
      </c>
      <c r="AY60" s="1">
        <v>0</v>
      </c>
      <c r="AZ60" s="1">
        <v>0</v>
      </c>
      <c r="BA60" s="1">
        <v>0.110505502693088</v>
      </c>
      <c r="BB60" s="1">
        <v>0</v>
      </c>
      <c r="BC60" s="1">
        <v>0</v>
      </c>
      <c r="BD60" s="1">
        <v>0</v>
      </c>
      <c r="BE60" s="1">
        <v>0</v>
      </c>
      <c r="BF60" s="1">
        <v>227.10838879260001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-14.2976196956546</v>
      </c>
    </row>
    <row r="61" spans="1:97" x14ac:dyDescent="0.25">
      <c r="A61" s="17"/>
      <c r="B61" s="4" t="s">
        <v>79</v>
      </c>
      <c r="C61" s="4" t="s">
        <v>110</v>
      </c>
      <c r="D61" s="2">
        <v>54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104.78653136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H61" s="1">
        <v>0</v>
      </c>
      <c r="AI61" s="1">
        <v>0</v>
      </c>
      <c r="AJ61" s="1">
        <v>12.1667367591679</v>
      </c>
      <c r="AK61" s="1">
        <v>0</v>
      </c>
      <c r="AL61" s="1">
        <v>20.489822009126801</v>
      </c>
      <c r="AM61" s="1">
        <v>0</v>
      </c>
      <c r="AN61" s="1">
        <v>0</v>
      </c>
      <c r="AO61" s="1">
        <v>0</v>
      </c>
      <c r="AP61" s="1">
        <v>0</v>
      </c>
      <c r="AQ61" s="1">
        <v>1.7771348466000001</v>
      </c>
      <c r="AR61" s="1">
        <v>4.3493134121999999</v>
      </c>
      <c r="AS61" s="1">
        <v>13.614654535566199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22.232078677800001</v>
      </c>
      <c r="BB61" s="1">
        <v>1.6682843190559299E-4</v>
      </c>
      <c r="BC61" s="1">
        <v>3.8594510732180699E-3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58.651111514998099</v>
      </c>
      <c r="BL61" s="1">
        <v>0</v>
      </c>
      <c r="BM61" s="1">
        <v>1.5120642037645901E-3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-4.1663852208321099</v>
      </c>
    </row>
    <row r="62" spans="1:97" x14ac:dyDescent="0.25">
      <c r="A62" s="17"/>
      <c r="B62" s="4" t="s">
        <v>80</v>
      </c>
      <c r="C62" s="4" t="s">
        <v>111</v>
      </c>
      <c r="D62" s="2">
        <v>55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671.147275895701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H62" s="1">
        <v>206.995557092355</v>
      </c>
      <c r="AI62" s="1">
        <v>23.295559472144799</v>
      </c>
      <c r="AJ62" s="1">
        <v>29.1051907524432</v>
      </c>
      <c r="AK62" s="1">
        <v>0</v>
      </c>
      <c r="AL62" s="1">
        <v>58.115137975162398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125.5953687815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2.3556239087091301E-4</v>
      </c>
      <c r="BC62" s="1">
        <v>0.27532268421314399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449.8453640985</v>
      </c>
      <c r="BL62" s="1">
        <v>0</v>
      </c>
      <c r="BM62" s="1">
        <v>16.619035683648001</v>
      </c>
      <c r="BN62" s="1">
        <v>417.44477915621098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131.33917129943799</v>
      </c>
      <c r="CS62" s="1">
        <v>-268.69083202841801</v>
      </c>
    </row>
    <row r="63" spans="1:97" x14ac:dyDescent="0.25">
      <c r="A63" s="17"/>
      <c r="B63" s="4" t="s">
        <v>81</v>
      </c>
      <c r="C63" s="4" t="s">
        <v>112</v>
      </c>
      <c r="D63" s="2">
        <v>56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947.29675944845997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H63" s="1">
        <v>121.17759676770299</v>
      </c>
      <c r="AI63" s="1">
        <v>13.637490349293399</v>
      </c>
      <c r="AJ63" s="1">
        <v>18.6696011273967</v>
      </c>
      <c r="AK63" s="1">
        <v>0</v>
      </c>
      <c r="AL63" s="1">
        <v>9.3401011768734001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10.2716200243192</v>
      </c>
      <c r="AT63" s="1">
        <v>49.931582171035899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1.8044880253933399E-3</v>
      </c>
      <c r="BD63" s="1">
        <v>333.129550650932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262.67439382574702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624.63956020067997</v>
      </c>
      <c r="CS63" s="1">
        <v>-189.207164844761</v>
      </c>
    </row>
    <row r="64" spans="1:97" x14ac:dyDescent="0.25">
      <c r="A64" s="17"/>
      <c r="B64" s="4" t="s">
        <v>27</v>
      </c>
      <c r="C64" s="4" t="s">
        <v>113</v>
      </c>
      <c r="D64" s="2">
        <v>57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1061.6398111552001</v>
      </c>
      <c r="AH64" s="1">
        <v>0</v>
      </c>
      <c r="AI64" s="1">
        <v>0</v>
      </c>
      <c r="AJ64" s="1">
        <v>144.015211964336</v>
      </c>
      <c r="AK64" s="1">
        <v>0</v>
      </c>
      <c r="AL64" s="1">
        <v>52.402141599787498</v>
      </c>
      <c r="AM64" s="1">
        <v>10.8402590658854</v>
      </c>
      <c r="AN64" s="1">
        <v>126.519130940072</v>
      </c>
      <c r="AO64" s="1">
        <v>3.8500273537580698</v>
      </c>
      <c r="AP64" s="1">
        <v>2.8407594599999999E-2</v>
      </c>
      <c r="AQ64" s="1">
        <v>15.946990605</v>
      </c>
      <c r="AR64" s="1">
        <v>40.928703082200002</v>
      </c>
      <c r="AS64" s="1">
        <v>94.113001562082601</v>
      </c>
      <c r="AT64" s="1">
        <v>0</v>
      </c>
      <c r="AU64" s="1">
        <v>0</v>
      </c>
      <c r="AV64" s="1">
        <v>0</v>
      </c>
      <c r="AW64" s="1">
        <v>7.5385300486829204E-3</v>
      </c>
      <c r="AX64" s="1">
        <v>0.35792494111722101</v>
      </c>
      <c r="AY64" s="1">
        <v>524.41506053144099</v>
      </c>
      <c r="AZ64" s="1">
        <v>6.2691440291106701</v>
      </c>
      <c r="BA64" s="1">
        <v>0.38971663615466401</v>
      </c>
      <c r="BB64" s="1">
        <v>1.46882807358483E-4</v>
      </c>
      <c r="BC64" s="1">
        <v>0.177585518750497</v>
      </c>
      <c r="BD64" s="1">
        <v>0.113536740887662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3.6854064198953598E-3</v>
      </c>
      <c r="BM64" s="1">
        <v>221.415657544677</v>
      </c>
      <c r="BN64" s="1">
        <v>335.1263120644</v>
      </c>
      <c r="BO64" s="1">
        <v>0.76396575698571401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-228.01391326665001</v>
      </c>
    </row>
    <row r="65" spans="1:97" x14ac:dyDescent="0.25">
      <c r="A65" s="17"/>
      <c r="B65" s="4" t="s">
        <v>82</v>
      </c>
      <c r="C65" s="4" t="s">
        <v>114</v>
      </c>
      <c r="D65" s="2">
        <v>58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603.81654223998896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H65" s="1">
        <v>4.0700018569308796</v>
      </c>
      <c r="AI65" s="1">
        <v>0.45804350412975597</v>
      </c>
      <c r="AJ65" s="1">
        <v>12.433567179961599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28.881102480422701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143.65269398537001</v>
      </c>
      <c r="BF65" s="1">
        <v>238.38049044786101</v>
      </c>
      <c r="BG65" s="1">
        <v>2.74044878290414</v>
      </c>
      <c r="BH65" s="1">
        <v>0.33807619594398802</v>
      </c>
      <c r="BI65" s="1">
        <v>23.227755982601</v>
      </c>
      <c r="BJ65" s="1">
        <v>4.5339788416023499E-2</v>
      </c>
      <c r="BK65" s="1">
        <v>9.5225007257252905</v>
      </c>
      <c r="BL65" s="1">
        <v>14.8721292128174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14.355141317740999</v>
      </c>
      <c r="CS65" s="1">
        <v>144.762475861208</v>
      </c>
    </row>
    <row r="66" spans="1:97" x14ac:dyDescent="0.25">
      <c r="A66" s="17"/>
      <c r="B66" s="4" t="s">
        <v>83</v>
      </c>
      <c r="C66" s="4" t="s">
        <v>63</v>
      </c>
      <c r="D66" s="2">
        <v>59</v>
      </c>
      <c r="E66" s="1">
        <v>30202</v>
      </c>
      <c r="F66" s="1">
        <v>6771.2036831296</v>
      </c>
      <c r="G66" s="1">
        <v>31118.397373164698</v>
      </c>
      <c r="H66" s="1">
        <v>8322</v>
      </c>
      <c r="I66" s="1">
        <v>5013</v>
      </c>
      <c r="J66" s="1">
        <v>6546</v>
      </c>
      <c r="K66" s="1">
        <v>66359</v>
      </c>
      <c r="L66" s="1">
        <v>1048382.15904433</v>
      </c>
      <c r="M66" s="1">
        <v>55304</v>
      </c>
      <c r="N66" s="1">
        <v>9407</v>
      </c>
      <c r="O66" s="1">
        <v>11235</v>
      </c>
      <c r="P66" s="1">
        <v>685.74405713470105</v>
      </c>
      <c r="Q66" s="1">
        <v>2347.4223054807899</v>
      </c>
      <c r="R66" s="1">
        <v>34159.505151493002</v>
      </c>
      <c r="S66" s="1">
        <v>9716.30586738686</v>
      </c>
      <c r="T66" s="1">
        <v>12949.500970325</v>
      </c>
      <c r="U66" s="1">
        <v>104.78653136</v>
      </c>
      <c r="V66" s="1">
        <v>671.147275895701</v>
      </c>
      <c r="W66" s="1">
        <v>947.29675944845997</v>
      </c>
      <c r="X66" s="1">
        <v>2446.8260592706301</v>
      </c>
      <c r="Y66" s="1">
        <v>4060.3178392807599</v>
      </c>
      <c r="Z66" s="1">
        <v>46.677868058563497</v>
      </c>
      <c r="AA66" s="1">
        <v>5.7584276584404099</v>
      </c>
      <c r="AB66" s="1">
        <v>395.63670586223401</v>
      </c>
      <c r="AC66" s="1">
        <v>0.77226937233380899</v>
      </c>
      <c r="AD66" s="1">
        <v>162.19607359052401</v>
      </c>
      <c r="AE66" s="1">
        <v>253.31591288129599</v>
      </c>
      <c r="AF66" s="1">
        <v>1061.6398111552001</v>
      </c>
    </row>
    <row r="67" spans="1:97" x14ac:dyDescent="0.25">
      <c r="D67" s="2">
        <v>60</v>
      </c>
    </row>
    <row r="68" spans="1:97" x14ac:dyDescent="0.25">
      <c r="D68" s="2">
        <v>61</v>
      </c>
    </row>
    <row r="69" spans="1:97" x14ac:dyDescent="0.25">
      <c r="D69" s="2">
        <v>62</v>
      </c>
    </row>
    <row r="70" spans="1:97" x14ac:dyDescent="0.25">
      <c r="A70" s="17" t="s">
        <v>117</v>
      </c>
      <c r="B70" s="4" t="s">
        <v>0</v>
      </c>
      <c r="C70" s="4" t="s">
        <v>94</v>
      </c>
      <c r="D70" s="2">
        <v>63</v>
      </c>
      <c r="AG70" s="1">
        <v>19866.714441190499</v>
      </c>
      <c r="AH70" s="1">
        <v>3649.8828114511798</v>
      </c>
      <c r="AI70" s="1">
        <v>410.76273952384503</v>
      </c>
      <c r="AJ70" s="1">
        <v>324.34616952808801</v>
      </c>
      <c r="AK70" s="1">
        <v>0</v>
      </c>
      <c r="AL70" s="1">
        <v>803.98739822694904</v>
      </c>
      <c r="AM70" s="1">
        <v>0</v>
      </c>
      <c r="AN70" s="1">
        <v>6.16759732022531</v>
      </c>
      <c r="AO70" s="1">
        <v>42.274099867600803</v>
      </c>
      <c r="AP70" s="1">
        <v>0</v>
      </c>
      <c r="AQ70" s="1">
        <v>5.8783884136449096</v>
      </c>
      <c r="AR70" s="1">
        <v>8655.0557335432895</v>
      </c>
      <c r="AS70" s="1">
        <v>923.49840119714202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1.92575026636374</v>
      </c>
      <c r="BA70" s="1">
        <v>0</v>
      </c>
      <c r="BB70" s="1">
        <v>0</v>
      </c>
      <c r="BC70" s="1">
        <v>28.423808894952501</v>
      </c>
      <c r="BD70" s="1">
        <v>0.187752116054371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3299.5182863022001</v>
      </c>
      <c r="BO70" s="1">
        <v>0</v>
      </c>
      <c r="BP70" s="1">
        <v>53.643934754034902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5.0765623185905799E-3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10938.730492938799</v>
      </c>
      <c r="CS70" s="1">
        <v>-507.59055870992103</v>
      </c>
    </row>
    <row r="71" spans="1:97" x14ac:dyDescent="0.25">
      <c r="A71" s="17"/>
      <c r="B71" s="4" t="s">
        <v>1</v>
      </c>
      <c r="C71" s="4" t="s">
        <v>95</v>
      </c>
      <c r="D71" s="2">
        <v>64</v>
      </c>
      <c r="AG71" s="1">
        <v>13433</v>
      </c>
      <c r="AH71" s="1">
        <v>1803.14620579298</v>
      </c>
      <c r="AI71" s="1">
        <v>202.928508534516</v>
      </c>
      <c r="AJ71" s="1">
        <v>42.7945049003241</v>
      </c>
      <c r="AK71" s="1">
        <v>0</v>
      </c>
      <c r="AL71" s="1">
        <v>4.0521273707506102</v>
      </c>
      <c r="AM71" s="1">
        <v>1118.5851583061999</v>
      </c>
      <c r="AN71" s="1">
        <v>87.389624630676295</v>
      </c>
      <c r="AO71" s="1">
        <v>72.123706329634402</v>
      </c>
      <c r="AP71" s="1">
        <v>84.162184712609303</v>
      </c>
      <c r="AQ71" s="1">
        <v>1.02980719946521</v>
      </c>
      <c r="AR71" s="1">
        <v>0</v>
      </c>
      <c r="AS71" s="1">
        <v>6226.9701016132303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27.286248464710798</v>
      </c>
      <c r="BA71" s="1">
        <v>46.221620563526201</v>
      </c>
      <c r="BB71" s="1">
        <v>0</v>
      </c>
      <c r="BC71" s="1">
        <v>2.0086771891014301</v>
      </c>
      <c r="BD71" s="1">
        <v>2.6602882927848501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8010.7048181754399</v>
      </c>
      <c r="CS71" s="1">
        <v>-201.32514362030199</v>
      </c>
    </row>
    <row r="72" spans="1:97" x14ac:dyDescent="0.25">
      <c r="A72" s="17"/>
      <c r="B72" s="4" t="s">
        <v>2</v>
      </c>
      <c r="C72" s="4" t="s">
        <v>96</v>
      </c>
      <c r="D72" s="2">
        <v>65</v>
      </c>
      <c r="AG72" s="1">
        <v>22860.831797557101</v>
      </c>
      <c r="AH72" s="1">
        <v>2755.6887324557401</v>
      </c>
      <c r="AI72" s="1">
        <v>310.12893056926902</v>
      </c>
      <c r="AJ72" s="1">
        <v>424.56370516106898</v>
      </c>
      <c r="AK72" s="1">
        <v>0</v>
      </c>
      <c r="AL72" s="1">
        <v>453.93977588070499</v>
      </c>
      <c r="AM72" s="1">
        <v>11.6272223874597</v>
      </c>
      <c r="AN72" s="1">
        <v>6276.0799053258897</v>
      </c>
      <c r="AO72" s="1">
        <v>1166.6088434296801</v>
      </c>
      <c r="AP72" s="1">
        <v>52.046501919496798</v>
      </c>
      <c r="AQ72" s="1">
        <v>183.74958806471801</v>
      </c>
      <c r="AR72" s="1">
        <v>325.84555468437702</v>
      </c>
      <c r="AS72" s="1">
        <v>2684.93577005626</v>
      </c>
      <c r="AT72" s="1">
        <v>0.79208718675742895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1959.6225113088201</v>
      </c>
      <c r="BA72" s="1">
        <v>0.50479792075329899</v>
      </c>
      <c r="BB72" s="1">
        <v>0</v>
      </c>
      <c r="BC72" s="1">
        <v>4.9867214083200304</v>
      </c>
      <c r="BD72" s="1">
        <v>191.05450981488599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3586.43310085045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14907.9780879724</v>
      </c>
      <c r="CS72" s="1">
        <v>-5454.9918124677897</v>
      </c>
    </row>
    <row r="73" spans="1:97" x14ac:dyDescent="0.25">
      <c r="A73" s="17"/>
      <c r="B73" s="4" t="s">
        <v>3</v>
      </c>
      <c r="C73" s="4" t="s">
        <v>97</v>
      </c>
      <c r="D73" s="2">
        <v>66</v>
      </c>
      <c r="AG73" s="1">
        <v>9919</v>
      </c>
      <c r="AH73" s="1">
        <v>1251.22175813798</v>
      </c>
      <c r="AI73" s="1">
        <v>140.814186009509</v>
      </c>
      <c r="AJ73" s="1">
        <v>268.34427838987699</v>
      </c>
      <c r="AK73" s="1">
        <v>0</v>
      </c>
      <c r="AL73" s="1">
        <v>115.56</v>
      </c>
      <c r="AM73" s="1">
        <v>16.720834676819798</v>
      </c>
      <c r="AN73" s="1">
        <v>90.752820510792205</v>
      </c>
      <c r="AO73" s="1">
        <v>632.43142144638398</v>
      </c>
      <c r="AP73" s="1">
        <v>104.284584980237</v>
      </c>
      <c r="AQ73" s="1">
        <v>113.510344827586</v>
      </c>
      <c r="AR73" s="1">
        <v>458.55776397515501</v>
      </c>
      <c r="AS73" s="1">
        <v>3959.5821313605902</v>
      </c>
      <c r="AT73" s="1">
        <v>277.55813953488399</v>
      </c>
      <c r="AU73" s="1">
        <v>5.9375</v>
      </c>
      <c r="AV73" s="1">
        <v>0</v>
      </c>
      <c r="AW73" s="1">
        <v>0.13744318980996201</v>
      </c>
      <c r="AX73" s="1">
        <v>0.72551111486549003</v>
      </c>
      <c r="AY73" s="1">
        <v>6.8465651309739002</v>
      </c>
      <c r="AZ73" s="1">
        <v>28.3363616653129</v>
      </c>
      <c r="BA73" s="1">
        <v>4.6328343547530997</v>
      </c>
      <c r="BB73" s="1">
        <v>0.16093537488997101</v>
      </c>
      <c r="BC73" s="1">
        <v>8.7111601232915401</v>
      </c>
      <c r="BD73" s="1">
        <v>2.7626696757468099</v>
      </c>
      <c r="BE73" s="1">
        <v>3.7579340019034899</v>
      </c>
      <c r="BF73" s="1">
        <v>6.2359996571709004</v>
      </c>
      <c r="BG73" s="1">
        <v>7.1689749603994796E-2</v>
      </c>
      <c r="BH73" s="1">
        <v>8.8440251047535792E-3</v>
      </c>
      <c r="BI73" s="1">
        <v>0.60763478618662803</v>
      </c>
      <c r="BJ73" s="1">
        <v>1.18608240333478E-3</v>
      </c>
      <c r="BK73" s="1">
        <v>0.249107261879809</v>
      </c>
      <c r="BL73" s="1">
        <v>0.38905278069647897</v>
      </c>
      <c r="BM73" s="1">
        <v>1.63050917697998</v>
      </c>
      <c r="BN73" s="1">
        <v>808.78888888888901</v>
      </c>
      <c r="BO73" s="1">
        <v>0</v>
      </c>
      <c r="BP73" s="1">
        <v>41.8839513113385</v>
      </c>
      <c r="BQ73" s="1">
        <v>14.4976485777627</v>
      </c>
      <c r="BR73" s="1">
        <v>2.0313441383448398</v>
      </c>
      <c r="BS73" s="1">
        <v>10.128516951618399</v>
      </c>
      <c r="BT73" s="1">
        <v>39.720556769492397</v>
      </c>
      <c r="BU73" s="1">
        <v>6.30192330967947</v>
      </c>
      <c r="BV73" s="1">
        <v>2.6904427731221898</v>
      </c>
      <c r="BW73" s="1">
        <v>4.9232188661187202</v>
      </c>
      <c r="BX73" s="1">
        <v>0.28528042689321298</v>
      </c>
      <c r="BY73" s="1">
        <v>0.47908018801778501</v>
      </c>
      <c r="BZ73" s="1">
        <v>10.6853714407199</v>
      </c>
      <c r="CA73" s="1">
        <v>2.3633193708516999E-2</v>
      </c>
      <c r="CB73" s="1">
        <v>1.9552633309507499E-3</v>
      </c>
      <c r="CC73" s="1">
        <v>0.69710718948581196</v>
      </c>
      <c r="CD73" s="1">
        <v>36.346720028124203</v>
      </c>
      <c r="CE73" s="1">
        <v>15.607965452086599</v>
      </c>
      <c r="CF73" s="1">
        <v>1.52290659274448</v>
      </c>
      <c r="CG73" s="1">
        <v>0.99188978047076803</v>
      </c>
      <c r="CH73" s="1">
        <v>27.2624264784274</v>
      </c>
      <c r="CI73" s="1">
        <v>7.0220844042100401</v>
      </c>
      <c r="CJ73" s="1">
        <v>2.7321096261175302</v>
      </c>
      <c r="CK73" s="1">
        <v>1.72675565808952</v>
      </c>
      <c r="CL73" s="1">
        <v>0.211258633703793</v>
      </c>
      <c r="CM73" s="1">
        <v>0.52203896786738302</v>
      </c>
      <c r="CN73" s="1">
        <v>0.170319404611045</v>
      </c>
      <c r="CO73" s="1">
        <v>1.43123042816119E-2</v>
      </c>
      <c r="CP73" s="1">
        <v>2.0975405839301201E-3</v>
      </c>
      <c r="CQ73" s="1">
        <v>0.69456093308865596</v>
      </c>
      <c r="CR73" s="1">
        <v>4665.8882584529902</v>
      </c>
      <c r="CS73" s="1">
        <v>35.364619527424999</v>
      </c>
    </row>
    <row r="74" spans="1:97" x14ac:dyDescent="0.25">
      <c r="A74" s="17"/>
      <c r="B74" s="4" t="s">
        <v>4</v>
      </c>
      <c r="C74" s="4" t="s">
        <v>98</v>
      </c>
      <c r="D74" s="2">
        <v>67</v>
      </c>
      <c r="AG74" s="1">
        <v>3578</v>
      </c>
      <c r="AH74" s="1">
        <v>1274.70520971418</v>
      </c>
      <c r="AI74" s="1">
        <v>143.457045356295</v>
      </c>
      <c r="AJ74" s="1">
        <v>132.42740918987101</v>
      </c>
      <c r="AK74" s="1">
        <v>0</v>
      </c>
      <c r="AL74" s="1">
        <v>46.5</v>
      </c>
      <c r="AM74" s="1">
        <v>35.457903056873597</v>
      </c>
      <c r="AN74" s="1">
        <v>9.0157577247163605</v>
      </c>
      <c r="AO74" s="1">
        <v>24.7916666666667</v>
      </c>
      <c r="AP74" s="1">
        <v>641.76061776061795</v>
      </c>
      <c r="AQ74" s="1">
        <v>0</v>
      </c>
      <c r="AR74" s="1">
        <v>215.17509727626501</v>
      </c>
      <c r="AS74" s="1">
        <v>2323.46925114846</v>
      </c>
      <c r="AT74" s="1">
        <v>2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2.8150504869875701</v>
      </c>
      <c r="BA74" s="1">
        <v>1.24675774987053</v>
      </c>
      <c r="BB74" s="1">
        <v>5.0292304653116099E-2</v>
      </c>
      <c r="BC74" s="1">
        <v>3.1035712180148001</v>
      </c>
      <c r="BD74" s="1">
        <v>0.27445494619081201</v>
      </c>
      <c r="BE74" s="1">
        <v>1.17435437559484</v>
      </c>
      <c r="BF74" s="1">
        <v>1.9487498928659099</v>
      </c>
      <c r="BG74" s="1">
        <v>2.24030467512484E-2</v>
      </c>
      <c r="BH74" s="1">
        <v>2.76375784523549E-3</v>
      </c>
      <c r="BI74" s="1">
        <v>0.189885870683321</v>
      </c>
      <c r="BJ74" s="1">
        <v>3.7065075104212003E-4</v>
      </c>
      <c r="BK74" s="1">
        <v>7.7846019337440397E-2</v>
      </c>
      <c r="BL74" s="1">
        <v>0.12157899396765</v>
      </c>
      <c r="BM74" s="1">
        <v>0.50953411780624402</v>
      </c>
      <c r="BN74" s="1">
        <v>845.567164179104</v>
      </c>
      <c r="BO74" s="1">
        <v>0</v>
      </c>
      <c r="BP74" s="1">
        <v>0.42527452006280198</v>
      </c>
      <c r="BQ74" s="1">
        <v>0.39525267728179903</v>
      </c>
      <c r="BR74" s="1">
        <v>0.236016562843189</v>
      </c>
      <c r="BS74" s="1">
        <v>80.503783502765103</v>
      </c>
      <c r="BT74" s="1">
        <v>0.95017872383805302</v>
      </c>
      <c r="BU74" s="1">
        <v>1.4874194991735101E-2</v>
      </c>
      <c r="BV74" s="1">
        <v>0.84289781579480005</v>
      </c>
      <c r="BW74" s="1">
        <v>2.1863312428716699</v>
      </c>
      <c r="BX74" s="1">
        <v>2.1674970173254201E-2</v>
      </c>
      <c r="BY74" s="1">
        <v>1.0032673094745601</v>
      </c>
      <c r="BZ74" s="1">
        <v>1.85313969903198E-2</v>
      </c>
      <c r="CA74" s="1">
        <v>0.25028417259932001</v>
      </c>
      <c r="CB74" s="1">
        <v>6.1810273159444901E-2</v>
      </c>
      <c r="CC74" s="1">
        <v>0.44115321485567699</v>
      </c>
      <c r="CD74" s="1">
        <v>0.36849305896238499</v>
      </c>
      <c r="CE74" s="1">
        <v>0.42561551443683399</v>
      </c>
      <c r="CF74" s="1">
        <v>0.17583309399095401</v>
      </c>
      <c r="CG74" s="1">
        <v>7.8936382772898597</v>
      </c>
      <c r="CH74" s="1">
        <v>0.66109296608729895</v>
      </c>
      <c r="CI74" s="1">
        <v>1.6608995714481999E-2</v>
      </c>
      <c r="CJ74" s="1">
        <v>0.85654158678130699</v>
      </c>
      <c r="CK74" s="1">
        <v>0.75672129104012598</v>
      </c>
      <c r="CL74" s="1">
        <v>1.60271755792268E-2</v>
      </c>
      <c r="CM74" s="1">
        <v>1.0978667269378299</v>
      </c>
      <c r="CN74" s="1">
        <v>2.98348852156857E-4</v>
      </c>
      <c r="CO74" s="1">
        <v>0.147942344399385</v>
      </c>
      <c r="CP74" s="1">
        <v>6.6483074589903199E-2</v>
      </c>
      <c r="CQ74" s="1">
        <v>0.439528221127437</v>
      </c>
      <c r="CR74" s="1">
        <v>996.21136590229298</v>
      </c>
      <c r="CS74" s="1">
        <v>-123.17079413946399</v>
      </c>
    </row>
    <row r="75" spans="1:97" x14ac:dyDescent="0.25">
      <c r="A75" s="17"/>
      <c r="B75" s="4" t="s">
        <v>5</v>
      </c>
      <c r="C75" s="4" t="s">
        <v>99</v>
      </c>
      <c r="D75" s="2">
        <v>68</v>
      </c>
      <c r="AG75" s="1">
        <v>5611</v>
      </c>
      <c r="AH75" s="1">
        <v>1069.41907693596</v>
      </c>
      <c r="AI75" s="1">
        <v>120.35386680445799</v>
      </c>
      <c r="AJ75" s="1">
        <v>179.34910000807201</v>
      </c>
      <c r="AK75" s="1">
        <v>0</v>
      </c>
      <c r="AL75" s="1">
        <v>10.125</v>
      </c>
      <c r="AM75" s="1">
        <v>10.9750652318895</v>
      </c>
      <c r="AN75" s="1">
        <v>24.062122623156</v>
      </c>
      <c r="AO75" s="1">
        <v>27.487804878048799</v>
      </c>
      <c r="AP75" s="1">
        <v>11.2121212121212</v>
      </c>
      <c r="AQ75" s="1">
        <v>1582.10526315789</v>
      </c>
      <c r="AR75" s="1">
        <v>523.89991371872304</v>
      </c>
      <c r="AS75" s="1">
        <v>2235.4064660927002</v>
      </c>
      <c r="AT75" s="1">
        <v>28.285714285714299</v>
      </c>
      <c r="AU75" s="1">
        <v>4.2</v>
      </c>
      <c r="AV75" s="1">
        <v>0</v>
      </c>
      <c r="AW75" s="1">
        <v>0</v>
      </c>
      <c r="AX75" s="1">
        <v>0</v>
      </c>
      <c r="AY75" s="1">
        <v>0</v>
      </c>
      <c r="AZ75" s="1">
        <v>7.5130778883480902</v>
      </c>
      <c r="BA75" s="1">
        <v>0.52148493385052597</v>
      </c>
      <c r="BB75" s="1">
        <v>5.8674355428635402E-2</v>
      </c>
      <c r="BC75" s="1">
        <v>0.64657733708641696</v>
      </c>
      <c r="BD75" s="1">
        <v>0.73249179618818805</v>
      </c>
      <c r="BE75" s="1">
        <v>1.3700801048606499</v>
      </c>
      <c r="BF75" s="1">
        <v>2.2735415416768898</v>
      </c>
      <c r="BG75" s="1">
        <v>2.6136887876456402E-2</v>
      </c>
      <c r="BH75" s="1">
        <v>3.2243841527747402E-3</v>
      </c>
      <c r="BI75" s="1">
        <v>0.22153351579720801</v>
      </c>
      <c r="BJ75" s="1">
        <v>4.32425876215807E-4</v>
      </c>
      <c r="BK75" s="1">
        <v>9.0820355893680399E-2</v>
      </c>
      <c r="BL75" s="1">
        <v>0.14184215962892399</v>
      </c>
      <c r="BM75" s="1">
        <v>0.59445647077395203</v>
      </c>
      <c r="BN75" s="1">
        <v>949.78842163618299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1716.6</v>
      </c>
      <c r="CS75" s="1">
        <v>-158.22022324538301</v>
      </c>
    </row>
    <row r="76" spans="1:97" x14ac:dyDescent="0.25">
      <c r="A76" s="17"/>
      <c r="B76" s="4" t="s">
        <v>6</v>
      </c>
      <c r="C76" s="4" t="s">
        <v>100</v>
      </c>
      <c r="D76" s="2">
        <v>69</v>
      </c>
      <c r="AG76" s="1">
        <v>33613</v>
      </c>
      <c r="AH76" s="1">
        <v>8452.6175924677991</v>
      </c>
      <c r="AI76" s="1">
        <v>951.26899623636405</v>
      </c>
      <c r="AJ76" s="1">
        <v>2660.9220442011201</v>
      </c>
      <c r="AK76" s="1">
        <v>0</v>
      </c>
      <c r="AL76" s="1">
        <v>149.39652745190099</v>
      </c>
      <c r="AM76" s="1">
        <v>0.96031820779032795</v>
      </c>
      <c r="AN76" s="1">
        <v>92.104458263080602</v>
      </c>
      <c r="AO76" s="1">
        <v>1.1200000000000001</v>
      </c>
      <c r="AP76" s="1">
        <v>0</v>
      </c>
      <c r="AQ76" s="1">
        <v>10.852941176470599</v>
      </c>
      <c r="AR76" s="1">
        <v>9712.2770456635008</v>
      </c>
      <c r="AS76" s="1">
        <v>4299.3344425494097</v>
      </c>
      <c r="AT76" s="1">
        <v>8.8968697745057295</v>
      </c>
      <c r="AU76" s="1">
        <v>2.6666666666666701</v>
      </c>
      <c r="AV76" s="1">
        <v>3.75</v>
      </c>
      <c r="AW76" s="1">
        <v>3.01011077530366</v>
      </c>
      <c r="AX76" s="1">
        <v>0</v>
      </c>
      <c r="AY76" s="1">
        <v>149.945002753925</v>
      </c>
      <c r="AZ76" s="1">
        <v>28.758392583732402</v>
      </c>
      <c r="BA76" s="1">
        <v>0.36686382953179503</v>
      </c>
      <c r="BB76" s="1">
        <v>0.94627442835194797</v>
      </c>
      <c r="BC76" s="1">
        <v>0</v>
      </c>
      <c r="BD76" s="1">
        <v>2.80381581985367</v>
      </c>
      <c r="BE76" s="1">
        <v>22.096054716787901</v>
      </c>
      <c r="BF76" s="1">
        <v>36.6666869532365</v>
      </c>
      <c r="BG76" s="1">
        <v>0.42152433466908201</v>
      </c>
      <c r="BH76" s="1">
        <v>5.20014621151665E-2</v>
      </c>
      <c r="BI76" s="1">
        <v>3.5727959768858701</v>
      </c>
      <c r="BJ76" s="1">
        <v>6.9739760382778702E-3</v>
      </c>
      <c r="BK76" s="1">
        <v>1.46471111149302</v>
      </c>
      <c r="BL76" s="1">
        <v>2.2875685218616102</v>
      </c>
      <c r="BM76" s="1">
        <v>9.5871348385909307</v>
      </c>
      <c r="BN76" s="1">
        <v>17851.800635879499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15119.552517525801</v>
      </c>
      <c r="CS76" s="1">
        <v>-1836.8897023357599</v>
      </c>
    </row>
    <row r="77" spans="1:97" x14ac:dyDescent="0.25">
      <c r="A77" s="17"/>
      <c r="B77" s="4" t="s">
        <v>7</v>
      </c>
      <c r="C77" s="4" t="s">
        <v>64</v>
      </c>
      <c r="D77" s="2">
        <v>70</v>
      </c>
      <c r="AG77" s="1">
        <v>316063.31951212301</v>
      </c>
      <c r="AH77" s="1">
        <v>16721.2316487393</v>
      </c>
      <c r="AI77" s="1">
        <v>1881.8299860751199</v>
      </c>
      <c r="AJ77" s="1">
        <v>9810.2927855223406</v>
      </c>
      <c r="AK77" s="1">
        <v>30093.331325557501</v>
      </c>
      <c r="AL77" s="1">
        <v>450.03873645108098</v>
      </c>
      <c r="AM77" s="1">
        <v>302.90858467935902</v>
      </c>
      <c r="AN77" s="1">
        <v>821.86585677060998</v>
      </c>
      <c r="AO77" s="1">
        <v>265.04811229049398</v>
      </c>
      <c r="AP77" s="1">
        <v>159.344615338853</v>
      </c>
      <c r="AQ77" s="1">
        <v>364.75050269814398</v>
      </c>
      <c r="AR77" s="1">
        <v>1899.1135266900801</v>
      </c>
      <c r="AS77" s="1">
        <v>127376.449404367</v>
      </c>
      <c r="AT77" s="1">
        <v>1443.50633730709</v>
      </c>
      <c r="AU77" s="1">
        <v>890.42891541856</v>
      </c>
      <c r="AV77" s="1">
        <v>280.00719586336203</v>
      </c>
      <c r="AW77" s="1">
        <v>1.7020497409959201</v>
      </c>
      <c r="AX77" s="1">
        <v>65.220660612210906</v>
      </c>
      <c r="AY77" s="1">
        <v>84.785535201841</v>
      </c>
      <c r="AZ77" s="1">
        <v>256.61668724725502</v>
      </c>
      <c r="BA77" s="1">
        <v>364.46188874602598</v>
      </c>
      <c r="BB77" s="1">
        <v>2.1695530276844299</v>
      </c>
      <c r="BC77" s="1">
        <v>90.440401328651902</v>
      </c>
      <c r="BD77" s="1">
        <v>25.018989682660301</v>
      </c>
      <c r="BE77" s="1">
        <v>50.6603168957854</v>
      </c>
      <c r="BF77" s="1">
        <v>84.066861907171997</v>
      </c>
      <c r="BG77" s="1">
        <v>0.966442048018477</v>
      </c>
      <c r="BH77" s="1">
        <v>0.119225381343619</v>
      </c>
      <c r="BI77" s="1">
        <v>8.1914612682194505</v>
      </c>
      <c r="BJ77" s="1">
        <v>1.59894533504365E-2</v>
      </c>
      <c r="BK77" s="1">
        <v>3.3581890532085601</v>
      </c>
      <c r="BL77" s="1">
        <v>5.2447800172346604</v>
      </c>
      <c r="BM77" s="1">
        <v>21.980724399484401</v>
      </c>
      <c r="BN77" s="1">
        <v>16228.1344405648</v>
      </c>
      <c r="BO77" s="1">
        <v>1576.6667971540501</v>
      </c>
      <c r="BP77" s="1">
        <v>1656.11102453391</v>
      </c>
      <c r="BQ77" s="1">
        <v>107.39789877868</v>
      </c>
      <c r="BR77" s="1">
        <v>674.97202133526503</v>
      </c>
      <c r="BS77" s="1">
        <v>57.341102009106599</v>
      </c>
      <c r="BT77" s="1">
        <v>61.178314884837597</v>
      </c>
      <c r="BU77" s="1">
        <v>56.158244347635303</v>
      </c>
      <c r="BV77" s="1">
        <v>889.10512161793395</v>
      </c>
      <c r="BW77" s="1">
        <v>46469.733162480698</v>
      </c>
      <c r="BX77" s="1">
        <v>2333.8818871252902</v>
      </c>
      <c r="BY77" s="1">
        <v>368.90794654434001</v>
      </c>
      <c r="BZ77" s="1">
        <v>288.01180593933202</v>
      </c>
      <c r="CA77" s="1">
        <v>9.5300887272040793</v>
      </c>
      <c r="CB77" s="1">
        <v>101.40343732042</v>
      </c>
      <c r="CC77" s="1">
        <v>237.84308943782801</v>
      </c>
      <c r="CD77" s="1">
        <v>181.595620334969</v>
      </c>
      <c r="CE77" s="1">
        <v>605.03216245508202</v>
      </c>
      <c r="CF77" s="1">
        <v>8.4895850113188196</v>
      </c>
      <c r="CG77" s="1">
        <v>0.27476116095291803</v>
      </c>
      <c r="CH77" s="1">
        <v>12.065289076781699</v>
      </c>
      <c r="CI77" s="1">
        <v>276.69220036615599</v>
      </c>
      <c r="CJ77" s="1">
        <v>480.11358523083601</v>
      </c>
      <c r="CK77" s="1">
        <v>1.6093384514596201</v>
      </c>
      <c r="CL77" s="1">
        <v>0.47955153279768098</v>
      </c>
      <c r="CM77" s="1">
        <v>51.984540714451803</v>
      </c>
      <c r="CN77" s="1">
        <v>1.5443509886196899E-3</v>
      </c>
      <c r="CO77" s="1">
        <v>16.3282728171604</v>
      </c>
      <c r="CP77" s="1">
        <v>28.928023979955199</v>
      </c>
      <c r="CQ77" s="1">
        <v>123.200906839488</v>
      </c>
      <c r="CR77" s="1">
        <v>100553.464216448</v>
      </c>
      <c r="CS77" s="1">
        <v>5608.2250814448798</v>
      </c>
    </row>
    <row r="78" spans="1:97" x14ac:dyDescent="0.25">
      <c r="A78" s="17"/>
      <c r="B78" s="4" t="s">
        <v>8</v>
      </c>
      <c r="C78" s="4" t="s">
        <v>65</v>
      </c>
      <c r="D78" s="2">
        <v>71</v>
      </c>
      <c r="AG78" s="1">
        <v>10351</v>
      </c>
      <c r="AH78" s="1">
        <v>0</v>
      </c>
      <c r="AI78" s="1">
        <v>0</v>
      </c>
      <c r="AJ78" s="1">
        <v>85.667431263755006</v>
      </c>
      <c r="AK78" s="1">
        <v>2357.7794705681799</v>
      </c>
      <c r="AL78" s="1">
        <v>28.745305173170301</v>
      </c>
      <c r="AM78" s="1">
        <v>2.89751183385013</v>
      </c>
      <c r="AN78" s="1">
        <v>23.761911459789101</v>
      </c>
      <c r="AO78" s="1">
        <v>3.0422535211267601</v>
      </c>
      <c r="AP78" s="1">
        <v>3.2392638036809802</v>
      </c>
      <c r="AQ78" s="1">
        <v>2.7</v>
      </c>
      <c r="AR78" s="1">
        <v>29.340560072267401</v>
      </c>
      <c r="AS78" s="1">
        <v>1860.6304530099601</v>
      </c>
      <c r="AT78" s="1">
        <v>4474.8408981334796</v>
      </c>
      <c r="AU78" s="1">
        <v>609.27725563909803</v>
      </c>
      <c r="AV78" s="1">
        <v>1066.7157765500299</v>
      </c>
      <c r="AW78" s="1">
        <v>3.1566532001999601</v>
      </c>
      <c r="AX78" s="1">
        <v>3.2587428740062201</v>
      </c>
      <c r="AY78" s="1">
        <v>157.24483520026499</v>
      </c>
      <c r="AZ78" s="1">
        <v>7.41934094382946</v>
      </c>
      <c r="BA78" s="1">
        <v>18.018036549149699</v>
      </c>
      <c r="BB78" s="1">
        <v>9.5825239987839705E-2</v>
      </c>
      <c r="BC78" s="1">
        <v>0.14378204969844499</v>
      </c>
      <c r="BD78" s="1">
        <v>0.72335285953931705</v>
      </c>
      <c r="BE78" s="1">
        <v>2.2375747273529001</v>
      </c>
      <c r="BF78" s="1">
        <v>3.7130815031874298</v>
      </c>
      <c r="BG78" s="1">
        <v>4.2686000297744497E-2</v>
      </c>
      <c r="BH78" s="1">
        <v>5.2659698260926003E-3</v>
      </c>
      <c r="BI78" s="1">
        <v>0.36180205409222099</v>
      </c>
      <c r="BJ78" s="1">
        <v>7.0622528466854698E-4</v>
      </c>
      <c r="BK78" s="1">
        <v>0.14832514708880101</v>
      </c>
      <c r="BL78" s="1">
        <v>0.23165246362811701</v>
      </c>
      <c r="BM78" s="1">
        <v>0.97084890934204404</v>
      </c>
      <c r="BN78" s="1">
        <v>213.76057756883799</v>
      </c>
      <c r="BO78" s="1">
        <v>10.065921787709501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568.12824731555202</v>
      </c>
      <c r="CS78" s="1">
        <v>-1016.03048708975</v>
      </c>
    </row>
    <row r="79" spans="1:97" x14ac:dyDescent="0.25">
      <c r="A79" s="17"/>
      <c r="B79" s="4" t="s">
        <v>9</v>
      </c>
      <c r="C79" s="4" t="s">
        <v>101</v>
      </c>
      <c r="D79" s="2">
        <v>72</v>
      </c>
      <c r="AG79" s="1">
        <v>2291</v>
      </c>
      <c r="AH79" s="1">
        <v>0</v>
      </c>
      <c r="AI79" s="1">
        <v>0</v>
      </c>
      <c r="AJ79" s="1">
        <v>1.06241884622519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608.07655502392299</v>
      </c>
      <c r="AT79" s="1">
        <v>169</v>
      </c>
      <c r="AU79" s="1">
        <v>1512.44731800766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2.53854581463884</v>
      </c>
    </row>
    <row r="80" spans="1:97" x14ac:dyDescent="0.25">
      <c r="A80" s="17"/>
      <c r="B80" s="4" t="s">
        <v>10</v>
      </c>
      <c r="C80" s="4" t="s">
        <v>102</v>
      </c>
      <c r="D80" s="2">
        <v>73</v>
      </c>
      <c r="AG80" s="1">
        <v>1638</v>
      </c>
      <c r="AH80" s="1">
        <v>0</v>
      </c>
      <c r="AI80" s="1">
        <v>0</v>
      </c>
      <c r="AJ80" s="1">
        <v>0</v>
      </c>
      <c r="AK80" s="1">
        <v>0</v>
      </c>
      <c r="AL80" s="1">
        <v>10.486954096278801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297</v>
      </c>
      <c r="AT80" s="1">
        <v>40</v>
      </c>
      <c r="AU80" s="1">
        <v>0</v>
      </c>
      <c r="AV80" s="1">
        <v>630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1.5130459037211901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659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</row>
    <row r="81" spans="1:97" x14ac:dyDescent="0.25">
      <c r="A81" s="17"/>
      <c r="B81" s="4" t="s">
        <v>73</v>
      </c>
      <c r="C81" s="4" t="s">
        <v>103</v>
      </c>
      <c r="D81" s="2">
        <v>74</v>
      </c>
      <c r="AG81" s="1">
        <v>5261.6293592920802</v>
      </c>
      <c r="AH81" s="1">
        <v>262.63053046265799</v>
      </c>
      <c r="AI81" s="1">
        <v>29.556794491314001</v>
      </c>
      <c r="AJ81" s="1">
        <v>524.01406684265896</v>
      </c>
      <c r="AK81" s="1">
        <v>0</v>
      </c>
      <c r="AL81" s="1">
        <v>1.9171850792929199</v>
      </c>
      <c r="AM81" s="1">
        <v>1892.70154490966</v>
      </c>
      <c r="AN81" s="1">
        <v>5.7532888239278002</v>
      </c>
      <c r="AO81" s="1">
        <v>3.5801444675349597E-2</v>
      </c>
      <c r="AP81" s="1">
        <v>29.0210684573196</v>
      </c>
      <c r="AQ81" s="1">
        <v>0.20666798648007201</v>
      </c>
      <c r="AR81" s="1">
        <v>17.723782601243499</v>
      </c>
      <c r="AS81" s="1">
        <v>22.949376071313601</v>
      </c>
      <c r="AT81" s="1">
        <v>0</v>
      </c>
      <c r="AU81" s="1">
        <v>0</v>
      </c>
      <c r="AV81" s="1">
        <v>0</v>
      </c>
      <c r="AW81" s="1">
        <v>1397.7851838476099</v>
      </c>
      <c r="AX81" s="1">
        <v>0.139921465374477</v>
      </c>
      <c r="AY81" s="1">
        <v>3.4541789403109702</v>
      </c>
      <c r="AZ81" s="1">
        <v>2.3841207159065701E-2</v>
      </c>
      <c r="BA81" s="1">
        <v>252.01534097898701</v>
      </c>
      <c r="BB81" s="1">
        <v>1.01048377843519E-4</v>
      </c>
      <c r="BC81" s="1">
        <v>6.1215848451971104E-4</v>
      </c>
      <c r="BD81" s="1">
        <v>4.31773930715052E-4</v>
      </c>
      <c r="BE81" s="1">
        <v>6530.1442981867003</v>
      </c>
      <c r="BF81" s="1">
        <v>8.5468912380085103E-4</v>
      </c>
      <c r="BG81" s="1">
        <v>9.8256017708535694E-6</v>
      </c>
      <c r="BH81" s="1">
        <v>1.2121379864032601E-6</v>
      </c>
      <c r="BI81" s="1">
        <v>8.3280768368799998E-5</v>
      </c>
      <c r="BJ81" s="1">
        <v>0</v>
      </c>
      <c r="BK81" s="1">
        <v>3.4141962651273498E-5</v>
      </c>
      <c r="BL81" s="1">
        <v>5.3322514196001799E-5</v>
      </c>
      <c r="BM81" s="1">
        <v>9.15860883186431E-4</v>
      </c>
      <c r="BN81" s="1">
        <v>0.52399585031764395</v>
      </c>
      <c r="BO81" s="1">
        <v>9.4528765963620596E-4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41.448691610202097</v>
      </c>
      <c r="CS81" s="1">
        <v>-4118.0174589733097</v>
      </c>
    </row>
    <row r="82" spans="1:97" x14ac:dyDescent="0.25">
      <c r="A82" s="17"/>
      <c r="B82" s="4" t="s">
        <v>12</v>
      </c>
      <c r="C82" s="4" t="s">
        <v>104</v>
      </c>
      <c r="D82" s="2">
        <v>75</v>
      </c>
      <c r="AG82" s="1">
        <v>25079.2938580761</v>
      </c>
      <c r="AH82" s="1">
        <v>696.640067987782</v>
      </c>
      <c r="AI82" s="1">
        <v>78.4008138263939</v>
      </c>
      <c r="AJ82" s="1">
        <v>1291.4201295027899</v>
      </c>
      <c r="AK82" s="1">
        <v>0</v>
      </c>
      <c r="AL82" s="1">
        <v>32.881406803707598</v>
      </c>
      <c r="AM82" s="1">
        <v>26.685860711477702</v>
      </c>
      <c r="AN82" s="1">
        <v>110.175336631042</v>
      </c>
      <c r="AO82" s="1">
        <v>0</v>
      </c>
      <c r="AP82" s="1">
        <v>13.1479778614137</v>
      </c>
      <c r="AQ82" s="1">
        <v>3.03158442009416</v>
      </c>
      <c r="AR82" s="1">
        <v>17.415882904762</v>
      </c>
      <c r="AS82" s="1">
        <v>240.23235893481299</v>
      </c>
      <c r="AT82" s="1">
        <v>0</v>
      </c>
      <c r="AU82" s="1">
        <v>0</v>
      </c>
      <c r="AV82" s="1">
        <v>0</v>
      </c>
      <c r="AW82" s="1">
        <v>2.7855044066596099E-2</v>
      </c>
      <c r="AX82" s="1">
        <v>1.25849438980366</v>
      </c>
      <c r="AY82" s="1">
        <v>25924.913109040099</v>
      </c>
      <c r="AZ82" s="1">
        <v>479.84951317974497</v>
      </c>
      <c r="BA82" s="1">
        <v>0.45064683131510502</v>
      </c>
      <c r="BB82" s="1">
        <v>6.50436398104501E-3</v>
      </c>
      <c r="BC82" s="1">
        <v>1.27855089431265E-2</v>
      </c>
      <c r="BD82" s="1">
        <v>8.2684599401985498E-3</v>
      </c>
      <c r="BE82" s="1">
        <v>5.4170945877061699E-2</v>
      </c>
      <c r="BF82" s="1">
        <v>8.9892478086861197E-2</v>
      </c>
      <c r="BG82" s="1">
        <v>1.0334139832607499E-3</v>
      </c>
      <c r="BH82" s="1">
        <v>1.2748739201973999E-4</v>
      </c>
      <c r="BI82" s="1">
        <v>8.7591083555120606E-3</v>
      </c>
      <c r="BJ82" s="1">
        <v>1.7097481127725699E-5</v>
      </c>
      <c r="BK82" s="1">
        <v>3.5909028721736202E-3</v>
      </c>
      <c r="BL82" s="1">
        <v>5.6082297123243897E-3</v>
      </c>
      <c r="BM82" s="1">
        <v>5.8952876507042298E-2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103.512171523091</v>
      </c>
      <c r="CS82" s="1">
        <v>191.922960244488</v>
      </c>
    </row>
    <row r="83" spans="1:97" x14ac:dyDescent="0.25">
      <c r="A83" s="17"/>
      <c r="B83" s="4" t="s">
        <v>74</v>
      </c>
      <c r="C83" s="4" t="s">
        <v>105</v>
      </c>
      <c r="D83" s="2">
        <v>76</v>
      </c>
      <c r="AG83" s="1">
        <v>38617.0418507457</v>
      </c>
      <c r="AH83" s="1">
        <v>1859.4468979552801</v>
      </c>
      <c r="AI83" s="1">
        <v>209.264664445362</v>
      </c>
      <c r="AJ83" s="1">
        <v>5234.0135645810597</v>
      </c>
      <c r="AK83" s="1">
        <v>0</v>
      </c>
      <c r="AL83" s="1">
        <v>338.21947472113601</v>
      </c>
      <c r="AM83" s="1">
        <v>68.283115708191502</v>
      </c>
      <c r="AN83" s="1">
        <v>535.318727131223</v>
      </c>
      <c r="AO83" s="1">
        <v>26.041260873426399</v>
      </c>
      <c r="AP83" s="1">
        <v>68.3057096490341</v>
      </c>
      <c r="AQ83" s="1">
        <v>0</v>
      </c>
      <c r="AR83" s="1">
        <v>47.7502068454571</v>
      </c>
      <c r="AS83" s="1">
        <v>2590.91919590105</v>
      </c>
      <c r="AT83" s="1">
        <v>2052.9022648268201</v>
      </c>
      <c r="AU83" s="1">
        <v>641.25092714161497</v>
      </c>
      <c r="AV83" s="1">
        <v>2063.9717356456599</v>
      </c>
      <c r="AW83" s="1">
        <v>6.1470244452166301E-3</v>
      </c>
      <c r="AX83" s="1">
        <v>1.3274612428477399</v>
      </c>
      <c r="AY83" s="1">
        <v>3148.3244550488498</v>
      </c>
      <c r="AZ83" s="1">
        <v>3646.6363454646398</v>
      </c>
      <c r="BA83" s="1">
        <v>8.8171937705883003</v>
      </c>
      <c r="BB83" s="1">
        <v>2.9202952498326201E-3</v>
      </c>
      <c r="BC83" s="1">
        <v>0.27347757408918799</v>
      </c>
      <c r="BD83" s="1">
        <v>1.8295847697517801E-3</v>
      </c>
      <c r="BE83" s="1">
        <v>0</v>
      </c>
      <c r="BF83" s="1">
        <v>0</v>
      </c>
      <c r="BG83" s="1">
        <v>155.97680894387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159.473481705935</v>
      </c>
      <c r="BN83" s="1">
        <v>1732.67503098112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25034.6133921457</v>
      </c>
      <c r="CS83" s="1">
        <v>3598.67581550163</v>
      </c>
    </row>
    <row r="84" spans="1:97" x14ac:dyDescent="0.25">
      <c r="A84" s="17"/>
      <c r="B84" s="4" t="s">
        <v>75</v>
      </c>
      <c r="C84" s="4" t="s">
        <v>106</v>
      </c>
      <c r="D84" s="2">
        <v>77</v>
      </c>
      <c r="AG84" s="1">
        <v>9898.4277304205407</v>
      </c>
      <c r="AH84" s="1">
        <v>933.58186455488897</v>
      </c>
      <c r="AI84" s="1">
        <v>105.06656352122</v>
      </c>
      <c r="AJ84" s="1">
        <v>143.83517659971</v>
      </c>
      <c r="AK84" s="1">
        <v>0</v>
      </c>
      <c r="AL84" s="1">
        <v>59.413816579364003</v>
      </c>
      <c r="AM84" s="1">
        <v>32.401049737285597</v>
      </c>
      <c r="AN84" s="1">
        <v>167.891234238241</v>
      </c>
      <c r="AO84" s="1">
        <v>4.28558600747645</v>
      </c>
      <c r="AP84" s="1">
        <v>22.4756899710429</v>
      </c>
      <c r="AQ84" s="1">
        <v>3.9893242626602001</v>
      </c>
      <c r="AR84" s="1">
        <v>38.293118723496903</v>
      </c>
      <c r="AS84" s="1">
        <v>377.08154953888402</v>
      </c>
      <c r="AT84" s="1">
        <v>6.1169008813012402</v>
      </c>
      <c r="AU84" s="1">
        <v>0</v>
      </c>
      <c r="AV84" s="1">
        <v>0</v>
      </c>
      <c r="AW84" s="1">
        <v>1.75051552136632E-2</v>
      </c>
      <c r="AX84" s="1">
        <v>1.73230263614528</v>
      </c>
      <c r="AY84" s="1">
        <v>2490.32245418512</v>
      </c>
      <c r="AZ84" s="1">
        <v>1117.7573953748199</v>
      </c>
      <c r="BA84" s="1">
        <v>0.60233939167151795</v>
      </c>
      <c r="BB84" s="1">
        <v>1.39422090076841E-2</v>
      </c>
      <c r="BC84" s="1">
        <v>2.08494761080577E-2</v>
      </c>
      <c r="BD84" s="1">
        <v>1.2599933769735E-2</v>
      </c>
      <c r="BE84" s="1">
        <v>0.11611629542302999</v>
      </c>
      <c r="BF84" s="1">
        <v>0.19268597534794199</v>
      </c>
      <c r="BG84" s="1">
        <v>2.2151395260278598E-3</v>
      </c>
      <c r="BH84" s="1">
        <v>2.7327127918480999E-4</v>
      </c>
      <c r="BI84" s="1">
        <v>1.87752899083426E-2</v>
      </c>
      <c r="BJ84" s="1">
        <v>3.6648726313958303E-5</v>
      </c>
      <c r="BK84" s="1">
        <v>7.6971581719653603E-3</v>
      </c>
      <c r="BL84" s="1">
        <v>1.2021330761961499E-2</v>
      </c>
      <c r="BM84" s="1">
        <v>0.12636644078662401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3531.8487113342699</v>
      </c>
      <c r="CS84" s="1">
        <v>3226.1587779105498</v>
      </c>
    </row>
    <row r="85" spans="1:97" x14ac:dyDescent="0.25">
      <c r="A85" s="17"/>
      <c r="B85" s="4" t="s">
        <v>76</v>
      </c>
      <c r="C85" s="4" t="s">
        <v>107</v>
      </c>
      <c r="D85" s="2">
        <v>78</v>
      </c>
      <c r="AG85" s="1">
        <v>1982.82167401841</v>
      </c>
      <c r="AH85" s="1">
        <v>0</v>
      </c>
      <c r="AI85" s="1">
        <v>0</v>
      </c>
      <c r="AJ85" s="1">
        <v>286.41054966114598</v>
      </c>
      <c r="AK85" s="1">
        <v>0</v>
      </c>
      <c r="AL85" s="1">
        <v>47.653490996776902</v>
      </c>
      <c r="AM85" s="1">
        <v>79.721595349711706</v>
      </c>
      <c r="AN85" s="1">
        <v>22.241214288007601</v>
      </c>
      <c r="AO85" s="1">
        <v>0.54655262288546202</v>
      </c>
      <c r="AP85" s="1">
        <v>8.1367926179684407</v>
      </c>
      <c r="AQ85" s="1">
        <v>9.2113009674372304</v>
      </c>
      <c r="AR85" s="1">
        <v>152.35053642658599</v>
      </c>
      <c r="AS85" s="1">
        <v>552.94293179989404</v>
      </c>
      <c r="AT85" s="1">
        <v>18.9806002580121</v>
      </c>
      <c r="AU85" s="1">
        <v>0</v>
      </c>
      <c r="AV85" s="1">
        <v>0</v>
      </c>
      <c r="AW85" s="1">
        <v>1.62103983495847</v>
      </c>
      <c r="AX85" s="1">
        <v>2.0690725551131299</v>
      </c>
      <c r="AY85" s="1">
        <v>221.19445810299001</v>
      </c>
      <c r="AZ85" s="1">
        <v>3.8825071354838299</v>
      </c>
      <c r="BA85" s="1">
        <v>0.76350334299289901</v>
      </c>
      <c r="BB85" s="1">
        <v>7.4112747744723795E-4</v>
      </c>
      <c r="BC85" s="1">
        <v>0</v>
      </c>
      <c r="BD85" s="1">
        <v>7.0313778817178804E-2</v>
      </c>
      <c r="BE85" s="1">
        <v>0</v>
      </c>
      <c r="BF85" s="1">
        <v>0</v>
      </c>
      <c r="BG85" s="1">
        <v>0</v>
      </c>
      <c r="BH85" s="1">
        <v>0.15209774962096001</v>
      </c>
      <c r="BI85" s="1">
        <v>10.4499797858698</v>
      </c>
      <c r="BJ85" s="1">
        <v>2.03980045596295E-2</v>
      </c>
      <c r="BK85" s="1">
        <v>0</v>
      </c>
      <c r="BL85" s="1">
        <v>0</v>
      </c>
      <c r="BM85" s="1">
        <v>6.7172742456062797E-3</v>
      </c>
      <c r="BN85" s="1">
        <v>588.75759181614796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548.45878784400497</v>
      </c>
    </row>
    <row r="86" spans="1:97" x14ac:dyDescent="0.25">
      <c r="A86" s="17"/>
      <c r="B86" s="4" t="s">
        <v>77</v>
      </c>
      <c r="C86" s="4" t="s">
        <v>108</v>
      </c>
      <c r="D86" s="2">
        <v>79</v>
      </c>
      <c r="AG86" s="1">
        <v>9330.9403752539802</v>
      </c>
      <c r="AH86" s="1">
        <v>326.57130621742101</v>
      </c>
      <c r="AI86" s="1">
        <v>36.752775724986499</v>
      </c>
      <c r="AJ86" s="1">
        <v>605.39262374812802</v>
      </c>
      <c r="AK86" s="1">
        <v>0</v>
      </c>
      <c r="AL86" s="1">
        <v>213.59774239470201</v>
      </c>
      <c r="AM86" s="1">
        <v>113.218787432331</v>
      </c>
      <c r="AN86" s="1">
        <v>118.38357386439399</v>
      </c>
      <c r="AO86" s="1">
        <v>0</v>
      </c>
      <c r="AP86" s="1">
        <v>30.156432394487101</v>
      </c>
      <c r="AQ86" s="1">
        <v>20.673128102388301</v>
      </c>
      <c r="AR86" s="1">
        <v>56.957402442024197</v>
      </c>
      <c r="AS86" s="1">
        <v>495.74098110523198</v>
      </c>
      <c r="AT86" s="1">
        <v>0.49744057713831302</v>
      </c>
      <c r="AU86" s="1">
        <v>0</v>
      </c>
      <c r="AV86" s="1">
        <v>0</v>
      </c>
      <c r="AW86" s="1">
        <v>3.2251029967625203E-2</v>
      </c>
      <c r="AX86" s="1">
        <v>91.914196397373999</v>
      </c>
      <c r="AY86" s="1">
        <v>1169.4518163232401</v>
      </c>
      <c r="AZ86" s="1">
        <v>5.7692706834588598</v>
      </c>
      <c r="BA86" s="1">
        <v>31.845451355233401</v>
      </c>
      <c r="BB86" s="1">
        <v>1.6736581892298499E-2</v>
      </c>
      <c r="BC86" s="1">
        <v>0.21167906027879299</v>
      </c>
      <c r="BD86" s="1">
        <v>0.10448383186876201</v>
      </c>
      <c r="BE86" s="1">
        <v>0</v>
      </c>
      <c r="BF86" s="1">
        <v>2439.2528920157101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63.540887145871203</v>
      </c>
      <c r="BN86" s="1">
        <v>1697.65555702863</v>
      </c>
      <c r="BO86" s="1">
        <v>7.3235160658404803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2083.8631143241601</v>
      </c>
      <c r="CS86" s="1">
        <v>1659.44974078829</v>
      </c>
    </row>
    <row r="87" spans="1:97" x14ac:dyDescent="0.25">
      <c r="A87" s="17"/>
      <c r="B87" s="4" t="s">
        <v>78</v>
      </c>
      <c r="C87" s="4" t="s">
        <v>109</v>
      </c>
      <c r="D87" s="2">
        <v>80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</row>
    <row r="88" spans="1:97" x14ac:dyDescent="0.25">
      <c r="A88" s="17"/>
      <c r="B88" s="4" t="s">
        <v>79</v>
      </c>
      <c r="C88" s="4" t="s">
        <v>110</v>
      </c>
      <c r="D88" s="2">
        <v>81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</row>
    <row r="89" spans="1:97" x14ac:dyDescent="0.25">
      <c r="A89" s="17"/>
      <c r="B89" s="4" t="s">
        <v>80</v>
      </c>
      <c r="C89" s="4" t="s">
        <v>111</v>
      </c>
      <c r="D89" s="2">
        <v>82</v>
      </c>
      <c r="AG89" s="1">
        <v>63.709293945465902</v>
      </c>
      <c r="AH89" s="1">
        <v>19.649250270147402</v>
      </c>
      <c r="AI89" s="1">
        <v>2.2113531550198799</v>
      </c>
      <c r="AJ89" s="1">
        <v>2.7628379337628699</v>
      </c>
      <c r="AK89" s="1">
        <v>0</v>
      </c>
      <c r="AL89" s="1">
        <v>6.8605285350476199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11.7023951134185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2.5248715390662899E-2</v>
      </c>
      <c r="BC89" s="1">
        <v>0.119594674770512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45.585514297024503</v>
      </c>
      <c r="BL89" s="1">
        <v>0</v>
      </c>
      <c r="BM89" s="1">
        <v>5.5862565986011203</v>
      </c>
      <c r="BN89" s="1">
        <v>141.26415850938901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21.462585507895799</v>
      </c>
      <c r="CS89" s="1">
        <v>-144.27354664714201</v>
      </c>
    </row>
    <row r="90" spans="1:97" x14ac:dyDescent="0.25">
      <c r="A90" s="17"/>
      <c r="B90" s="4" t="s">
        <v>81</v>
      </c>
      <c r="C90" s="4" t="s">
        <v>112</v>
      </c>
      <c r="D90" s="2">
        <v>83</v>
      </c>
      <c r="AG90" s="1">
        <v>76.602295695873295</v>
      </c>
      <c r="AH90" s="1">
        <v>9.7989167668211596</v>
      </c>
      <c r="AI90" s="1">
        <v>1.1027833230364099</v>
      </c>
      <c r="AJ90" s="1">
        <v>1.5097004099512701</v>
      </c>
      <c r="AK90" s="1">
        <v>0</v>
      </c>
      <c r="AL90" s="1">
        <v>1.2746462404162899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1.22910485034749</v>
      </c>
      <c r="AT90" s="1">
        <v>3.7084199908168198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1.9489968492202801E-4</v>
      </c>
      <c r="BD90" s="1">
        <v>37.994075782068201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79.216495801576698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39.9193415071529</v>
      </c>
      <c r="CS90" s="1">
        <v>-74.328582876381205</v>
      </c>
    </row>
    <row r="91" spans="1:97" x14ac:dyDescent="0.25">
      <c r="A91" s="17"/>
      <c r="B91" s="4" t="s">
        <v>27</v>
      </c>
      <c r="C91" s="4" t="s">
        <v>113</v>
      </c>
      <c r="D91" s="2">
        <v>84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</row>
    <row r="92" spans="1:97" x14ac:dyDescent="0.25">
      <c r="A92" s="17"/>
      <c r="B92" s="4" t="s">
        <v>82</v>
      </c>
      <c r="C92" s="4" t="s">
        <v>114</v>
      </c>
      <c r="D92" s="2">
        <v>85</v>
      </c>
      <c r="AG92" s="1">
        <v>166.39492906750101</v>
      </c>
      <c r="AH92" s="1">
        <v>1.1215785307508901</v>
      </c>
      <c r="AI92" s="1">
        <v>0.126223962160361</v>
      </c>
      <c r="AJ92" s="1">
        <v>3.42634291086287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4.3318619678020998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90.365522438630194</v>
      </c>
      <c r="BF92" s="1">
        <v>149.954567233467</v>
      </c>
      <c r="BG92" s="1">
        <v>1.72389447850286</v>
      </c>
      <c r="BH92" s="1">
        <v>0.212668702709149</v>
      </c>
      <c r="BI92" s="1">
        <v>14.611548493887099</v>
      </c>
      <c r="BJ92" s="1">
        <v>2.8521244912317199E-2</v>
      </c>
      <c r="BK92" s="1">
        <v>5.9901817997930102</v>
      </c>
      <c r="BL92" s="1">
        <v>9.3553952161030995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12.0060362599135</v>
      </c>
      <c r="CS92" s="1">
        <v>-117.511123364444</v>
      </c>
    </row>
    <row r="93" spans="1:97" x14ac:dyDescent="0.25">
      <c r="A93" s="17"/>
      <c r="B93" s="4" t="s">
        <v>83</v>
      </c>
      <c r="C93" s="4" t="s">
        <v>63</v>
      </c>
      <c r="D93" s="2">
        <v>86</v>
      </c>
    </row>
  </sheetData>
  <mergeCells count="10">
    <mergeCell ref="A1:C1"/>
    <mergeCell ref="A6:A39"/>
    <mergeCell ref="A43:A66"/>
    <mergeCell ref="A70:A93"/>
    <mergeCell ref="E2:AF2"/>
    <mergeCell ref="AH2:AI2"/>
    <mergeCell ref="AL2:BL2"/>
    <mergeCell ref="BP2:CQ2"/>
    <mergeCell ref="E1:AK1"/>
    <mergeCell ref="AL1:CS1"/>
  </mergeCells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61"/>
  <sheetViews>
    <sheetView workbookViewId="0">
      <selection sqref="A1:C1"/>
    </sheetView>
  </sheetViews>
  <sheetFormatPr defaultColWidth="11.5703125" defaultRowHeight="15" x14ac:dyDescent="0.25"/>
  <cols>
    <col min="2" max="2" width="23.7109375" customWidth="1"/>
    <col min="4" max="4" width="3.7109375" customWidth="1"/>
    <col min="5" max="33" width="15.7109375" customWidth="1"/>
  </cols>
  <sheetData>
    <row r="1" spans="1:33" x14ac:dyDescent="0.25">
      <c r="A1" s="18" t="s">
        <v>122</v>
      </c>
      <c r="B1" s="18"/>
      <c r="C1" s="18"/>
    </row>
    <row r="3" spans="1:33" ht="90" x14ac:dyDescent="0.25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118</v>
      </c>
    </row>
    <row r="4" spans="1:33" x14ac:dyDescent="0.25"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 t="s">
        <v>48</v>
      </c>
      <c r="S4" s="3" t="s">
        <v>49</v>
      </c>
      <c r="T4" s="3" t="s">
        <v>50</v>
      </c>
      <c r="U4" s="3" t="s">
        <v>51</v>
      </c>
      <c r="V4" s="3" t="s">
        <v>52</v>
      </c>
      <c r="W4" s="3" t="s">
        <v>53</v>
      </c>
      <c r="X4" s="3" t="s">
        <v>54</v>
      </c>
      <c r="Y4" s="3" t="s">
        <v>55</v>
      </c>
      <c r="Z4" s="3" t="s">
        <v>56</v>
      </c>
      <c r="AA4" s="3" t="s">
        <v>57</v>
      </c>
      <c r="AB4" s="3" t="s">
        <v>58</v>
      </c>
      <c r="AC4" s="3" t="s">
        <v>59</v>
      </c>
      <c r="AD4" s="3" t="s">
        <v>60</v>
      </c>
      <c r="AE4" s="3" t="s">
        <v>61</v>
      </c>
      <c r="AF4" s="3" t="s">
        <v>62</v>
      </c>
      <c r="AG4" s="3" t="s">
        <v>63</v>
      </c>
    </row>
    <row r="5" spans="1:33" x14ac:dyDescent="0.25"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21</v>
      </c>
      <c r="Z5" s="2">
        <v>22</v>
      </c>
      <c r="AA5" s="2">
        <v>23</v>
      </c>
      <c r="AB5" s="2">
        <v>24</v>
      </c>
      <c r="AC5" s="2">
        <v>25</v>
      </c>
      <c r="AD5" s="2">
        <v>26</v>
      </c>
      <c r="AE5" s="2">
        <v>27</v>
      </c>
      <c r="AF5" s="2">
        <v>28</v>
      </c>
      <c r="AG5" s="2">
        <v>29</v>
      </c>
    </row>
    <row r="6" spans="1:33" x14ac:dyDescent="0.25">
      <c r="A6" s="17" t="s">
        <v>123</v>
      </c>
      <c r="B6" s="4" t="s">
        <v>0</v>
      </c>
      <c r="C6" s="4" t="s">
        <v>94</v>
      </c>
      <c r="D6" s="2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x14ac:dyDescent="0.25">
      <c r="A7" s="17"/>
      <c r="B7" s="4" t="s">
        <v>1</v>
      </c>
      <c r="C7" s="4" t="s">
        <v>95</v>
      </c>
      <c r="D7" s="2">
        <v>2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x14ac:dyDescent="0.25">
      <c r="A8" s="17"/>
      <c r="B8" s="4" t="s">
        <v>2</v>
      </c>
      <c r="C8" s="4" t="s">
        <v>96</v>
      </c>
      <c r="D8" s="2">
        <v>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33" x14ac:dyDescent="0.25">
      <c r="A9" s="17"/>
      <c r="B9" s="4" t="s">
        <v>3</v>
      </c>
      <c r="C9" s="4" t="s">
        <v>97</v>
      </c>
      <c r="D9" s="2">
        <v>4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 spans="1:33" x14ac:dyDescent="0.25">
      <c r="A10" s="17"/>
      <c r="B10" s="4" t="s">
        <v>4</v>
      </c>
      <c r="C10" s="4" t="s">
        <v>98</v>
      </c>
      <c r="D10" s="2">
        <v>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 spans="1:33" x14ac:dyDescent="0.25">
      <c r="A11" s="17"/>
      <c r="B11" s="4" t="s">
        <v>5</v>
      </c>
      <c r="C11" s="4" t="s">
        <v>99</v>
      </c>
      <c r="D11" s="2">
        <v>6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x14ac:dyDescent="0.25">
      <c r="A12" s="17"/>
      <c r="B12" s="4" t="s">
        <v>6</v>
      </c>
      <c r="C12" s="4" t="s">
        <v>100</v>
      </c>
      <c r="D12" s="2">
        <v>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 spans="1:33" x14ac:dyDescent="0.25">
      <c r="A13" s="17"/>
      <c r="B13" s="4" t="s">
        <v>7</v>
      </c>
      <c r="C13" s="4" t="s">
        <v>64</v>
      </c>
      <c r="D13" s="2">
        <v>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 spans="1:33" x14ac:dyDescent="0.25">
      <c r="A14" s="17"/>
      <c r="B14" s="4" t="s">
        <v>8</v>
      </c>
      <c r="C14" s="4" t="s">
        <v>65</v>
      </c>
      <c r="D14" s="2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x14ac:dyDescent="0.25">
      <c r="A15" s="17"/>
      <c r="B15" s="4" t="s">
        <v>9</v>
      </c>
      <c r="C15" s="4" t="s">
        <v>101</v>
      </c>
      <c r="D15" s="2">
        <v>10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</row>
    <row r="16" spans="1:33" x14ac:dyDescent="0.25">
      <c r="A16" s="17"/>
      <c r="B16" s="4" t="s">
        <v>10</v>
      </c>
      <c r="C16" s="4" t="s">
        <v>102</v>
      </c>
      <c r="D16" s="2">
        <v>11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 spans="1:33" x14ac:dyDescent="0.25">
      <c r="A17" s="17"/>
      <c r="B17" s="4" t="s">
        <v>73</v>
      </c>
      <c r="C17" s="4" t="s">
        <v>103</v>
      </c>
      <c r="D17" s="2">
        <v>12</v>
      </c>
      <c r="E17" s="1">
        <v>1.1588900223123101E-2</v>
      </c>
      <c r="F17" s="1">
        <v>4.0927266784765699</v>
      </c>
      <c r="G17" s="1">
        <v>8.59090555439458E-3</v>
      </c>
      <c r="H17" s="1">
        <v>1.2590613408626501E-3</v>
      </c>
      <c r="I17" s="1">
        <v>3.2318316411866999E-2</v>
      </c>
      <c r="J17" s="1">
        <v>9.1922312305940895E-4</v>
      </c>
      <c r="K17" s="1">
        <v>8.5383225279503996E-2</v>
      </c>
      <c r="L17" s="1">
        <v>0.17630241401859501</v>
      </c>
      <c r="M17" s="1">
        <v>0</v>
      </c>
      <c r="N17" s="1">
        <v>0</v>
      </c>
      <c r="O17" s="1">
        <v>0</v>
      </c>
      <c r="P17" s="1">
        <v>0.25778088996110199</v>
      </c>
      <c r="Q17" s="1">
        <v>3.4478167072149902E-4</v>
      </c>
      <c r="R17" s="1">
        <v>4.4260538630007604E-3</v>
      </c>
      <c r="S17" s="1">
        <v>3.56000828872797E-5</v>
      </c>
      <c r="T17" s="1">
        <v>4.9007496533024601E-2</v>
      </c>
      <c r="U17" s="1">
        <v>8.4648009014794092E-6</v>
      </c>
      <c r="V17" s="1">
        <v>4.9455794945127803E-6</v>
      </c>
      <c r="W17" s="1">
        <v>6.4473193909468004E-7</v>
      </c>
      <c r="X17" s="1">
        <v>22.847334908279802</v>
      </c>
      <c r="Y17" s="1">
        <v>1.11995002586678E-4</v>
      </c>
      <c r="Z17" s="1">
        <v>1.2875070772502501E-6</v>
      </c>
      <c r="AA17" s="1">
        <v>1.5883365441570201E-7</v>
      </c>
      <c r="AB17" s="1">
        <v>1.09127747260974E-5</v>
      </c>
      <c r="AC17" s="1">
        <v>2.13013645176748E-8</v>
      </c>
      <c r="AD17" s="1">
        <v>4.4738245625956897E-6</v>
      </c>
      <c r="AE17" s="1">
        <v>6.9871663848396898E-6</v>
      </c>
      <c r="AF17" s="1">
        <v>7.6721469409748606E-5</v>
      </c>
      <c r="AG17" s="1">
        <v>1.7993876662897299E-3</v>
      </c>
    </row>
    <row r="18" spans="1:33" x14ac:dyDescent="0.25">
      <c r="A18" s="17"/>
      <c r="B18" s="4" t="s">
        <v>12</v>
      </c>
      <c r="C18" s="4" t="s">
        <v>104</v>
      </c>
      <c r="D18" s="2">
        <v>13</v>
      </c>
      <c r="E18" s="1">
        <v>0.30419814431314302</v>
      </c>
      <c r="F18" s="1">
        <v>8.2688174809484496E-2</v>
      </c>
      <c r="G18" s="1">
        <v>0.225503497079209</v>
      </c>
      <c r="H18" s="1">
        <v>3.3049220900412499E-2</v>
      </c>
      <c r="I18" s="1">
        <v>2.7058973385001399E-2</v>
      </c>
      <c r="J18" s="1">
        <v>2.4128775195291701E-2</v>
      </c>
      <c r="K18" s="1">
        <v>0.18172325093633099</v>
      </c>
      <c r="L18" s="1">
        <v>1.66386177030121</v>
      </c>
      <c r="M18" s="1">
        <v>0</v>
      </c>
      <c r="N18" s="1">
        <v>0</v>
      </c>
      <c r="O18" s="1">
        <v>0</v>
      </c>
      <c r="P18" s="1">
        <v>7.7952105248984792E-6</v>
      </c>
      <c r="Q18" s="1">
        <v>4.5962134741392002E-3</v>
      </c>
      <c r="R18" s="1">
        <v>7.2551273083441199</v>
      </c>
      <c r="S18" s="1">
        <v>0.98214125413709896</v>
      </c>
      <c r="T18" s="1">
        <v>1.6191415091290999E-3</v>
      </c>
      <c r="U18" s="1">
        <v>3.48408007355396E-5</v>
      </c>
      <c r="V18" s="1">
        <v>1.2981698658360501E-4</v>
      </c>
      <c r="W18" s="1">
        <v>1.6923629997321699E-5</v>
      </c>
      <c r="X18" s="1">
        <v>2.9016812965242101E-4</v>
      </c>
      <c r="Y18" s="1">
        <v>4.8151147841283599E-4</v>
      </c>
      <c r="Z18" s="1">
        <v>5.5355098166451899E-6</v>
      </c>
      <c r="AA18" s="1">
        <v>6.8288964679675602E-7</v>
      </c>
      <c r="AB18" s="1">
        <v>4.6918399665936997E-5</v>
      </c>
      <c r="AC18" s="1">
        <v>9.1583117855442603E-8</v>
      </c>
      <c r="AD18" s="1">
        <v>1.9234767887325001E-5</v>
      </c>
      <c r="AE18" s="1">
        <v>3.0040633404841202E-5</v>
      </c>
      <c r="AF18" s="1">
        <v>3.1578266978207103E-4</v>
      </c>
      <c r="AG18" s="1">
        <v>0</v>
      </c>
    </row>
    <row r="19" spans="1:33" x14ac:dyDescent="0.25">
      <c r="A19" s="17"/>
      <c r="B19" s="4" t="s">
        <v>74</v>
      </c>
      <c r="C19" s="4" t="s">
        <v>105</v>
      </c>
      <c r="D19" s="2">
        <v>14</v>
      </c>
      <c r="E19" s="1">
        <v>2.18662113915761</v>
      </c>
      <c r="F19" s="1">
        <v>0.129977720913867</v>
      </c>
      <c r="G19" s="1">
        <v>0.77474369400807896</v>
      </c>
      <c r="H19" s="1">
        <v>0.113544471886752</v>
      </c>
      <c r="I19" s="1">
        <v>4.7372769293280402E-2</v>
      </c>
      <c r="J19" s="1">
        <v>3.6387718411374802E-2</v>
      </c>
      <c r="K19" s="1">
        <v>0.30716768893632601</v>
      </c>
      <c r="L19" s="1">
        <v>5.1911463590346099</v>
      </c>
      <c r="M19" s="1">
        <v>5.0939547668524199</v>
      </c>
      <c r="N19" s="1">
        <v>8.1885822466578908</v>
      </c>
      <c r="O19" s="1">
        <v>3.7999543398997502</v>
      </c>
      <c r="P19" s="1">
        <v>1.22105061213472E-5</v>
      </c>
      <c r="Q19" s="1">
        <v>7.1995608818693404E-3</v>
      </c>
      <c r="R19" s="1">
        <v>0.61826850613528905</v>
      </c>
      <c r="S19" s="1">
        <v>5.0174363798483004</v>
      </c>
      <c r="T19" s="1">
        <v>4.7108148269253802E-2</v>
      </c>
      <c r="U19" s="1">
        <v>5.4010497336461503E-5</v>
      </c>
      <c r="V19" s="1">
        <v>7.10931663611728E-4</v>
      </c>
      <c r="W19" s="1">
        <v>5.8143114363967002E-5</v>
      </c>
      <c r="X19" s="1">
        <v>0</v>
      </c>
      <c r="Y19" s="1">
        <v>0</v>
      </c>
      <c r="Z19" s="1">
        <v>0.70800399665645597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0.72547905693120496</v>
      </c>
      <c r="AG19" s="1">
        <v>18.744146506239101</v>
      </c>
    </row>
    <row r="20" spans="1:33" x14ac:dyDescent="0.25">
      <c r="A20" s="17"/>
      <c r="B20" s="4" t="s">
        <v>75</v>
      </c>
      <c r="C20" s="4" t="s">
        <v>106</v>
      </c>
      <c r="D20" s="2">
        <v>15</v>
      </c>
      <c r="E20" s="1">
        <v>0.59059042453798605</v>
      </c>
      <c r="F20" s="1">
        <v>0.16053629904702499</v>
      </c>
      <c r="G20" s="1">
        <v>0.43780742441911302</v>
      </c>
      <c r="H20" s="1">
        <v>6.4163946319579807E-2</v>
      </c>
      <c r="I20" s="1">
        <v>5.2534083056599297E-2</v>
      </c>
      <c r="J20" s="1">
        <v>4.68452022228633E-2</v>
      </c>
      <c r="K20" s="1">
        <v>0.35280955497358601</v>
      </c>
      <c r="L20" s="1">
        <v>6.86094703612412</v>
      </c>
      <c r="M20" s="1">
        <v>0.78131714871550395</v>
      </c>
      <c r="N20" s="1">
        <v>0.19674875334210901</v>
      </c>
      <c r="O20" s="1">
        <v>9.0362226601002504</v>
      </c>
      <c r="P20" s="1">
        <v>1.51341379930432E-5</v>
      </c>
      <c r="Q20" s="1">
        <v>8.9233932478062303E-3</v>
      </c>
      <c r="R20" s="1">
        <v>2.1531372045645698</v>
      </c>
      <c r="S20" s="1">
        <v>2.9147590022481298</v>
      </c>
      <c r="T20" s="1">
        <v>3.1435085622326E-3</v>
      </c>
      <c r="U20" s="1">
        <v>6.7642238068566299E-5</v>
      </c>
      <c r="V20" s="1">
        <v>2.52035295585927E-4</v>
      </c>
      <c r="W20" s="1">
        <v>3.2856656135788997E-5</v>
      </c>
      <c r="X20" s="1">
        <v>5.6335162486200699E-4</v>
      </c>
      <c r="Y20" s="1">
        <v>9.34838274894315E-4</v>
      </c>
      <c r="Z20" s="1">
        <v>1.07470053771312E-5</v>
      </c>
      <c r="AA20" s="1">
        <v>1.3258071883539301E-6</v>
      </c>
      <c r="AB20" s="1">
        <v>9.1090488536393899E-5</v>
      </c>
      <c r="AC20" s="1">
        <v>1.77805530592191E-7</v>
      </c>
      <c r="AD20" s="1">
        <v>3.7343652303056098E-5</v>
      </c>
      <c r="AE20" s="1">
        <v>5.8322875295688097E-5</v>
      </c>
      <c r="AF20" s="1">
        <v>6.1308138953125905E-4</v>
      </c>
      <c r="AG20" s="1">
        <v>0</v>
      </c>
    </row>
    <row r="21" spans="1:33" x14ac:dyDescent="0.25">
      <c r="A21" s="17"/>
      <c r="B21" s="4" t="s">
        <v>76</v>
      </c>
      <c r="C21" s="4" t="s">
        <v>107</v>
      </c>
      <c r="D21" s="2">
        <v>16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x14ac:dyDescent="0.25">
      <c r="A22" s="17"/>
      <c r="B22" s="4" t="s">
        <v>77</v>
      </c>
      <c r="C22" s="4" t="s">
        <v>108</v>
      </c>
      <c r="D22" s="2">
        <v>17</v>
      </c>
      <c r="E22" s="1">
        <v>5.5927990356478103</v>
      </c>
      <c r="F22" s="1">
        <v>0.385068290371468</v>
      </c>
      <c r="G22" s="1">
        <v>0.42982661793829502</v>
      </c>
      <c r="H22" s="1">
        <v>6.2994299552393093E-2</v>
      </c>
      <c r="I22" s="1">
        <v>0.231684138894136</v>
      </c>
      <c r="J22" s="1">
        <v>0.65352851574661697</v>
      </c>
      <c r="K22" s="1">
        <v>2.8344624171958599</v>
      </c>
      <c r="L22" s="1">
        <v>11.428006073480599</v>
      </c>
      <c r="M22" s="1">
        <v>1.4093705956875899E-2</v>
      </c>
      <c r="N22" s="1">
        <v>0</v>
      </c>
      <c r="O22" s="1">
        <v>0</v>
      </c>
      <c r="P22" s="1">
        <v>8.3705371974115605E-6</v>
      </c>
      <c r="Q22" s="1">
        <v>0.44529090425269102</v>
      </c>
      <c r="R22" s="1">
        <v>0.30359022506727201</v>
      </c>
      <c r="S22" s="1">
        <v>2.0947045480162799E-2</v>
      </c>
      <c r="T22" s="1">
        <v>0.15288428898911299</v>
      </c>
      <c r="U22" s="1">
        <v>9.2300118103267001E-5</v>
      </c>
      <c r="V22" s="1">
        <v>4.9856831924347698E-3</v>
      </c>
      <c r="W22" s="1">
        <v>3.7935948895094702E-4</v>
      </c>
      <c r="X22" s="1">
        <v>0</v>
      </c>
      <c r="Y22" s="1">
        <v>13.452169114673801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0.35041990208580298</v>
      </c>
      <c r="AG22" s="1">
        <v>12.3420455379076</v>
      </c>
    </row>
    <row r="23" spans="1:33" x14ac:dyDescent="0.25">
      <c r="A23" s="17"/>
      <c r="B23" s="4" t="s">
        <v>78</v>
      </c>
      <c r="C23" s="4" t="s">
        <v>109</v>
      </c>
      <c r="D23" s="2">
        <v>18</v>
      </c>
      <c r="E23" s="1">
        <v>0</v>
      </c>
      <c r="F23" s="1">
        <v>1.29694743571052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1.9641376318586E-2</v>
      </c>
      <c r="Q23" s="1">
        <v>0</v>
      </c>
      <c r="R23" s="1">
        <v>0</v>
      </c>
      <c r="S23" s="1">
        <v>0</v>
      </c>
      <c r="T23" s="1">
        <v>8.3905511845982995E-4</v>
      </c>
      <c r="U23" s="1">
        <v>0</v>
      </c>
      <c r="V23" s="1">
        <v>0</v>
      </c>
      <c r="W23" s="1">
        <v>0</v>
      </c>
      <c r="X23" s="1">
        <v>0</v>
      </c>
      <c r="Y23" s="1">
        <v>4.5500704285630302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25">
      <c r="A24" s="17"/>
      <c r="B24" s="4" t="s">
        <v>79</v>
      </c>
      <c r="C24" s="4" t="s">
        <v>110</v>
      </c>
      <c r="D24" s="2">
        <v>19</v>
      </c>
      <c r="E24" s="1">
        <v>0.109493810726578</v>
      </c>
      <c r="F24" s="1">
        <v>0</v>
      </c>
      <c r="G24" s="1">
        <v>0</v>
      </c>
      <c r="H24" s="1">
        <v>0</v>
      </c>
      <c r="I24" s="1">
        <v>0</v>
      </c>
      <c r="J24" s="1">
        <v>7.0905653007941301E-3</v>
      </c>
      <c r="K24" s="1">
        <v>2.0614862678392101E-2</v>
      </c>
      <c r="L24" s="1">
        <v>8.3297110422513795E-2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5.3592938547630302E-2</v>
      </c>
      <c r="U24" s="1">
        <v>6.0308667662221902E-7</v>
      </c>
      <c r="V24" s="1">
        <v>4.0494775402076798E-5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0.21202443444290101</v>
      </c>
      <c r="AE24" s="1">
        <v>0</v>
      </c>
      <c r="AF24" s="1">
        <v>5.4661292746781398E-6</v>
      </c>
      <c r="AG24" s="1">
        <v>0</v>
      </c>
    </row>
    <row r="25" spans="1:33" x14ac:dyDescent="0.25">
      <c r="A25" s="17"/>
      <c r="B25" s="4" t="s">
        <v>80</v>
      </c>
      <c r="C25" s="4" t="s">
        <v>111</v>
      </c>
      <c r="D25" s="2">
        <v>20</v>
      </c>
      <c r="E25" s="1">
        <v>0.29871113609182998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1.1911278733774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7.9255841635224403E-5</v>
      </c>
      <c r="V25" s="1">
        <v>7.0276564170388995E-4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1.54078493320177</v>
      </c>
      <c r="AE25" s="1">
        <v>0</v>
      </c>
      <c r="AF25" s="1">
        <v>6.9058230477343802E-2</v>
      </c>
      <c r="AG25" s="1">
        <v>1.33421475454205</v>
      </c>
    </row>
    <row r="26" spans="1:33" x14ac:dyDescent="0.25">
      <c r="A26" s="17"/>
      <c r="B26" s="4" t="s">
        <v>81</v>
      </c>
      <c r="C26" s="4" t="s">
        <v>112</v>
      </c>
      <c r="D26" s="2">
        <v>21</v>
      </c>
      <c r="E26" s="1">
        <v>3.3332991083385603E-2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3.5220966538497503E-2</v>
      </c>
      <c r="M26" s="1">
        <v>0.149130378475201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1.23277469150453E-5</v>
      </c>
      <c r="W26" s="1">
        <v>0.28164794240783297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0.55696481364496497</v>
      </c>
    </row>
    <row r="27" spans="1:33" x14ac:dyDescent="0.25">
      <c r="A27" s="17"/>
      <c r="B27" s="4" t="s">
        <v>27</v>
      </c>
      <c r="C27" s="4" t="s">
        <v>113</v>
      </c>
      <c r="D27" s="2">
        <v>22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25">
      <c r="A28" s="17"/>
      <c r="B28" s="4" t="s">
        <v>82</v>
      </c>
      <c r="C28" s="4" t="s">
        <v>114</v>
      </c>
      <c r="D28" s="2">
        <v>23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0.36815879969258503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1.62290775569917</v>
      </c>
      <c r="Y28" s="1">
        <v>2.6930893951393999</v>
      </c>
      <c r="Z28" s="1">
        <v>3.0960056929558302E-2</v>
      </c>
      <c r="AA28" s="1">
        <v>3.8193956910452902E-3</v>
      </c>
      <c r="AB28" s="1">
        <v>0.262414189987207</v>
      </c>
      <c r="AC28" s="1">
        <v>5.1222355961954799E-4</v>
      </c>
      <c r="AD28" s="1">
        <v>0.10757988487848601</v>
      </c>
      <c r="AE28" s="1">
        <v>0.16801699413795601</v>
      </c>
      <c r="AF28" s="1">
        <v>0</v>
      </c>
      <c r="AG28" s="1">
        <v>0</v>
      </c>
    </row>
    <row r="29" spans="1:33" x14ac:dyDescent="0.25">
      <c r="A29" s="17"/>
      <c r="B29" s="4" t="s">
        <v>119</v>
      </c>
      <c r="C29" s="4" t="s">
        <v>63</v>
      </c>
      <c r="D29" s="2">
        <v>24</v>
      </c>
      <c r="E29" s="1">
        <v>0</v>
      </c>
      <c r="F29" s="1">
        <v>0.65830990431137804</v>
      </c>
      <c r="G29" s="1">
        <v>0.755934280960187</v>
      </c>
      <c r="H29" s="1">
        <v>0</v>
      </c>
      <c r="I29" s="1">
        <v>1.28530171895912</v>
      </c>
      <c r="J29" s="1">
        <v>0</v>
      </c>
      <c r="K29" s="1">
        <v>0</v>
      </c>
      <c r="L29" s="1">
        <v>0.15809656101255301</v>
      </c>
      <c r="M29" s="1">
        <v>0</v>
      </c>
      <c r="N29" s="1">
        <v>0</v>
      </c>
      <c r="O29" s="1">
        <v>0</v>
      </c>
      <c r="P29" s="1">
        <v>1.07222058543609E-2</v>
      </c>
      <c r="Q29" s="1">
        <v>5.26819450036815E-2</v>
      </c>
      <c r="R29" s="1">
        <v>0.39936155843861698</v>
      </c>
      <c r="S29" s="1">
        <v>3.5995813719021998</v>
      </c>
      <c r="T29" s="1">
        <v>3.13458587081955E-2</v>
      </c>
      <c r="U29" s="1">
        <v>1.66887927025995E-6</v>
      </c>
      <c r="V29" s="1">
        <v>0</v>
      </c>
      <c r="W29" s="1">
        <v>0.11365805631272299</v>
      </c>
      <c r="X29" s="1">
        <v>0.121142685443155</v>
      </c>
      <c r="Y29" s="1">
        <v>0.102458543446001</v>
      </c>
      <c r="Z29" s="1">
        <v>3.6582839487410302E-3</v>
      </c>
      <c r="AA29" s="1">
        <v>1.8918418193103401E-5</v>
      </c>
      <c r="AB29" s="1">
        <v>1.29980284515213E-3</v>
      </c>
      <c r="AC29" s="1">
        <v>2.53717087547704E-6</v>
      </c>
      <c r="AD29" s="1">
        <v>9.2100470024279197E-3</v>
      </c>
      <c r="AE29" s="1">
        <v>8.3223002165039599E-4</v>
      </c>
      <c r="AF29" s="1">
        <v>5.6730466474993902E-3</v>
      </c>
    </row>
    <row r="30" spans="1:33" x14ac:dyDescent="0.25">
      <c r="A30" s="17"/>
      <c r="B30" s="4" t="s">
        <v>120</v>
      </c>
      <c r="C30" s="4" t="s">
        <v>63</v>
      </c>
      <c r="D30" s="2">
        <v>25</v>
      </c>
      <c r="E30" s="1">
        <v>0.133672824452264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3" x14ac:dyDescent="0.25">
      <c r="A31" s="17"/>
      <c r="B31" s="4" t="s">
        <v>121</v>
      </c>
      <c r="C31" s="4" t="s">
        <v>63</v>
      </c>
      <c r="D31" s="2">
        <v>26</v>
      </c>
      <c r="E31" s="1">
        <v>9.2610084062337297</v>
      </c>
      <c r="F31" s="1">
        <v>6.8062545036403099</v>
      </c>
      <c r="G31" s="1">
        <v>2.6324064199592798</v>
      </c>
      <c r="H31" s="1">
        <v>0.27501100000000001</v>
      </c>
      <c r="I31" s="1">
        <v>1.6762699999999999</v>
      </c>
      <c r="J31" s="1">
        <v>0.76890000000000003</v>
      </c>
      <c r="K31" s="1">
        <v>3.7821609999999999</v>
      </c>
      <c r="L31" s="1">
        <v>27.156164964002699</v>
      </c>
      <c r="M31" s="1">
        <v>6.0384960000000003</v>
      </c>
      <c r="N31" s="1">
        <v>8.3853310000000008</v>
      </c>
      <c r="O31" s="1">
        <v>12.836176999999999</v>
      </c>
      <c r="P31" s="1">
        <v>0.28818798252588501</v>
      </c>
      <c r="Q31" s="1">
        <v>0.519036798530909</v>
      </c>
      <c r="R31" s="1">
        <v>10.7339108564129</v>
      </c>
      <c r="S31" s="1">
        <v>12.5349006536988</v>
      </c>
      <c r="T31" s="1">
        <v>0.339540436237038</v>
      </c>
      <c r="U31" s="1">
        <v>3.3878626272742E-4</v>
      </c>
      <c r="V31" s="1">
        <v>6.8390008817315502E-3</v>
      </c>
      <c r="W31" s="1">
        <v>0.39579392634194299</v>
      </c>
      <c r="X31" s="1">
        <v>24.5922388691767</v>
      </c>
      <c r="Y31" s="1">
        <v>20.799315826578098</v>
      </c>
      <c r="Z31" s="1">
        <v>0.74263990755702602</v>
      </c>
      <c r="AA31" s="1">
        <v>3.84048163972796E-3</v>
      </c>
      <c r="AB31" s="1">
        <v>0.26386291449528698</v>
      </c>
      <c r="AC31" s="1">
        <v>5.1505142050798996E-4</v>
      </c>
      <c r="AD31" s="1">
        <v>1.8696603517703401</v>
      </c>
      <c r="AE31" s="1">
        <v>0.168944574834692</v>
      </c>
      <c r="AF31" s="1">
        <v>1.1516412877998501</v>
      </c>
      <c r="AG31" s="1">
        <v>32.979171000000001</v>
      </c>
    </row>
    <row r="32" spans="1:33" x14ac:dyDescent="0.25">
      <c r="A32" s="17" t="s">
        <v>124</v>
      </c>
      <c r="B32" s="4" t="s">
        <v>0</v>
      </c>
      <c r="C32" s="4" t="s">
        <v>94</v>
      </c>
      <c r="D32" s="2">
        <v>27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25">
      <c r="A33" s="17"/>
      <c r="B33" s="4" t="s">
        <v>1</v>
      </c>
      <c r="C33" s="4" t="s">
        <v>95</v>
      </c>
      <c r="D33" s="2">
        <v>28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25">
      <c r="A34" s="17"/>
      <c r="B34" s="4" t="s">
        <v>2</v>
      </c>
      <c r="C34" s="4" t="s">
        <v>96</v>
      </c>
      <c r="D34" s="2">
        <v>29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25">
      <c r="A35" s="17"/>
      <c r="B35" s="4" t="s">
        <v>3</v>
      </c>
      <c r="C35" s="4" t="s">
        <v>97</v>
      </c>
      <c r="D35" s="2">
        <v>30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25">
      <c r="A36" s="17"/>
      <c r="B36" s="4" t="s">
        <v>4</v>
      </c>
      <c r="C36" s="4" t="s">
        <v>98</v>
      </c>
      <c r="D36" s="2">
        <v>31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x14ac:dyDescent="0.25">
      <c r="A37" s="17"/>
      <c r="B37" s="4" t="s">
        <v>5</v>
      </c>
      <c r="C37" s="4" t="s">
        <v>99</v>
      </c>
      <c r="D37" s="2">
        <v>32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</row>
    <row r="38" spans="1:33" x14ac:dyDescent="0.25">
      <c r="A38" s="17"/>
      <c r="B38" s="4" t="s">
        <v>6</v>
      </c>
      <c r="C38" s="4" t="s">
        <v>100</v>
      </c>
      <c r="D38" s="2">
        <v>33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</row>
    <row r="39" spans="1:33" x14ac:dyDescent="0.25">
      <c r="A39" s="17"/>
      <c r="B39" s="4" t="s">
        <v>7</v>
      </c>
      <c r="C39" s="4" t="s">
        <v>64</v>
      </c>
      <c r="D39" s="2">
        <v>34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25">
      <c r="A40" s="17"/>
      <c r="B40" s="4" t="s">
        <v>8</v>
      </c>
      <c r="C40" s="4" t="s">
        <v>65</v>
      </c>
      <c r="D40" s="2">
        <v>35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25">
      <c r="A41" s="17"/>
      <c r="B41" s="4" t="s">
        <v>9</v>
      </c>
      <c r="C41" s="4" t="s">
        <v>101</v>
      </c>
      <c r="D41" s="2">
        <v>36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25">
      <c r="A42" s="17"/>
      <c r="B42" s="4" t="s">
        <v>10</v>
      </c>
      <c r="C42" s="4" t="s">
        <v>102</v>
      </c>
      <c r="D42" s="2">
        <v>37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25">
      <c r="A43" s="17"/>
      <c r="B43" s="4" t="s">
        <v>73</v>
      </c>
      <c r="C43" s="4" t="s">
        <v>103</v>
      </c>
      <c r="D43" s="2">
        <v>38</v>
      </c>
      <c r="E43" s="1">
        <v>2.1616945067910599E-2</v>
      </c>
      <c r="F43" s="1">
        <v>8.3188706092864398E-3</v>
      </c>
      <c r="G43" s="1">
        <v>3.4454053610323402E-4</v>
      </c>
      <c r="H43" s="1">
        <v>9.2641023224431895E-5</v>
      </c>
      <c r="I43" s="1">
        <v>3.1828037439814E-3</v>
      </c>
      <c r="J43" s="1">
        <v>1.08676541907045E-4</v>
      </c>
      <c r="K43" s="1">
        <v>8.1386176755727201E-3</v>
      </c>
      <c r="L43" s="1">
        <v>1.8000841829408001E-2</v>
      </c>
      <c r="M43" s="1">
        <v>0</v>
      </c>
      <c r="N43" s="1">
        <v>0</v>
      </c>
      <c r="O43" s="1">
        <v>0</v>
      </c>
      <c r="P43" s="1">
        <v>4.6828334969902999E-4</v>
      </c>
      <c r="Q43" s="1">
        <v>3.2478042978498201E-4</v>
      </c>
      <c r="R43" s="1">
        <v>7.1749038122179301E-6</v>
      </c>
      <c r="S43" s="1">
        <v>1.4277507261185701E-6</v>
      </c>
      <c r="T43" s="1">
        <v>1.9991938638607001E-4</v>
      </c>
      <c r="U43" s="1">
        <v>6.80650312672749E-9</v>
      </c>
      <c r="V43" s="1">
        <v>2.7539196138740201E-7</v>
      </c>
      <c r="W43" s="1">
        <v>2.5857144690052798E-8</v>
      </c>
      <c r="X43" s="1">
        <v>2.0663946398235201E-2</v>
      </c>
      <c r="Y43" s="1">
        <v>8.9553769368773295E-8</v>
      </c>
      <c r="Z43" s="1">
        <v>1.0295201499504E-9</v>
      </c>
      <c r="AA43" s="1">
        <v>1.2700702823355499E-10</v>
      </c>
      <c r="AB43" s="1">
        <v>8.7261046334451093E-9</v>
      </c>
      <c r="AC43" s="1">
        <v>1.7033058986534899E-11</v>
      </c>
      <c r="AD43" s="1">
        <v>3.5773725953974401E-9</v>
      </c>
      <c r="AE43" s="1">
        <v>5.5870982857909302E-9</v>
      </c>
      <c r="AF43" s="1">
        <v>6.1691341297031002E-8</v>
      </c>
      <c r="AG43" s="1">
        <v>4.0002477196847901E-4</v>
      </c>
    </row>
    <row r="44" spans="1:33" x14ac:dyDescent="0.25">
      <c r="A44" s="17"/>
      <c r="B44" s="4" t="s">
        <v>12</v>
      </c>
      <c r="C44" s="4" t="s">
        <v>104</v>
      </c>
      <c r="D44" s="2">
        <v>39</v>
      </c>
      <c r="E44" s="1">
        <v>2.7356495540986799E-2</v>
      </c>
      <c r="F44" s="1">
        <v>7.7627951654576093E-6</v>
      </c>
      <c r="G44" s="1">
        <v>4.3602005787529003E-4</v>
      </c>
      <c r="H44" s="1">
        <v>1.17238292959061E-4</v>
      </c>
      <c r="I44" s="1">
        <v>1.2414849836886701E-4</v>
      </c>
      <c r="J44" s="1">
        <v>1.37531428458097E-4</v>
      </c>
      <c r="K44" s="1">
        <v>7.5173262796828801E-4</v>
      </c>
      <c r="L44" s="1">
        <v>9.6198410630095998E-3</v>
      </c>
      <c r="M44" s="1">
        <v>0</v>
      </c>
      <c r="N44" s="1">
        <v>0</v>
      </c>
      <c r="O44" s="1">
        <v>0</v>
      </c>
      <c r="P44" s="1">
        <v>6.0918865544052997E-10</v>
      </c>
      <c r="Q44" s="1">
        <v>1.97032947006997E-4</v>
      </c>
      <c r="R44" s="1">
        <v>5.6698164031658202E-4</v>
      </c>
      <c r="S44" s="1">
        <v>1.89900951434092E-3</v>
      </c>
      <c r="T44" s="1">
        <v>6.7062169903604006E-5</v>
      </c>
      <c r="U44" s="1">
        <v>1.35560106756392E-9</v>
      </c>
      <c r="V44" s="1">
        <v>3.4851173188674198E-7</v>
      </c>
      <c r="W44" s="1">
        <v>3.2722517506237602E-8</v>
      </c>
      <c r="X44" s="1">
        <v>1.12899881181148E-8</v>
      </c>
      <c r="Y44" s="1">
        <v>1.87348585681297E-8</v>
      </c>
      <c r="Z44" s="1">
        <v>2.15378029739149E-10</v>
      </c>
      <c r="AA44" s="1">
        <v>2.6570168155800801E-11</v>
      </c>
      <c r="AB44" s="1">
        <v>1.8255215532591601E-9</v>
      </c>
      <c r="AC44" s="1">
        <v>3.5633558849016499E-12</v>
      </c>
      <c r="AD44" s="1">
        <v>7.4839473639893596E-10</v>
      </c>
      <c r="AE44" s="1">
        <v>1.16883406391861E-9</v>
      </c>
      <c r="AF44" s="1">
        <v>1.2286609814857099E-8</v>
      </c>
      <c r="AG44" s="1">
        <v>0</v>
      </c>
    </row>
    <row r="45" spans="1:33" x14ac:dyDescent="0.25">
      <c r="A45" s="17"/>
      <c r="B45" s="4" t="s">
        <v>74</v>
      </c>
      <c r="C45" s="4" t="s">
        <v>105</v>
      </c>
      <c r="D45" s="2">
        <v>40</v>
      </c>
      <c r="E45" s="1">
        <v>0.16687138801981899</v>
      </c>
      <c r="F45" s="1">
        <v>1.20706151986337E-5</v>
      </c>
      <c r="G45" s="1">
        <v>1.4818252938173901E-3</v>
      </c>
      <c r="H45" s="1">
        <v>3.9843733051473301E-4</v>
      </c>
      <c r="I45" s="1">
        <v>2.15003086912661E-4</v>
      </c>
      <c r="J45" s="1">
        <v>2.05166886788628E-4</v>
      </c>
      <c r="K45" s="1">
        <v>1.2569389952103601E-3</v>
      </c>
      <c r="L45" s="1">
        <v>3.1709329509217801E-2</v>
      </c>
      <c r="M45" s="1">
        <v>9.2108291885983403E-3</v>
      </c>
      <c r="N45" s="1">
        <v>7.0253579867541396E-3</v>
      </c>
      <c r="O45" s="1">
        <v>8.7511357224034404E-4</v>
      </c>
      <c r="P45" s="1">
        <v>9.4393782836271199E-10</v>
      </c>
      <c r="Q45" s="1">
        <v>3.0530255357298999E-4</v>
      </c>
      <c r="R45" s="1">
        <v>4.7795482449830898E-5</v>
      </c>
      <c r="S45" s="1">
        <v>9.5966759010512794E-3</v>
      </c>
      <c r="T45" s="1">
        <v>1.9938935017071498E-3</v>
      </c>
      <c r="U45" s="1">
        <v>2.0787761117259901E-9</v>
      </c>
      <c r="V45" s="1">
        <v>1.9419760862757902E-6</v>
      </c>
      <c r="W45" s="1">
        <v>1.11208310815816E-7</v>
      </c>
      <c r="X45" s="1">
        <v>0</v>
      </c>
      <c r="Y45" s="1">
        <v>0</v>
      </c>
      <c r="Z45" s="1">
        <v>2.7249921178977901E-5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2.7922507799016199E-5</v>
      </c>
      <c r="AG45" s="1">
        <v>0.194664825334917</v>
      </c>
    </row>
    <row r="46" spans="1:33" x14ac:dyDescent="0.25">
      <c r="A46" s="17"/>
      <c r="B46" s="4" t="s">
        <v>75</v>
      </c>
      <c r="C46" s="4" t="s">
        <v>106</v>
      </c>
      <c r="D46" s="2">
        <v>41</v>
      </c>
      <c r="E46" s="1">
        <v>5.3111712275244499E-2</v>
      </c>
      <c r="F46" s="1">
        <v>1.50712046673421E-5</v>
      </c>
      <c r="G46" s="1">
        <v>8.4651821814719398E-4</v>
      </c>
      <c r="H46" s="1">
        <v>2.27614186691175E-4</v>
      </c>
      <c r="I46" s="1">
        <v>2.4103011713952401E-4</v>
      </c>
      <c r="J46" s="1">
        <v>2.6701262397172998E-4</v>
      </c>
      <c r="K46" s="1">
        <v>1.45946351149936E-3</v>
      </c>
      <c r="L46" s="1">
        <v>2.8464093182635999E-2</v>
      </c>
      <c r="M46" s="1">
        <v>1.7205884450179499E-3</v>
      </c>
      <c r="N46" s="1">
        <v>1.70642013245856E-4</v>
      </c>
      <c r="O46" s="1">
        <v>2.10371642775966E-3</v>
      </c>
      <c r="P46" s="1">
        <v>1.1827192024879299E-9</v>
      </c>
      <c r="Q46" s="1">
        <v>3.8253281289265699E-4</v>
      </c>
      <c r="R46" s="1">
        <v>1.6826572604269099E-4</v>
      </c>
      <c r="S46" s="1">
        <v>5.6358034589873603E-3</v>
      </c>
      <c r="T46" s="1">
        <v>1.3019893820600401E-4</v>
      </c>
      <c r="U46" s="1">
        <v>2.6318536945859202E-9</v>
      </c>
      <c r="V46" s="1">
        <v>6.7662375836053704E-7</v>
      </c>
      <c r="W46" s="1">
        <v>6.3529662712428194E-8</v>
      </c>
      <c r="X46" s="1">
        <v>2.19191306730735E-8</v>
      </c>
      <c r="Y46" s="1">
        <v>3.6373095241570201E-8</v>
      </c>
      <c r="Z46" s="1">
        <v>4.1814917151124499E-10</v>
      </c>
      <c r="AA46" s="1">
        <v>5.1585084210857501E-11</v>
      </c>
      <c r="AB46" s="1">
        <v>3.5441884485420601E-9</v>
      </c>
      <c r="AC46" s="1">
        <v>6.9181351174766904E-12</v>
      </c>
      <c r="AD46" s="1">
        <v>1.4529831077366801E-9</v>
      </c>
      <c r="AE46" s="1">
        <v>2.2692518640532899E-9</v>
      </c>
      <c r="AF46" s="1">
        <v>2.3854038041794599E-8</v>
      </c>
      <c r="AG46" s="1">
        <v>0</v>
      </c>
    </row>
    <row r="47" spans="1:33" x14ac:dyDescent="0.25">
      <c r="A47" s="17"/>
      <c r="B47" s="4" t="s">
        <v>76</v>
      </c>
      <c r="C47" s="4" t="s">
        <v>107</v>
      </c>
      <c r="D47" s="2">
        <v>42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25">
      <c r="A48" s="17"/>
      <c r="B48" s="4" t="s">
        <v>77</v>
      </c>
      <c r="C48" s="4" t="s">
        <v>108</v>
      </c>
      <c r="D48" s="2">
        <v>43</v>
      </c>
      <c r="E48" s="1">
        <v>0.33331588789272398</v>
      </c>
      <c r="F48" s="1">
        <v>2.3616938324866298E-5</v>
      </c>
      <c r="G48" s="1">
        <v>5.4294721688711797E-4</v>
      </c>
      <c r="H48" s="1">
        <v>1.45989166610599E-4</v>
      </c>
      <c r="I48" s="1">
        <v>6.9444455359754997E-4</v>
      </c>
      <c r="J48" s="1">
        <v>2.43356155833521E-3</v>
      </c>
      <c r="K48" s="1">
        <v>7.6601050189983103E-3</v>
      </c>
      <c r="L48" s="1">
        <v>8.23507938028359E-2</v>
      </c>
      <c r="M48" s="1">
        <v>1.67570865132457E-5</v>
      </c>
      <c r="N48" s="1">
        <v>0</v>
      </c>
      <c r="O48" s="1">
        <v>0</v>
      </c>
      <c r="P48" s="1">
        <v>4.2735462347467999E-10</v>
      </c>
      <c r="Q48" s="1">
        <v>1.24707795847172E-2</v>
      </c>
      <c r="R48" s="1">
        <v>1.5499684579902201E-5</v>
      </c>
      <c r="S48" s="1">
        <v>2.6459831873639199E-5</v>
      </c>
      <c r="T48" s="1">
        <v>4.2443136948937298E-3</v>
      </c>
      <c r="U48" s="1">
        <v>2.3461574218029801E-9</v>
      </c>
      <c r="V48" s="1">
        <v>8.7839057836809994E-6</v>
      </c>
      <c r="W48" s="1">
        <v>4.7919828630809704E-7</v>
      </c>
      <c r="X48" s="1">
        <v>0</v>
      </c>
      <c r="Y48" s="1">
        <v>3.4193787674713101E-4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8.9072502930738996E-6</v>
      </c>
      <c r="AG48" s="1">
        <v>8.4651432127044998E-2</v>
      </c>
    </row>
    <row r="49" spans="1:33" x14ac:dyDescent="0.25">
      <c r="A49" s="17"/>
      <c r="B49" s="4" t="s">
        <v>78</v>
      </c>
      <c r="C49" s="4" t="s">
        <v>109</v>
      </c>
      <c r="D49" s="2">
        <v>44</v>
      </c>
      <c r="E49" s="1">
        <v>0</v>
      </c>
      <c r="F49" s="1">
        <v>2.7515540619281201E-5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2.1636973145630499E-7</v>
      </c>
      <c r="Q49" s="1">
        <v>0</v>
      </c>
      <c r="R49" s="1">
        <v>0</v>
      </c>
      <c r="S49" s="1">
        <v>0</v>
      </c>
      <c r="T49" s="1">
        <v>1.7801072393615699E-8</v>
      </c>
      <c r="U49" s="1">
        <v>0</v>
      </c>
      <c r="V49" s="1">
        <v>0</v>
      </c>
      <c r="W49" s="1">
        <v>0</v>
      </c>
      <c r="X49" s="1">
        <v>0</v>
      </c>
      <c r="Y49" s="1">
        <v>2.6368026471878999E-5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25">
      <c r="A50" s="17"/>
      <c r="B50" s="4" t="s">
        <v>79</v>
      </c>
      <c r="C50" s="4" t="s">
        <v>110</v>
      </c>
      <c r="D50" s="2">
        <v>45</v>
      </c>
      <c r="E50" s="1">
        <v>8.2506476709845594E-3</v>
      </c>
      <c r="F50" s="1">
        <v>0</v>
      </c>
      <c r="G50" s="1">
        <v>0</v>
      </c>
      <c r="H50" s="1">
        <v>0</v>
      </c>
      <c r="I50" s="1">
        <v>0</v>
      </c>
      <c r="J50" s="1">
        <v>3.3360960539289098E-5</v>
      </c>
      <c r="K50" s="1">
        <v>7.0392170750963905E-5</v>
      </c>
      <c r="L50" s="1">
        <v>8.3453310218109002E-4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1.89643185120783E-3</v>
      </c>
      <c r="U50" s="1">
        <v>1.9369326391399498E-11</v>
      </c>
      <c r="V50" s="1">
        <v>9.3279099950496102E-8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6.8095858072636202E-6</v>
      </c>
      <c r="AE50" s="1">
        <v>0</v>
      </c>
      <c r="AF50" s="1">
        <v>1.7555559776550401E-10</v>
      </c>
      <c r="AG50" s="1">
        <v>0</v>
      </c>
    </row>
    <row r="51" spans="1:33" x14ac:dyDescent="0.25">
      <c r="A51" s="17"/>
      <c r="B51" s="4" t="s">
        <v>80</v>
      </c>
      <c r="C51" s="4" t="s">
        <v>111</v>
      </c>
      <c r="D51" s="2">
        <v>46</v>
      </c>
      <c r="E51" s="1">
        <v>0.29215019243464202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2.100172321583E-2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3.3038654908414597E-8</v>
      </c>
      <c r="V51" s="1">
        <v>1.64182794094491E-5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6.4229286631552695E-4</v>
      </c>
      <c r="AE51" s="1">
        <v>0</v>
      </c>
      <c r="AF51" s="1">
        <v>2.8787670388105401E-5</v>
      </c>
      <c r="AG51" s="1">
        <v>0.15065430778661701</v>
      </c>
    </row>
    <row r="52" spans="1:33" x14ac:dyDescent="0.25">
      <c r="A52" s="17"/>
      <c r="B52" s="4" t="s">
        <v>81</v>
      </c>
      <c r="C52" s="4" t="s">
        <v>112</v>
      </c>
      <c r="D52" s="2">
        <v>47</v>
      </c>
      <c r="E52" s="1">
        <v>3.1503040037009198E-3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3.41701023696334E-5</v>
      </c>
      <c r="M52" s="1">
        <v>2.8099527987046499E-4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3.56162975022057E-8</v>
      </c>
      <c r="W52" s="1">
        <v>5.6380703006120596E-4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6.05388997945312E-3</v>
      </c>
    </row>
    <row r="53" spans="1:33" x14ac:dyDescent="0.25">
      <c r="A53" s="17"/>
      <c r="B53" s="4" t="s">
        <v>27</v>
      </c>
      <c r="C53" s="4" t="s">
        <v>113</v>
      </c>
      <c r="D53" s="2">
        <v>48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25">
      <c r="A54" s="17"/>
      <c r="B54" s="4" t="s">
        <v>82</v>
      </c>
      <c r="C54" s="4" t="s">
        <v>114</v>
      </c>
      <c r="D54" s="2">
        <v>49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0.112286851136442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1.4424291916690999E-3</v>
      </c>
      <c r="Y54" s="1">
        <v>2.3935992330322E-3</v>
      </c>
      <c r="Z54" s="1">
        <v>2.7517084525665399E-5</v>
      </c>
      <c r="AA54" s="1">
        <v>3.3946524809880299E-6</v>
      </c>
      <c r="AB54" s="1">
        <v>2.3323191759760801E-4</v>
      </c>
      <c r="AC54" s="1">
        <v>4.55260758019847E-7</v>
      </c>
      <c r="AD54" s="1">
        <v>9.5616257818841906E-5</v>
      </c>
      <c r="AE54" s="1">
        <v>1.4933234263624301E-4</v>
      </c>
      <c r="AF54" s="1">
        <v>0</v>
      </c>
      <c r="AG54" s="1">
        <v>0</v>
      </c>
    </row>
    <row r="55" spans="1:33" x14ac:dyDescent="0.25">
      <c r="A55" s="17"/>
      <c r="B55" s="4" t="s">
        <v>119</v>
      </c>
      <c r="C55" s="4" t="s">
        <v>63</v>
      </c>
      <c r="D55" s="2">
        <v>50</v>
      </c>
      <c r="E55" s="1">
        <v>0</v>
      </c>
      <c r="F55" s="1">
        <v>0</v>
      </c>
      <c r="G55" s="1">
        <v>5.0387053974828698E-2</v>
      </c>
      <c r="H55" s="1">
        <v>0</v>
      </c>
      <c r="I55" s="1">
        <v>0</v>
      </c>
      <c r="J55" s="1">
        <v>0</v>
      </c>
      <c r="K55" s="1">
        <v>0</v>
      </c>
      <c r="L55" s="1">
        <v>3.52422423384346</v>
      </c>
      <c r="M55" s="1">
        <v>0</v>
      </c>
      <c r="N55" s="1">
        <v>0</v>
      </c>
      <c r="O55" s="1">
        <v>0</v>
      </c>
      <c r="P55" s="1">
        <v>7.32650717249036E-3</v>
      </c>
      <c r="Q55" s="1">
        <v>9.7060034892788194E-2</v>
      </c>
      <c r="R55" s="1">
        <v>1.2599910910915901E-2</v>
      </c>
      <c r="S55" s="1">
        <v>0.23675948204872099</v>
      </c>
      <c r="T55" s="1">
        <v>6.1210413572566999E-2</v>
      </c>
      <c r="U55" s="1">
        <v>1.0600334915026799E-7</v>
      </c>
      <c r="V55" s="1">
        <v>0</v>
      </c>
      <c r="W55" s="1">
        <v>7.78905665065752E-3</v>
      </c>
      <c r="X55" s="1">
        <v>4.8539831894404098E-2</v>
      </c>
      <c r="Y55" s="1">
        <v>6.0647314584888297E-3</v>
      </c>
      <c r="Z55" s="1">
        <v>1.20257523439067E-4</v>
      </c>
      <c r="AA55" s="1">
        <v>7.4542102612783397E-6</v>
      </c>
      <c r="AB55" s="1">
        <v>5.1214660798141597E-4</v>
      </c>
      <c r="AC55" s="1">
        <v>9.9969273231797091E-7</v>
      </c>
      <c r="AD55" s="1">
        <v>1.63521817665638E-3</v>
      </c>
      <c r="AE55" s="1">
        <v>3.2791417886045998E-4</v>
      </c>
      <c r="AF55" s="1">
        <v>1.44293731583366E-4</v>
      </c>
    </row>
    <row r="56" spans="1:33" x14ac:dyDescent="0.25">
      <c r="A56" s="17"/>
      <c r="B56" s="4" t="s">
        <v>120</v>
      </c>
      <c r="C56" s="4" t="s">
        <v>63</v>
      </c>
      <c r="D56" s="2">
        <v>51</v>
      </c>
      <c r="E56" s="1">
        <v>12.329709956006999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 spans="1:33" x14ac:dyDescent="0.25">
      <c r="A57" s="17"/>
      <c r="B57" s="4" t="s">
        <v>121</v>
      </c>
      <c r="C57" s="4" t="s">
        <v>63</v>
      </c>
      <c r="D57" s="2">
        <v>52</v>
      </c>
      <c r="E57" s="1">
        <v>13.235533528913001</v>
      </c>
      <c r="F57" s="1">
        <v>8.4049077032620195E-3</v>
      </c>
      <c r="G57" s="1">
        <v>5.4038905297658903E-2</v>
      </c>
      <c r="H57" s="1">
        <v>9.8192000000000006E-4</v>
      </c>
      <c r="I57" s="1">
        <v>4.4574300000000001E-3</v>
      </c>
      <c r="J57" s="1">
        <v>3.1853099999999998E-3</v>
      </c>
      <c r="K57" s="1">
        <v>1.933725E-2</v>
      </c>
      <c r="L57" s="1">
        <v>3.82852641078739</v>
      </c>
      <c r="M57" s="1">
        <v>1.122917E-2</v>
      </c>
      <c r="N57" s="1">
        <v>7.1960000000000001E-3</v>
      </c>
      <c r="O57" s="1">
        <v>2.97883E-3</v>
      </c>
      <c r="P57" s="1">
        <v>7.7950100551211496E-3</v>
      </c>
      <c r="Q57" s="1">
        <v>0.110740463220763</v>
      </c>
      <c r="R57" s="1">
        <v>1.34056283481171E-2</v>
      </c>
      <c r="S57" s="1">
        <v>0.25391885850570001</v>
      </c>
      <c r="T57" s="1">
        <v>6.9742250915943799E-2</v>
      </c>
      <c r="U57" s="1">
        <v>1.5428026480748001E-7</v>
      </c>
      <c r="V57" s="1">
        <v>2.8573584128493299E-5</v>
      </c>
      <c r="W57" s="1">
        <v>8.3535761966407607E-3</v>
      </c>
      <c r="X57" s="1">
        <v>7.0646240693427204E-2</v>
      </c>
      <c r="Y57" s="1">
        <v>8.8267812564632193E-3</v>
      </c>
      <c r="Z57" s="1">
        <v>1.75026192191061E-4</v>
      </c>
      <c r="AA57" s="1">
        <v>1.0849067904547E-5</v>
      </c>
      <c r="AB57" s="1">
        <v>7.4539262139366005E-4</v>
      </c>
      <c r="AC57" s="1">
        <v>1.4549810048878099E-6</v>
      </c>
      <c r="AD57" s="1">
        <v>2.3799426653484598E-3</v>
      </c>
      <c r="AE57" s="1">
        <v>4.7725554668091597E-4</v>
      </c>
      <c r="AF57" s="1">
        <v>2.1000916760831201E-4</v>
      </c>
      <c r="AG57" s="1">
        <v>0.43642448</v>
      </c>
    </row>
    <row r="58" spans="1:33" x14ac:dyDescent="0.25">
      <c r="A58" s="17" t="s">
        <v>125</v>
      </c>
      <c r="B58" s="4" t="s">
        <v>0</v>
      </c>
      <c r="C58" s="4" t="s">
        <v>94</v>
      </c>
      <c r="D58" s="2">
        <v>53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25">
      <c r="A59" s="17"/>
      <c r="B59" s="4" t="s">
        <v>1</v>
      </c>
      <c r="C59" s="4" t="s">
        <v>95</v>
      </c>
      <c r="D59" s="2">
        <v>54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25">
      <c r="A60" s="17"/>
      <c r="B60" s="4" t="s">
        <v>2</v>
      </c>
      <c r="C60" s="4" t="s">
        <v>96</v>
      </c>
      <c r="D60" s="2">
        <v>55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25">
      <c r="A61" s="17"/>
      <c r="B61" s="4" t="s">
        <v>3</v>
      </c>
      <c r="C61" s="4" t="s">
        <v>97</v>
      </c>
      <c r="D61" s="2">
        <v>56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25">
      <c r="A62" s="17"/>
      <c r="B62" s="4" t="s">
        <v>4</v>
      </c>
      <c r="C62" s="4" t="s">
        <v>98</v>
      </c>
      <c r="D62" s="2">
        <v>57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25">
      <c r="A63" s="17"/>
      <c r="B63" s="4" t="s">
        <v>5</v>
      </c>
      <c r="C63" s="4" t="s">
        <v>99</v>
      </c>
      <c r="D63" s="2">
        <v>58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25">
      <c r="A64" s="17"/>
      <c r="B64" s="4" t="s">
        <v>6</v>
      </c>
      <c r="C64" s="4" t="s">
        <v>100</v>
      </c>
      <c r="D64" s="2">
        <v>59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25">
      <c r="A65" s="17"/>
      <c r="B65" s="4" t="s">
        <v>7</v>
      </c>
      <c r="C65" s="4" t="s">
        <v>64</v>
      </c>
      <c r="D65" s="2">
        <v>60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25">
      <c r="A66" s="17"/>
      <c r="B66" s="4" t="s">
        <v>8</v>
      </c>
      <c r="C66" s="4" t="s">
        <v>65</v>
      </c>
      <c r="D66" s="2">
        <v>61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25">
      <c r="A67" s="17"/>
      <c r="B67" s="4" t="s">
        <v>9</v>
      </c>
      <c r="C67" s="4" t="s">
        <v>101</v>
      </c>
      <c r="D67" s="2">
        <v>62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25">
      <c r="A68" s="17"/>
      <c r="B68" s="4" t="s">
        <v>10</v>
      </c>
      <c r="C68" s="4" t="s">
        <v>102</v>
      </c>
      <c r="D68" s="2">
        <v>63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25">
      <c r="A69" s="17"/>
      <c r="B69" s="4" t="s">
        <v>73</v>
      </c>
      <c r="C69" s="4" t="s">
        <v>103</v>
      </c>
      <c r="D69" s="2">
        <v>64</v>
      </c>
      <c r="E69" s="1">
        <v>5.8394026599133402E-5</v>
      </c>
      <c r="F69" s="1">
        <v>8.2155481238374399E-3</v>
      </c>
      <c r="G69" s="1">
        <v>7.5584417305349402E-6</v>
      </c>
      <c r="H69" s="1">
        <v>9.2035951461563795E-6</v>
      </c>
      <c r="I69" s="1">
        <v>4.3415788045445501E-4</v>
      </c>
      <c r="J69" s="1">
        <v>6.7874063858976103E-6</v>
      </c>
      <c r="K69" s="1">
        <v>6.1971366341468802E-4</v>
      </c>
      <c r="L69" s="1">
        <v>9.1601713171939102E-4</v>
      </c>
      <c r="M69" s="1">
        <v>0</v>
      </c>
      <c r="N69" s="1">
        <v>0</v>
      </c>
      <c r="O69" s="1">
        <v>0</v>
      </c>
      <c r="P69" s="1">
        <v>4.30262212827358E-4</v>
      </c>
      <c r="Q69" s="1">
        <v>4.8657616842284698E-6</v>
      </c>
      <c r="R69" s="1">
        <v>6.5923548062352197E-6</v>
      </c>
      <c r="S69" s="1">
        <v>3.1321628482818099E-8</v>
      </c>
      <c r="T69" s="1">
        <v>8.41541846722562E-5</v>
      </c>
      <c r="U69" s="1">
        <v>2.9494115072081001E-8</v>
      </c>
      <c r="V69" s="1">
        <v>4.7123368028730698E-8</v>
      </c>
      <c r="W69" s="1">
        <v>5.6724739465553403E-10</v>
      </c>
      <c r="X69" s="1">
        <v>8.9541546013494205E-2</v>
      </c>
      <c r="Y69" s="1">
        <v>3.8805670543651399E-7</v>
      </c>
      <c r="Z69" s="1">
        <v>4.4611432928647396E-9</v>
      </c>
      <c r="AA69" s="1">
        <v>5.5035013367936598E-10</v>
      </c>
      <c r="AB69" s="1">
        <v>3.7812181879300703E-8</v>
      </c>
      <c r="AC69" s="1">
        <v>7.3808090942572099E-11</v>
      </c>
      <c r="AD69" s="1">
        <v>1.5501563287327798E-8</v>
      </c>
      <c r="AE69" s="1">
        <v>2.4210158533986002E-8</v>
      </c>
      <c r="AF69" s="1">
        <v>2.6732251279233102E-7</v>
      </c>
      <c r="AG69" s="1">
        <v>2.39082906652148E-5</v>
      </c>
    </row>
    <row r="70" spans="1:33" x14ac:dyDescent="0.25">
      <c r="A70" s="17"/>
      <c r="B70" s="4" t="s">
        <v>12</v>
      </c>
      <c r="C70" s="4" t="s">
        <v>104</v>
      </c>
      <c r="D70" s="2">
        <v>65</v>
      </c>
      <c r="E70" s="1">
        <v>8.8677984234737097E-4</v>
      </c>
      <c r="F70" s="1">
        <v>9.1996551338759306E-5</v>
      </c>
      <c r="G70" s="1">
        <v>1.14783551615792E-4</v>
      </c>
      <c r="H70" s="1">
        <v>1.3976708112227901E-4</v>
      </c>
      <c r="I70" s="1">
        <v>2.03217238318339E-4</v>
      </c>
      <c r="J70" s="1">
        <v>1.03074501201175E-4</v>
      </c>
      <c r="K70" s="1">
        <v>6.868866424599E-4</v>
      </c>
      <c r="L70" s="1">
        <v>5.7113252935962E-3</v>
      </c>
      <c r="M70" s="1">
        <v>0</v>
      </c>
      <c r="N70" s="1">
        <v>0</v>
      </c>
      <c r="O70" s="1">
        <v>0</v>
      </c>
      <c r="P70" s="1">
        <v>6.7167246263432497E-9</v>
      </c>
      <c r="Q70" s="1">
        <v>3.5422652702761902E-5</v>
      </c>
      <c r="R70" s="1">
        <v>6.2513632061072504E-3</v>
      </c>
      <c r="S70" s="1">
        <v>4.9991979192521901E-4</v>
      </c>
      <c r="T70" s="1">
        <v>1.21162597363844E-5</v>
      </c>
      <c r="U70" s="1">
        <v>7.0489506521900501E-8</v>
      </c>
      <c r="V70" s="1">
        <v>7.1562204741015698E-7</v>
      </c>
      <c r="W70" s="1">
        <v>8.61429814829821E-9</v>
      </c>
      <c r="X70" s="1">
        <v>5.8706481584155901E-7</v>
      </c>
      <c r="Y70" s="1">
        <v>9.7418847389834402E-7</v>
      </c>
      <c r="Z70" s="1">
        <v>1.1199379666507901E-8</v>
      </c>
      <c r="AA70" s="1">
        <v>1.38161446337014E-9</v>
      </c>
      <c r="AB70" s="1">
        <v>9.4924765488401096E-8</v>
      </c>
      <c r="AC70" s="1">
        <v>1.8528990858646E-10</v>
      </c>
      <c r="AD70" s="1">
        <v>3.8915560716657002E-8</v>
      </c>
      <c r="AE70" s="1">
        <v>6.0777863298433195E-8</v>
      </c>
      <c r="AF70" s="1">
        <v>6.3888785823457395E-7</v>
      </c>
      <c r="AG70" s="1">
        <v>0</v>
      </c>
    </row>
    <row r="71" spans="1:33" x14ac:dyDescent="0.25">
      <c r="A71" s="17"/>
      <c r="B71" s="4" t="s">
        <v>74</v>
      </c>
      <c r="C71" s="4" t="s">
        <v>105</v>
      </c>
      <c r="D71" s="2">
        <v>66</v>
      </c>
      <c r="E71" s="1">
        <v>7.8390866848546108E-3</v>
      </c>
      <c r="F71" s="1">
        <v>1.4304834111206999E-4</v>
      </c>
      <c r="G71" s="1">
        <v>3.9009482941521799E-4</v>
      </c>
      <c r="H71" s="1">
        <v>4.75001992016746E-4</v>
      </c>
      <c r="I71" s="1">
        <v>3.5193606146158101E-4</v>
      </c>
      <c r="J71" s="1">
        <v>1.5376466859848601E-4</v>
      </c>
      <c r="K71" s="1">
        <v>1.14851288087683E-3</v>
      </c>
      <c r="L71" s="1">
        <v>3.2566612107173799E-2</v>
      </c>
      <c r="M71" s="1">
        <v>8.2283115520602398E-2</v>
      </c>
      <c r="N71" s="1">
        <v>6.2522981768378796E-2</v>
      </c>
      <c r="O71" s="1">
        <v>3.7032342875644803E-2</v>
      </c>
      <c r="P71" s="1">
        <v>1.0407564883026201E-8</v>
      </c>
      <c r="Q71" s="1">
        <v>5.4887400755866201E-5</v>
      </c>
      <c r="R71" s="1">
        <v>5.2697812267463499E-4</v>
      </c>
      <c r="S71" s="1">
        <v>2.5263529136621502E-3</v>
      </c>
      <c r="T71" s="1">
        <v>3.5855804568588398E-4</v>
      </c>
      <c r="U71" s="1">
        <v>1.0809367578059299E-7</v>
      </c>
      <c r="V71" s="1">
        <v>3.6300579624445E-6</v>
      </c>
      <c r="W71" s="1">
        <v>2.9275912091832201E-8</v>
      </c>
      <c r="X71" s="1">
        <v>0</v>
      </c>
      <c r="Y71" s="1">
        <v>0</v>
      </c>
      <c r="Z71" s="1">
        <v>1.4169607435605401E-3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1.45193438003379E-3</v>
      </c>
      <c r="AG71" s="1">
        <v>0.13961445048009799</v>
      </c>
    </row>
    <row r="72" spans="1:33" x14ac:dyDescent="0.25">
      <c r="A72" s="17"/>
      <c r="B72" s="4" t="s">
        <v>75</v>
      </c>
      <c r="C72" s="4" t="s">
        <v>106</v>
      </c>
      <c r="D72" s="2">
        <v>67</v>
      </c>
      <c r="E72" s="1">
        <v>1.72165311772756E-3</v>
      </c>
      <c r="F72" s="1">
        <v>1.7860819773857201E-4</v>
      </c>
      <c r="G72" s="1">
        <v>2.22848389268822E-4</v>
      </c>
      <c r="H72" s="1">
        <v>2.7135306812216899E-4</v>
      </c>
      <c r="I72" s="1">
        <v>3.9453940563265698E-4</v>
      </c>
      <c r="J72" s="1">
        <v>2.0011566329865E-4</v>
      </c>
      <c r="K72" s="1">
        <v>1.3335672204570299E-3</v>
      </c>
      <c r="L72" s="1">
        <v>3.8607839692925201E-2</v>
      </c>
      <c r="M72" s="1">
        <v>7.0117823844546403E-3</v>
      </c>
      <c r="N72" s="1">
        <v>1.5186482316211999E-3</v>
      </c>
      <c r="O72" s="1">
        <v>8.9023357124355093E-2</v>
      </c>
      <c r="P72" s="1">
        <v>1.30402940410226E-8</v>
      </c>
      <c r="Q72" s="1">
        <v>6.87718840140273E-5</v>
      </c>
      <c r="R72" s="1">
        <v>1.85524555617862E-3</v>
      </c>
      <c r="S72" s="1">
        <v>1.4836416938786301E-3</v>
      </c>
      <c r="T72" s="1">
        <v>2.3523309117091799E-5</v>
      </c>
      <c r="U72" s="1">
        <v>1.3685299651068199E-7</v>
      </c>
      <c r="V72" s="1">
        <v>1.3893560387851701E-6</v>
      </c>
      <c r="W72" s="1">
        <v>1.67243689536222E-8</v>
      </c>
      <c r="X72" s="1">
        <v>1.13976651501947E-6</v>
      </c>
      <c r="Y72" s="1">
        <v>1.89135402413031E-6</v>
      </c>
      <c r="Z72" s="1">
        <v>2.1743217424088801E-8</v>
      </c>
      <c r="AA72" s="1">
        <v>2.6823578240820201E-9</v>
      </c>
      <c r="AB72" s="1">
        <v>1.8429322662551601E-7</v>
      </c>
      <c r="AC72" s="1">
        <v>3.5973410035675299E-10</v>
      </c>
      <c r="AD72" s="1">
        <v>7.5553246968940305E-8</v>
      </c>
      <c r="AE72" s="1">
        <v>1.1799816915051E-7</v>
      </c>
      <c r="AF72" s="1">
        <v>1.2403792017827199E-6</v>
      </c>
      <c r="AG72" s="1">
        <v>0</v>
      </c>
    </row>
    <row r="73" spans="1:33" x14ac:dyDescent="0.25">
      <c r="A73" s="17"/>
      <c r="B73" s="4" t="s">
        <v>76</v>
      </c>
      <c r="C73" s="4" t="s">
        <v>107</v>
      </c>
      <c r="D73" s="2">
        <v>68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25">
      <c r="A74" s="17"/>
      <c r="B74" s="4" t="s">
        <v>77</v>
      </c>
      <c r="C74" s="4" t="s">
        <v>108</v>
      </c>
      <c r="D74" s="2">
        <v>69</v>
      </c>
      <c r="E74" s="1">
        <v>3.4628878312289802E-3</v>
      </c>
      <c r="F74" s="1">
        <v>9.3294439814484696E-5</v>
      </c>
      <c r="G74" s="1">
        <v>4.7644146003972997E-5</v>
      </c>
      <c r="H74" s="1">
        <v>5.8014263592648899E-5</v>
      </c>
      <c r="I74" s="1">
        <v>3.7890941413296802E-4</v>
      </c>
      <c r="J74" s="1">
        <v>6.0795350943894898E-4</v>
      </c>
      <c r="K74" s="1">
        <v>2.33310959314998E-3</v>
      </c>
      <c r="L74" s="1">
        <v>2.9781604478907101E-2</v>
      </c>
      <c r="M74" s="1">
        <v>5.0597210535111402E-5</v>
      </c>
      <c r="N74" s="1">
        <v>0</v>
      </c>
      <c r="O74" s="1">
        <v>0</v>
      </c>
      <c r="P74" s="1">
        <v>1.5706263831622099E-9</v>
      </c>
      <c r="Q74" s="1">
        <v>7.4733371731723998E-4</v>
      </c>
      <c r="R74" s="1">
        <v>5.6964900330203503E-5</v>
      </c>
      <c r="S74" s="1">
        <v>2.3218759647687398E-6</v>
      </c>
      <c r="T74" s="1">
        <v>2.5466529482913301E-4</v>
      </c>
      <c r="U74" s="1">
        <v>4.0665719643410199E-8</v>
      </c>
      <c r="V74" s="1">
        <v>5.9246104025438496E-6</v>
      </c>
      <c r="W74" s="1">
        <v>4.20501153843541E-8</v>
      </c>
      <c r="X74" s="1">
        <v>0</v>
      </c>
      <c r="Y74" s="1">
        <v>5.9267761412940302E-3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1.5438850771295101E-4</v>
      </c>
      <c r="AG74" s="1">
        <v>2.0237457141074999E-2</v>
      </c>
    </row>
    <row r="75" spans="1:33" x14ac:dyDescent="0.25">
      <c r="A75" s="17"/>
      <c r="B75" s="4" t="s">
        <v>78</v>
      </c>
      <c r="C75" s="4" t="s">
        <v>109</v>
      </c>
      <c r="D75" s="2">
        <v>70</v>
      </c>
      <c r="E75" s="1">
        <v>0</v>
      </c>
      <c r="F75" s="1">
        <v>1.08695162470137E-4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7.9520845236188496E-7</v>
      </c>
      <c r="Q75" s="1">
        <v>0</v>
      </c>
      <c r="R75" s="1">
        <v>0</v>
      </c>
      <c r="S75" s="1">
        <v>0</v>
      </c>
      <c r="T75" s="1">
        <v>7.0319914216436403E-8</v>
      </c>
      <c r="U75" s="1">
        <v>0</v>
      </c>
      <c r="V75" s="1">
        <v>0</v>
      </c>
      <c r="W75" s="1">
        <v>0</v>
      </c>
      <c r="X75" s="1">
        <v>0</v>
      </c>
      <c r="Y75" s="1">
        <v>4.5703445220288201E-4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25">
      <c r="A76" s="17"/>
      <c r="B76" s="4" t="s">
        <v>79</v>
      </c>
      <c r="C76" s="4" t="s">
        <v>110</v>
      </c>
      <c r="D76" s="2">
        <v>71</v>
      </c>
      <c r="E76" s="1">
        <v>8.5557662924453593E-5</v>
      </c>
      <c r="F76" s="1">
        <v>0</v>
      </c>
      <c r="G76" s="1">
        <v>0</v>
      </c>
      <c r="H76" s="1">
        <v>0</v>
      </c>
      <c r="I76" s="1">
        <v>0</v>
      </c>
      <c r="J76" s="1">
        <v>8.3342510768414196E-6</v>
      </c>
      <c r="K76" s="1">
        <v>2.1439999641571701E-5</v>
      </c>
      <c r="L76" s="1">
        <v>3.0657310058317301E-4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1.13647062348758E-4</v>
      </c>
      <c r="U76" s="1">
        <v>3.3572666070678799E-10</v>
      </c>
      <c r="V76" s="1">
        <v>5.6028140407705997E-8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1.18029892091862E-4</v>
      </c>
      <c r="AE76" s="1">
        <v>0</v>
      </c>
      <c r="AF76" s="1">
        <v>3.0428881942103601E-9</v>
      </c>
      <c r="AG76" s="1">
        <v>0</v>
      </c>
    </row>
    <row r="77" spans="1:33" x14ac:dyDescent="0.25">
      <c r="A77" s="17"/>
      <c r="B77" s="4" t="s">
        <v>80</v>
      </c>
      <c r="C77" s="4" t="s">
        <v>111</v>
      </c>
      <c r="D77" s="2">
        <v>72</v>
      </c>
      <c r="E77" s="1">
        <v>2.9995470196063799E-3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1.13965032459042E-2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5.6698595012826895E-7</v>
      </c>
      <c r="V77" s="1">
        <v>1.9421557514045901E-5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1.1022574377741E-2</v>
      </c>
      <c r="AE77" s="1">
        <v>0</v>
      </c>
      <c r="AF77" s="1">
        <v>4.9403357044121895E-4</v>
      </c>
      <c r="AG77" s="1">
        <v>3.5095478141677502E-2</v>
      </c>
    </row>
    <row r="78" spans="1:33" x14ac:dyDescent="0.25">
      <c r="A78" s="17"/>
      <c r="B78" s="4" t="s">
        <v>81</v>
      </c>
      <c r="C78" s="4" t="s">
        <v>112</v>
      </c>
      <c r="D78" s="2">
        <v>73</v>
      </c>
      <c r="E78" s="1">
        <v>9.8004178146915004E-5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1.88271966769824E-4</v>
      </c>
      <c r="M78" s="1">
        <v>2.54535488440787E-3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6.4178843438087698E-8</v>
      </c>
      <c r="W78" s="1">
        <v>1.4842384465461601E-4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4.3418759464846904E-3</v>
      </c>
    </row>
    <row r="79" spans="1:33" x14ac:dyDescent="0.25">
      <c r="A79" s="17"/>
      <c r="B79" s="4" t="s">
        <v>27</v>
      </c>
      <c r="C79" s="4" t="s">
        <v>113</v>
      </c>
      <c r="D79" s="2">
        <v>74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25">
      <c r="A80" s="17"/>
      <c r="B80" s="4" t="s">
        <v>82</v>
      </c>
      <c r="C80" s="4" t="s">
        <v>114</v>
      </c>
      <c r="D80" s="2">
        <v>75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2.7358028554209501E-2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1.6667657100010901E-2</v>
      </c>
      <c r="Y80" s="1">
        <v>2.7658682645534002E-2</v>
      </c>
      <c r="Z80" s="1">
        <v>3.1796730953225399E-4</v>
      </c>
      <c r="AA80" s="1">
        <v>3.9226122054100503E-5</v>
      </c>
      <c r="AB80" s="1">
        <v>2.6950575111396699E-3</v>
      </c>
      <c r="AC80" s="1">
        <v>5.2606604536235703E-6</v>
      </c>
      <c r="AD80" s="1">
        <v>1.1048715650759601E-3</v>
      </c>
      <c r="AE80" s="1">
        <v>1.7255753664566799E-3</v>
      </c>
      <c r="AF80" s="1">
        <v>0</v>
      </c>
      <c r="AG80" s="1">
        <v>0</v>
      </c>
    </row>
    <row r="81" spans="1:33" x14ac:dyDescent="0.25">
      <c r="A81" s="17"/>
      <c r="B81" s="4" t="s">
        <v>119</v>
      </c>
      <c r="C81" s="4" t="s">
        <v>63</v>
      </c>
      <c r="D81" s="2">
        <v>76</v>
      </c>
      <c r="E81" s="1">
        <v>0</v>
      </c>
      <c r="F81" s="1">
        <v>0</v>
      </c>
      <c r="G81" s="1">
        <v>0.231633249344185</v>
      </c>
      <c r="H81" s="1">
        <v>0</v>
      </c>
      <c r="I81" s="1">
        <v>0</v>
      </c>
      <c r="J81" s="1">
        <v>0</v>
      </c>
      <c r="K81" s="1">
        <v>0</v>
      </c>
      <c r="L81" s="1">
        <v>0.26008662024226498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1.3349751094292699</v>
      </c>
      <c r="T81" s="1">
        <v>0</v>
      </c>
      <c r="U81" s="1">
        <v>0</v>
      </c>
      <c r="V81" s="1">
        <v>0</v>
      </c>
      <c r="W81" s="1">
        <v>4.3940643194854502E-2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 spans="1:33" x14ac:dyDescent="0.25">
      <c r="A82" s="17"/>
      <c r="B82" s="4" t="s">
        <v>120</v>
      </c>
      <c r="C82" s="4" t="s">
        <v>63</v>
      </c>
      <c r="D82" s="2">
        <v>77</v>
      </c>
      <c r="E82" s="1">
        <v>5.81329000331937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 spans="1:33" x14ac:dyDescent="0.25">
      <c r="A83" s="17"/>
      <c r="B83" s="4" t="s">
        <v>121</v>
      </c>
      <c r="C83" s="4" t="s">
        <v>63</v>
      </c>
      <c r="D83" s="2">
        <v>78</v>
      </c>
      <c r="E83" s="1">
        <v>5.8304419136828098</v>
      </c>
      <c r="F83" s="1">
        <v>8.8311908163114603E-3</v>
      </c>
      <c r="G83" s="1">
        <v>0.23241617870221901</v>
      </c>
      <c r="H83" s="1">
        <v>9.5334E-4</v>
      </c>
      <c r="I83" s="1">
        <v>1.7627599999999999E-3</v>
      </c>
      <c r="J83" s="1">
        <v>1.0800300000000001E-3</v>
      </c>
      <c r="K83" s="1">
        <v>6.1432300000000004E-3</v>
      </c>
      <c r="L83" s="1">
        <v>0.40691939581405301</v>
      </c>
      <c r="M83" s="1">
        <v>9.1890849999999996E-2</v>
      </c>
      <c r="N83" s="1">
        <v>6.4041630000000002E-2</v>
      </c>
      <c r="O83" s="1">
        <v>0.12605569999999999</v>
      </c>
      <c r="P83" s="1">
        <v>4.31089156489653E-4</v>
      </c>
      <c r="Q83" s="1">
        <v>9.1128141647412299E-4</v>
      </c>
      <c r="R83" s="1">
        <v>8.6971441400969501E-3</v>
      </c>
      <c r="S83" s="1">
        <v>1.33948737702633</v>
      </c>
      <c r="T83" s="1">
        <v>8.4673447630372403E-4</v>
      </c>
      <c r="U83" s="1">
        <v>9.5291769031764204E-7</v>
      </c>
      <c r="V83" s="1">
        <v>3.1248534317104101E-5</v>
      </c>
      <c r="W83" s="1">
        <v>4.4089164271451098E-2</v>
      </c>
      <c r="X83" s="1">
        <v>0.106210929944836</v>
      </c>
      <c r="Y83" s="1">
        <v>3.40457468382344E-2</v>
      </c>
      <c r="Z83" s="1">
        <v>1.73496545683318E-3</v>
      </c>
      <c r="AA83" s="1">
        <v>3.9230736376521597E-5</v>
      </c>
      <c r="AB83" s="1">
        <v>2.6953745413136601E-3</v>
      </c>
      <c r="AC83" s="1">
        <v>5.2612792857234501E-6</v>
      </c>
      <c r="AD83" s="1">
        <v>1.2245605805279801E-2</v>
      </c>
      <c r="AE83" s="1">
        <v>1.72577835264767E-3</v>
      </c>
      <c r="AF83" s="1">
        <v>2.1025060906489702E-3</v>
      </c>
      <c r="AG83" s="1">
        <v>0.19931317000000001</v>
      </c>
    </row>
    <row r="84" spans="1:33" x14ac:dyDescent="0.25">
      <c r="A84" s="17" t="s">
        <v>126</v>
      </c>
      <c r="B84" s="4" t="s">
        <v>0</v>
      </c>
      <c r="C84" s="4" t="s">
        <v>94</v>
      </c>
      <c r="D84" s="2">
        <v>79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25">
      <c r="A85" s="17"/>
      <c r="B85" s="4" t="s">
        <v>1</v>
      </c>
      <c r="C85" s="4" t="s">
        <v>95</v>
      </c>
      <c r="D85" s="2">
        <v>80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25">
      <c r="A86" s="17"/>
      <c r="B86" s="4" t="s">
        <v>2</v>
      </c>
      <c r="C86" s="4" t="s">
        <v>96</v>
      </c>
      <c r="D86" s="2">
        <v>81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25">
      <c r="A87" s="17"/>
      <c r="B87" s="4" t="s">
        <v>3</v>
      </c>
      <c r="C87" s="4" t="s">
        <v>97</v>
      </c>
      <c r="D87" s="2">
        <v>82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</row>
    <row r="88" spans="1:33" x14ac:dyDescent="0.25">
      <c r="A88" s="17"/>
      <c r="B88" s="4" t="s">
        <v>4</v>
      </c>
      <c r="C88" s="4" t="s">
        <v>98</v>
      </c>
      <c r="D88" s="2">
        <v>83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</row>
    <row r="89" spans="1:33" x14ac:dyDescent="0.25">
      <c r="A89" s="17"/>
      <c r="B89" s="4" t="s">
        <v>5</v>
      </c>
      <c r="C89" s="4" t="s">
        <v>99</v>
      </c>
      <c r="D89" s="2">
        <v>84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</row>
    <row r="90" spans="1:33" x14ac:dyDescent="0.25">
      <c r="A90" s="17"/>
      <c r="B90" s="4" t="s">
        <v>6</v>
      </c>
      <c r="C90" s="4" t="s">
        <v>100</v>
      </c>
      <c r="D90" s="2">
        <v>85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</row>
    <row r="91" spans="1:33" x14ac:dyDescent="0.25">
      <c r="A91" s="17"/>
      <c r="B91" s="4" t="s">
        <v>7</v>
      </c>
      <c r="C91" s="4" t="s">
        <v>64</v>
      </c>
      <c r="D91" s="2">
        <v>86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</row>
    <row r="92" spans="1:33" x14ac:dyDescent="0.25">
      <c r="A92" s="17"/>
      <c r="B92" s="4" t="s">
        <v>8</v>
      </c>
      <c r="C92" s="4" t="s">
        <v>65</v>
      </c>
      <c r="D92" s="2">
        <v>87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</row>
    <row r="93" spans="1:33" x14ac:dyDescent="0.25">
      <c r="A93" s="17"/>
      <c r="B93" s="4" t="s">
        <v>9</v>
      </c>
      <c r="C93" s="4" t="s">
        <v>101</v>
      </c>
      <c r="D93" s="2">
        <v>88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</row>
    <row r="94" spans="1:33" x14ac:dyDescent="0.25">
      <c r="A94" s="17"/>
      <c r="B94" s="4" t="s">
        <v>10</v>
      </c>
      <c r="C94" s="4" t="s">
        <v>102</v>
      </c>
      <c r="D94" s="2">
        <v>89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</row>
    <row r="95" spans="1:33" x14ac:dyDescent="0.25">
      <c r="A95" s="17"/>
      <c r="B95" s="4" t="s">
        <v>73</v>
      </c>
      <c r="C95" s="4" t="s">
        <v>103</v>
      </c>
      <c r="D95" s="2">
        <v>90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</row>
    <row r="96" spans="1:33" x14ac:dyDescent="0.25">
      <c r="A96" s="17"/>
      <c r="B96" s="4" t="s">
        <v>12</v>
      </c>
      <c r="C96" s="4" t="s">
        <v>104</v>
      </c>
      <c r="D96" s="2">
        <v>91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</row>
    <row r="97" spans="1:33" x14ac:dyDescent="0.25">
      <c r="A97" s="17"/>
      <c r="B97" s="4" t="s">
        <v>74</v>
      </c>
      <c r="C97" s="4" t="s">
        <v>105</v>
      </c>
      <c r="D97" s="2">
        <v>92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</row>
    <row r="98" spans="1:33" x14ac:dyDescent="0.25">
      <c r="A98" s="17"/>
      <c r="B98" s="4" t="s">
        <v>75</v>
      </c>
      <c r="C98" s="4" t="s">
        <v>106</v>
      </c>
      <c r="D98" s="2">
        <v>93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</row>
    <row r="99" spans="1:33" x14ac:dyDescent="0.25">
      <c r="A99" s="17"/>
      <c r="B99" s="4" t="s">
        <v>76</v>
      </c>
      <c r="C99" s="4" t="s">
        <v>107</v>
      </c>
      <c r="D99" s="2">
        <v>94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0.38374605000000001</v>
      </c>
    </row>
    <row r="100" spans="1:33" x14ac:dyDescent="0.25">
      <c r="A100" s="17"/>
      <c r="B100" s="4" t="s">
        <v>77</v>
      </c>
      <c r="C100" s="4" t="s">
        <v>108</v>
      </c>
      <c r="D100" s="2">
        <v>95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</row>
    <row r="101" spans="1:33" x14ac:dyDescent="0.25">
      <c r="A101" s="17"/>
      <c r="B101" s="4" t="s">
        <v>78</v>
      </c>
      <c r="C101" s="4" t="s">
        <v>109</v>
      </c>
      <c r="D101" s="2">
        <v>96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</row>
    <row r="102" spans="1:33" x14ac:dyDescent="0.25">
      <c r="A102" s="17"/>
      <c r="B102" s="4" t="s">
        <v>79</v>
      </c>
      <c r="C102" s="4" t="s">
        <v>110</v>
      </c>
      <c r="D102" s="2">
        <v>97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</row>
    <row r="103" spans="1:33" x14ac:dyDescent="0.25">
      <c r="A103" s="17"/>
      <c r="B103" s="4" t="s">
        <v>80</v>
      </c>
      <c r="C103" s="4" t="s">
        <v>111</v>
      </c>
      <c r="D103" s="2">
        <v>98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</row>
    <row r="104" spans="1:33" x14ac:dyDescent="0.25">
      <c r="A104" s="17"/>
      <c r="B104" s="4" t="s">
        <v>81</v>
      </c>
      <c r="C104" s="4" t="s">
        <v>112</v>
      </c>
      <c r="D104" s="2">
        <v>99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</row>
    <row r="105" spans="1:33" x14ac:dyDescent="0.25">
      <c r="A105" s="17"/>
      <c r="B105" s="4" t="s">
        <v>27</v>
      </c>
      <c r="C105" s="4" t="s">
        <v>113</v>
      </c>
      <c r="D105" s="2">
        <v>100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</row>
    <row r="106" spans="1:33" x14ac:dyDescent="0.25">
      <c r="A106" s="17"/>
      <c r="B106" s="4" t="s">
        <v>82</v>
      </c>
      <c r="C106" s="4" t="s">
        <v>114</v>
      </c>
      <c r="D106" s="2">
        <v>101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</row>
    <row r="107" spans="1:33" x14ac:dyDescent="0.25">
      <c r="A107" s="17"/>
      <c r="B107" s="4" t="s">
        <v>119</v>
      </c>
      <c r="C107" s="4" t="s">
        <v>63</v>
      </c>
      <c r="D107" s="2">
        <v>102</v>
      </c>
      <c r="E107" s="1">
        <v>0</v>
      </c>
      <c r="F107" s="1">
        <v>0</v>
      </c>
      <c r="G107" s="1">
        <v>8.7696949610198E-2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2.73822066037471E-2</v>
      </c>
      <c r="T107" s="1">
        <v>0</v>
      </c>
      <c r="U107" s="1">
        <v>0</v>
      </c>
      <c r="V107" s="1">
        <v>0</v>
      </c>
      <c r="W107" s="1">
        <v>2.6696437860548798E-3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 spans="1:33" x14ac:dyDescent="0.25">
      <c r="A108" s="17"/>
      <c r="B108" s="4" t="s">
        <v>120</v>
      </c>
      <c r="C108" s="4" t="s">
        <v>63</v>
      </c>
      <c r="D108" s="2">
        <v>103</v>
      </c>
      <c r="E108" s="1">
        <v>0.26316423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0.52632846</v>
      </c>
      <c r="L108" s="1">
        <v>0.39445317000000002</v>
      </c>
      <c r="M108" s="1">
        <v>8.4995769999999998E-2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 spans="1:33" x14ac:dyDescent="0.25">
      <c r="A109" s="17"/>
      <c r="B109" s="4" t="s">
        <v>121</v>
      </c>
      <c r="C109" s="4" t="s">
        <v>63</v>
      </c>
      <c r="D109" s="2">
        <v>104</v>
      </c>
      <c r="E109" s="1">
        <v>0.26316423</v>
      </c>
      <c r="F109" s="1">
        <v>0</v>
      </c>
      <c r="G109" s="1">
        <v>8.7696949610198E-2</v>
      </c>
      <c r="H109" s="1">
        <v>0</v>
      </c>
      <c r="I109" s="1">
        <v>0</v>
      </c>
      <c r="J109" s="1">
        <v>0</v>
      </c>
      <c r="K109" s="1">
        <v>0.52632846</v>
      </c>
      <c r="L109" s="1">
        <v>0.39445317000000002</v>
      </c>
      <c r="M109" s="1">
        <v>8.4995769999999998E-2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2.73822066037471E-2</v>
      </c>
      <c r="T109" s="1">
        <v>0</v>
      </c>
      <c r="U109" s="1">
        <v>0</v>
      </c>
      <c r="V109" s="1">
        <v>0</v>
      </c>
      <c r="W109" s="1">
        <v>2.6696437860548798E-3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0.38374605000000001</v>
      </c>
    </row>
    <row r="110" spans="1:33" x14ac:dyDescent="0.25">
      <c r="A110" s="17" t="s">
        <v>127</v>
      </c>
      <c r="B110" s="4" t="s">
        <v>0</v>
      </c>
      <c r="C110" s="4" t="s">
        <v>94</v>
      </c>
      <c r="D110" s="2">
        <v>105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</row>
    <row r="111" spans="1:33" x14ac:dyDescent="0.25">
      <c r="A111" s="17"/>
      <c r="B111" s="4" t="s">
        <v>1</v>
      </c>
      <c r="C111" s="4" t="s">
        <v>95</v>
      </c>
      <c r="D111" s="2">
        <v>106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</row>
    <row r="112" spans="1:33" x14ac:dyDescent="0.25">
      <c r="A112" s="17"/>
      <c r="B112" s="4" t="s">
        <v>2</v>
      </c>
      <c r="C112" s="4" t="s">
        <v>96</v>
      </c>
      <c r="D112" s="2">
        <v>107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</row>
    <row r="113" spans="1:33" x14ac:dyDescent="0.25">
      <c r="A113" s="17"/>
      <c r="B113" s="4" t="s">
        <v>3</v>
      </c>
      <c r="C113" s="4" t="s">
        <v>97</v>
      </c>
      <c r="D113" s="2">
        <v>108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</row>
    <row r="114" spans="1:33" x14ac:dyDescent="0.25">
      <c r="A114" s="17"/>
      <c r="B114" s="4" t="s">
        <v>4</v>
      </c>
      <c r="C114" s="4" t="s">
        <v>98</v>
      </c>
      <c r="D114" s="2">
        <v>109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</row>
    <row r="115" spans="1:33" x14ac:dyDescent="0.25">
      <c r="A115" s="17"/>
      <c r="B115" s="4" t="s">
        <v>5</v>
      </c>
      <c r="C115" s="4" t="s">
        <v>99</v>
      </c>
      <c r="D115" s="2">
        <v>110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</row>
    <row r="116" spans="1:33" x14ac:dyDescent="0.25">
      <c r="A116" s="17"/>
      <c r="B116" s="4" t="s">
        <v>6</v>
      </c>
      <c r="C116" s="4" t="s">
        <v>100</v>
      </c>
      <c r="D116" s="2">
        <v>111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</row>
    <row r="117" spans="1:33" x14ac:dyDescent="0.25">
      <c r="A117" s="17"/>
      <c r="B117" s="4" t="s">
        <v>7</v>
      </c>
      <c r="C117" s="4" t="s">
        <v>64</v>
      </c>
      <c r="D117" s="2">
        <v>112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</row>
    <row r="118" spans="1:33" x14ac:dyDescent="0.25">
      <c r="A118" s="17"/>
      <c r="B118" s="4" t="s">
        <v>8</v>
      </c>
      <c r="C118" s="4" t="s">
        <v>65</v>
      </c>
      <c r="D118" s="2">
        <v>113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</row>
    <row r="119" spans="1:33" x14ac:dyDescent="0.25">
      <c r="A119" s="17"/>
      <c r="B119" s="4" t="s">
        <v>9</v>
      </c>
      <c r="C119" s="4" t="s">
        <v>101</v>
      </c>
      <c r="D119" s="2">
        <v>114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</row>
    <row r="120" spans="1:33" x14ac:dyDescent="0.25">
      <c r="A120" s="17"/>
      <c r="B120" s="4" t="s">
        <v>10</v>
      </c>
      <c r="C120" s="4" t="s">
        <v>102</v>
      </c>
      <c r="D120" s="2">
        <v>115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</row>
    <row r="121" spans="1:33" x14ac:dyDescent="0.25">
      <c r="A121" s="17"/>
      <c r="B121" s="4" t="s">
        <v>73</v>
      </c>
      <c r="C121" s="4" t="s">
        <v>103</v>
      </c>
      <c r="D121" s="2">
        <v>116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</row>
    <row r="122" spans="1:33" x14ac:dyDescent="0.25">
      <c r="A122" s="17"/>
      <c r="B122" s="4" t="s">
        <v>12</v>
      </c>
      <c r="C122" s="4" t="s">
        <v>104</v>
      </c>
      <c r="D122" s="2">
        <v>117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</row>
    <row r="123" spans="1:33" x14ac:dyDescent="0.25">
      <c r="A123" s="17"/>
      <c r="B123" s="4" t="s">
        <v>74</v>
      </c>
      <c r="C123" s="4" t="s">
        <v>105</v>
      </c>
      <c r="D123" s="2">
        <v>118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</row>
    <row r="124" spans="1:33" x14ac:dyDescent="0.25">
      <c r="A124" s="17"/>
      <c r="B124" s="4" t="s">
        <v>75</v>
      </c>
      <c r="C124" s="4" t="s">
        <v>106</v>
      </c>
      <c r="D124" s="2">
        <v>119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</row>
    <row r="125" spans="1:33" x14ac:dyDescent="0.25">
      <c r="A125" s="17"/>
      <c r="B125" s="4" t="s">
        <v>76</v>
      </c>
      <c r="C125" s="4" t="s">
        <v>107</v>
      </c>
      <c r="D125" s="2">
        <v>120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</row>
    <row r="126" spans="1:33" x14ac:dyDescent="0.25">
      <c r="A126" s="17"/>
      <c r="B126" s="4" t="s">
        <v>77</v>
      </c>
      <c r="C126" s="4" t="s">
        <v>108</v>
      </c>
      <c r="D126" s="2">
        <v>121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</row>
    <row r="127" spans="1:33" x14ac:dyDescent="0.25">
      <c r="A127" s="17"/>
      <c r="B127" s="4" t="s">
        <v>78</v>
      </c>
      <c r="C127" s="4" t="s">
        <v>109</v>
      </c>
      <c r="D127" s="2">
        <v>122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</row>
    <row r="128" spans="1:33" x14ac:dyDescent="0.25">
      <c r="A128" s="17"/>
      <c r="B128" s="4" t="s">
        <v>79</v>
      </c>
      <c r="C128" s="4" t="s">
        <v>110</v>
      </c>
      <c r="D128" s="2">
        <v>123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</row>
    <row r="129" spans="1:33" x14ac:dyDescent="0.25">
      <c r="A129" s="17"/>
      <c r="B129" s="4" t="s">
        <v>80</v>
      </c>
      <c r="C129" s="4" t="s">
        <v>111</v>
      </c>
      <c r="D129" s="2">
        <v>124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</row>
    <row r="130" spans="1:33" x14ac:dyDescent="0.25">
      <c r="A130" s="17"/>
      <c r="B130" s="4" t="s">
        <v>81</v>
      </c>
      <c r="C130" s="4" t="s">
        <v>112</v>
      </c>
      <c r="D130" s="2">
        <v>125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</row>
    <row r="131" spans="1:33" x14ac:dyDescent="0.25">
      <c r="A131" s="17"/>
      <c r="B131" s="4" t="s">
        <v>27</v>
      </c>
      <c r="C131" s="4" t="s">
        <v>113</v>
      </c>
      <c r="D131" s="2">
        <v>126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</row>
    <row r="132" spans="1:33" x14ac:dyDescent="0.25">
      <c r="A132" s="17"/>
      <c r="B132" s="4" t="s">
        <v>82</v>
      </c>
      <c r="C132" s="4" t="s">
        <v>114</v>
      </c>
      <c r="D132" s="2">
        <v>127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</row>
    <row r="133" spans="1:33" x14ac:dyDescent="0.25">
      <c r="A133" s="17"/>
      <c r="B133" s="4" t="s">
        <v>119</v>
      </c>
      <c r="C133" s="4" t="s">
        <v>63</v>
      </c>
      <c r="D133" s="2">
        <v>128</v>
      </c>
      <c r="E133" s="1">
        <v>0</v>
      </c>
      <c r="F133" s="1">
        <v>6.2446324002519297E-3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8.5465760000000002E-2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2.5803759974807002E-4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 spans="1:33" x14ac:dyDescent="0.25">
      <c r="A134" s="17"/>
      <c r="B134" s="4" t="s">
        <v>120</v>
      </c>
      <c r="C134" s="4" t="s">
        <v>63</v>
      </c>
      <c r="D134" s="2">
        <v>129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 spans="1:33" x14ac:dyDescent="0.25">
      <c r="A135" s="17"/>
      <c r="B135" s="4" t="s">
        <v>121</v>
      </c>
      <c r="C135" s="4" t="s">
        <v>63</v>
      </c>
      <c r="D135" s="2">
        <v>130</v>
      </c>
      <c r="E135" s="1">
        <v>0</v>
      </c>
      <c r="F135" s="1">
        <v>6.2446324002519297E-3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8.5465760000000002E-2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2.5803759974807002E-4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</row>
    <row r="136" spans="1:33" x14ac:dyDescent="0.25">
      <c r="A136" s="17" t="s">
        <v>128</v>
      </c>
      <c r="B136" s="4" t="s">
        <v>0</v>
      </c>
      <c r="C136" s="4" t="s">
        <v>94</v>
      </c>
      <c r="D136" s="2">
        <v>131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</row>
    <row r="137" spans="1:33" x14ac:dyDescent="0.25">
      <c r="A137" s="17"/>
      <c r="B137" s="4" t="s">
        <v>1</v>
      </c>
      <c r="C137" s="4" t="s">
        <v>95</v>
      </c>
      <c r="D137" s="2">
        <v>132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</row>
    <row r="138" spans="1:33" x14ac:dyDescent="0.25">
      <c r="A138" s="17"/>
      <c r="B138" s="4" t="s">
        <v>2</v>
      </c>
      <c r="C138" s="4" t="s">
        <v>96</v>
      </c>
      <c r="D138" s="2">
        <v>133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</row>
    <row r="139" spans="1:33" x14ac:dyDescent="0.25">
      <c r="A139" s="17"/>
      <c r="B139" s="4" t="s">
        <v>3</v>
      </c>
      <c r="C139" s="4" t="s">
        <v>97</v>
      </c>
      <c r="D139" s="2">
        <v>134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</row>
    <row r="140" spans="1:33" x14ac:dyDescent="0.25">
      <c r="A140" s="17"/>
      <c r="B140" s="4" t="s">
        <v>4</v>
      </c>
      <c r="C140" s="4" t="s">
        <v>98</v>
      </c>
      <c r="D140" s="2">
        <v>135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</row>
    <row r="141" spans="1:33" x14ac:dyDescent="0.25">
      <c r="A141" s="17"/>
      <c r="B141" s="4" t="s">
        <v>5</v>
      </c>
      <c r="C141" s="4" t="s">
        <v>99</v>
      </c>
      <c r="D141" s="2">
        <v>136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</row>
    <row r="142" spans="1:33" x14ac:dyDescent="0.25">
      <c r="A142" s="17"/>
      <c r="B142" s="4" t="s">
        <v>6</v>
      </c>
      <c r="C142" s="4" t="s">
        <v>100</v>
      </c>
      <c r="D142" s="2">
        <v>137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</row>
    <row r="143" spans="1:33" x14ac:dyDescent="0.25">
      <c r="A143" s="17"/>
      <c r="B143" s="4" t="s">
        <v>7</v>
      </c>
      <c r="C143" s="4" t="s">
        <v>64</v>
      </c>
      <c r="D143" s="2">
        <v>138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</row>
    <row r="144" spans="1:33" x14ac:dyDescent="0.25">
      <c r="A144" s="17"/>
      <c r="B144" s="4" t="s">
        <v>8</v>
      </c>
      <c r="C144" s="4" t="s">
        <v>65</v>
      </c>
      <c r="D144" s="2">
        <v>139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</row>
    <row r="145" spans="1:33" x14ac:dyDescent="0.25">
      <c r="A145" s="17"/>
      <c r="B145" s="4" t="s">
        <v>9</v>
      </c>
      <c r="C145" s="4" t="s">
        <v>101</v>
      </c>
      <c r="D145" s="2">
        <v>140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</row>
    <row r="146" spans="1:33" x14ac:dyDescent="0.25">
      <c r="A146" s="17"/>
      <c r="B146" s="4" t="s">
        <v>10</v>
      </c>
      <c r="C146" s="4" t="s">
        <v>102</v>
      </c>
      <c r="D146" s="2">
        <v>141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</row>
    <row r="147" spans="1:33" x14ac:dyDescent="0.25">
      <c r="A147" s="17"/>
      <c r="B147" s="4" t="s">
        <v>73</v>
      </c>
      <c r="C147" s="4" t="s">
        <v>103</v>
      </c>
      <c r="D147" s="2">
        <v>142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</row>
    <row r="148" spans="1:33" x14ac:dyDescent="0.25">
      <c r="A148" s="17"/>
      <c r="B148" s="4" t="s">
        <v>12</v>
      </c>
      <c r="C148" s="4" t="s">
        <v>104</v>
      </c>
      <c r="D148" s="2">
        <v>143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</row>
    <row r="149" spans="1:33" x14ac:dyDescent="0.25">
      <c r="A149" s="17"/>
      <c r="B149" s="4" t="s">
        <v>74</v>
      </c>
      <c r="C149" s="4" t="s">
        <v>105</v>
      </c>
      <c r="D149" s="2">
        <v>144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</row>
    <row r="150" spans="1:33" x14ac:dyDescent="0.25">
      <c r="A150" s="17"/>
      <c r="B150" s="4" t="s">
        <v>75</v>
      </c>
      <c r="C150" s="4" t="s">
        <v>106</v>
      </c>
      <c r="D150" s="2">
        <v>145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</row>
    <row r="151" spans="1:33" x14ac:dyDescent="0.25">
      <c r="A151" s="17"/>
      <c r="B151" s="4" t="s">
        <v>76</v>
      </c>
      <c r="C151" s="4" t="s">
        <v>107</v>
      </c>
      <c r="D151" s="2">
        <v>146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</row>
    <row r="152" spans="1:33" x14ac:dyDescent="0.25">
      <c r="A152" s="17"/>
      <c r="B152" s="4" t="s">
        <v>77</v>
      </c>
      <c r="C152" s="4" t="s">
        <v>108</v>
      </c>
      <c r="D152" s="2">
        <v>147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</row>
    <row r="153" spans="1:33" x14ac:dyDescent="0.25">
      <c r="A153" s="17"/>
      <c r="B153" s="4" t="s">
        <v>78</v>
      </c>
      <c r="C153" s="4" t="s">
        <v>109</v>
      </c>
      <c r="D153" s="2">
        <v>148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</row>
    <row r="154" spans="1:33" x14ac:dyDescent="0.25">
      <c r="A154" s="17"/>
      <c r="B154" s="4" t="s">
        <v>79</v>
      </c>
      <c r="C154" s="4" t="s">
        <v>110</v>
      </c>
      <c r="D154" s="2">
        <v>149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</row>
    <row r="155" spans="1:33" x14ac:dyDescent="0.25">
      <c r="A155" s="17"/>
      <c r="B155" s="4" t="s">
        <v>80</v>
      </c>
      <c r="C155" s="4" t="s">
        <v>111</v>
      </c>
      <c r="D155" s="2">
        <v>150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</row>
    <row r="156" spans="1:33" x14ac:dyDescent="0.25">
      <c r="A156" s="17"/>
      <c r="B156" s="4" t="s">
        <v>81</v>
      </c>
      <c r="C156" s="4" t="s">
        <v>112</v>
      </c>
      <c r="D156" s="2">
        <v>151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</row>
    <row r="157" spans="1:33" x14ac:dyDescent="0.25">
      <c r="A157" s="17"/>
      <c r="B157" s="4" t="s">
        <v>27</v>
      </c>
      <c r="C157" s="4" t="s">
        <v>113</v>
      </c>
      <c r="D157" s="2">
        <v>152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</row>
    <row r="158" spans="1:33" x14ac:dyDescent="0.25">
      <c r="A158" s="17"/>
      <c r="B158" s="4" t="s">
        <v>82</v>
      </c>
      <c r="C158" s="4" t="s">
        <v>114</v>
      </c>
      <c r="D158" s="2">
        <v>153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</row>
    <row r="159" spans="1:33" x14ac:dyDescent="0.25">
      <c r="A159" s="17"/>
      <c r="B159" s="4" t="s">
        <v>119</v>
      </c>
      <c r="C159" s="4" t="s">
        <v>63</v>
      </c>
      <c r="D159" s="2">
        <v>154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1.3948999999999999E-3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</row>
    <row r="160" spans="1:33" x14ac:dyDescent="0.25">
      <c r="A160" s="17"/>
      <c r="B160" s="4" t="s">
        <v>120</v>
      </c>
      <c r="C160" s="4" t="s">
        <v>63</v>
      </c>
      <c r="D160" s="2">
        <v>155</v>
      </c>
      <c r="E160" s="1">
        <v>0</v>
      </c>
      <c r="F160" s="1">
        <v>0</v>
      </c>
      <c r="G160" s="1">
        <v>0</v>
      </c>
      <c r="H160" s="1">
        <v>0</v>
      </c>
      <c r="I160" s="1">
        <v>1.3948999999999999E-3</v>
      </c>
      <c r="J160" s="1">
        <v>0</v>
      </c>
      <c r="K160" s="1">
        <v>0</v>
      </c>
      <c r="L160" s="1">
        <v>0.1365202078545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1.80382145500369E-4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</row>
    <row r="161" spans="1:33" x14ac:dyDescent="0.25">
      <c r="A161" s="17"/>
      <c r="B161" s="4" t="s">
        <v>121</v>
      </c>
      <c r="C161" s="4" t="s">
        <v>63</v>
      </c>
      <c r="D161" s="2">
        <v>156</v>
      </c>
      <c r="E161" s="1">
        <v>0</v>
      </c>
      <c r="F161" s="1">
        <v>0</v>
      </c>
      <c r="G161" s="1">
        <v>0</v>
      </c>
      <c r="H161" s="1">
        <v>0</v>
      </c>
      <c r="I161" s="1">
        <v>1.3948999999999999E-3</v>
      </c>
      <c r="J161" s="1">
        <v>0</v>
      </c>
      <c r="K161" s="1">
        <v>0</v>
      </c>
      <c r="L161" s="1">
        <v>0.13791510785450001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1.80382145500369E-4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</row>
  </sheetData>
  <mergeCells count="7">
    <mergeCell ref="A110:A135"/>
    <mergeCell ref="A136:A161"/>
    <mergeCell ref="A1:C1"/>
    <mergeCell ref="A6:A31"/>
    <mergeCell ref="A32:A57"/>
    <mergeCell ref="A58:A83"/>
    <mergeCell ref="A84:A109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8"/>
  <sheetViews>
    <sheetView workbookViewId="0">
      <selection sqref="A1:C1"/>
    </sheetView>
  </sheetViews>
  <sheetFormatPr defaultColWidth="11.5703125" defaultRowHeight="15" x14ac:dyDescent="0.25"/>
  <cols>
    <col min="2" max="2" width="23.7109375" customWidth="1"/>
    <col min="4" max="4" width="3.7109375" customWidth="1"/>
    <col min="5" max="6" width="15.7109375" customWidth="1"/>
  </cols>
  <sheetData>
    <row r="1" spans="1:6" x14ac:dyDescent="0.25">
      <c r="A1" s="18" t="s">
        <v>134</v>
      </c>
      <c r="B1" s="18"/>
      <c r="C1" s="18"/>
    </row>
    <row r="4" spans="1:6" ht="45" x14ac:dyDescent="0.25">
      <c r="E4" s="3" t="s">
        <v>129</v>
      </c>
      <c r="F4" s="3" t="s">
        <v>130</v>
      </c>
    </row>
    <row r="5" spans="1:6" x14ac:dyDescent="0.25">
      <c r="E5" s="2">
        <v>1</v>
      </c>
      <c r="F5" s="2">
        <v>2</v>
      </c>
    </row>
    <row r="6" spans="1:6" x14ac:dyDescent="0.25">
      <c r="A6" s="17" t="s">
        <v>135</v>
      </c>
      <c r="B6" s="4" t="s">
        <v>0</v>
      </c>
      <c r="C6" s="4" t="s">
        <v>94</v>
      </c>
      <c r="D6" s="2">
        <v>1</v>
      </c>
      <c r="E6" s="1">
        <v>472.267948757856</v>
      </c>
      <c r="F6" s="1">
        <v>475.00851062647399</v>
      </c>
    </row>
    <row r="7" spans="1:6" x14ac:dyDescent="0.25">
      <c r="A7" s="17"/>
      <c r="B7" s="4" t="s">
        <v>1</v>
      </c>
      <c r="C7" s="4" t="s">
        <v>95</v>
      </c>
      <c r="D7" s="2">
        <v>2</v>
      </c>
      <c r="E7" s="1">
        <v>0</v>
      </c>
      <c r="F7" s="1">
        <v>0</v>
      </c>
    </row>
    <row r="8" spans="1:6" x14ac:dyDescent="0.25">
      <c r="A8" s="17"/>
      <c r="B8" s="4" t="s">
        <v>2</v>
      </c>
      <c r="C8" s="4" t="s">
        <v>96</v>
      </c>
      <c r="D8" s="2">
        <v>3</v>
      </c>
      <c r="E8" s="1">
        <v>179.06354920661701</v>
      </c>
      <c r="F8" s="1">
        <v>516.313624558112</v>
      </c>
    </row>
    <row r="9" spans="1:6" x14ac:dyDescent="0.25">
      <c r="A9" s="17"/>
      <c r="B9" s="4" t="s">
        <v>3</v>
      </c>
      <c r="C9" s="4" t="s">
        <v>97</v>
      </c>
      <c r="D9" s="2">
        <v>4</v>
      </c>
      <c r="E9" s="1">
        <v>136.07541560851999</v>
      </c>
      <c r="F9" s="1">
        <v>116.435664902136</v>
      </c>
    </row>
    <row r="10" spans="1:6" x14ac:dyDescent="0.25">
      <c r="A10" s="17"/>
      <c r="B10" s="4" t="s">
        <v>4</v>
      </c>
      <c r="C10" s="4" t="s">
        <v>98</v>
      </c>
      <c r="D10" s="2">
        <v>5</v>
      </c>
      <c r="E10" s="1">
        <v>34.613429397591503</v>
      </c>
      <c r="F10" s="1">
        <v>121.730375297148</v>
      </c>
    </row>
    <row r="11" spans="1:6" x14ac:dyDescent="0.25">
      <c r="A11" s="17"/>
      <c r="B11" s="4" t="s">
        <v>5</v>
      </c>
      <c r="C11" s="4" t="s">
        <v>99</v>
      </c>
      <c r="D11" s="2">
        <v>6</v>
      </c>
      <c r="E11" s="1">
        <v>120.67144318653899</v>
      </c>
      <c r="F11" s="1">
        <v>136.73437890756199</v>
      </c>
    </row>
    <row r="12" spans="1:6" x14ac:dyDescent="0.25">
      <c r="A12" s="17"/>
      <c r="B12" s="4" t="s">
        <v>6</v>
      </c>
      <c r="C12" s="4" t="s">
        <v>100</v>
      </c>
      <c r="D12" s="2">
        <v>7</v>
      </c>
      <c r="E12" s="1">
        <v>3373.9452819254302</v>
      </c>
      <c r="F12" s="1">
        <v>2569.9985562296201</v>
      </c>
    </row>
    <row r="13" spans="1:6" x14ac:dyDescent="0.25">
      <c r="A13" s="17"/>
      <c r="B13" s="4" t="s">
        <v>7</v>
      </c>
      <c r="C13" s="4" t="s">
        <v>64</v>
      </c>
      <c r="D13" s="2">
        <v>8</v>
      </c>
      <c r="E13" s="1">
        <v>29727.600572251202</v>
      </c>
      <c r="F13" s="1">
        <v>2336.2507196460701</v>
      </c>
    </row>
    <row r="14" spans="1:6" x14ac:dyDescent="0.25">
      <c r="A14" s="17"/>
      <c r="B14" s="4" t="s">
        <v>8</v>
      </c>
      <c r="C14" s="4" t="s">
        <v>65</v>
      </c>
      <c r="D14" s="2">
        <v>9</v>
      </c>
      <c r="E14" s="1">
        <v>671.47784282696102</v>
      </c>
      <c r="F14" s="1">
        <v>30.773611409628899</v>
      </c>
    </row>
    <row r="15" spans="1:6" x14ac:dyDescent="0.25">
      <c r="A15" s="17"/>
      <c r="B15" s="4" t="s">
        <v>9</v>
      </c>
      <c r="C15" s="4" t="s">
        <v>101</v>
      </c>
      <c r="D15" s="2">
        <v>10</v>
      </c>
      <c r="E15" s="1">
        <v>28.5046715741789</v>
      </c>
      <c r="F15" s="1">
        <v>0</v>
      </c>
    </row>
    <row r="16" spans="1:6" x14ac:dyDescent="0.25">
      <c r="A16" s="17"/>
      <c r="B16" s="4" t="s">
        <v>10</v>
      </c>
      <c r="C16" s="4" t="s">
        <v>102</v>
      </c>
      <c r="D16" s="2">
        <v>11</v>
      </c>
      <c r="E16" s="1">
        <v>233.93985509111499</v>
      </c>
      <c r="F16" s="1">
        <v>94.871608926181395</v>
      </c>
    </row>
    <row r="17" spans="1:6" x14ac:dyDescent="0.25">
      <c r="A17" s="17"/>
      <c r="B17" s="4" t="s">
        <v>73</v>
      </c>
      <c r="C17" s="4" t="s">
        <v>103</v>
      </c>
      <c r="D17" s="2">
        <v>12</v>
      </c>
      <c r="E17" s="1">
        <v>2.5861742872495701E-2</v>
      </c>
      <c r="F17" s="1">
        <v>7.0725435621892804E-2</v>
      </c>
    </row>
    <row r="18" spans="1:6" x14ac:dyDescent="0.25">
      <c r="A18" s="17"/>
      <c r="B18" s="4" t="s">
        <v>12</v>
      </c>
      <c r="C18" s="4" t="s">
        <v>104</v>
      </c>
      <c r="D18" s="2">
        <v>13</v>
      </c>
      <c r="E18" s="1">
        <v>0</v>
      </c>
      <c r="F18" s="1">
        <v>0</v>
      </c>
    </row>
    <row r="19" spans="1:6" x14ac:dyDescent="0.25">
      <c r="A19" s="17"/>
      <c r="B19" s="4" t="s">
        <v>74</v>
      </c>
      <c r="C19" s="4" t="s">
        <v>105</v>
      </c>
      <c r="D19" s="2">
        <v>14</v>
      </c>
      <c r="E19" s="1">
        <v>1305.9293528353401</v>
      </c>
      <c r="F19" s="1">
        <v>244.33280059344801</v>
      </c>
    </row>
    <row r="20" spans="1:6" x14ac:dyDescent="0.25">
      <c r="A20" s="17"/>
      <c r="B20" s="4" t="s">
        <v>75</v>
      </c>
      <c r="C20" s="4" t="s">
        <v>106</v>
      </c>
      <c r="D20" s="2">
        <v>15</v>
      </c>
      <c r="E20" s="1">
        <v>0</v>
      </c>
      <c r="F20" s="1">
        <v>0</v>
      </c>
    </row>
    <row r="21" spans="1:6" x14ac:dyDescent="0.25">
      <c r="A21" s="17"/>
      <c r="B21" s="4" t="s">
        <v>76</v>
      </c>
      <c r="C21" s="4" t="s">
        <v>107</v>
      </c>
      <c r="D21" s="2">
        <v>16</v>
      </c>
      <c r="E21" s="1">
        <v>526.672218231089</v>
      </c>
      <c r="F21" s="1">
        <v>84.759301977392894</v>
      </c>
    </row>
    <row r="22" spans="1:6" x14ac:dyDescent="0.25">
      <c r="A22" s="17"/>
      <c r="B22" s="4" t="s">
        <v>77</v>
      </c>
      <c r="C22" s="4" t="s">
        <v>108</v>
      </c>
      <c r="D22" s="2">
        <v>17</v>
      </c>
      <c r="E22" s="1">
        <v>567.97078888540398</v>
      </c>
      <c r="F22" s="1">
        <v>199.042684292964</v>
      </c>
    </row>
    <row r="23" spans="1:6" x14ac:dyDescent="0.25">
      <c r="A23" s="17"/>
      <c r="B23" s="4" t="s">
        <v>78</v>
      </c>
      <c r="C23" s="4" t="s">
        <v>109</v>
      </c>
      <c r="D23" s="2">
        <v>18</v>
      </c>
      <c r="E23" s="1">
        <v>0</v>
      </c>
      <c r="F23" s="1">
        <v>0</v>
      </c>
    </row>
    <row r="24" spans="1:6" x14ac:dyDescent="0.25">
      <c r="A24" s="17"/>
      <c r="B24" s="4" t="s">
        <v>79</v>
      </c>
      <c r="C24" s="4" t="s">
        <v>110</v>
      </c>
      <c r="D24" s="2">
        <v>19</v>
      </c>
      <c r="E24" s="1">
        <v>0</v>
      </c>
      <c r="F24" s="1">
        <v>0</v>
      </c>
    </row>
    <row r="25" spans="1:6" x14ac:dyDescent="0.25">
      <c r="A25" s="17"/>
      <c r="B25" s="4" t="s">
        <v>80</v>
      </c>
      <c r="C25" s="4" t="s">
        <v>111</v>
      </c>
      <c r="D25" s="2">
        <v>20</v>
      </c>
      <c r="E25" s="1">
        <v>60.096597627290102</v>
      </c>
      <c r="F25" s="1">
        <v>20.336810320772202</v>
      </c>
    </row>
    <row r="26" spans="1:6" x14ac:dyDescent="0.25">
      <c r="A26" s="17"/>
      <c r="B26" s="4" t="s">
        <v>81</v>
      </c>
      <c r="C26" s="4" t="s">
        <v>112</v>
      </c>
      <c r="D26" s="2">
        <v>21</v>
      </c>
      <c r="E26" s="1">
        <v>37.815390540148798</v>
      </c>
      <c r="F26" s="1">
        <v>11.4042434145519</v>
      </c>
    </row>
    <row r="27" spans="1:6" x14ac:dyDescent="0.25">
      <c r="A27" s="17"/>
      <c r="B27" s="4" t="s">
        <v>27</v>
      </c>
      <c r="C27" s="4" t="s">
        <v>113</v>
      </c>
      <c r="D27" s="2">
        <v>22</v>
      </c>
      <c r="E27" s="1">
        <v>48.245785157886502</v>
      </c>
      <c r="F27" s="1">
        <v>0</v>
      </c>
    </row>
    <row r="28" spans="1:6" x14ac:dyDescent="0.25">
      <c r="A28" s="17"/>
      <c r="B28" s="4" t="s">
        <v>82</v>
      </c>
      <c r="C28" s="4" t="s">
        <v>114</v>
      </c>
      <c r="D28" s="2">
        <v>23</v>
      </c>
      <c r="E28" s="1">
        <v>0</v>
      </c>
      <c r="F28" s="1">
        <v>0</v>
      </c>
    </row>
    <row r="29" spans="1:6" x14ac:dyDescent="0.25">
      <c r="A29" s="17"/>
      <c r="B29" s="4" t="s">
        <v>131</v>
      </c>
      <c r="C29" s="4" t="s">
        <v>63</v>
      </c>
      <c r="D29" s="2">
        <v>24</v>
      </c>
      <c r="E29" s="1">
        <v>37524.916004846003</v>
      </c>
      <c r="F29" s="1">
        <v>6958.06361653768</v>
      </c>
    </row>
    <row r="30" spans="1:6" x14ac:dyDescent="0.25">
      <c r="A30" s="17" t="s">
        <v>136</v>
      </c>
      <c r="B30" s="4" t="s">
        <v>0</v>
      </c>
      <c r="C30" s="4" t="s">
        <v>94</v>
      </c>
      <c r="D30" s="2">
        <v>25</v>
      </c>
      <c r="E30" s="1">
        <v>-14.8255241788512</v>
      </c>
      <c r="F30" s="1">
        <v>0</v>
      </c>
    </row>
    <row r="31" spans="1:6" x14ac:dyDescent="0.25">
      <c r="A31" s="17"/>
      <c r="B31" s="4" t="s">
        <v>1</v>
      </c>
      <c r="C31" s="4" t="s">
        <v>95</v>
      </c>
      <c r="D31" s="2">
        <v>26</v>
      </c>
      <c r="E31" s="1">
        <v>-3.9150961716569999</v>
      </c>
      <c r="F31" s="1">
        <v>0</v>
      </c>
    </row>
    <row r="32" spans="1:6" x14ac:dyDescent="0.25">
      <c r="A32" s="17"/>
      <c r="B32" s="4" t="s">
        <v>2</v>
      </c>
      <c r="C32" s="4" t="s">
        <v>96</v>
      </c>
      <c r="D32" s="2">
        <v>27</v>
      </c>
      <c r="E32" s="1">
        <v>-15.8352456045567</v>
      </c>
      <c r="F32" s="1">
        <v>0</v>
      </c>
    </row>
    <row r="33" spans="1:6" x14ac:dyDescent="0.25">
      <c r="A33" s="17"/>
      <c r="B33" s="4" t="s">
        <v>3</v>
      </c>
      <c r="C33" s="4" t="s">
        <v>97</v>
      </c>
      <c r="D33" s="2">
        <v>28</v>
      </c>
      <c r="E33" s="1">
        <v>-4.5442116254474003</v>
      </c>
      <c r="F33" s="1">
        <v>0</v>
      </c>
    </row>
    <row r="34" spans="1:6" x14ac:dyDescent="0.25">
      <c r="A34" s="17"/>
      <c r="B34" s="4" t="s">
        <v>4</v>
      </c>
      <c r="C34" s="4" t="s">
        <v>98</v>
      </c>
      <c r="D34" s="2">
        <v>29</v>
      </c>
      <c r="E34" s="1">
        <v>-2.7805283017740501</v>
      </c>
      <c r="F34" s="1">
        <v>0</v>
      </c>
    </row>
    <row r="35" spans="1:6" x14ac:dyDescent="0.25">
      <c r="A35" s="17"/>
      <c r="B35" s="4" t="s">
        <v>5</v>
      </c>
      <c r="C35" s="4" t="s">
        <v>99</v>
      </c>
      <c r="D35" s="2">
        <v>30</v>
      </c>
      <c r="E35" s="1">
        <v>-3.6602099105504999</v>
      </c>
      <c r="F35" s="1">
        <v>0</v>
      </c>
    </row>
    <row r="36" spans="1:6" x14ac:dyDescent="0.25">
      <c r="A36" s="17"/>
      <c r="B36" s="4" t="s">
        <v>6</v>
      </c>
      <c r="C36" s="4" t="s">
        <v>100</v>
      </c>
      <c r="D36" s="2">
        <v>31</v>
      </c>
      <c r="E36" s="1">
        <v>-35.506412190706101</v>
      </c>
      <c r="F36" s="1">
        <v>0</v>
      </c>
    </row>
    <row r="37" spans="1:6" x14ac:dyDescent="0.25">
      <c r="A37" s="17"/>
      <c r="B37" s="4" t="s">
        <v>7</v>
      </c>
      <c r="C37" s="4" t="s">
        <v>64</v>
      </c>
      <c r="D37" s="2">
        <v>32</v>
      </c>
      <c r="E37" s="1">
        <v>-569.90094479723598</v>
      </c>
      <c r="F37" s="1">
        <v>0</v>
      </c>
    </row>
    <row r="38" spans="1:6" x14ac:dyDescent="0.25">
      <c r="A38" s="17"/>
      <c r="B38" s="4" t="s">
        <v>8</v>
      </c>
      <c r="C38" s="4" t="s">
        <v>65</v>
      </c>
      <c r="D38" s="2">
        <v>33</v>
      </c>
      <c r="E38" s="1">
        <v>-29.253058581356001</v>
      </c>
      <c r="F38" s="1">
        <v>0</v>
      </c>
    </row>
    <row r="39" spans="1:6" x14ac:dyDescent="0.25">
      <c r="A39" s="17"/>
      <c r="B39" s="4" t="s">
        <v>9</v>
      </c>
      <c r="C39" s="4" t="s">
        <v>101</v>
      </c>
      <c r="D39" s="2">
        <v>34</v>
      </c>
      <c r="E39" s="1">
        <v>-4.5852526335916597</v>
      </c>
      <c r="F39" s="1">
        <v>0</v>
      </c>
    </row>
    <row r="40" spans="1:6" x14ac:dyDescent="0.25">
      <c r="A40" s="17"/>
      <c r="B40" s="4" t="s">
        <v>10</v>
      </c>
      <c r="C40" s="4" t="s">
        <v>102</v>
      </c>
      <c r="D40" s="2">
        <v>35</v>
      </c>
      <c r="E40" s="1">
        <v>-5.45683404339227</v>
      </c>
      <c r="F40" s="1">
        <v>0</v>
      </c>
    </row>
    <row r="41" spans="1:6" x14ac:dyDescent="0.25">
      <c r="A41" s="17"/>
      <c r="B41" s="4" t="s">
        <v>73</v>
      </c>
      <c r="C41" s="4" t="s">
        <v>103</v>
      </c>
      <c r="D41" s="2">
        <v>36</v>
      </c>
      <c r="E41" s="1">
        <v>-0.26826024201151599</v>
      </c>
      <c r="F41" s="1">
        <v>0</v>
      </c>
    </row>
    <row r="42" spans="1:6" x14ac:dyDescent="0.25">
      <c r="A42" s="17"/>
      <c r="B42" s="4" t="s">
        <v>12</v>
      </c>
      <c r="C42" s="4" t="s">
        <v>104</v>
      </c>
      <c r="D42" s="2">
        <v>37</v>
      </c>
      <c r="E42" s="1">
        <v>-1.2676391836482901</v>
      </c>
      <c r="F42" s="1">
        <v>0</v>
      </c>
    </row>
    <row r="43" spans="1:6" x14ac:dyDescent="0.25">
      <c r="A43" s="17"/>
      <c r="B43" s="4" t="s">
        <v>74</v>
      </c>
      <c r="C43" s="4" t="s">
        <v>105</v>
      </c>
      <c r="D43" s="2">
        <v>38</v>
      </c>
      <c r="E43" s="1">
        <v>-13.3028131221143</v>
      </c>
      <c r="F43" s="1">
        <v>0</v>
      </c>
    </row>
    <row r="44" spans="1:6" x14ac:dyDescent="0.25">
      <c r="A44" s="17"/>
      <c r="B44" s="4" t="s">
        <v>75</v>
      </c>
      <c r="C44" s="4" t="s">
        <v>106</v>
      </c>
      <c r="D44" s="2">
        <v>39</v>
      </c>
      <c r="E44" s="1">
        <v>-5.2035315893956797</v>
      </c>
      <c r="F44" s="1">
        <v>0</v>
      </c>
    </row>
    <row r="45" spans="1:6" x14ac:dyDescent="0.25">
      <c r="A45" s="17"/>
      <c r="B45" s="4" t="s">
        <v>76</v>
      </c>
      <c r="C45" s="4" t="s">
        <v>107</v>
      </c>
      <c r="D45" s="2">
        <v>40</v>
      </c>
      <c r="E45" s="1">
        <v>-3.8950605547428698</v>
      </c>
      <c r="F45" s="1">
        <v>0</v>
      </c>
    </row>
    <row r="46" spans="1:6" x14ac:dyDescent="0.25">
      <c r="A46" s="17"/>
      <c r="B46" s="4" t="s">
        <v>77</v>
      </c>
      <c r="C46" s="4" t="s">
        <v>108</v>
      </c>
      <c r="D46" s="2">
        <v>41</v>
      </c>
      <c r="E46" s="1">
        <v>-6.7987224633904804</v>
      </c>
      <c r="F46" s="1">
        <v>0</v>
      </c>
    </row>
    <row r="47" spans="1:6" x14ac:dyDescent="0.25">
      <c r="A47" s="17"/>
      <c r="B47" s="4" t="s">
        <v>78</v>
      </c>
      <c r="C47" s="4" t="s">
        <v>109</v>
      </c>
      <c r="D47" s="2">
        <v>42</v>
      </c>
      <c r="E47" s="1">
        <v>-0.19000191523908599</v>
      </c>
      <c r="F47" s="1">
        <v>0</v>
      </c>
    </row>
    <row r="48" spans="1:6" x14ac:dyDescent="0.25">
      <c r="A48" s="17"/>
      <c r="B48" s="4" t="s">
        <v>79</v>
      </c>
      <c r="C48" s="4" t="s">
        <v>110</v>
      </c>
      <c r="D48" s="2">
        <v>43</v>
      </c>
      <c r="E48" s="1">
        <v>-5.5368625240985903E-2</v>
      </c>
      <c r="F48" s="1">
        <v>0</v>
      </c>
    </row>
    <row r="49" spans="1:6" x14ac:dyDescent="0.25">
      <c r="A49" s="17"/>
      <c r="B49" s="4" t="s">
        <v>80</v>
      </c>
      <c r="C49" s="4" t="s">
        <v>111</v>
      </c>
      <c r="D49" s="2">
        <v>44</v>
      </c>
      <c r="E49" s="1">
        <v>-0.36092943374245401</v>
      </c>
      <c r="F49" s="1">
        <v>0</v>
      </c>
    </row>
    <row r="50" spans="1:6" x14ac:dyDescent="0.25">
      <c r="A50" s="17"/>
      <c r="B50" s="4" t="s">
        <v>81</v>
      </c>
      <c r="C50" s="4" t="s">
        <v>112</v>
      </c>
      <c r="D50" s="2">
        <v>45</v>
      </c>
      <c r="E50" s="1">
        <v>-0.50732126793862697</v>
      </c>
      <c r="F50" s="1">
        <v>0</v>
      </c>
    </row>
    <row r="51" spans="1:6" x14ac:dyDescent="0.25">
      <c r="A51" s="17"/>
      <c r="B51" s="4" t="s">
        <v>27</v>
      </c>
      <c r="C51" s="4" t="s">
        <v>113</v>
      </c>
      <c r="D51" s="2">
        <v>46</v>
      </c>
      <c r="E51" s="1">
        <v>-0.56096462094747701</v>
      </c>
      <c r="F51" s="1">
        <v>0</v>
      </c>
    </row>
    <row r="52" spans="1:6" x14ac:dyDescent="0.25">
      <c r="A52" s="17"/>
      <c r="B52" s="4" t="s">
        <v>82</v>
      </c>
      <c r="C52" s="4" t="s">
        <v>114</v>
      </c>
      <c r="D52" s="2">
        <v>47</v>
      </c>
      <c r="E52" s="1">
        <v>-0.32606894246992302</v>
      </c>
      <c r="F52" s="1">
        <v>0</v>
      </c>
    </row>
    <row r="53" spans="1:6" x14ac:dyDescent="0.25">
      <c r="A53" s="17"/>
      <c r="B53" s="4" t="s">
        <v>132</v>
      </c>
      <c r="C53" s="4" t="s">
        <v>63</v>
      </c>
      <c r="D53" s="2">
        <v>48</v>
      </c>
      <c r="E53" s="1">
        <v>-723</v>
      </c>
      <c r="F53" s="1">
        <v>0</v>
      </c>
    </row>
    <row r="54" spans="1:6" x14ac:dyDescent="0.25">
      <c r="A54" s="17" t="s">
        <v>137</v>
      </c>
      <c r="B54" s="4" t="s">
        <v>0</v>
      </c>
      <c r="C54" s="4" t="s">
        <v>94</v>
      </c>
      <c r="D54" s="2">
        <v>49</v>
      </c>
      <c r="E54" s="1">
        <v>-11.7885941070922</v>
      </c>
      <c r="F54" s="1">
        <v>-150.662341098387</v>
      </c>
    </row>
    <row r="55" spans="1:6" x14ac:dyDescent="0.25">
      <c r="A55" s="17"/>
      <c r="B55" s="4" t="s">
        <v>1</v>
      </c>
      <c r="C55" s="4" t="s">
        <v>95</v>
      </c>
      <c r="D55" s="2">
        <v>50</v>
      </c>
      <c r="E55" s="1">
        <v>26.120591271332898</v>
      </c>
      <c r="F55" s="1">
        <v>42.7945049003241</v>
      </c>
    </row>
    <row r="56" spans="1:6" x14ac:dyDescent="0.25">
      <c r="A56" s="17"/>
      <c r="B56" s="4" t="s">
        <v>2</v>
      </c>
      <c r="C56" s="4" t="s">
        <v>96</v>
      </c>
      <c r="D56" s="2">
        <v>51</v>
      </c>
      <c r="E56" s="1">
        <v>385.90606104372301</v>
      </c>
      <c r="F56" s="1">
        <v>-91.749919397042703</v>
      </c>
    </row>
    <row r="57" spans="1:6" x14ac:dyDescent="0.25">
      <c r="A57" s="17"/>
      <c r="B57" s="4" t="s">
        <v>3</v>
      </c>
      <c r="C57" s="4" t="s">
        <v>97</v>
      </c>
      <c r="D57" s="2">
        <v>52</v>
      </c>
      <c r="E57" s="1">
        <v>96.124517627050594</v>
      </c>
      <c r="F57" s="1">
        <v>151.90861348774101</v>
      </c>
    </row>
    <row r="58" spans="1:6" x14ac:dyDescent="0.25">
      <c r="A58" s="17"/>
      <c r="B58" s="4" t="s">
        <v>4</v>
      </c>
      <c r="C58" s="4" t="s">
        <v>98</v>
      </c>
      <c r="D58" s="2">
        <v>53</v>
      </c>
      <c r="E58" s="1">
        <v>158.73968971431199</v>
      </c>
      <c r="F58" s="1">
        <v>10.697033892723001</v>
      </c>
    </row>
    <row r="59" spans="1:6" x14ac:dyDescent="0.25">
      <c r="A59" s="17"/>
      <c r="B59" s="4" t="s">
        <v>5</v>
      </c>
      <c r="C59" s="4" t="s">
        <v>99</v>
      </c>
      <c r="D59" s="2">
        <v>54</v>
      </c>
      <c r="E59" s="1">
        <v>99.639666715939597</v>
      </c>
      <c r="F59" s="1">
        <v>42.614721100510202</v>
      </c>
    </row>
    <row r="60" spans="1:6" x14ac:dyDescent="0.25">
      <c r="A60" s="17"/>
      <c r="B60" s="4" t="s">
        <v>6</v>
      </c>
      <c r="C60" s="4" t="s">
        <v>100</v>
      </c>
      <c r="D60" s="2">
        <v>55</v>
      </c>
      <c r="E60" s="1">
        <v>1866.63908606416</v>
      </c>
      <c r="F60" s="1">
        <v>90.923487971499497</v>
      </c>
    </row>
    <row r="61" spans="1:6" x14ac:dyDescent="0.25">
      <c r="A61" s="17"/>
      <c r="B61" s="4" t="s">
        <v>7</v>
      </c>
      <c r="C61" s="4" t="s">
        <v>64</v>
      </c>
      <c r="D61" s="2">
        <v>56</v>
      </c>
      <c r="E61" s="1">
        <v>3604.4214413478799</v>
      </c>
      <c r="F61" s="1">
        <v>7474.0420658762696</v>
      </c>
    </row>
    <row r="62" spans="1:6" x14ac:dyDescent="0.25">
      <c r="A62" s="17"/>
      <c r="B62" s="4" t="s">
        <v>8</v>
      </c>
      <c r="C62" s="4" t="s">
        <v>65</v>
      </c>
      <c r="D62" s="2">
        <v>57</v>
      </c>
      <c r="E62" s="1">
        <v>-193.89221550936</v>
      </c>
      <c r="F62" s="1">
        <v>54.8938198541261</v>
      </c>
    </row>
    <row r="63" spans="1:6" x14ac:dyDescent="0.25">
      <c r="A63" s="17"/>
      <c r="B63" s="4" t="s">
        <v>9</v>
      </c>
      <c r="C63" s="4" t="s">
        <v>101</v>
      </c>
      <c r="D63" s="2">
        <v>58</v>
      </c>
      <c r="E63" s="1">
        <v>-19.981837786812498</v>
      </c>
      <c r="F63" s="1">
        <v>1.06241884622519</v>
      </c>
    </row>
    <row r="64" spans="1:6" x14ac:dyDescent="0.25">
      <c r="A64" s="17"/>
      <c r="B64" s="4" t="s">
        <v>10</v>
      </c>
      <c r="C64" s="4" t="s">
        <v>102</v>
      </c>
      <c r="D64" s="2">
        <v>59</v>
      </c>
      <c r="E64" s="1">
        <v>-228.48302104772301</v>
      </c>
      <c r="F64" s="1">
        <v>-94.871608926181395</v>
      </c>
    </row>
    <row r="65" spans="1:6" x14ac:dyDescent="0.25">
      <c r="A65" s="17"/>
      <c r="B65" s="4" t="s">
        <v>73</v>
      </c>
      <c r="C65" s="4" t="s">
        <v>103</v>
      </c>
      <c r="D65" s="2">
        <v>60</v>
      </c>
      <c r="E65" s="1">
        <v>68.536743777896305</v>
      </c>
      <c r="F65" s="1">
        <v>523.943341407037</v>
      </c>
    </row>
    <row r="66" spans="1:6" x14ac:dyDescent="0.25">
      <c r="A66" s="17"/>
      <c r="B66" s="4" t="s">
        <v>12</v>
      </c>
      <c r="C66" s="4" t="s">
        <v>104</v>
      </c>
      <c r="D66" s="2">
        <v>61</v>
      </c>
      <c r="E66" s="1">
        <v>122.14458392129001</v>
      </c>
      <c r="F66" s="1">
        <v>1291.4201295027899</v>
      </c>
    </row>
    <row r="67" spans="1:6" x14ac:dyDescent="0.25">
      <c r="A67" s="17"/>
      <c r="B67" s="4" t="s">
        <v>74</v>
      </c>
      <c r="C67" s="4" t="s">
        <v>105</v>
      </c>
      <c r="D67" s="2">
        <v>62</v>
      </c>
      <c r="E67" s="1">
        <v>3316.35609342724</v>
      </c>
      <c r="F67" s="1">
        <v>4989.6807639876097</v>
      </c>
    </row>
    <row r="68" spans="1:6" x14ac:dyDescent="0.25">
      <c r="A68" s="17"/>
      <c r="B68" s="4" t="s">
        <v>75</v>
      </c>
      <c r="C68" s="4" t="s">
        <v>106</v>
      </c>
      <c r="D68" s="2">
        <v>63</v>
      </c>
      <c r="E68" s="1">
        <v>146.39227473062701</v>
      </c>
      <c r="F68" s="1">
        <v>143.83517659971</v>
      </c>
    </row>
    <row r="69" spans="1:6" x14ac:dyDescent="0.25">
      <c r="A69" s="17"/>
      <c r="B69" s="4" t="s">
        <v>76</v>
      </c>
      <c r="C69" s="4" t="s">
        <v>107</v>
      </c>
      <c r="D69" s="2">
        <v>64</v>
      </c>
      <c r="E69" s="1">
        <v>542.00628985969399</v>
      </c>
      <c r="F69" s="1">
        <v>201.65124768375301</v>
      </c>
    </row>
    <row r="70" spans="1:6" x14ac:dyDescent="0.25">
      <c r="A70" s="17"/>
      <c r="B70" s="4" t="s">
        <v>77</v>
      </c>
      <c r="C70" s="4" t="s">
        <v>108</v>
      </c>
      <c r="D70" s="2">
        <v>65</v>
      </c>
      <c r="E70" s="1">
        <v>255.663417452505</v>
      </c>
      <c r="F70" s="1">
        <v>406.34993945516402</v>
      </c>
    </row>
    <row r="71" spans="1:6" x14ac:dyDescent="0.25">
      <c r="A71" s="17"/>
      <c r="B71" s="4" t="s">
        <v>78</v>
      </c>
      <c r="C71" s="4" t="s">
        <v>109</v>
      </c>
      <c r="D71" s="2">
        <v>66</v>
      </c>
      <c r="E71" s="1">
        <v>41.941180102184603</v>
      </c>
      <c r="F71" s="1">
        <v>0</v>
      </c>
    </row>
    <row r="72" spans="1:6" x14ac:dyDescent="0.25">
      <c r="A72" s="17"/>
      <c r="B72" s="4" t="s">
        <v>79</v>
      </c>
      <c r="C72" s="4" t="s">
        <v>110</v>
      </c>
      <c r="D72" s="2">
        <v>67</v>
      </c>
      <c r="E72" s="1">
        <v>12.2221053844089</v>
      </c>
      <c r="F72" s="1">
        <v>0</v>
      </c>
    </row>
    <row r="73" spans="1:6" x14ac:dyDescent="0.25">
      <c r="A73" s="17"/>
      <c r="B73" s="4" t="s">
        <v>80</v>
      </c>
      <c r="C73" s="4" t="s">
        <v>111</v>
      </c>
      <c r="D73" s="2">
        <v>68</v>
      </c>
      <c r="E73" s="1">
        <v>-30.6304774411045</v>
      </c>
      <c r="F73" s="1">
        <v>-17.573972387009299</v>
      </c>
    </row>
    <row r="74" spans="1:6" x14ac:dyDescent="0.25">
      <c r="A74" s="17"/>
      <c r="B74" s="4" t="s">
        <v>81</v>
      </c>
      <c r="C74" s="4" t="s">
        <v>112</v>
      </c>
      <c r="D74" s="2">
        <v>69</v>
      </c>
      <c r="E74" s="1">
        <v>-18.638468144813501</v>
      </c>
      <c r="F74" s="1">
        <v>-9.8945430046005995</v>
      </c>
    </row>
    <row r="75" spans="1:6" x14ac:dyDescent="0.25">
      <c r="A75" s="17"/>
      <c r="B75" s="4" t="s">
        <v>27</v>
      </c>
      <c r="C75" s="4" t="s">
        <v>113</v>
      </c>
      <c r="D75" s="2">
        <v>70</v>
      </c>
      <c r="E75" s="1">
        <v>96.330391427396506</v>
      </c>
      <c r="F75" s="1">
        <v>0</v>
      </c>
    </row>
    <row r="76" spans="1:6" x14ac:dyDescent="0.25">
      <c r="A76" s="17"/>
      <c r="B76" s="4" t="s">
        <v>82</v>
      </c>
      <c r="C76" s="4" t="s">
        <v>114</v>
      </c>
      <c r="D76" s="2">
        <v>71</v>
      </c>
      <c r="E76" s="1">
        <v>12.7596361224315</v>
      </c>
      <c r="F76" s="1">
        <v>3.42634291086287</v>
      </c>
    </row>
    <row r="77" spans="1:6" x14ac:dyDescent="0.25">
      <c r="A77" s="17"/>
      <c r="B77" s="4" t="s">
        <v>133</v>
      </c>
      <c r="C77" s="4" t="s">
        <v>63</v>
      </c>
      <c r="D77" s="2">
        <v>72</v>
      </c>
      <c r="E77" s="1">
        <v>10348.5291559532</v>
      </c>
      <c r="F77" s="1">
        <v>15064.4912226631</v>
      </c>
    </row>
    <row r="78" spans="1:6" x14ac:dyDescent="0.25">
      <c r="B78" s="4" t="s">
        <v>83</v>
      </c>
      <c r="C78" s="4" t="s">
        <v>63</v>
      </c>
      <c r="D78" s="2">
        <v>73</v>
      </c>
      <c r="E78" s="1">
        <v>47150.445160799201</v>
      </c>
      <c r="F78" s="1">
        <v>22022.554839200799</v>
      </c>
    </row>
  </sheetData>
  <mergeCells count="4">
    <mergeCell ref="A1:C1"/>
    <mergeCell ref="A6:A29"/>
    <mergeCell ref="A30:A53"/>
    <mergeCell ref="A54:A77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sqref="A1:C1"/>
    </sheetView>
  </sheetViews>
  <sheetFormatPr defaultColWidth="11.5703125" defaultRowHeight="15" x14ac:dyDescent="0.25"/>
  <cols>
    <col min="3" max="3" width="23.7109375" customWidth="1"/>
    <col min="4" max="4" width="3.7109375" customWidth="1"/>
    <col min="5" max="5" width="15.7109375" customWidth="1"/>
  </cols>
  <sheetData>
    <row r="1" spans="1:5" x14ac:dyDescent="0.25">
      <c r="A1" s="18" t="s">
        <v>139</v>
      </c>
      <c r="B1" s="18"/>
      <c r="C1" s="18"/>
    </row>
    <row r="4" spans="1:5" ht="30" x14ac:dyDescent="0.25">
      <c r="E4" s="3" t="s">
        <v>138</v>
      </c>
    </row>
    <row r="5" spans="1:5" x14ac:dyDescent="0.25">
      <c r="E5" s="2">
        <v>1</v>
      </c>
    </row>
    <row r="6" spans="1:5" x14ac:dyDescent="0.25">
      <c r="C6" s="4" t="s">
        <v>86</v>
      </c>
      <c r="D6" s="2">
        <v>1</v>
      </c>
      <c r="E6" s="1">
        <v>333879</v>
      </c>
    </row>
    <row r="7" spans="1:5" x14ac:dyDescent="0.25">
      <c r="C7" s="4" t="s">
        <v>140</v>
      </c>
      <c r="D7" s="2">
        <v>2</v>
      </c>
      <c r="E7" s="1">
        <v>51567</v>
      </c>
    </row>
    <row r="8" spans="1:5" x14ac:dyDescent="0.25">
      <c r="C8" s="4" t="s">
        <v>141</v>
      </c>
      <c r="D8" s="2">
        <v>3</v>
      </c>
      <c r="E8" s="1">
        <v>122694</v>
      </c>
    </row>
    <row r="9" spans="1:5" x14ac:dyDescent="0.25">
      <c r="C9" s="4" t="s">
        <v>142</v>
      </c>
      <c r="D9" s="2">
        <v>4</v>
      </c>
      <c r="E9" s="1">
        <v>7049</v>
      </c>
    </row>
    <row r="10" spans="1:5" x14ac:dyDescent="0.25">
      <c r="C10" s="4" t="s">
        <v>143</v>
      </c>
      <c r="D10" s="2">
        <v>5</v>
      </c>
      <c r="E10" s="1">
        <v>515189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sqref="A1:C1"/>
    </sheetView>
  </sheetViews>
  <sheetFormatPr defaultColWidth="11.5703125" defaultRowHeight="15" x14ac:dyDescent="0.25"/>
  <cols>
    <col min="3" max="3" width="23.7109375" customWidth="1"/>
    <col min="4" max="4" width="3.7109375" customWidth="1"/>
    <col min="5" max="5" width="15.7109375" customWidth="1"/>
  </cols>
  <sheetData>
    <row r="1" spans="1:5" x14ac:dyDescent="0.25">
      <c r="A1" s="18" t="s">
        <v>145</v>
      </c>
      <c r="B1" s="18"/>
      <c r="C1" s="18"/>
    </row>
    <row r="4" spans="1:5" x14ac:dyDescent="0.25">
      <c r="E4" s="3" t="s">
        <v>144</v>
      </c>
    </row>
    <row r="5" spans="1:5" x14ac:dyDescent="0.25">
      <c r="E5" s="2">
        <v>1</v>
      </c>
    </row>
    <row r="6" spans="1:5" x14ac:dyDescent="0.25">
      <c r="C6" s="4" t="s">
        <v>146</v>
      </c>
      <c r="D6" s="2">
        <v>1</v>
      </c>
      <c r="E6" s="5">
        <v>0.64700000000000002</v>
      </c>
    </row>
    <row r="7" spans="1:5" x14ac:dyDescent="0.25">
      <c r="C7" s="4" t="s">
        <v>147</v>
      </c>
      <c r="D7" s="2">
        <v>2</v>
      </c>
      <c r="E7" s="1">
        <v>16900.725999999999</v>
      </c>
    </row>
    <row r="8" spans="1:5" x14ac:dyDescent="0.25">
      <c r="C8" s="4" t="s">
        <v>148</v>
      </c>
      <c r="D8" s="2">
        <v>3</v>
      </c>
      <c r="E8" s="1">
        <v>11065.975</v>
      </c>
    </row>
    <row r="9" spans="1:5" x14ac:dyDescent="0.25">
      <c r="C9" s="4" t="s">
        <v>149</v>
      </c>
      <c r="D9" s="2">
        <v>4</v>
      </c>
      <c r="E9" s="1">
        <v>8719</v>
      </c>
    </row>
    <row r="10" spans="1:5" x14ac:dyDescent="0.25">
      <c r="C10" s="4" t="s">
        <v>150</v>
      </c>
      <c r="D10" s="2">
        <v>5</v>
      </c>
      <c r="E10" s="5">
        <v>6.9000000000000006E-2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43BB-D065-476A-A391-A2B767D743A6}">
  <dimension ref="A1:CS29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G21" sqref="G21"/>
    </sheetView>
  </sheetViews>
  <sheetFormatPr defaultColWidth="11.5703125" defaultRowHeight="15" x14ac:dyDescent="0.25"/>
  <cols>
    <col min="2" max="2" width="23.7109375" customWidth="1"/>
    <col min="4" max="4" width="3.7109375" customWidth="1"/>
    <col min="5" max="96" width="15.7109375" customWidth="1"/>
  </cols>
  <sheetData>
    <row r="1" spans="1:97" x14ac:dyDescent="0.25">
      <c r="A1" s="4" t="s">
        <v>151</v>
      </c>
      <c r="E1" s="17" t="s">
        <v>70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 t="s">
        <v>71</v>
      </c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</row>
    <row r="2" spans="1:97" x14ac:dyDescent="0.25">
      <c r="E2" s="17" t="s">
        <v>66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H2" s="17" t="s">
        <v>67</v>
      </c>
      <c r="AI2" s="17"/>
      <c r="AL2" s="17" t="s">
        <v>68</v>
      </c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P2" s="17" t="s">
        <v>69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</row>
    <row r="3" spans="1:97" ht="90" x14ac:dyDescent="0.25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7</v>
      </c>
      <c r="AI3" s="3" t="s">
        <v>8</v>
      </c>
      <c r="AJ3" s="3" t="s">
        <v>29</v>
      </c>
      <c r="AK3" s="3" t="s">
        <v>30</v>
      </c>
      <c r="AL3" s="3" t="s">
        <v>0</v>
      </c>
      <c r="AM3" s="3" t="s">
        <v>1</v>
      </c>
      <c r="AN3" s="3" t="s">
        <v>2</v>
      </c>
      <c r="AO3" s="3" t="s">
        <v>3</v>
      </c>
      <c r="AP3" s="3" t="s">
        <v>4</v>
      </c>
      <c r="AQ3" s="3" t="s">
        <v>5</v>
      </c>
      <c r="AR3" s="3" t="s">
        <v>6</v>
      </c>
      <c r="AS3" s="3" t="s">
        <v>7</v>
      </c>
      <c r="AT3" s="3" t="s">
        <v>8</v>
      </c>
      <c r="AU3" s="3" t="s">
        <v>9</v>
      </c>
      <c r="AV3" s="3" t="s">
        <v>10</v>
      </c>
      <c r="AW3" s="3" t="s">
        <v>11</v>
      </c>
      <c r="AX3" s="3" t="s">
        <v>12</v>
      </c>
      <c r="AY3" s="3" t="s">
        <v>13</v>
      </c>
      <c r="AZ3" s="3" t="s">
        <v>14</v>
      </c>
      <c r="BA3" s="3" t="s">
        <v>15</v>
      </c>
      <c r="BB3" s="3" t="s">
        <v>16</v>
      </c>
      <c r="BC3" s="3" t="s">
        <v>17</v>
      </c>
      <c r="BD3" s="3" t="s">
        <v>18</v>
      </c>
      <c r="BE3" s="3" t="s">
        <v>19</v>
      </c>
      <c r="BF3" s="3" t="s">
        <v>20</v>
      </c>
      <c r="BG3" s="3" t="s">
        <v>21</v>
      </c>
      <c r="BH3" s="3" t="s">
        <v>22</v>
      </c>
      <c r="BI3" s="3" t="s">
        <v>23</v>
      </c>
      <c r="BJ3" s="3" t="s">
        <v>24</v>
      </c>
      <c r="BK3" s="3" t="s">
        <v>25</v>
      </c>
      <c r="BL3" s="3" t="s">
        <v>26</v>
      </c>
      <c r="BM3" s="3" t="s">
        <v>27</v>
      </c>
      <c r="BN3" s="3" t="s">
        <v>31</v>
      </c>
      <c r="BO3" s="3" t="s">
        <v>32</v>
      </c>
      <c r="BP3" s="3" t="s">
        <v>0</v>
      </c>
      <c r="BQ3" s="3" t="s">
        <v>1</v>
      </c>
      <c r="BR3" s="3" t="s">
        <v>2</v>
      </c>
      <c r="BS3" s="3" t="s">
        <v>3</v>
      </c>
      <c r="BT3" s="3" t="s">
        <v>4</v>
      </c>
      <c r="BU3" s="3" t="s">
        <v>5</v>
      </c>
      <c r="BV3" s="3" t="s">
        <v>6</v>
      </c>
      <c r="BW3" s="3" t="s">
        <v>7</v>
      </c>
      <c r="BX3" s="3" t="s">
        <v>8</v>
      </c>
      <c r="BY3" s="3" t="s">
        <v>9</v>
      </c>
      <c r="BZ3" s="3" t="s">
        <v>10</v>
      </c>
      <c r="CA3" s="3" t="s">
        <v>11</v>
      </c>
      <c r="CB3" s="3" t="s">
        <v>12</v>
      </c>
      <c r="CC3" s="3" t="s">
        <v>13</v>
      </c>
      <c r="CD3" s="3" t="s">
        <v>14</v>
      </c>
      <c r="CE3" s="3" t="s">
        <v>15</v>
      </c>
      <c r="CF3" s="3" t="s">
        <v>16</v>
      </c>
      <c r="CG3" s="3" t="s">
        <v>17</v>
      </c>
      <c r="CH3" s="3" t="s">
        <v>18</v>
      </c>
      <c r="CI3" s="3" t="s">
        <v>19</v>
      </c>
      <c r="CJ3" s="3" t="s">
        <v>20</v>
      </c>
      <c r="CK3" s="3" t="s">
        <v>21</v>
      </c>
      <c r="CL3" s="3" t="s">
        <v>22</v>
      </c>
      <c r="CM3" s="3" t="s">
        <v>23</v>
      </c>
      <c r="CN3" s="3" t="s">
        <v>24</v>
      </c>
      <c r="CO3" s="3" t="s">
        <v>25</v>
      </c>
      <c r="CP3" s="3" t="s">
        <v>26</v>
      </c>
      <c r="CQ3" s="3" t="s">
        <v>27</v>
      </c>
      <c r="CR3" s="3" t="s">
        <v>33</v>
      </c>
      <c r="CS3" s="3" t="s">
        <v>34</v>
      </c>
    </row>
    <row r="4" spans="1:97" x14ac:dyDescent="0.25"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 t="s">
        <v>48</v>
      </c>
      <c r="S4" s="3" t="s">
        <v>49</v>
      </c>
      <c r="T4" s="3" t="s">
        <v>50</v>
      </c>
      <c r="U4" s="3" t="s">
        <v>51</v>
      </c>
      <c r="V4" s="3" t="s">
        <v>52</v>
      </c>
      <c r="W4" s="3" t="s">
        <v>53</v>
      </c>
      <c r="X4" s="3" t="s">
        <v>54</v>
      </c>
      <c r="Y4" s="3" t="s">
        <v>55</v>
      </c>
      <c r="Z4" s="3" t="s">
        <v>56</v>
      </c>
      <c r="AA4" s="3" t="s">
        <v>57</v>
      </c>
      <c r="AB4" s="3" t="s">
        <v>58</v>
      </c>
      <c r="AC4" s="3" t="s">
        <v>59</v>
      </c>
      <c r="AD4" s="3" t="s">
        <v>60</v>
      </c>
      <c r="AE4" s="3" t="s">
        <v>61</v>
      </c>
      <c r="AF4" s="3" t="s">
        <v>62</v>
      </c>
      <c r="AG4" s="3" t="s">
        <v>63</v>
      </c>
      <c r="AH4" s="3" t="s">
        <v>64</v>
      </c>
      <c r="AI4" s="3" t="s">
        <v>65</v>
      </c>
      <c r="AJ4" s="3" t="s">
        <v>63</v>
      </c>
      <c r="AK4" s="3" t="s">
        <v>63</v>
      </c>
      <c r="AL4" s="12" t="s">
        <v>35</v>
      </c>
      <c r="AM4" s="12" t="s">
        <v>36</v>
      </c>
      <c r="AN4" s="12" t="s">
        <v>37</v>
      </c>
      <c r="AO4" s="12" t="s">
        <v>38</v>
      </c>
      <c r="AP4" s="12" t="s">
        <v>39</v>
      </c>
      <c r="AQ4" s="12" t="s">
        <v>40</v>
      </c>
      <c r="AR4" s="12" t="s">
        <v>41</v>
      </c>
      <c r="AS4" s="12" t="s">
        <v>42</v>
      </c>
      <c r="AT4" s="12" t="s">
        <v>43</v>
      </c>
      <c r="AU4" s="12" t="s">
        <v>44</v>
      </c>
      <c r="AV4" s="12" t="s">
        <v>45</v>
      </c>
      <c r="AW4" s="12" t="s">
        <v>46</v>
      </c>
      <c r="AX4" s="12" t="s">
        <v>47</v>
      </c>
      <c r="AY4" s="12" t="s">
        <v>48</v>
      </c>
      <c r="AZ4" s="12" t="s">
        <v>49</v>
      </c>
      <c r="BA4" s="12" t="s">
        <v>50</v>
      </c>
      <c r="BB4" s="12" t="s">
        <v>51</v>
      </c>
      <c r="BC4" s="12" t="s">
        <v>52</v>
      </c>
      <c r="BD4" s="12" t="s">
        <v>53</v>
      </c>
      <c r="BE4" s="12" t="s">
        <v>54</v>
      </c>
      <c r="BF4" s="12" t="s">
        <v>55</v>
      </c>
      <c r="BG4" s="12" t="s">
        <v>56</v>
      </c>
      <c r="BH4" s="12" t="s">
        <v>57</v>
      </c>
      <c r="BI4" s="12" t="s">
        <v>58</v>
      </c>
      <c r="BJ4" s="12" t="s">
        <v>59</v>
      </c>
      <c r="BK4" s="12" t="s">
        <v>60</v>
      </c>
      <c r="BL4" s="12" t="s">
        <v>61</v>
      </c>
      <c r="BM4" s="12" t="s">
        <v>62</v>
      </c>
      <c r="BN4" s="12" t="s">
        <v>63</v>
      </c>
      <c r="BO4" s="3" t="s">
        <v>63</v>
      </c>
      <c r="BP4" s="3" t="s">
        <v>35</v>
      </c>
      <c r="BQ4" s="3" t="s">
        <v>36</v>
      </c>
      <c r="BR4" s="3" t="s">
        <v>37</v>
      </c>
      <c r="BS4" s="3" t="s">
        <v>38</v>
      </c>
      <c r="BT4" s="3" t="s">
        <v>39</v>
      </c>
      <c r="BU4" s="3" t="s">
        <v>40</v>
      </c>
      <c r="BV4" s="3" t="s">
        <v>41</v>
      </c>
      <c r="BW4" s="3" t="s">
        <v>42</v>
      </c>
      <c r="BX4" s="3" t="s">
        <v>43</v>
      </c>
      <c r="BY4" s="3" t="s">
        <v>44</v>
      </c>
      <c r="BZ4" s="3" t="s">
        <v>45</v>
      </c>
      <c r="CA4" s="3" t="s">
        <v>46</v>
      </c>
      <c r="CB4" s="3" t="s">
        <v>47</v>
      </c>
      <c r="CC4" s="3" t="s">
        <v>48</v>
      </c>
      <c r="CD4" s="3" t="s">
        <v>49</v>
      </c>
      <c r="CE4" s="3" t="s">
        <v>50</v>
      </c>
      <c r="CF4" s="3" t="s">
        <v>51</v>
      </c>
      <c r="CG4" s="3" t="s">
        <v>52</v>
      </c>
      <c r="CH4" s="3" t="s">
        <v>53</v>
      </c>
      <c r="CI4" s="3" t="s">
        <v>54</v>
      </c>
      <c r="CJ4" s="3" t="s">
        <v>55</v>
      </c>
      <c r="CK4" s="3" t="s">
        <v>56</v>
      </c>
      <c r="CL4" s="3" t="s">
        <v>57</v>
      </c>
      <c r="CM4" s="3" t="s">
        <v>58</v>
      </c>
      <c r="CN4" s="3" t="s">
        <v>59</v>
      </c>
      <c r="CO4" s="3" t="s">
        <v>60</v>
      </c>
      <c r="CP4" s="3" t="s">
        <v>61</v>
      </c>
      <c r="CQ4" s="3" t="s">
        <v>62</v>
      </c>
      <c r="CR4" s="3" t="s">
        <v>63</v>
      </c>
      <c r="CS4" s="3" t="s">
        <v>63</v>
      </c>
    </row>
    <row r="5" spans="1:97" x14ac:dyDescent="0.25"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21</v>
      </c>
      <c r="Z5" s="2">
        <v>22</v>
      </c>
      <c r="AA5" s="2">
        <v>23</v>
      </c>
      <c r="AB5" s="2">
        <v>24</v>
      </c>
      <c r="AC5" s="2">
        <v>25</v>
      </c>
      <c r="AD5" s="2">
        <v>26</v>
      </c>
      <c r="AE5" s="2">
        <v>27</v>
      </c>
      <c r="AF5" s="2">
        <v>28</v>
      </c>
      <c r="AG5" s="2">
        <v>29</v>
      </c>
      <c r="AH5" s="2">
        <v>30</v>
      </c>
      <c r="AI5" s="2">
        <v>31</v>
      </c>
      <c r="AJ5" s="2">
        <v>32</v>
      </c>
      <c r="AK5" s="2">
        <v>33</v>
      </c>
      <c r="AL5" s="2">
        <v>34</v>
      </c>
      <c r="AM5" s="2">
        <v>35</v>
      </c>
      <c r="AN5" s="2">
        <v>36</v>
      </c>
      <c r="AO5" s="2">
        <v>37</v>
      </c>
      <c r="AP5" s="2">
        <v>38</v>
      </c>
      <c r="AQ5" s="2">
        <v>39</v>
      </c>
      <c r="AR5" s="2">
        <v>40</v>
      </c>
      <c r="AS5" s="2">
        <v>41</v>
      </c>
      <c r="AT5" s="2">
        <v>42</v>
      </c>
      <c r="AU5" s="2">
        <v>43</v>
      </c>
      <c r="AV5" s="2">
        <v>44</v>
      </c>
      <c r="AW5" s="2">
        <v>45</v>
      </c>
      <c r="AX5" s="2">
        <v>46</v>
      </c>
      <c r="AY5" s="2">
        <v>47</v>
      </c>
      <c r="AZ5" s="2">
        <v>48</v>
      </c>
      <c r="BA5" s="2">
        <v>49</v>
      </c>
      <c r="BB5" s="2">
        <v>50</v>
      </c>
      <c r="BC5" s="2">
        <v>51</v>
      </c>
      <c r="BD5" s="2">
        <v>52</v>
      </c>
      <c r="BE5" s="2">
        <v>53</v>
      </c>
      <c r="BF5" s="2">
        <v>54</v>
      </c>
      <c r="BG5" s="2">
        <v>55</v>
      </c>
      <c r="BH5" s="2">
        <v>56</v>
      </c>
      <c r="BI5" s="2">
        <v>57</v>
      </c>
      <c r="BJ5" s="2">
        <v>58</v>
      </c>
      <c r="BK5" s="2">
        <v>59</v>
      </c>
      <c r="BL5" s="2">
        <v>60</v>
      </c>
      <c r="BM5" s="2">
        <v>61</v>
      </c>
      <c r="BN5" s="2">
        <v>62</v>
      </c>
      <c r="BO5" s="2">
        <v>63</v>
      </c>
      <c r="BP5" s="2">
        <v>64</v>
      </c>
      <c r="BQ5" s="2">
        <v>65</v>
      </c>
      <c r="BR5" s="2">
        <v>66</v>
      </c>
      <c r="BS5" s="2">
        <v>67</v>
      </c>
      <c r="BT5" s="2">
        <v>68</v>
      </c>
      <c r="BU5" s="2">
        <v>69</v>
      </c>
      <c r="BV5" s="2">
        <v>70</v>
      </c>
      <c r="BW5" s="2">
        <v>71</v>
      </c>
      <c r="BX5" s="2">
        <v>72</v>
      </c>
      <c r="BY5" s="2">
        <v>73</v>
      </c>
      <c r="BZ5" s="2">
        <v>74</v>
      </c>
      <c r="CA5" s="2">
        <v>75</v>
      </c>
      <c r="CB5" s="2">
        <v>76</v>
      </c>
      <c r="CC5" s="2">
        <v>77</v>
      </c>
      <c r="CD5" s="2">
        <v>78</v>
      </c>
      <c r="CE5" s="2">
        <v>79</v>
      </c>
      <c r="CF5" s="2">
        <v>80</v>
      </c>
      <c r="CG5" s="2">
        <v>81</v>
      </c>
      <c r="CH5" s="2">
        <v>82</v>
      </c>
      <c r="CI5" s="2">
        <v>83</v>
      </c>
      <c r="CJ5" s="2">
        <v>84</v>
      </c>
      <c r="CK5" s="2">
        <v>85</v>
      </c>
      <c r="CL5" s="2">
        <v>86</v>
      </c>
      <c r="CM5" s="2">
        <v>87</v>
      </c>
      <c r="CN5" s="2">
        <v>88</v>
      </c>
      <c r="CO5" s="2">
        <v>89</v>
      </c>
      <c r="CP5" s="2">
        <v>90</v>
      </c>
      <c r="CQ5" s="2">
        <v>91</v>
      </c>
      <c r="CR5" s="2">
        <v>92</v>
      </c>
    </row>
    <row r="6" spans="1:97" x14ac:dyDescent="0.25">
      <c r="B6" s="4" t="s">
        <v>0</v>
      </c>
      <c r="C6" s="4" t="s">
        <v>94</v>
      </c>
      <c r="D6" s="2">
        <v>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CR6" s="6">
        <v>0</v>
      </c>
    </row>
    <row r="7" spans="1:97" x14ac:dyDescent="0.25">
      <c r="B7" s="4" t="s">
        <v>1</v>
      </c>
      <c r="C7" s="4" t="s">
        <v>95</v>
      </c>
      <c r="D7" s="2">
        <v>2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CR7" s="6">
        <v>0</v>
      </c>
    </row>
    <row r="8" spans="1:97" x14ac:dyDescent="0.25">
      <c r="B8" s="4" t="s">
        <v>2</v>
      </c>
      <c r="C8" s="4" t="s">
        <v>96</v>
      </c>
      <c r="D8" s="2">
        <v>3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CR8" s="6">
        <v>0</v>
      </c>
    </row>
    <row r="9" spans="1:97" x14ac:dyDescent="0.25">
      <c r="B9" s="4" t="s">
        <v>3</v>
      </c>
      <c r="C9" s="4" t="s">
        <v>97</v>
      </c>
      <c r="D9" s="2">
        <v>4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CR9" s="6">
        <v>0</v>
      </c>
    </row>
    <row r="10" spans="1:97" x14ac:dyDescent="0.25">
      <c r="B10" s="4" t="s">
        <v>4</v>
      </c>
      <c r="C10" s="4" t="s">
        <v>98</v>
      </c>
      <c r="D10" s="2">
        <v>5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CR10" s="6">
        <v>0</v>
      </c>
    </row>
    <row r="11" spans="1:97" x14ac:dyDescent="0.25">
      <c r="B11" s="4" t="s">
        <v>5</v>
      </c>
      <c r="C11" s="4" t="s">
        <v>99</v>
      </c>
      <c r="D11" s="2">
        <v>6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CR11" s="6">
        <v>0</v>
      </c>
    </row>
    <row r="12" spans="1:97" x14ac:dyDescent="0.25">
      <c r="B12" s="4" t="s">
        <v>6</v>
      </c>
      <c r="C12" s="4" t="s">
        <v>100</v>
      </c>
      <c r="D12" s="2">
        <v>7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CR12" s="6">
        <v>0</v>
      </c>
    </row>
    <row r="13" spans="1:97" x14ac:dyDescent="0.25">
      <c r="B13" s="4" t="s">
        <v>7</v>
      </c>
      <c r="C13" s="4" t="s">
        <v>64</v>
      </c>
      <c r="D13" s="2">
        <v>8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CR13" s="6">
        <v>0</v>
      </c>
    </row>
    <row r="14" spans="1:97" x14ac:dyDescent="0.25">
      <c r="B14" s="4" t="s">
        <v>8</v>
      </c>
      <c r="C14" s="4" t="s">
        <v>65</v>
      </c>
      <c r="D14" s="2">
        <v>9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CR14" s="6">
        <v>0</v>
      </c>
    </row>
    <row r="15" spans="1:97" x14ac:dyDescent="0.25">
      <c r="B15" s="4" t="s">
        <v>9</v>
      </c>
      <c r="C15" s="4" t="s">
        <v>101</v>
      </c>
      <c r="D15" s="2">
        <v>10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CR15" s="6">
        <v>0</v>
      </c>
    </row>
    <row r="16" spans="1:97" x14ac:dyDescent="0.25">
      <c r="B16" s="4" t="s">
        <v>10</v>
      </c>
      <c r="C16" s="4" t="s">
        <v>102</v>
      </c>
      <c r="D16" s="2">
        <v>11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CR16" s="6">
        <v>0</v>
      </c>
    </row>
    <row r="17" spans="2:97" x14ac:dyDescent="0.25">
      <c r="B17" s="10" t="s">
        <v>73</v>
      </c>
      <c r="C17" s="4" t="s">
        <v>103</v>
      </c>
      <c r="D17" s="2">
        <v>12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1.4586559852837599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11.192087014716201</v>
      </c>
      <c r="AL17" s="14">
        <v>2.4921589567468401E-3</v>
      </c>
      <c r="AM17" s="14">
        <v>2.33295907663208</v>
      </c>
      <c r="AN17" s="14">
        <v>7.5513812912532804E-3</v>
      </c>
      <c r="AO17" s="14">
        <v>2.29791528869678E-4</v>
      </c>
      <c r="AP17" s="14">
        <v>3.5793960015071603E-2</v>
      </c>
      <c r="AQ17" s="14">
        <v>2.6153069031576597E-4</v>
      </c>
      <c r="AR17" s="14">
        <v>2.2717053793943599E-2</v>
      </c>
      <c r="AS17" s="14">
        <v>3.0186183419620701E-2</v>
      </c>
      <c r="AT17" s="14">
        <v>0</v>
      </c>
      <c r="AU17" s="14">
        <v>0</v>
      </c>
      <c r="AV17" s="14">
        <v>0</v>
      </c>
      <c r="AW17" s="6">
        <v>1.72103055808371</v>
      </c>
      <c r="AX17" s="6">
        <v>1.7200366279800401E-4</v>
      </c>
      <c r="AY17" s="6">
        <v>2.6369138941358301E-2</v>
      </c>
      <c r="AZ17" s="6">
        <v>3.1292370539977998E-5</v>
      </c>
      <c r="BA17" s="6">
        <v>0.31029728731122502</v>
      </c>
      <c r="BB17" s="6">
        <v>2.6484062966318602E-6</v>
      </c>
      <c r="BC17" s="6">
        <v>9.1349496211152402E-7</v>
      </c>
      <c r="BD17" s="6">
        <v>5.6671752144481802E-7</v>
      </c>
      <c r="BE17" s="6">
        <v>8.0403291874577398</v>
      </c>
      <c r="BF17" s="6">
        <v>3.4845318112328298E-5</v>
      </c>
      <c r="BG17" s="6">
        <v>4.0058567473970301E-7</v>
      </c>
      <c r="BH17" s="6">
        <v>4.9418358741277603E-8</v>
      </c>
      <c r="BI17" s="6">
        <v>3.3953220950617099E-6</v>
      </c>
      <c r="BJ17" s="6">
        <v>6.6275530666699001E-9</v>
      </c>
      <c r="BK17" s="6">
        <v>1.3919535377638201E-6</v>
      </c>
      <c r="BL17" s="6">
        <v>2.1739366021718101E-6</v>
      </c>
      <c r="BM17" s="6">
        <v>2.4004064010071999E-5</v>
      </c>
      <c r="BN17" s="6">
        <v>5.3899999999999998E-4</v>
      </c>
      <c r="CR17" s="6">
        <v>0.119713</v>
      </c>
    </row>
    <row r="18" spans="2:97" x14ac:dyDescent="0.25">
      <c r="B18" s="10" t="s">
        <v>12</v>
      </c>
      <c r="C18" s="4" t="s">
        <v>104</v>
      </c>
      <c r="D18" s="2">
        <v>13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5.5873457141096798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59.693854285890303</v>
      </c>
      <c r="AL18" s="13">
        <v>9.4615684834506206E-2</v>
      </c>
      <c r="AM18" s="13">
        <v>6.5310368288719195E-2</v>
      </c>
      <c r="AN18" s="13">
        <v>0.286690826997271</v>
      </c>
      <c r="AO18" s="13">
        <v>8.7241156164267007E-3</v>
      </c>
      <c r="AP18" s="13">
        <v>4.18853948656066E-2</v>
      </c>
      <c r="AQ18" s="13">
        <v>9.9291039612370204E-3</v>
      </c>
      <c r="AR18" s="13">
        <v>6.2948591132891002E-2</v>
      </c>
      <c r="AS18" s="13">
        <v>0.61126648755537805</v>
      </c>
      <c r="AT18" s="13">
        <v>0</v>
      </c>
      <c r="AU18" s="13">
        <v>0</v>
      </c>
      <c r="AV18" s="13">
        <v>0</v>
      </c>
      <c r="AW18" s="6">
        <v>6.7166532335065094E-5</v>
      </c>
      <c r="AX18" s="6">
        <v>3.13045850079624E-3</v>
      </c>
      <c r="AY18" s="6">
        <v>62.512967596504403</v>
      </c>
      <c r="AZ18" s="6">
        <v>1.24863202577208</v>
      </c>
      <c r="BA18" s="6">
        <v>1.11970296532491E-3</v>
      </c>
      <c r="BB18" s="6">
        <v>1.5823906944049102E-5</v>
      </c>
      <c r="BC18" s="6">
        <v>3.4681155148256102E-5</v>
      </c>
      <c r="BD18" s="6">
        <v>2.1515628549315799E-5</v>
      </c>
      <c r="BE18" s="6">
        <v>1.3178782877584701E-4</v>
      </c>
      <c r="BF18" s="6">
        <v>2.18691667988102E-4</v>
      </c>
      <c r="BG18" s="6">
        <v>2.5141038775585202E-6</v>
      </c>
      <c r="BH18" s="6">
        <v>3.10153096250274E-7</v>
      </c>
      <c r="BI18" s="6">
        <v>2.1309280343840399E-5</v>
      </c>
      <c r="BJ18" s="6">
        <v>4.15949893227378E-8</v>
      </c>
      <c r="BK18" s="6">
        <v>8.7359983328092893E-6</v>
      </c>
      <c r="BL18" s="6">
        <v>1.36437790608413E-5</v>
      </c>
      <c r="BM18" s="6">
        <v>1.4342137596389201E-4</v>
      </c>
      <c r="BN18" s="6">
        <v>0</v>
      </c>
      <c r="CR18" s="6">
        <v>0.33329999999999999</v>
      </c>
    </row>
    <row r="19" spans="2:97" x14ac:dyDescent="0.25">
      <c r="B19" s="10" t="s">
        <v>74</v>
      </c>
      <c r="C19" s="4" t="s">
        <v>105</v>
      </c>
      <c r="D19" s="2">
        <v>14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63.912496897623797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74.270231102376201</v>
      </c>
      <c r="AL19" s="13">
        <v>0.74997204519864902</v>
      </c>
      <c r="AM19" s="13">
        <v>0.10155315286458499</v>
      </c>
      <c r="AN19" s="13">
        <v>0.97432609183197205</v>
      </c>
      <c r="AO19" s="13">
        <v>2.9649129559782599E-2</v>
      </c>
      <c r="AP19" s="13">
        <v>7.2538043641125996E-2</v>
      </c>
      <c r="AQ19" s="13">
        <v>1.4812056932487201E-2</v>
      </c>
      <c r="AR19" s="13">
        <v>0.10525356482440899</v>
      </c>
      <c r="AS19" s="13">
        <v>1.5857812135812399</v>
      </c>
      <c r="AT19" s="13">
        <v>1.71558385684774</v>
      </c>
      <c r="AU19" s="13">
        <v>0.33941700000000002</v>
      </c>
      <c r="AV19" s="13">
        <v>1.0402E-2</v>
      </c>
      <c r="AW19" s="6">
        <v>1.04074542598249E-4</v>
      </c>
      <c r="AX19" s="6">
        <v>4.8506454817093397E-3</v>
      </c>
      <c r="AY19" s="6">
        <v>5.2697252136370203</v>
      </c>
      <c r="AZ19" s="6">
        <v>6.3099825359045498</v>
      </c>
      <c r="BA19" s="6">
        <v>3.1785487744643001E-2</v>
      </c>
      <c r="BB19" s="6">
        <v>2.42655162617842E-5</v>
      </c>
      <c r="BC19" s="6">
        <v>1.3147910471392101E-4</v>
      </c>
      <c r="BD19" s="6">
        <v>7.3121412698575204E-5</v>
      </c>
      <c r="BE19" s="6">
        <v>0</v>
      </c>
      <c r="BF19" s="6">
        <v>0</v>
      </c>
      <c r="BG19" s="6">
        <v>0.31808784109598298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0.325938932646409</v>
      </c>
      <c r="BN19" s="6">
        <v>7.8688382476314196</v>
      </c>
      <c r="CR19" s="6">
        <v>112.3539</v>
      </c>
    </row>
    <row r="20" spans="2:97" x14ac:dyDescent="0.25">
      <c r="B20" s="10" t="s">
        <v>75</v>
      </c>
      <c r="C20" s="4" t="s">
        <v>106</v>
      </c>
      <c r="D20" s="2">
        <v>15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20.475774644992399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20.859571355007599</v>
      </c>
      <c r="AL20" s="13">
        <v>0.18369315697350599</v>
      </c>
      <c r="AM20" s="13">
        <v>0.126797874528324</v>
      </c>
      <c r="AN20" s="13">
        <v>0.556600559184112</v>
      </c>
      <c r="AO20" s="13">
        <v>1.69375758595031E-2</v>
      </c>
      <c r="AP20" s="13">
        <v>8.1319079679050693E-2</v>
      </c>
      <c r="AQ20" s="13">
        <v>1.9277020038992398E-2</v>
      </c>
      <c r="AR20" s="13">
        <v>0.12221256393652501</v>
      </c>
      <c r="AS20" s="13">
        <v>1.2157827473539899</v>
      </c>
      <c r="AT20" s="13">
        <v>2.47365118391417E-2</v>
      </c>
      <c r="AU20" s="13">
        <v>8.24424895059735E-3</v>
      </c>
      <c r="AV20" s="13">
        <v>2.5005735227639599E-2</v>
      </c>
      <c r="AW20" s="6">
        <v>1.3040155434240999E-4</v>
      </c>
      <c r="AX20" s="6">
        <v>6.0776794650023204E-3</v>
      </c>
      <c r="AY20" s="6">
        <v>18.552258365607301</v>
      </c>
      <c r="AZ20" s="6">
        <v>3.70563951191735</v>
      </c>
      <c r="BA20" s="6">
        <v>2.1738654952705798E-3</v>
      </c>
      <c r="BB20" s="6">
        <v>3.0721580965054499E-5</v>
      </c>
      <c r="BC20" s="6">
        <v>6.7332291552021104E-5</v>
      </c>
      <c r="BD20" s="6">
        <v>4.17718662545866E-5</v>
      </c>
      <c r="BE20" s="6">
        <v>2.5586161914763499E-4</v>
      </c>
      <c r="BF20" s="6">
        <v>4.2458248827138899E-4</v>
      </c>
      <c r="BG20" s="6">
        <v>4.8810477780279197E-6</v>
      </c>
      <c r="BH20" s="6">
        <v>6.0215176262765402E-7</v>
      </c>
      <c r="BI20" s="6">
        <v>4.13712481819499E-5</v>
      </c>
      <c r="BJ20" s="6">
        <v>8.0755267124446306E-8</v>
      </c>
      <c r="BK20" s="6">
        <v>1.69606457520854E-5</v>
      </c>
      <c r="BL20" s="6">
        <v>2.6488936301826799E-5</v>
      </c>
      <c r="BM20" s="6">
        <v>2.7844775815313101E-4</v>
      </c>
      <c r="BN20" s="6">
        <v>0</v>
      </c>
      <c r="CR20" s="6">
        <v>16.687270000000002</v>
      </c>
    </row>
    <row r="21" spans="2:97" x14ac:dyDescent="0.25">
      <c r="B21" s="10" t="s">
        <v>76</v>
      </c>
      <c r="C21" s="4" t="s">
        <v>107</v>
      </c>
      <c r="D21" s="2">
        <v>16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3.1619390477359199</v>
      </c>
      <c r="Y21" s="6">
        <v>5.2469923121824102</v>
      </c>
      <c r="Z21" s="6">
        <v>6.0320010537828303E-2</v>
      </c>
      <c r="AA21" s="6">
        <v>7.4413942085498203E-3</v>
      </c>
      <c r="AB21" s="6">
        <v>0.51126607232404098</v>
      </c>
      <c r="AC21" s="6">
        <v>9.9797395671054508E-4</v>
      </c>
      <c r="AD21" s="6">
        <v>0.20959973698669901</v>
      </c>
      <c r="AE21" s="6">
        <v>0.32735039473586502</v>
      </c>
      <c r="AF21" s="6">
        <v>0</v>
      </c>
      <c r="AG21" s="6">
        <v>2.5623240573319701</v>
      </c>
      <c r="AL21" s="13">
        <v>0.77199558735577001</v>
      </c>
      <c r="AM21" s="13">
        <v>0.40591871025259302</v>
      </c>
      <c r="AN21" s="13">
        <v>0.24059112343251399</v>
      </c>
      <c r="AO21" s="13">
        <v>7.32128334587846E-3</v>
      </c>
      <c r="AP21" s="13">
        <v>0.101178</v>
      </c>
      <c r="AQ21" s="13">
        <v>0.21778700000000001</v>
      </c>
      <c r="AR21" s="13">
        <v>0.53445799999999999</v>
      </c>
      <c r="AS21" s="13">
        <v>3.7391140517494601</v>
      </c>
      <c r="AT21" s="13">
        <v>0.13547702406784801</v>
      </c>
      <c r="AU21" s="13">
        <v>0</v>
      </c>
      <c r="AV21" s="13">
        <v>0</v>
      </c>
      <c r="AW21" s="6">
        <v>7.7625234239720097E-3</v>
      </c>
      <c r="AX21" s="6">
        <v>0.160934439588338</v>
      </c>
      <c r="AY21" s="6">
        <v>1.05928954062943</v>
      </c>
      <c r="AZ21" s="6">
        <v>4.19984602173663E-2</v>
      </c>
      <c r="BA21" s="6">
        <v>5.6804938227486203E-2</v>
      </c>
      <c r="BB21" s="6">
        <v>5.2590941926113302E-5</v>
      </c>
      <c r="BC21" s="6">
        <v>1.60893050126419E-3</v>
      </c>
      <c r="BD21" s="6">
        <v>7.6060914747500604E-4</v>
      </c>
      <c r="BE21" s="6">
        <v>0</v>
      </c>
      <c r="BF21" s="6">
        <v>0</v>
      </c>
      <c r="BG21" s="6">
        <v>0</v>
      </c>
      <c r="BH21" s="6">
        <v>1.07929663395565E-2</v>
      </c>
      <c r="BI21" s="6">
        <v>0.74153812504793903</v>
      </c>
      <c r="BJ21" s="6">
        <v>1.4474571593257901E-3</v>
      </c>
      <c r="BK21" s="6">
        <v>0</v>
      </c>
      <c r="BL21" s="6">
        <v>0</v>
      </c>
      <c r="BM21" s="6">
        <v>4.7666263969764299E-4</v>
      </c>
      <c r="BN21" s="6">
        <v>1.95824097593215</v>
      </c>
      <c r="CR21" s="6">
        <v>1.8926810000000001</v>
      </c>
    </row>
    <row r="22" spans="2:97" x14ac:dyDescent="0.25">
      <c r="B22" s="10" t="s">
        <v>77</v>
      </c>
      <c r="C22" s="4" t="s">
        <v>108</v>
      </c>
      <c r="D22" s="2">
        <v>17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39.444667803401202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29.2341743298247</v>
      </c>
      <c r="AL22" s="13">
        <v>2.2464467369309</v>
      </c>
      <c r="AM22" s="13">
        <v>0.397390606598096</v>
      </c>
      <c r="AN22" s="13">
        <v>0.71399461476038595</v>
      </c>
      <c r="AO22" s="13">
        <v>2.17271394202471E-2</v>
      </c>
      <c r="AP22" s="13">
        <v>0.468585359015466</v>
      </c>
      <c r="AQ22" s="13">
        <v>0.35138274908767098</v>
      </c>
      <c r="AR22" s="13">
        <v>1.28288383644902</v>
      </c>
      <c r="AS22" s="13">
        <v>4.4364424977819699</v>
      </c>
      <c r="AT22" s="13">
        <v>6.3905388905867999E-3</v>
      </c>
      <c r="AU22" s="13">
        <v>0</v>
      </c>
      <c r="AV22" s="13">
        <v>0</v>
      </c>
      <c r="AW22" s="6">
        <v>9.4236581327649996E-5</v>
      </c>
      <c r="AX22" s="6">
        <v>0.396271370403324</v>
      </c>
      <c r="AY22" s="6">
        <v>3.4178576906245</v>
      </c>
      <c r="AZ22" s="6">
        <v>3.4795606050912697E-2</v>
      </c>
      <c r="BA22" s="6">
        <v>0.136564582632972</v>
      </c>
      <c r="BB22" s="6">
        <v>5.4773306995717298E-5</v>
      </c>
      <c r="BC22" s="6">
        <v>1.65742252527873E-3</v>
      </c>
      <c r="BD22" s="6">
        <v>6.3016253732362405E-4</v>
      </c>
      <c r="BE22" s="6">
        <v>0</v>
      </c>
      <c r="BF22" s="6">
        <v>7.9828694027451297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0.20794834577438701</v>
      </c>
      <c r="BN22" s="6">
        <v>6.8436444611094096</v>
      </c>
      <c r="CR22" s="6">
        <v>39.731206999999998</v>
      </c>
    </row>
    <row r="23" spans="2:97" x14ac:dyDescent="0.25">
      <c r="B23" s="10" t="s">
        <v>78</v>
      </c>
      <c r="C23" s="4" t="s">
        <v>109</v>
      </c>
      <c r="D23" s="2">
        <v>18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1.1265879999999999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L23" s="13">
        <v>0</v>
      </c>
      <c r="AM23" s="13">
        <v>0.462990470109237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6">
        <v>4.7711999999999997E-2</v>
      </c>
      <c r="AX23" s="6">
        <v>0</v>
      </c>
      <c r="AY23" s="6">
        <v>0</v>
      </c>
      <c r="AZ23" s="6">
        <v>0</v>
      </c>
      <c r="BA23" s="6">
        <v>2.99529890762656E-4</v>
      </c>
      <c r="BB23" s="6">
        <v>0</v>
      </c>
      <c r="BC23" s="6">
        <v>0</v>
      </c>
      <c r="BD23" s="6">
        <v>0</v>
      </c>
      <c r="BE23" s="6">
        <v>0</v>
      </c>
      <c r="BF23" s="6">
        <v>0.615587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CR23" s="6">
        <v>0</v>
      </c>
    </row>
    <row r="24" spans="2:97" x14ac:dyDescent="0.25">
      <c r="B24" s="10" t="s">
        <v>79</v>
      </c>
      <c r="C24" s="4" t="s">
        <v>110</v>
      </c>
      <c r="D24" s="2">
        <v>19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0.32829999999999998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L24" s="13">
        <v>5.5538538792818497E-2</v>
      </c>
      <c r="AM24" s="13">
        <v>0</v>
      </c>
      <c r="AN24" s="13">
        <v>0</v>
      </c>
      <c r="AO24" s="13">
        <v>0</v>
      </c>
      <c r="AP24" s="13">
        <v>0</v>
      </c>
      <c r="AQ24" s="13">
        <v>4.8170000000000001E-3</v>
      </c>
      <c r="AR24" s="13">
        <v>1.1789000000000001E-2</v>
      </c>
      <c r="AS24" s="13">
        <v>3.6903103342604E-2</v>
      </c>
      <c r="AT24" s="13">
        <v>0</v>
      </c>
      <c r="AU24" s="13">
        <v>0</v>
      </c>
      <c r="AV24" s="13">
        <v>0</v>
      </c>
      <c r="AW24" s="6">
        <v>0</v>
      </c>
      <c r="AX24" s="6">
        <v>0</v>
      </c>
      <c r="AY24" s="6">
        <v>0</v>
      </c>
      <c r="AZ24" s="6">
        <v>0</v>
      </c>
      <c r="BA24" s="6">
        <v>6.0261000000000002E-2</v>
      </c>
      <c r="BB24" s="6">
        <v>4.5219559901529499E-7</v>
      </c>
      <c r="BC24" s="6">
        <v>1.0461207181469401E-5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0.15897634594710999</v>
      </c>
      <c r="BL24" s="6">
        <v>0</v>
      </c>
      <c r="BM24" s="6">
        <v>4.0985146869800001E-6</v>
      </c>
      <c r="BN24" s="6">
        <v>0</v>
      </c>
      <c r="CR24" s="6">
        <v>0</v>
      </c>
    </row>
    <row r="25" spans="2:97" x14ac:dyDescent="0.25">
      <c r="B25" s="10" t="s">
        <v>80</v>
      </c>
      <c r="C25" s="4" t="s">
        <v>111</v>
      </c>
      <c r="D25" s="2">
        <v>20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1.2907840915717701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0.122528908428226</v>
      </c>
      <c r="AL25" s="13">
        <v>6.4903774762364905E-2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0.13714585200617899</v>
      </c>
      <c r="AT25" s="13">
        <v>0</v>
      </c>
      <c r="AU25" s="13">
        <v>0</v>
      </c>
      <c r="AV25" s="13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2.5456080929224498E-5</v>
      </c>
      <c r="BC25" s="6">
        <v>3.9448040618706999E-4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0.49488271331008099</v>
      </c>
      <c r="BL25" s="6">
        <v>0</v>
      </c>
      <c r="BM25" s="6">
        <v>2.21807234342585E-2</v>
      </c>
      <c r="BN25" s="6">
        <v>0.39990399999999998</v>
      </c>
      <c r="CR25" s="6">
        <v>0.29387600000000003</v>
      </c>
    </row>
    <row r="26" spans="2:97" x14ac:dyDescent="0.25">
      <c r="B26" s="10" t="s">
        <v>81</v>
      </c>
      <c r="C26" s="4" t="s">
        <v>112</v>
      </c>
      <c r="D26" s="2">
        <v>21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1.82188862416479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0.14732537583520799</v>
      </c>
      <c r="AL26" s="13">
        <v>1.06030028244944E-2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1.1488E-2</v>
      </c>
      <c r="AT26" s="13">
        <v>5.3580652658924199E-2</v>
      </c>
      <c r="AU26" s="13">
        <v>0</v>
      </c>
      <c r="AV26" s="13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1.9971755055803498E-6</v>
      </c>
      <c r="BD26" s="6">
        <v>0.37071300000000001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0.244713347341076</v>
      </c>
      <c r="CR26" s="6">
        <v>1.2781130000000001</v>
      </c>
    </row>
    <row r="27" spans="2:97" x14ac:dyDescent="0.25">
      <c r="B27" s="10" t="s">
        <v>27</v>
      </c>
      <c r="C27" s="4" t="s">
        <v>113</v>
      </c>
      <c r="D27" s="2">
        <v>22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3.3261560000000001</v>
      </c>
      <c r="AG27" s="6">
        <v>0</v>
      </c>
      <c r="AL27" s="13">
        <v>0.142038245757831</v>
      </c>
      <c r="AM27" s="13">
        <v>2.9382985776387201E-2</v>
      </c>
      <c r="AN27" s="13">
        <v>0.34293551494097801</v>
      </c>
      <c r="AO27" s="13">
        <v>1.04356637868724E-2</v>
      </c>
      <c r="AP27" s="13">
        <v>7.7000000000000001E-5</v>
      </c>
      <c r="AQ27" s="13">
        <v>4.3225E-2</v>
      </c>
      <c r="AR27" s="13">
        <v>0.110939</v>
      </c>
      <c r="AS27" s="13">
        <v>0.25493889198896003</v>
      </c>
      <c r="AT27" s="13">
        <v>0</v>
      </c>
      <c r="AU27" s="13">
        <v>0</v>
      </c>
      <c r="AV27" s="13">
        <v>0</v>
      </c>
      <c r="AW27" s="6">
        <v>2.0433508078455399E-5</v>
      </c>
      <c r="AX27" s="6">
        <v>9.6652857707655204E-4</v>
      </c>
      <c r="AY27" s="6">
        <v>1.4216127532367899</v>
      </c>
      <c r="AZ27" s="6">
        <v>1.6992782987740901E-2</v>
      </c>
      <c r="BA27" s="6">
        <v>1.0551040153213499E-3</v>
      </c>
      <c r="BB27" s="6">
        <v>3.9813213071560798E-7</v>
      </c>
      <c r="BC27" s="6">
        <v>4.8135314292989401E-4</v>
      </c>
      <c r="BD27" s="6">
        <v>3.07746191518445E-4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9.9894517057048706E-6</v>
      </c>
      <c r="BM27" s="6">
        <v>0.60015660850567498</v>
      </c>
      <c r="BN27" s="6">
        <v>0.350582</v>
      </c>
      <c r="CR27" s="6">
        <v>0</v>
      </c>
    </row>
    <row r="28" spans="2:97" x14ac:dyDescent="0.25">
      <c r="B28" s="10" t="s">
        <v>82</v>
      </c>
      <c r="C28" s="4" t="s">
        <v>114</v>
      </c>
      <c r="D28" s="2">
        <v>23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1.4372069999999999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0.39605400000000002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7.9655000000000004E-2</v>
      </c>
      <c r="AT28" s="13">
        <v>0</v>
      </c>
      <c r="AU28" s="13">
        <v>0</v>
      </c>
      <c r="AV28" s="13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0.56124833597171198</v>
      </c>
      <c r="BF28" s="6">
        <v>0.931348030309879</v>
      </c>
      <c r="BG28" s="6">
        <v>1.07068811349774E-2</v>
      </c>
      <c r="BH28" s="6">
        <v>1.3208572505054E-3</v>
      </c>
      <c r="BI28" s="6">
        <v>9.0750399675201598E-2</v>
      </c>
      <c r="BJ28" s="6">
        <v>1.77141688720395E-4</v>
      </c>
      <c r="BK28" s="6">
        <v>3.7204228743158999E-2</v>
      </c>
      <c r="BL28" s="6">
        <v>5.8105125225845697E-2</v>
      </c>
      <c r="BM28" s="6">
        <v>0</v>
      </c>
      <c r="BN28" s="6">
        <v>0</v>
      </c>
      <c r="CR28" s="6">
        <v>6.2744999999999995E-2</v>
      </c>
    </row>
    <row r="29" spans="2:97" x14ac:dyDescent="0.25">
      <c r="B29" s="4" t="s">
        <v>83</v>
      </c>
      <c r="E29" s="9">
        <f>SUM(E6:E28)</f>
        <v>0</v>
      </c>
      <c r="F29" s="9">
        <f t="shared" ref="F29:BQ29" si="0">SUM(F6:F28)</f>
        <v>0</v>
      </c>
      <c r="G29" s="9">
        <f t="shared" si="0"/>
        <v>0</v>
      </c>
      <c r="H29" s="9">
        <f t="shared" si="0"/>
        <v>0</v>
      </c>
      <c r="I29" s="9">
        <f t="shared" si="0"/>
        <v>0</v>
      </c>
      <c r="J29" s="9">
        <f t="shared" si="0"/>
        <v>0</v>
      </c>
      <c r="K29" s="9">
        <f t="shared" si="0"/>
        <v>0</v>
      </c>
      <c r="L29" s="9">
        <f t="shared" si="0"/>
        <v>1.4372069999999999</v>
      </c>
      <c r="M29" s="9">
        <f t="shared" si="0"/>
        <v>0</v>
      </c>
      <c r="N29" s="9">
        <f t="shared" si="0"/>
        <v>0</v>
      </c>
      <c r="O29" s="9">
        <f t="shared" si="0"/>
        <v>0</v>
      </c>
      <c r="P29" s="9">
        <f t="shared" si="0"/>
        <v>1.4586559852837599</v>
      </c>
      <c r="Q29" s="9">
        <f t="shared" si="0"/>
        <v>5.5873457141096798</v>
      </c>
      <c r="R29" s="9">
        <f t="shared" si="0"/>
        <v>63.912496897623797</v>
      </c>
      <c r="S29" s="9">
        <f t="shared" si="0"/>
        <v>20.475774644992399</v>
      </c>
      <c r="T29" s="9">
        <f t="shared" si="0"/>
        <v>40.571255803401201</v>
      </c>
      <c r="U29" s="9">
        <f t="shared" si="0"/>
        <v>0.32829999999999998</v>
      </c>
      <c r="V29" s="9">
        <f t="shared" si="0"/>
        <v>1.2907840915717701</v>
      </c>
      <c r="W29" s="9">
        <f t="shared" si="0"/>
        <v>1.82188862416479</v>
      </c>
      <c r="X29" s="9">
        <f t="shared" si="0"/>
        <v>3.1619390477359199</v>
      </c>
      <c r="Y29" s="9">
        <f t="shared" si="0"/>
        <v>5.2469923121824102</v>
      </c>
      <c r="Z29" s="9">
        <f t="shared" si="0"/>
        <v>6.0320010537828303E-2</v>
      </c>
      <c r="AA29" s="9">
        <f t="shared" si="0"/>
        <v>7.4413942085498203E-3</v>
      </c>
      <c r="AB29" s="9">
        <f t="shared" si="0"/>
        <v>0.51126607232404098</v>
      </c>
      <c r="AC29" s="9">
        <f t="shared" si="0"/>
        <v>9.9797395671054508E-4</v>
      </c>
      <c r="AD29" s="9">
        <f t="shared" si="0"/>
        <v>0.20959973698669901</v>
      </c>
      <c r="AE29" s="9">
        <f t="shared" si="0"/>
        <v>0.32735039473586502</v>
      </c>
      <c r="AF29" s="9">
        <f t="shared" si="0"/>
        <v>3.3261560000000001</v>
      </c>
      <c r="AG29" s="9">
        <f t="shared" si="0"/>
        <v>198.47815042941039</v>
      </c>
      <c r="AH29" s="9">
        <f t="shared" si="0"/>
        <v>0</v>
      </c>
      <c r="AI29" s="9">
        <f t="shared" si="0"/>
        <v>0</v>
      </c>
      <c r="AJ29" s="9">
        <f t="shared" si="0"/>
        <v>0</v>
      </c>
      <c r="AK29" s="9">
        <f t="shared" si="0"/>
        <v>0</v>
      </c>
      <c r="AL29" s="9">
        <f t="shared" si="0"/>
        <v>4.3222989323875867</v>
      </c>
      <c r="AM29" s="9">
        <f t="shared" si="0"/>
        <v>3.922303245050021</v>
      </c>
      <c r="AN29" s="9">
        <f t="shared" si="0"/>
        <v>3.1226901124384869</v>
      </c>
      <c r="AO29" s="9">
        <f t="shared" si="0"/>
        <v>9.5024699117580033E-2</v>
      </c>
      <c r="AP29" s="9">
        <f t="shared" si="0"/>
        <v>0.80137683721632091</v>
      </c>
      <c r="AQ29" s="9">
        <f t="shared" si="0"/>
        <v>0.66149146071070331</v>
      </c>
      <c r="AR29" s="9">
        <f t="shared" si="0"/>
        <v>2.2532016101367884</v>
      </c>
      <c r="AS29" s="9">
        <f t="shared" si="0"/>
        <v>12.138704028779403</v>
      </c>
      <c r="AT29" s="9">
        <f t="shared" si="0"/>
        <v>1.9357685843042405</v>
      </c>
      <c r="AU29" s="9">
        <f t="shared" si="0"/>
        <v>0.34766124895059736</v>
      </c>
      <c r="AV29" s="15">
        <f>SUM(AV6:AV28)</f>
        <v>3.5407735227639597E-2</v>
      </c>
      <c r="AW29" s="9">
        <f t="shared" si="0"/>
        <v>1.7769213942263637</v>
      </c>
      <c r="AX29" s="9">
        <f t="shared" si="0"/>
        <v>0.5724031256790445</v>
      </c>
      <c r="AY29" s="9">
        <f t="shared" si="0"/>
        <v>92.2600802991808</v>
      </c>
      <c r="AZ29" s="9">
        <f t="shared" si="0"/>
        <v>11.358072215220538</v>
      </c>
      <c r="BA29" s="9">
        <f t="shared" si="0"/>
        <v>0.60036149828300589</v>
      </c>
      <c r="BB29" s="9">
        <f t="shared" si="0"/>
        <v>2.0713006804830566E-4</v>
      </c>
      <c r="BC29" s="9">
        <f t="shared" si="0"/>
        <v>4.3890510047232432E-3</v>
      </c>
      <c r="BD29" s="9">
        <f t="shared" si="0"/>
        <v>0.37254849350134106</v>
      </c>
      <c r="BE29" s="9">
        <f t="shared" si="0"/>
        <v>8.6019651728773745</v>
      </c>
      <c r="BF29" s="9">
        <f t="shared" si="0"/>
        <v>9.5304825525293797</v>
      </c>
      <c r="BG29" s="9">
        <f t="shared" si="0"/>
        <v>0.32880251796829074</v>
      </c>
      <c r="BH29" s="9">
        <f t="shared" si="0"/>
        <v>1.2114785313279518E-2</v>
      </c>
      <c r="BI29" s="9">
        <f t="shared" si="0"/>
        <v>0.83235460057376154</v>
      </c>
      <c r="BJ29" s="9">
        <f t="shared" si="0"/>
        <v>1.6247278258556988E-3</v>
      </c>
      <c r="BK29" s="9">
        <f t="shared" si="0"/>
        <v>0.69109037659797268</v>
      </c>
      <c r="BL29" s="9">
        <f t="shared" si="0"/>
        <v>5.8157421329516241E-2</v>
      </c>
      <c r="BM29" s="9">
        <f t="shared" si="0"/>
        <v>1.157151244713241</v>
      </c>
      <c r="BN29" s="9">
        <f t="shared" si="0"/>
        <v>17.666462032014053</v>
      </c>
      <c r="BO29" s="9">
        <f t="shared" si="0"/>
        <v>0</v>
      </c>
      <c r="BP29" s="9">
        <f t="shared" si="0"/>
        <v>0</v>
      </c>
      <c r="BQ29" s="9">
        <f t="shared" si="0"/>
        <v>0</v>
      </c>
      <c r="BR29" s="9">
        <f t="shared" ref="BR29:CS29" si="1">SUM(BR6:BR28)</f>
        <v>0</v>
      </c>
      <c r="BS29" s="9">
        <f t="shared" si="1"/>
        <v>0</v>
      </c>
      <c r="BT29" s="9">
        <f t="shared" si="1"/>
        <v>0</v>
      </c>
      <c r="BU29" s="9">
        <f t="shared" si="1"/>
        <v>0</v>
      </c>
      <c r="BV29" s="9">
        <f t="shared" si="1"/>
        <v>0</v>
      </c>
      <c r="BW29" s="9">
        <f t="shared" si="1"/>
        <v>0</v>
      </c>
      <c r="BX29" s="9">
        <f t="shared" si="1"/>
        <v>0</v>
      </c>
      <c r="BY29" s="9">
        <f t="shared" si="1"/>
        <v>0</v>
      </c>
      <c r="BZ29" s="9">
        <f t="shared" si="1"/>
        <v>0</v>
      </c>
      <c r="CA29" s="9">
        <f t="shared" si="1"/>
        <v>0</v>
      </c>
      <c r="CB29" s="9">
        <f t="shared" si="1"/>
        <v>0</v>
      </c>
      <c r="CC29" s="9">
        <f t="shared" si="1"/>
        <v>0</v>
      </c>
      <c r="CD29" s="9">
        <f t="shared" si="1"/>
        <v>0</v>
      </c>
      <c r="CE29" s="9">
        <f t="shared" si="1"/>
        <v>0</v>
      </c>
      <c r="CF29" s="9">
        <f t="shared" si="1"/>
        <v>0</v>
      </c>
      <c r="CG29" s="9">
        <f t="shared" si="1"/>
        <v>0</v>
      </c>
      <c r="CH29" s="9">
        <f t="shared" si="1"/>
        <v>0</v>
      </c>
      <c r="CI29" s="9">
        <f t="shared" si="1"/>
        <v>0</v>
      </c>
      <c r="CJ29" s="9">
        <f t="shared" si="1"/>
        <v>0</v>
      </c>
      <c r="CK29" s="9">
        <f t="shared" si="1"/>
        <v>0</v>
      </c>
      <c r="CL29" s="9">
        <f t="shared" si="1"/>
        <v>0</v>
      </c>
      <c r="CM29" s="9">
        <f t="shared" si="1"/>
        <v>0</v>
      </c>
      <c r="CN29" s="9">
        <f t="shared" si="1"/>
        <v>0</v>
      </c>
      <c r="CO29" s="9">
        <f t="shared" si="1"/>
        <v>0</v>
      </c>
      <c r="CP29" s="9">
        <f t="shared" si="1"/>
        <v>0</v>
      </c>
      <c r="CQ29" s="9">
        <f t="shared" si="1"/>
        <v>0</v>
      </c>
      <c r="CR29" s="9">
        <f t="shared" si="1"/>
        <v>172.752805</v>
      </c>
      <c r="CS29" s="9">
        <f t="shared" si="1"/>
        <v>0</v>
      </c>
    </row>
  </sheetData>
  <mergeCells count="6">
    <mergeCell ref="E1:AK1"/>
    <mergeCell ref="AL1:CS1"/>
    <mergeCell ref="E2:AF2"/>
    <mergeCell ref="AH2:AI2"/>
    <mergeCell ref="AL2:BL2"/>
    <mergeCell ref="BP2:CQ2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8"/>
  <sheetViews>
    <sheetView workbookViewId="0">
      <selection activeCell="D23" sqref="D23"/>
    </sheetView>
  </sheetViews>
  <sheetFormatPr defaultColWidth="11.5703125" defaultRowHeight="15" x14ac:dyDescent="0.25"/>
  <cols>
    <col min="2" max="2" width="23.7109375" customWidth="1"/>
    <col min="4" max="4" width="3.7109375" customWidth="1"/>
    <col min="5" max="96" width="15.7109375" customWidth="1"/>
  </cols>
  <sheetData>
    <row r="1" spans="1:97" x14ac:dyDescent="0.25">
      <c r="A1" s="4" t="s">
        <v>151</v>
      </c>
      <c r="E1" s="17" t="s">
        <v>70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 t="s">
        <v>71</v>
      </c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</row>
    <row r="2" spans="1:97" x14ac:dyDescent="0.25">
      <c r="E2" s="17" t="s">
        <v>66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H2" s="17" t="s">
        <v>67</v>
      </c>
      <c r="AI2" s="17"/>
      <c r="AL2" s="17" t="s">
        <v>68</v>
      </c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P2" s="17" t="s">
        <v>69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</row>
    <row r="3" spans="1:97" ht="90" x14ac:dyDescent="0.25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7</v>
      </c>
      <c r="AI3" s="3" t="s">
        <v>8</v>
      </c>
      <c r="AJ3" s="3" t="s">
        <v>29</v>
      </c>
      <c r="AK3" s="3" t="s">
        <v>30</v>
      </c>
      <c r="AL3" s="3" t="s">
        <v>0</v>
      </c>
      <c r="AM3" s="3" t="s">
        <v>1</v>
      </c>
      <c r="AN3" s="3" t="s">
        <v>2</v>
      </c>
      <c r="AO3" s="3" t="s">
        <v>3</v>
      </c>
      <c r="AP3" s="3" t="s">
        <v>4</v>
      </c>
      <c r="AQ3" s="3" t="s">
        <v>5</v>
      </c>
      <c r="AR3" s="3" t="s">
        <v>6</v>
      </c>
      <c r="AS3" s="3" t="s">
        <v>7</v>
      </c>
      <c r="AT3" s="3" t="s">
        <v>8</v>
      </c>
      <c r="AU3" s="3" t="s">
        <v>9</v>
      </c>
      <c r="AV3" s="3" t="s">
        <v>10</v>
      </c>
      <c r="AW3" s="3" t="s">
        <v>11</v>
      </c>
      <c r="AX3" s="3" t="s">
        <v>12</v>
      </c>
      <c r="AY3" s="3" t="s">
        <v>13</v>
      </c>
      <c r="AZ3" s="3" t="s">
        <v>14</v>
      </c>
      <c r="BA3" s="3" t="s">
        <v>15</v>
      </c>
      <c r="BB3" s="3" t="s">
        <v>16</v>
      </c>
      <c r="BC3" s="3" t="s">
        <v>17</v>
      </c>
      <c r="BD3" s="3" t="s">
        <v>18</v>
      </c>
      <c r="BE3" s="3" t="s">
        <v>19</v>
      </c>
      <c r="BF3" s="3" t="s">
        <v>20</v>
      </c>
      <c r="BG3" s="3" t="s">
        <v>21</v>
      </c>
      <c r="BH3" s="3" t="s">
        <v>22</v>
      </c>
      <c r="BI3" s="3" t="s">
        <v>23</v>
      </c>
      <c r="BJ3" s="3" t="s">
        <v>24</v>
      </c>
      <c r="BK3" s="3" t="s">
        <v>25</v>
      </c>
      <c r="BL3" s="3" t="s">
        <v>26</v>
      </c>
      <c r="BM3" s="3" t="s">
        <v>27</v>
      </c>
      <c r="BN3" s="3" t="s">
        <v>31</v>
      </c>
      <c r="BO3" s="3" t="s">
        <v>32</v>
      </c>
      <c r="BP3" s="3" t="s">
        <v>0</v>
      </c>
      <c r="BQ3" s="3" t="s">
        <v>1</v>
      </c>
      <c r="BR3" s="3" t="s">
        <v>2</v>
      </c>
      <c r="BS3" s="3" t="s">
        <v>3</v>
      </c>
      <c r="BT3" s="3" t="s">
        <v>4</v>
      </c>
      <c r="BU3" s="3" t="s">
        <v>5</v>
      </c>
      <c r="BV3" s="3" t="s">
        <v>6</v>
      </c>
      <c r="BW3" s="3" t="s">
        <v>7</v>
      </c>
      <c r="BX3" s="3" t="s">
        <v>8</v>
      </c>
      <c r="BY3" s="3" t="s">
        <v>9</v>
      </c>
      <c r="BZ3" s="3" t="s">
        <v>10</v>
      </c>
      <c r="CA3" s="3" t="s">
        <v>11</v>
      </c>
      <c r="CB3" s="3" t="s">
        <v>12</v>
      </c>
      <c r="CC3" s="3" t="s">
        <v>13</v>
      </c>
      <c r="CD3" s="3" t="s">
        <v>14</v>
      </c>
      <c r="CE3" s="3" t="s">
        <v>15</v>
      </c>
      <c r="CF3" s="3" t="s">
        <v>16</v>
      </c>
      <c r="CG3" s="3" t="s">
        <v>17</v>
      </c>
      <c r="CH3" s="3" t="s">
        <v>18</v>
      </c>
      <c r="CI3" s="3" t="s">
        <v>19</v>
      </c>
      <c r="CJ3" s="3" t="s">
        <v>20</v>
      </c>
      <c r="CK3" s="3" t="s">
        <v>21</v>
      </c>
      <c r="CL3" s="3" t="s">
        <v>22</v>
      </c>
      <c r="CM3" s="3" t="s">
        <v>23</v>
      </c>
      <c r="CN3" s="3" t="s">
        <v>24</v>
      </c>
      <c r="CO3" s="3" t="s">
        <v>25</v>
      </c>
      <c r="CP3" s="3" t="s">
        <v>26</v>
      </c>
      <c r="CQ3" s="3" t="s">
        <v>27</v>
      </c>
      <c r="CR3" s="3" t="s">
        <v>33</v>
      </c>
      <c r="CS3" s="3" t="s">
        <v>34</v>
      </c>
    </row>
    <row r="4" spans="1:97" x14ac:dyDescent="0.25"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 t="s">
        <v>48</v>
      </c>
      <c r="S4" s="3" t="s">
        <v>49</v>
      </c>
      <c r="T4" s="3" t="s">
        <v>50</v>
      </c>
      <c r="U4" s="3" t="s">
        <v>51</v>
      </c>
      <c r="V4" s="3" t="s">
        <v>52</v>
      </c>
      <c r="W4" s="3" t="s">
        <v>53</v>
      </c>
      <c r="X4" s="3" t="s">
        <v>54</v>
      </c>
      <c r="Y4" s="3" t="s">
        <v>55</v>
      </c>
      <c r="Z4" s="3" t="s">
        <v>56</v>
      </c>
      <c r="AA4" s="3" t="s">
        <v>57</v>
      </c>
      <c r="AB4" s="3" t="s">
        <v>58</v>
      </c>
      <c r="AC4" s="3" t="s">
        <v>59</v>
      </c>
      <c r="AD4" s="3" t="s">
        <v>60</v>
      </c>
      <c r="AE4" s="3" t="s">
        <v>61</v>
      </c>
      <c r="AF4" s="3" t="s">
        <v>62</v>
      </c>
      <c r="AG4" s="3" t="s">
        <v>63</v>
      </c>
      <c r="AH4" s="3" t="s">
        <v>64</v>
      </c>
      <c r="AI4" s="3" t="s">
        <v>65</v>
      </c>
      <c r="AJ4" s="3" t="s">
        <v>63</v>
      </c>
      <c r="AK4" s="3" t="s">
        <v>63</v>
      </c>
      <c r="AL4" s="3" t="s">
        <v>35</v>
      </c>
      <c r="AM4" s="3" t="s">
        <v>36</v>
      </c>
      <c r="AN4" s="3" t="s">
        <v>37</v>
      </c>
      <c r="AO4" s="3" t="s">
        <v>38</v>
      </c>
      <c r="AP4" s="3" t="s">
        <v>39</v>
      </c>
      <c r="AQ4" s="3" t="s">
        <v>40</v>
      </c>
      <c r="AR4" s="3" t="s">
        <v>41</v>
      </c>
      <c r="AS4" s="3" t="s">
        <v>42</v>
      </c>
      <c r="AT4" s="3" t="s">
        <v>43</v>
      </c>
      <c r="AU4" s="3" t="s">
        <v>44</v>
      </c>
      <c r="AV4" s="3" t="s">
        <v>45</v>
      </c>
      <c r="AW4" s="3" t="s">
        <v>46</v>
      </c>
      <c r="AX4" s="3" t="s">
        <v>47</v>
      </c>
      <c r="AY4" s="3" t="s">
        <v>48</v>
      </c>
      <c r="AZ4" s="3" t="s">
        <v>49</v>
      </c>
      <c r="BA4" s="3" t="s">
        <v>50</v>
      </c>
      <c r="BB4" s="3" t="s">
        <v>51</v>
      </c>
      <c r="BC4" s="3" t="s">
        <v>52</v>
      </c>
      <c r="BD4" s="3" t="s">
        <v>53</v>
      </c>
      <c r="BE4" s="3" t="s">
        <v>54</v>
      </c>
      <c r="BF4" s="3" t="s">
        <v>55</v>
      </c>
      <c r="BG4" s="3" t="s">
        <v>56</v>
      </c>
      <c r="BH4" s="3" t="s">
        <v>57</v>
      </c>
      <c r="BI4" s="3" t="s">
        <v>58</v>
      </c>
      <c r="BJ4" s="3" t="s">
        <v>59</v>
      </c>
      <c r="BK4" s="3" t="s">
        <v>60</v>
      </c>
      <c r="BL4" s="3" t="s">
        <v>61</v>
      </c>
      <c r="BM4" s="3" t="s">
        <v>62</v>
      </c>
      <c r="BN4" s="3" t="s">
        <v>63</v>
      </c>
      <c r="BO4" s="3" t="s">
        <v>63</v>
      </c>
      <c r="BP4" s="3" t="s">
        <v>35</v>
      </c>
      <c r="BQ4" s="3" t="s">
        <v>36</v>
      </c>
      <c r="BR4" s="3" t="s">
        <v>37</v>
      </c>
      <c r="BS4" s="3" t="s">
        <v>38</v>
      </c>
      <c r="BT4" s="3" t="s">
        <v>39</v>
      </c>
      <c r="BU4" s="3" t="s">
        <v>40</v>
      </c>
      <c r="BV4" s="3" t="s">
        <v>41</v>
      </c>
      <c r="BW4" s="3" t="s">
        <v>42</v>
      </c>
      <c r="BX4" s="3" t="s">
        <v>43</v>
      </c>
      <c r="BY4" s="3" t="s">
        <v>44</v>
      </c>
      <c r="BZ4" s="3" t="s">
        <v>45</v>
      </c>
      <c r="CA4" s="3" t="s">
        <v>46</v>
      </c>
      <c r="CB4" s="3" t="s">
        <v>47</v>
      </c>
      <c r="CC4" s="3" t="s">
        <v>48</v>
      </c>
      <c r="CD4" s="3" t="s">
        <v>49</v>
      </c>
      <c r="CE4" s="3" t="s">
        <v>50</v>
      </c>
      <c r="CF4" s="3" t="s">
        <v>51</v>
      </c>
      <c r="CG4" s="3" t="s">
        <v>52</v>
      </c>
      <c r="CH4" s="3" t="s">
        <v>53</v>
      </c>
      <c r="CI4" s="3" t="s">
        <v>54</v>
      </c>
      <c r="CJ4" s="3" t="s">
        <v>55</v>
      </c>
      <c r="CK4" s="3" t="s">
        <v>56</v>
      </c>
      <c r="CL4" s="3" t="s">
        <v>57</v>
      </c>
      <c r="CM4" s="3" t="s">
        <v>58</v>
      </c>
      <c r="CN4" s="3" t="s">
        <v>59</v>
      </c>
      <c r="CO4" s="3" t="s">
        <v>60</v>
      </c>
      <c r="CP4" s="3" t="s">
        <v>61</v>
      </c>
      <c r="CQ4" s="3" t="s">
        <v>62</v>
      </c>
      <c r="CR4" s="3" t="s">
        <v>63</v>
      </c>
      <c r="CS4" s="3" t="s">
        <v>63</v>
      </c>
    </row>
    <row r="5" spans="1:97" x14ac:dyDescent="0.25"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21</v>
      </c>
      <c r="Z5" s="2">
        <v>22</v>
      </c>
      <c r="AA5" s="2">
        <v>23</v>
      </c>
      <c r="AB5" s="2">
        <v>24</v>
      </c>
      <c r="AC5" s="2">
        <v>25</v>
      </c>
      <c r="AD5" s="2">
        <v>26</v>
      </c>
      <c r="AE5" s="2">
        <v>27</v>
      </c>
      <c r="AF5" s="2">
        <v>28</v>
      </c>
      <c r="AG5" s="2">
        <v>29</v>
      </c>
      <c r="AH5" s="2">
        <v>30</v>
      </c>
      <c r="AI5" s="2">
        <v>31</v>
      </c>
      <c r="AJ5" s="2">
        <v>32</v>
      </c>
      <c r="AK5" s="2">
        <v>33</v>
      </c>
      <c r="AL5" s="2">
        <v>34</v>
      </c>
      <c r="AM5" s="2">
        <v>35</v>
      </c>
      <c r="AN5" s="2">
        <v>36</v>
      </c>
      <c r="AO5" s="2">
        <v>37</v>
      </c>
      <c r="AP5" s="2">
        <v>38</v>
      </c>
      <c r="AQ5" s="2">
        <v>39</v>
      </c>
      <c r="AR5" s="2">
        <v>40</v>
      </c>
      <c r="AS5" s="2">
        <v>41</v>
      </c>
      <c r="AT5" s="2">
        <v>42</v>
      </c>
      <c r="AU5" s="2">
        <v>43</v>
      </c>
      <c r="AV5" s="2">
        <v>44</v>
      </c>
      <c r="AW5" s="2">
        <v>45</v>
      </c>
      <c r="AX5" s="2">
        <v>46</v>
      </c>
      <c r="AY5" s="2">
        <v>47</v>
      </c>
      <c r="AZ5" s="2">
        <v>48</v>
      </c>
      <c r="BA5" s="2">
        <v>49</v>
      </c>
      <c r="BB5" s="2">
        <v>50</v>
      </c>
      <c r="BC5" s="2">
        <v>51</v>
      </c>
      <c r="BD5" s="2">
        <v>52</v>
      </c>
      <c r="BE5" s="2">
        <v>53</v>
      </c>
      <c r="BF5" s="2">
        <v>54</v>
      </c>
      <c r="BG5" s="2">
        <v>55</v>
      </c>
      <c r="BH5" s="2">
        <v>56</v>
      </c>
      <c r="BI5" s="2">
        <v>57</v>
      </c>
      <c r="BJ5" s="2">
        <v>58</v>
      </c>
      <c r="BK5" s="2">
        <v>59</v>
      </c>
      <c r="BL5" s="2">
        <v>60</v>
      </c>
      <c r="BM5" s="2">
        <v>61</v>
      </c>
      <c r="BN5" s="2">
        <v>62</v>
      </c>
      <c r="BO5" s="2">
        <v>63</v>
      </c>
      <c r="BP5" s="2">
        <v>64</v>
      </c>
      <c r="BQ5" s="2">
        <v>65</v>
      </c>
      <c r="BR5" s="2">
        <v>66</v>
      </c>
      <c r="BS5" s="2">
        <v>67</v>
      </c>
      <c r="BT5" s="2">
        <v>68</v>
      </c>
      <c r="BU5" s="2">
        <v>69</v>
      </c>
      <c r="BV5" s="2">
        <v>70</v>
      </c>
      <c r="BW5" s="2">
        <v>71</v>
      </c>
      <c r="BX5" s="2">
        <v>72</v>
      </c>
      <c r="BY5" s="2">
        <v>73</v>
      </c>
      <c r="BZ5" s="2">
        <v>74</v>
      </c>
      <c r="CA5" s="2">
        <v>75</v>
      </c>
      <c r="CB5" s="2">
        <v>76</v>
      </c>
      <c r="CC5" s="2">
        <v>77</v>
      </c>
      <c r="CD5" s="2">
        <v>78</v>
      </c>
      <c r="CE5" s="2">
        <v>79</v>
      </c>
      <c r="CF5" s="2">
        <v>80</v>
      </c>
      <c r="CG5" s="2">
        <v>81</v>
      </c>
      <c r="CH5" s="2">
        <v>82</v>
      </c>
      <c r="CI5" s="2">
        <v>83</v>
      </c>
      <c r="CJ5" s="2">
        <v>84</v>
      </c>
      <c r="CK5" s="2">
        <v>85</v>
      </c>
      <c r="CL5" s="2">
        <v>86</v>
      </c>
      <c r="CM5" s="2">
        <v>87</v>
      </c>
      <c r="CN5" s="2">
        <v>88</v>
      </c>
      <c r="CO5" s="2">
        <v>89</v>
      </c>
      <c r="CP5" s="2">
        <v>90</v>
      </c>
      <c r="CQ5" s="2">
        <v>91</v>
      </c>
      <c r="CR5" s="2">
        <v>92</v>
      </c>
    </row>
    <row r="6" spans="1:97" x14ac:dyDescent="0.25">
      <c r="B6" s="4" t="s">
        <v>0</v>
      </c>
      <c r="C6" s="4" t="s">
        <v>94</v>
      </c>
      <c r="D6" s="2">
        <v>1</v>
      </c>
      <c r="E6" s="6" t="e">
        <f>ENR!E6/ENR!E$29</f>
        <v>#DIV/0!</v>
      </c>
      <c r="F6" s="6" t="e">
        <f>ENR!F6/ENR!F$29</f>
        <v>#DIV/0!</v>
      </c>
      <c r="G6" s="6" t="e">
        <f>ENR!G6/ENR!G$29</f>
        <v>#DIV/0!</v>
      </c>
      <c r="H6" s="6" t="e">
        <f>ENR!H6/ENR!H$29</f>
        <v>#DIV/0!</v>
      </c>
      <c r="I6" s="6" t="e">
        <f>ENR!I6/ENR!I$29</f>
        <v>#DIV/0!</v>
      </c>
      <c r="J6" s="6" t="e">
        <f>ENR!J6/ENR!J$29</f>
        <v>#DIV/0!</v>
      </c>
      <c r="K6" s="6" t="e">
        <f>ENR!K6/ENR!K$29</f>
        <v>#DIV/0!</v>
      </c>
      <c r="L6" s="6">
        <f>ENR!L6/ENR!L$29</f>
        <v>0</v>
      </c>
      <c r="M6" s="6" t="e">
        <f>ENR!M6/ENR!M$29</f>
        <v>#DIV/0!</v>
      </c>
      <c r="N6" s="6" t="e">
        <f>ENR!N6/ENR!N$29</f>
        <v>#DIV/0!</v>
      </c>
      <c r="O6" s="6" t="e">
        <f>ENR!O6/ENR!O$29</f>
        <v>#DIV/0!</v>
      </c>
      <c r="P6" s="6">
        <f>ENR!P6/ENR!P$29</f>
        <v>0</v>
      </c>
      <c r="Q6" s="6">
        <f>ENR!Q6/ENR!Q$29</f>
        <v>0</v>
      </c>
      <c r="R6" s="6">
        <f>ENR!R6/ENR!R$29</f>
        <v>0</v>
      </c>
      <c r="S6" s="6">
        <f>ENR!S6/ENR!S$29</f>
        <v>0</v>
      </c>
      <c r="T6" s="6">
        <f>ENR!T6/ENR!T$29</f>
        <v>0</v>
      </c>
      <c r="U6" s="6">
        <f>ENR!U6/ENR!U$29</f>
        <v>0</v>
      </c>
      <c r="V6" s="6">
        <f>ENR!V6/ENR!V$29</f>
        <v>0</v>
      </c>
      <c r="W6" s="6">
        <f>ENR!W6/ENR!W$29</f>
        <v>0</v>
      </c>
      <c r="X6" s="6">
        <f>ENR!X6/ENR!X$29</f>
        <v>0</v>
      </c>
      <c r="Y6" s="6">
        <f>ENR!Y6/ENR!Y$29</f>
        <v>0</v>
      </c>
      <c r="Z6" s="6">
        <f>ENR!Z6/ENR!Z$29</f>
        <v>0</v>
      </c>
      <c r="AA6" s="6">
        <f>ENR!AA6/ENR!AA$29</f>
        <v>0</v>
      </c>
      <c r="AB6" s="6">
        <f>ENR!AB6/ENR!AB$29</f>
        <v>0</v>
      </c>
      <c r="AC6" s="6">
        <f>ENR!AC6/ENR!AC$29</f>
        <v>0</v>
      </c>
      <c r="AD6" s="6">
        <f>ENR!AD6/ENR!AD$29</f>
        <v>0</v>
      </c>
      <c r="AE6" s="6">
        <f>ENR!AE6/ENR!AE$29</f>
        <v>0</v>
      </c>
      <c r="AF6" s="6">
        <f>ENR!AF6/ENR!AF$29</f>
        <v>0</v>
      </c>
      <c r="AG6" s="6">
        <f>ENR!AG6/ENR!AG$29</f>
        <v>0</v>
      </c>
      <c r="AH6" s="6" t="e">
        <f>ENR!AH6/ENR!AH$29</f>
        <v>#DIV/0!</v>
      </c>
      <c r="AI6" s="6" t="e">
        <f>ENR!AI6/ENR!AI$29</f>
        <v>#DIV/0!</v>
      </c>
      <c r="AJ6" s="6" t="e">
        <f>ENR!AJ6/ENR!AJ$29</f>
        <v>#DIV/0!</v>
      </c>
      <c r="AK6" s="6" t="e">
        <f>ENR!AK6/ENR!AK$29</f>
        <v>#DIV/0!</v>
      </c>
      <c r="AL6" s="6">
        <f>ENR!AL6/ENR!AL$29</f>
        <v>0</v>
      </c>
      <c r="AM6" s="6">
        <f>ENR!AM6/ENR!AM$29</f>
        <v>0</v>
      </c>
      <c r="AN6" s="6">
        <f>ENR!AN6/ENR!AN$29</f>
        <v>0</v>
      </c>
      <c r="AO6" s="6">
        <f>ENR!AO6/ENR!AO$29</f>
        <v>0</v>
      </c>
      <c r="AP6" s="6">
        <f>ENR!AP6/ENR!AP$29</f>
        <v>0</v>
      </c>
      <c r="AQ6" s="6">
        <f>ENR!AQ6/ENR!AQ$29</f>
        <v>0</v>
      </c>
      <c r="AR6" s="6">
        <f>ENR!AR6/ENR!AR$29</f>
        <v>0</v>
      </c>
      <c r="AS6" s="6">
        <f>ENR!AS6/ENR!AS$29</f>
        <v>0</v>
      </c>
      <c r="AT6" s="6">
        <f>ENR!AT6/ENR!AT$29</f>
        <v>0</v>
      </c>
      <c r="AU6" s="6">
        <f>ENR!AU6/ENR!AU$29</f>
        <v>0</v>
      </c>
      <c r="AV6" s="6">
        <f>ENR!AV6/ENR!AV$29</f>
        <v>0</v>
      </c>
      <c r="AW6" s="6">
        <f>ENR!AW6/ENR!AW$29</f>
        <v>0</v>
      </c>
      <c r="AX6" s="6">
        <f>ENR!AX6/ENR!AX$29</f>
        <v>0</v>
      </c>
      <c r="AY6" s="6">
        <f>ENR!AY6/ENR!AY$29</f>
        <v>0</v>
      </c>
      <c r="AZ6" s="6">
        <f>ENR!AZ6/ENR!AZ$29</f>
        <v>0</v>
      </c>
      <c r="BA6" s="6">
        <f>ENR!BA6/ENR!BA$29</f>
        <v>0</v>
      </c>
      <c r="BB6" s="6">
        <f>ENR!BB6/ENR!BB$29</f>
        <v>0</v>
      </c>
      <c r="BC6" s="6">
        <f>ENR!BC6/ENR!BC$29</f>
        <v>0</v>
      </c>
      <c r="BD6" s="6">
        <f>ENR!BD6/ENR!BD$29</f>
        <v>0</v>
      </c>
      <c r="BE6" s="6">
        <f>ENR!BE6/ENR!BE$29</f>
        <v>0</v>
      </c>
      <c r="BF6" s="6">
        <f>ENR!BF6/ENR!BF$29</f>
        <v>0</v>
      </c>
      <c r="BG6" s="6">
        <f>ENR!BG6/ENR!BG$29</f>
        <v>0</v>
      </c>
      <c r="BH6" s="6">
        <f>ENR!BH6/ENR!BH$29</f>
        <v>0</v>
      </c>
      <c r="BI6" s="6">
        <f>ENR!BI6/ENR!BI$29</f>
        <v>0</v>
      </c>
      <c r="BJ6" s="6">
        <f>ENR!BJ6/ENR!BJ$29</f>
        <v>0</v>
      </c>
      <c r="BK6" s="6">
        <f>ENR!BK6/ENR!BK$29</f>
        <v>0</v>
      </c>
      <c r="BL6" s="6">
        <f>ENR!BL6/ENR!BL$29</f>
        <v>0</v>
      </c>
      <c r="BM6" s="6">
        <f>ENR!BM6/ENR!BM$29</f>
        <v>0</v>
      </c>
      <c r="BN6" s="6">
        <f>ENR!BN6/ENR!BN$29</f>
        <v>0</v>
      </c>
      <c r="BO6" s="6" t="e">
        <f>ENR!BO6/ENR!BO$29</f>
        <v>#DIV/0!</v>
      </c>
      <c r="BP6" s="6" t="e">
        <f>ENR!BP6/ENR!BP$29</f>
        <v>#DIV/0!</v>
      </c>
      <c r="BQ6" s="6" t="e">
        <f>ENR!BQ6/ENR!BQ$29</f>
        <v>#DIV/0!</v>
      </c>
      <c r="BR6" s="6" t="e">
        <f>ENR!BR6/ENR!BR$29</f>
        <v>#DIV/0!</v>
      </c>
      <c r="BS6" s="6" t="e">
        <f>ENR!BS6/ENR!BS$29</f>
        <v>#DIV/0!</v>
      </c>
      <c r="BT6" s="6" t="e">
        <f>ENR!BT6/ENR!BT$29</f>
        <v>#DIV/0!</v>
      </c>
      <c r="BU6" s="6" t="e">
        <f>ENR!BU6/ENR!BU$29</f>
        <v>#DIV/0!</v>
      </c>
      <c r="BV6" s="6" t="e">
        <f>ENR!BV6/ENR!BV$29</f>
        <v>#DIV/0!</v>
      </c>
      <c r="BW6" s="6" t="e">
        <f>ENR!BW6/ENR!BW$29</f>
        <v>#DIV/0!</v>
      </c>
      <c r="BX6" s="6" t="e">
        <f>ENR!BX6/ENR!BX$29</f>
        <v>#DIV/0!</v>
      </c>
      <c r="BY6" s="6" t="e">
        <f>ENR!BY6/ENR!BY$29</f>
        <v>#DIV/0!</v>
      </c>
      <c r="BZ6" s="6" t="e">
        <f>ENR!BZ6/ENR!BZ$29</f>
        <v>#DIV/0!</v>
      </c>
      <c r="CA6" s="6" t="e">
        <f>ENR!CA6/ENR!CA$29</f>
        <v>#DIV/0!</v>
      </c>
      <c r="CB6" s="6" t="e">
        <f>ENR!CB6/ENR!CB$29</f>
        <v>#DIV/0!</v>
      </c>
      <c r="CC6" s="6" t="e">
        <f>ENR!CC6/ENR!CC$29</f>
        <v>#DIV/0!</v>
      </c>
      <c r="CD6" s="6" t="e">
        <f>ENR!CD6/ENR!CD$29</f>
        <v>#DIV/0!</v>
      </c>
      <c r="CE6" s="6" t="e">
        <f>ENR!CE6/ENR!CE$29</f>
        <v>#DIV/0!</v>
      </c>
      <c r="CF6" s="6" t="e">
        <f>ENR!CF6/ENR!CF$29</f>
        <v>#DIV/0!</v>
      </c>
      <c r="CG6" s="6" t="e">
        <f>ENR!CG6/ENR!CG$29</f>
        <v>#DIV/0!</v>
      </c>
      <c r="CH6" s="6" t="e">
        <f>ENR!CH6/ENR!CH$29</f>
        <v>#DIV/0!</v>
      </c>
      <c r="CI6" s="6" t="e">
        <f>ENR!CI6/ENR!CI$29</f>
        <v>#DIV/0!</v>
      </c>
      <c r="CJ6" s="6" t="e">
        <f>ENR!CJ6/ENR!CJ$29</f>
        <v>#DIV/0!</v>
      </c>
      <c r="CK6" s="6" t="e">
        <f>ENR!CK6/ENR!CK$29</f>
        <v>#DIV/0!</v>
      </c>
      <c r="CL6" s="6" t="e">
        <f>ENR!CL6/ENR!CL$29</f>
        <v>#DIV/0!</v>
      </c>
      <c r="CM6" s="6" t="e">
        <f>ENR!CM6/ENR!CM$29</f>
        <v>#DIV/0!</v>
      </c>
      <c r="CN6" s="6" t="e">
        <f>ENR!CN6/ENR!CN$29</f>
        <v>#DIV/0!</v>
      </c>
      <c r="CO6" s="6" t="e">
        <f>ENR!CO6/ENR!CO$29</f>
        <v>#DIV/0!</v>
      </c>
      <c r="CP6" s="6" t="e">
        <f>ENR!CP6/ENR!CP$29</f>
        <v>#DIV/0!</v>
      </c>
      <c r="CQ6" s="6" t="e">
        <f>ENR!CQ6/ENR!CQ$29</f>
        <v>#DIV/0!</v>
      </c>
      <c r="CR6" s="6">
        <f>ENR!CR6/ENR!CR$29</f>
        <v>0</v>
      </c>
    </row>
    <row r="7" spans="1:97" x14ac:dyDescent="0.25">
      <c r="B7" s="4" t="s">
        <v>1</v>
      </c>
      <c r="C7" s="4" t="s">
        <v>95</v>
      </c>
      <c r="D7" s="2">
        <v>2</v>
      </c>
      <c r="E7" s="6" t="e">
        <f>ENR!E7/ENR!E$29</f>
        <v>#DIV/0!</v>
      </c>
      <c r="F7" s="6" t="e">
        <f>ENR!F7/ENR!F$29</f>
        <v>#DIV/0!</v>
      </c>
      <c r="G7" s="6" t="e">
        <f>ENR!G7/ENR!G$29</f>
        <v>#DIV/0!</v>
      </c>
      <c r="H7" s="6" t="e">
        <f>ENR!H7/ENR!H$29</f>
        <v>#DIV/0!</v>
      </c>
      <c r="I7" s="6" t="e">
        <f>ENR!I7/ENR!I$29</f>
        <v>#DIV/0!</v>
      </c>
      <c r="J7" s="6" t="e">
        <f>ENR!J7/ENR!J$29</f>
        <v>#DIV/0!</v>
      </c>
      <c r="K7" s="6" t="e">
        <f>ENR!K7/ENR!K$29</f>
        <v>#DIV/0!</v>
      </c>
      <c r="L7" s="6">
        <f>ENR!L7/ENR!L$29</f>
        <v>0</v>
      </c>
      <c r="M7" s="6" t="e">
        <f>ENR!M7/ENR!M$29</f>
        <v>#DIV/0!</v>
      </c>
      <c r="N7" s="6" t="e">
        <f>ENR!N7/ENR!N$29</f>
        <v>#DIV/0!</v>
      </c>
      <c r="O7" s="6" t="e">
        <f>ENR!O7/ENR!O$29</f>
        <v>#DIV/0!</v>
      </c>
      <c r="P7" s="6">
        <f>ENR!P7/ENR!P$29</f>
        <v>0</v>
      </c>
      <c r="Q7" s="6">
        <f>ENR!Q7/ENR!Q$29</f>
        <v>0</v>
      </c>
      <c r="R7" s="6">
        <f>ENR!R7/ENR!R$29</f>
        <v>0</v>
      </c>
      <c r="S7" s="6">
        <f>ENR!S7/ENR!S$29</f>
        <v>0</v>
      </c>
      <c r="T7" s="6">
        <f>ENR!T7/ENR!T$29</f>
        <v>0</v>
      </c>
      <c r="U7" s="6">
        <f>ENR!U7/ENR!U$29</f>
        <v>0</v>
      </c>
      <c r="V7" s="6">
        <f>ENR!V7/ENR!V$29</f>
        <v>0</v>
      </c>
      <c r="W7" s="6">
        <f>ENR!W7/ENR!W$29</f>
        <v>0</v>
      </c>
      <c r="X7" s="6">
        <f>ENR!X7/ENR!X$29</f>
        <v>0</v>
      </c>
      <c r="Y7" s="6">
        <f>ENR!Y7/ENR!Y$29</f>
        <v>0</v>
      </c>
      <c r="Z7" s="6">
        <f>ENR!Z7/ENR!Z$29</f>
        <v>0</v>
      </c>
      <c r="AA7" s="6">
        <f>ENR!AA7/ENR!AA$29</f>
        <v>0</v>
      </c>
      <c r="AB7" s="6">
        <f>ENR!AB7/ENR!AB$29</f>
        <v>0</v>
      </c>
      <c r="AC7" s="6">
        <f>ENR!AC7/ENR!AC$29</f>
        <v>0</v>
      </c>
      <c r="AD7" s="6">
        <f>ENR!AD7/ENR!AD$29</f>
        <v>0</v>
      </c>
      <c r="AE7" s="6">
        <f>ENR!AE7/ENR!AE$29</f>
        <v>0</v>
      </c>
      <c r="AF7" s="6">
        <f>ENR!AF7/ENR!AF$29</f>
        <v>0</v>
      </c>
      <c r="AG7" s="6">
        <f>ENR!AG7/ENR!AG$29</f>
        <v>0</v>
      </c>
      <c r="AH7" s="6" t="e">
        <f>ENR!AH7/ENR!AH$29</f>
        <v>#DIV/0!</v>
      </c>
      <c r="AI7" s="6" t="e">
        <f>ENR!AI7/ENR!AI$29</f>
        <v>#DIV/0!</v>
      </c>
      <c r="AJ7" s="6" t="e">
        <f>ENR!AJ7/ENR!AJ$29</f>
        <v>#DIV/0!</v>
      </c>
      <c r="AK7" s="6" t="e">
        <f>ENR!AK7/ENR!AK$29</f>
        <v>#DIV/0!</v>
      </c>
      <c r="AL7" s="6">
        <f>ENR!AL7/ENR!AL$29</f>
        <v>0</v>
      </c>
      <c r="AM7" s="6">
        <f>ENR!AM7/ENR!AM$29</f>
        <v>0</v>
      </c>
      <c r="AN7" s="6">
        <f>ENR!AN7/ENR!AN$29</f>
        <v>0</v>
      </c>
      <c r="AO7" s="6">
        <f>ENR!AO7/ENR!AO$29</f>
        <v>0</v>
      </c>
      <c r="AP7" s="6">
        <f>ENR!AP7/ENR!AP$29</f>
        <v>0</v>
      </c>
      <c r="AQ7" s="6">
        <f>ENR!AQ7/ENR!AQ$29</f>
        <v>0</v>
      </c>
      <c r="AR7" s="6">
        <f>ENR!AR7/ENR!AR$29</f>
        <v>0</v>
      </c>
      <c r="AS7" s="6">
        <f>ENR!AS7/ENR!AS$29</f>
        <v>0</v>
      </c>
      <c r="AT7" s="6">
        <f>ENR!AT7/ENR!AT$29</f>
        <v>0</v>
      </c>
      <c r="AU7" s="6">
        <f>ENR!AU7/ENR!AU$29</f>
        <v>0</v>
      </c>
      <c r="AV7" s="6">
        <f>ENR!AV7/ENR!AV$29</f>
        <v>0</v>
      </c>
      <c r="AW7" s="6">
        <f>ENR!AW7/ENR!AW$29</f>
        <v>0</v>
      </c>
      <c r="AX7" s="6">
        <f>ENR!AX7/ENR!AX$29</f>
        <v>0</v>
      </c>
      <c r="AY7" s="6">
        <f>ENR!AY7/ENR!AY$29</f>
        <v>0</v>
      </c>
      <c r="AZ7" s="6">
        <f>ENR!AZ7/ENR!AZ$29</f>
        <v>0</v>
      </c>
      <c r="BA7" s="6">
        <f>ENR!BA7/ENR!BA$29</f>
        <v>0</v>
      </c>
      <c r="BB7" s="6">
        <f>ENR!BB7/ENR!BB$29</f>
        <v>0</v>
      </c>
      <c r="BC7" s="6">
        <f>ENR!BC7/ENR!BC$29</f>
        <v>0</v>
      </c>
      <c r="BD7" s="6">
        <f>ENR!BD7/ENR!BD$29</f>
        <v>0</v>
      </c>
      <c r="BE7" s="6">
        <f>ENR!BE7/ENR!BE$29</f>
        <v>0</v>
      </c>
      <c r="BF7" s="6">
        <f>ENR!BF7/ENR!BF$29</f>
        <v>0</v>
      </c>
      <c r="BG7" s="6">
        <f>ENR!BG7/ENR!BG$29</f>
        <v>0</v>
      </c>
      <c r="BH7" s="6">
        <f>ENR!BH7/ENR!BH$29</f>
        <v>0</v>
      </c>
      <c r="BI7" s="6">
        <f>ENR!BI7/ENR!BI$29</f>
        <v>0</v>
      </c>
      <c r="BJ7" s="6">
        <f>ENR!BJ7/ENR!BJ$29</f>
        <v>0</v>
      </c>
      <c r="BK7" s="6">
        <f>ENR!BK7/ENR!BK$29</f>
        <v>0</v>
      </c>
      <c r="BL7" s="6">
        <f>ENR!BL7/ENR!BL$29</f>
        <v>0</v>
      </c>
      <c r="BM7" s="6">
        <f>ENR!BM7/ENR!BM$29</f>
        <v>0</v>
      </c>
      <c r="BN7" s="6">
        <f>ENR!BN7/ENR!BN$29</f>
        <v>0</v>
      </c>
      <c r="BO7" s="6" t="e">
        <f>ENR!BO7/ENR!BO$29</f>
        <v>#DIV/0!</v>
      </c>
      <c r="BP7" s="6" t="e">
        <f>ENR!BP7/ENR!BP$29</f>
        <v>#DIV/0!</v>
      </c>
      <c r="BQ7" s="6" t="e">
        <f>ENR!BQ7/ENR!BQ$29</f>
        <v>#DIV/0!</v>
      </c>
      <c r="BR7" s="6" t="e">
        <f>ENR!BR7/ENR!BR$29</f>
        <v>#DIV/0!</v>
      </c>
      <c r="BS7" s="6" t="e">
        <f>ENR!BS7/ENR!BS$29</f>
        <v>#DIV/0!</v>
      </c>
      <c r="BT7" s="6" t="e">
        <f>ENR!BT7/ENR!BT$29</f>
        <v>#DIV/0!</v>
      </c>
      <c r="BU7" s="6" t="e">
        <f>ENR!BU7/ENR!BU$29</f>
        <v>#DIV/0!</v>
      </c>
      <c r="BV7" s="6" t="e">
        <f>ENR!BV7/ENR!BV$29</f>
        <v>#DIV/0!</v>
      </c>
      <c r="BW7" s="6" t="e">
        <f>ENR!BW7/ENR!BW$29</f>
        <v>#DIV/0!</v>
      </c>
      <c r="BX7" s="6" t="e">
        <f>ENR!BX7/ENR!BX$29</f>
        <v>#DIV/0!</v>
      </c>
      <c r="BY7" s="6" t="e">
        <f>ENR!BY7/ENR!BY$29</f>
        <v>#DIV/0!</v>
      </c>
      <c r="BZ7" s="6" t="e">
        <f>ENR!BZ7/ENR!BZ$29</f>
        <v>#DIV/0!</v>
      </c>
      <c r="CA7" s="6" t="e">
        <f>ENR!CA7/ENR!CA$29</f>
        <v>#DIV/0!</v>
      </c>
      <c r="CB7" s="6" t="e">
        <f>ENR!CB7/ENR!CB$29</f>
        <v>#DIV/0!</v>
      </c>
      <c r="CC7" s="6" t="e">
        <f>ENR!CC7/ENR!CC$29</f>
        <v>#DIV/0!</v>
      </c>
      <c r="CD7" s="6" t="e">
        <f>ENR!CD7/ENR!CD$29</f>
        <v>#DIV/0!</v>
      </c>
      <c r="CE7" s="6" t="e">
        <f>ENR!CE7/ENR!CE$29</f>
        <v>#DIV/0!</v>
      </c>
      <c r="CF7" s="6" t="e">
        <f>ENR!CF7/ENR!CF$29</f>
        <v>#DIV/0!</v>
      </c>
      <c r="CG7" s="6" t="e">
        <f>ENR!CG7/ENR!CG$29</f>
        <v>#DIV/0!</v>
      </c>
      <c r="CH7" s="6" t="e">
        <f>ENR!CH7/ENR!CH$29</f>
        <v>#DIV/0!</v>
      </c>
      <c r="CI7" s="6" t="e">
        <f>ENR!CI7/ENR!CI$29</f>
        <v>#DIV/0!</v>
      </c>
      <c r="CJ7" s="6" t="e">
        <f>ENR!CJ7/ENR!CJ$29</f>
        <v>#DIV/0!</v>
      </c>
      <c r="CK7" s="6" t="e">
        <f>ENR!CK7/ENR!CK$29</f>
        <v>#DIV/0!</v>
      </c>
      <c r="CL7" s="6" t="e">
        <f>ENR!CL7/ENR!CL$29</f>
        <v>#DIV/0!</v>
      </c>
      <c r="CM7" s="6" t="e">
        <f>ENR!CM7/ENR!CM$29</f>
        <v>#DIV/0!</v>
      </c>
      <c r="CN7" s="6" t="e">
        <f>ENR!CN7/ENR!CN$29</f>
        <v>#DIV/0!</v>
      </c>
      <c r="CO7" s="6" t="e">
        <f>ENR!CO7/ENR!CO$29</f>
        <v>#DIV/0!</v>
      </c>
      <c r="CP7" s="6" t="e">
        <f>ENR!CP7/ENR!CP$29</f>
        <v>#DIV/0!</v>
      </c>
      <c r="CQ7" s="6" t="e">
        <f>ENR!CQ7/ENR!CQ$29</f>
        <v>#DIV/0!</v>
      </c>
      <c r="CR7" s="6">
        <f>ENR!CR7/ENR!CR$29</f>
        <v>0</v>
      </c>
    </row>
    <row r="8" spans="1:97" x14ac:dyDescent="0.25">
      <c r="B8" s="4" t="s">
        <v>2</v>
      </c>
      <c r="C8" s="4" t="s">
        <v>96</v>
      </c>
      <c r="D8" s="2">
        <v>3</v>
      </c>
      <c r="E8" s="6" t="e">
        <f>ENR!E8/ENR!E$29</f>
        <v>#DIV/0!</v>
      </c>
      <c r="F8" s="6" t="e">
        <f>ENR!F8/ENR!F$29</f>
        <v>#DIV/0!</v>
      </c>
      <c r="G8" s="6" t="e">
        <f>ENR!G8/ENR!G$29</f>
        <v>#DIV/0!</v>
      </c>
      <c r="H8" s="6" t="e">
        <f>ENR!H8/ENR!H$29</f>
        <v>#DIV/0!</v>
      </c>
      <c r="I8" s="6" t="e">
        <f>ENR!I8/ENR!I$29</f>
        <v>#DIV/0!</v>
      </c>
      <c r="J8" s="6" t="e">
        <f>ENR!J8/ENR!J$29</f>
        <v>#DIV/0!</v>
      </c>
      <c r="K8" s="6" t="e">
        <f>ENR!K8/ENR!K$29</f>
        <v>#DIV/0!</v>
      </c>
      <c r="L8" s="6">
        <f>ENR!L8/ENR!L$29</f>
        <v>0</v>
      </c>
      <c r="M8" s="6" t="e">
        <f>ENR!M8/ENR!M$29</f>
        <v>#DIV/0!</v>
      </c>
      <c r="N8" s="6" t="e">
        <f>ENR!N8/ENR!N$29</f>
        <v>#DIV/0!</v>
      </c>
      <c r="O8" s="6" t="e">
        <f>ENR!O8/ENR!O$29</f>
        <v>#DIV/0!</v>
      </c>
      <c r="P8" s="6">
        <f>ENR!P8/ENR!P$29</f>
        <v>0</v>
      </c>
      <c r="Q8" s="6">
        <f>ENR!Q8/ENR!Q$29</f>
        <v>0</v>
      </c>
      <c r="R8" s="6">
        <f>ENR!R8/ENR!R$29</f>
        <v>0</v>
      </c>
      <c r="S8" s="6">
        <f>ENR!S8/ENR!S$29</f>
        <v>0</v>
      </c>
      <c r="T8" s="6">
        <f>ENR!T8/ENR!T$29</f>
        <v>0</v>
      </c>
      <c r="U8" s="6">
        <f>ENR!U8/ENR!U$29</f>
        <v>0</v>
      </c>
      <c r="V8" s="6">
        <f>ENR!V8/ENR!V$29</f>
        <v>0</v>
      </c>
      <c r="W8" s="6">
        <f>ENR!W8/ENR!W$29</f>
        <v>0</v>
      </c>
      <c r="X8" s="6">
        <f>ENR!X8/ENR!X$29</f>
        <v>0</v>
      </c>
      <c r="Y8" s="6">
        <f>ENR!Y8/ENR!Y$29</f>
        <v>0</v>
      </c>
      <c r="Z8" s="6">
        <f>ENR!Z8/ENR!Z$29</f>
        <v>0</v>
      </c>
      <c r="AA8" s="6">
        <f>ENR!AA8/ENR!AA$29</f>
        <v>0</v>
      </c>
      <c r="AB8" s="6">
        <f>ENR!AB8/ENR!AB$29</f>
        <v>0</v>
      </c>
      <c r="AC8" s="6">
        <f>ENR!AC8/ENR!AC$29</f>
        <v>0</v>
      </c>
      <c r="AD8" s="6">
        <f>ENR!AD8/ENR!AD$29</f>
        <v>0</v>
      </c>
      <c r="AE8" s="6">
        <f>ENR!AE8/ENR!AE$29</f>
        <v>0</v>
      </c>
      <c r="AF8" s="6">
        <f>ENR!AF8/ENR!AF$29</f>
        <v>0</v>
      </c>
      <c r="AG8" s="6">
        <f>ENR!AG8/ENR!AG$29</f>
        <v>0</v>
      </c>
      <c r="AH8" s="6" t="e">
        <f>ENR!AH8/ENR!AH$29</f>
        <v>#DIV/0!</v>
      </c>
      <c r="AI8" s="6" t="e">
        <f>ENR!AI8/ENR!AI$29</f>
        <v>#DIV/0!</v>
      </c>
      <c r="AJ8" s="6" t="e">
        <f>ENR!AJ8/ENR!AJ$29</f>
        <v>#DIV/0!</v>
      </c>
      <c r="AK8" s="6" t="e">
        <f>ENR!AK8/ENR!AK$29</f>
        <v>#DIV/0!</v>
      </c>
      <c r="AL8" s="6">
        <f>ENR!AL8/ENR!AL$29</f>
        <v>0</v>
      </c>
      <c r="AM8" s="6">
        <f>ENR!AM8/ENR!AM$29</f>
        <v>0</v>
      </c>
      <c r="AN8" s="6">
        <f>ENR!AN8/ENR!AN$29</f>
        <v>0</v>
      </c>
      <c r="AO8" s="6">
        <f>ENR!AO8/ENR!AO$29</f>
        <v>0</v>
      </c>
      <c r="AP8" s="6">
        <f>ENR!AP8/ENR!AP$29</f>
        <v>0</v>
      </c>
      <c r="AQ8" s="6">
        <f>ENR!AQ8/ENR!AQ$29</f>
        <v>0</v>
      </c>
      <c r="AR8" s="6">
        <f>ENR!AR8/ENR!AR$29</f>
        <v>0</v>
      </c>
      <c r="AS8" s="6">
        <f>ENR!AS8/ENR!AS$29</f>
        <v>0</v>
      </c>
      <c r="AT8" s="6">
        <f>ENR!AT8/ENR!AT$29</f>
        <v>0</v>
      </c>
      <c r="AU8" s="6">
        <f>ENR!AU8/ENR!AU$29</f>
        <v>0</v>
      </c>
      <c r="AV8" s="6">
        <f>ENR!AV8/ENR!AV$29</f>
        <v>0</v>
      </c>
      <c r="AW8" s="6">
        <f>ENR!AW8/ENR!AW$29</f>
        <v>0</v>
      </c>
      <c r="AX8" s="6">
        <f>ENR!AX8/ENR!AX$29</f>
        <v>0</v>
      </c>
      <c r="AY8" s="6">
        <f>ENR!AY8/ENR!AY$29</f>
        <v>0</v>
      </c>
      <c r="AZ8" s="6">
        <f>ENR!AZ8/ENR!AZ$29</f>
        <v>0</v>
      </c>
      <c r="BA8" s="6">
        <f>ENR!BA8/ENR!BA$29</f>
        <v>0</v>
      </c>
      <c r="BB8" s="6">
        <f>ENR!BB8/ENR!BB$29</f>
        <v>0</v>
      </c>
      <c r="BC8" s="6">
        <f>ENR!BC8/ENR!BC$29</f>
        <v>0</v>
      </c>
      <c r="BD8" s="6">
        <f>ENR!BD8/ENR!BD$29</f>
        <v>0</v>
      </c>
      <c r="BE8" s="6">
        <f>ENR!BE8/ENR!BE$29</f>
        <v>0</v>
      </c>
      <c r="BF8" s="6">
        <f>ENR!BF8/ENR!BF$29</f>
        <v>0</v>
      </c>
      <c r="BG8" s="6">
        <f>ENR!BG8/ENR!BG$29</f>
        <v>0</v>
      </c>
      <c r="BH8" s="6">
        <f>ENR!BH8/ENR!BH$29</f>
        <v>0</v>
      </c>
      <c r="BI8" s="6">
        <f>ENR!BI8/ENR!BI$29</f>
        <v>0</v>
      </c>
      <c r="BJ8" s="6">
        <f>ENR!BJ8/ENR!BJ$29</f>
        <v>0</v>
      </c>
      <c r="BK8" s="6">
        <f>ENR!BK8/ENR!BK$29</f>
        <v>0</v>
      </c>
      <c r="BL8" s="6">
        <f>ENR!BL8/ENR!BL$29</f>
        <v>0</v>
      </c>
      <c r="BM8" s="6">
        <f>ENR!BM8/ENR!BM$29</f>
        <v>0</v>
      </c>
      <c r="BN8" s="6">
        <f>ENR!BN8/ENR!BN$29</f>
        <v>0</v>
      </c>
      <c r="BO8" s="6" t="e">
        <f>ENR!BO8/ENR!BO$29</f>
        <v>#DIV/0!</v>
      </c>
      <c r="BP8" s="6" t="e">
        <f>ENR!BP8/ENR!BP$29</f>
        <v>#DIV/0!</v>
      </c>
      <c r="BQ8" s="6" t="e">
        <f>ENR!BQ8/ENR!BQ$29</f>
        <v>#DIV/0!</v>
      </c>
      <c r="BR8" s="6" t="e">
        <f>ENR!BR8/ENR!BR$29</f>
        <v>#DIV/0!</v>
      </c>
      <c r="BS8" s="6" t="e">
        <f>ENR!BS8/ENR!BS$29</f>
        <v>#DIV/0!</v>
      </c>
      <c r="BT8" s="6" t="e">
        <f>ENR!BT8/ENR!BT$29</f>
        <v>#DIV/0!</v>
      </c>
      <c r="BU8" s="6" t="e">
        <f>ENR!BU8/ENR!BU$29</f>
        <v>#DIV/0!</v>
      </c>
      <c r="BV8" s="6" t="e">
        <f>ENR!BV8/ENR!BV$29</f>
        <v>#DIV/0!</v>
      </c>
      <c r="BW8" s="6" t="e">
        <f>ENR!BW8/ENR!BW$29</f>
        <v>#DIV/0!</v>
      </c>
      <c r="BX8" s="6" t="e">
        <f>ENR!BX8/ENR!BX$29</f>
        <v>#DIV/0!</v>
      </c>
      <c r="BY8" s="6" t="e">
        <f>ENR!BY8/ENR!BY$29</f>
        <v>#DIV/0!</v>
      </c>
      <c r="BZ8" s="6" t="e">
        <f>ENR!BZ8/ENR!BZ$29</f>
        <v>#DIV/0!</v>
      </c>
      <c r="CA8" s="6" t="e">
        <f>ENR!CA8/ENR!CA$29</f>
        <v>#DIV/0!</v>
      </c>
      <c r="CB8" s="6" t="e">
        <f>ENR!CB8/ENR!CB$29</f>
        <v>#DIV/0!</v>
      </c>
      <c r="CC8" s="6" t="e">
        <f>ENR!CC8/ENR!CC$29</f>
        <v>#DIV/0!</v>
      </c>
      <c r="CD8" s="6" t="e">
        <f>ENR!CD8/ENR!CD$29</f>
        <v>#DIV/0!</v>
      </c>
      <c r="CE8" s="6" t="e">
        <f>ENR!CE8/ENR!CE$29</f>
        <v>#DIV/0!</v>
      </c>
      <c r="CF8" s="6" t="e">
        <f>ENR!CF8/ENR!CF$29</f>
        <v>#DIV/0!</v>
      </c>
      <c r="CG8" s="6" t="e">
        <f>ENR!CG8/ENR!CG$29</f>
        <v>#DIV/0!</v>
      </c>
      <c r="CH8" s="6" t="e">
        <f>ENR!CH8/ENR!CH$29</f>
        <v>#DIV/0!</v>
      </c>
      <c r="CI8" s="6" t="e">
        <f>ENR!CI8/ENR!CI$29</f>
        <v>#DIV/0!</v>
      </c>
      <c r="CJ8" s="6" t="e">
        <f>ENR!CJ8/ENR!CJ$29</f>
        <v>#DIV/0!</v>
      </c>
      <c r="CK8" s="6" t="e">
        <f>ENR!CK8/ENR!CK$29</f>
        <v>#DIV/0!</v>
      </c>
      <c r="CL8" s="6" t="e">
        <f>ENR!CL8/ENR!CL$29</f>
        <v>#DIV/0!</v>
      </c>
      <c r="CM8" s="6" t="e">
        <f>ENR!CM8/ENR!CM$29</f>
        <v>#DIV/0!</v>
      </c>
      <c r="CN8" s="6" t="e">
        <f>ENR!CN8/ENR!CN$29</f>
        <v>#DIV/0!</v>
      </c>
      <c r="CO8" s="6" t="e">
        <f>ENR!CO8/ENR!CO$29</f>
        <v>#DIV/0!</v>
      </c>
      <c r="CP8" s="6" t="e">
        <f>ENR!CP8/ENR!CP$29</f>
        <v>#DIV/0!</v>
      </c>
      <c r="CQ8" s="6" t="e">
        <f>ENR!CQ8/ENR!CQ$29</f>
        <v>#DIV/0!</v>
      </c>
      <c r="CR8" s="6">
        <f>ENR!CR8/ENR!CR$29</f>
        <v>0</v>
      </c>
    </row>
    <row r="9" spans="1:97" x14ac:dyDescent="0.25">
      <c r="B9" s="4" t="s">
        <v>3</v>
      </c>
      <c r="C9" s="4" t="s">
        <v>97</v>
      </c>
      <c r="D9" s="2">
        <v>4</v>
      </c>
      <c r="E9" s="6" t="e">
        <f>ENR!E9/ENR!E$29</f>
        <v>#DIV/0!</v>
      </c>
      <c r="F9" s="6" t="e">
        <f>ENR!F9/ENR!F$29</f>
        <v>#DIV/0!</v>
      </c>
      <c r="G9" s="6" t="e">
        <f>ENR!G9/ENR!G$29</f>
        <v>#DIV/0!</v>
      </c>
      <c r="H9" s="6" t="e">
        <f>ENR!H9/ENR!H$29</f>
        <v>#DIV/0!</v>
      </c>
      <c r="I9" s="6" t="e">
        <f>ENR!I9/ENR!I$29</f>
        <v>#DIV/0!</v>
      </c>
      <c r="J9" s="6" t="e">
        <f>ENR!J9/ENR!J$29</f>
        <v>#DIV/0!</v>
      </c>
      <c r="K9" s="6" t="e">
        <f>ENR!K9/ENR!K$29</f>
        <v>#DIV/0!</v>
      </c>
      <c r="L9" s="6">
        <f>ENR!L9/ENR!L$29</f>
        <v>0</v>
      </c>
      <c r="M9" s="6" t="e">
        <f>ENR!M9/ENR!M$29</f>
        <v>#DIV/0!</v>
      </c>
      <c r="N9" s="6" t="e">
        <f>ENR!N9/ENR!N$29</f>
        <v>#DIV/0!</v>
      </c>
      <c r="O9" s="6" t="e">
        <f>ENR!O9/ENR!O$29</f>
        <v>#DIV/0!</v>
      </c>
      <c r="P9" s="6">
        <f>ENR!P9/ENR!P$29</f>
        <v>0</v>
      </c>
      <c r="Q9" s="6">
        <f>ENR!Q9/ENR!Q$29</f>
        <v>0</v>
      </c>
      <c r="R9" s="6">
        <f>ENR!R9/ENR!R$29</f>
        <v>0</v>
      </c>
      <c r="S9" s="6">
        <f>ENR!S9/ENR!S$29</f>
        <v>0</v>
      </c>
      <c r="T9" s="6">
        <f>ENR!T9/ENR!T$29</f>
        <v>0</v>
      </c>
      <c r="U9" s="6">
        <f>ENR!U9/ENR!U$29</f>
        <v>0</v>
      </c>
      <c r="V9" s="6">
        <f>ENR!V9/ENR!V$29</f>
        <v>0</v>
      </c>
      <c r="W9" s="6">
        <f>ENR!W9/ENR!W$29</f>
        <v>0</v>
      </c>
      <c r="X9" s="6">
        <f>ENR!X9/ENR!X$29</f>
        <v>0</v>
      </c>
      <c r="Y9" s="6">
        <f>ENR!Y9/ENR!Y$29</f>
        <v>0</v>
      </c>
      <c r="Z9" s="6">
        <f>ENR!Z9/ENR!Z$29</f>
        <v>0</v>
      </c>
      <c r="AA9" s="6">
        <f>ENR!AA9/ENR!AA$29</f>
        <v>0</v>
      </c>
      <c r="AB9" s="6">
        <f>ENR!AB9/ENR!AB$29</f>
        <v>0</v>
      </c>
      <c r="AC9" s="6">
        <f>ENR!AC9/ENR!AC$29</f>
        <v>0</v>
      </c>
      <c r="AD9" s="6">
        <f>ENR!AD9/ENR!AD$29</f>
        <v>0</v>
      </c>
      <c r="AE9" s="6">
        <f>ENR!AE9/ENR!AE$29</f>
        <v>0</v>
      </c>
      <c r="AF9" s="6">
        <f>ENR!AF9/ENR!AF$29</f>
        <v>0</v>
      </c>
      <c r="AG9" s="6">
        <f>ENR!AG9/ENR!AG$29</f>
        <v>0</v>
      </c>
      <c r="AH9" s="6" t="e">
        <f>ENR!AH9/ENR!AH$29</f>
        <v>#DIV/0!</v>
      </c>
      <c r="AI9" s="6" t="e">
        <f>ENR!AI9/ENR!AI$29</f>
        <v>#DIV/0!</v>
      </c>
      <c r="AJ9" s="6" t="e">
        <f>ENR!AJ9/ENR!AJ$29</f>
        <v>#DIV/0!</v>
      </c>
      <c r="AK9" s="6" t="e">
        <f>ENR!AK9/ENR!AK$29</f>
        <v>#DIV/0!</v>
      </c>
      <c r="AL9" s="6">
        <f>ENR!AL9/ENR!AL$29</f>
        <v>0</v>
      </c>
      <c r="AM9" s="6">
        <f>ENR!AM9/ENR!AM$29</f>
        <v>0</v>
      </c>
      <c r="AN9" s="6">
        <f>ENR!AN9/ENR!AN$29</f>
        <v>0</v>
      </c>
      <c r="AO9" s="6">
        <f>ENR!AO9/ENR!AO$29</f>
        <v>0</v>
      </c>
      <c r="AP9" s="6">
        <f>ENR!AP9/ENR!AP$29</f>
        <v>0</v>
      </c>
      <c r="AQ9" s="6">
        <f>ENR!AQ9/ENR!AQ$29</f>
        <v>0</v>
      </c>
      <c r="AR9" s="6">
        <f>ENR!AR9/ENR!AR$29</f>
        <v>0</v>
      </c>
      <c r="AS9" s="6">
        <f>ENR!AS9/ENR!AS$29</f>
        <v>0</v>
      </c>
      <c r="AT9" s="6">
        <f>ENR!AT9/ENR!AT$29</f>
        <v>0</v>
      </c>
      <c r="AU9" s="6">
        <f>ENR!AU9/ENR!AU$29</f>
        <v>0</v>
      </c>
      <c r="AV9" s="6">
        <f>ENR!AV9/ENR!AV$29</f>
        <v>0</v>
      </c>
      <c r="AW9" s="6">
        <f>ENR!AW9/ENR!AW$29</f>
        <v>0</v>
      </c>
      <c r="AX9" s="6">
        <f>ENR!AX9/ENR!AX$29</f>
        <v>0</v>
      </c>
      <c r="AY9" s="6">
        <f>ENR!AY9/ENR!AY$29</f>
        <v>0</v>
      </c>
      <c r="AZ9" s="6">
        <f>ENR!AZ9/ENR!AZ$29</f>
        <v>0</v>
      </c>
      <c r="BA9" s="6">
        <f>ENR!BA9/ENR!BA$29</f>
        <v>0</v>
      </c>
      <c r="BB9" s="6">
        <f>ENR!BB9/ENR!BB$29</f>
        <v>0</v>
      </c>
      <c r="BC9" s="6">
        <f>ENR!BC9/ENR!BC$29</f>
        <v>0</v>
      </c>
      <c r="BD9" s="6">
        <f>ENR!BD9/ENR!BD$29</f>
        <v>0</v>
      </c>
      <c r="BE9" s="6">
        <f>ENR!BE9/ENR!BE$29</f>
        <v>0</v>
      </c>
      <c r="BF9" s="6">
        <f>ENR!BF9/ENR!BF$29</f>
        <v>0</v>
      </c>
      <c r="BG9" s="6">
        <f>ENR!BG9/ENR!BG$29</f>
        <v>0</v>
      </c>
      <c r="BH9" s="6">
        <f>ENR!BH9/ENR!BH$29</f>
        <v>0</v>
      </c>
      <c r="BI9" s="6">
        <f>ENR!BI9/ENR!BI$29</f>
        <v>0</v>
      </c>
      <c r="BJ9" s="6">
        <f>ENR!BJ9/ENR!BJ$29</f>
        <v>0</v>
      </c>
      <c r="BK9" s="6">
        <f>ENR!BK9/ENR!BK$29</f>
        <v>0</v>
      </c>
      <c r="BL9" s="6">
        <f>ENR!BL9/ENR!BL$29</f>
        <v>0</v>
      </c>
      <c r="BM9" s="6">
        <f>ENR!BM9/ENR!BM$29</f>
        <v>0</v>
      </c>
      <c r="BN9" s="6">
        <f>ENR!BN9/ENR!BN$29</f>
        <v>0</v>
      </c>
      <c r="BO9" s="6" t="e">
        <f>ENR!BO9/ENR!BO$29</f>
        <v>#DIV/0!</v>
      </c>
      <c r="BP9" s="6" t="e">
        <f>ENR!BP9/ENR!BP$29</f>
        <v>#DIV/0!</v>
      </c>
      <c r="BQ9" s="6" t="e">
        <f>ENR!BQ9/ENR!BQ$29</f>
        <v>#DIV/0!</v>
      </c>
      <c r="BR9" s="6" t="e">
        <f>ENR!BR9/ENR!BR$29</f>
        <v>#DIV/0!</v>
      </c>
      <c r="BS9" s="6" t="e">
        <f>ENR!BS9/ENR!BS$29</f>
        <v>#DIV/0!</v>
      </c>
      <c r="BT9" s="6" t="e">
        <f>ENR!BT9/ENR!BT$29</f>
        <v>#DIV/0!</v>
      </c>
      <c r="BU9" s="6" t="e">
        <f>ENR!BU9/ENR!BU$29</f>
        <v>#DIV/0!</v>
      </c>
      <c r="BV9" s="6" t="e">
        <f>ENR!BV9/ENR!BV$29</f>
        <v>#DIV/0!</v>
      </c>
      <c r="BW9" s="6" t="e">
        <f>ENR!BW9/ENR!BW$29</f>
        <v>#DIV/0!</v>
      </c>
      <c r="BX9" s="6" t="e">
        <f>ENR!BX9/ENR!BX$29</f>
        <v>#DIV/0!</v>
      </c>
      <c r="BY9" s="6" t="e">
        <f>ENR!BY9/ENR!BY$29</f>
        <v>#DIV/0!</v>
      </c>
      <c r="BZ9" s="6" t="e">
        <f>ENR!BZ9/ENR!BZ$29</f>
        <v>#DIV/0!</v>
      </c>
      <c r="CA9" s="6" t="e">
        <f>ENR!CA9/ENR!CA$29</f>
        <v>#DIV/0!</v>
      </c>
      <c r="CB9" s="6" t="e">
        <f>ENR!CB9/ENR!CB$29</f>
        <v>#DIV/0!</v>
      </c>
      <c r="CC9" s="6" t="e">
        <f>ENR!CC9/ENR!CC$29</f>
        <v>#DIV/0!</v>
      </c>
      <c r="CD9" s="6" t="e">
        <f>ENR!CD9/ENR!CD$29</f>
        <v>#DIV/0!</v>
      </c>
      <c r="CE9" s="6" t="e">
        <f>ENR!CE9/ENR!CE$29</f>
        <v>#DIV/0!</v>
      </c>
      <c r="CF9" s="6" t="e">
        <f>ENR!CF9/ENR!CF$29</f>
        <v>#DIV/0!</v>
      </c>
      <c r="CG9" s="6" t="e">
        <f>ENR!CG9/ENR!CG$29</f>
        <v>#DIV/0!</v>
      </c>
      <c r="CH9" s="6" t="e">
        <f>ENR!CH9/ENR!CH$29</f>
        <v>#DIV/0!</v>
      </c>
      <c r="CI9" s="6" t="e">
        <f>ENR!CI9/ENR!CI$29</f>
        <v>#DIV/0!</v>
      </c>
      <c r="CJ9" s="6" t="e">
        <f>ENR!CJ9/ENR!CJ$29</f>
        <v>#DIV/0!</v>
      </c>
      <c r="CK9" s="6" t="e">
        <f>ENR!CK9/ENR!CK$29</f>
        <v>#DIV/0!</v>
      </c>
      <c r="CL9" s="6" t="e">
        <f>ENR!CL9/ENR!CL$29</f>
        <v>#DIV/0!</v>
      </c>
      <c r="CM9" s="6" t="e">
        <f>ENR!CM9/ENR!CM$29</f>
        <v>#DIV/0!</v>
      </c>
      <c r="CN9" s="6" t="e">
        <f>ENR!CN9/ENR!CN$29</f>
        <v>#DIV/0!</v>
      </c>
      <c r="CO9" s="6" t="e">
        <f>ENR!CO9/ENR!CO$29</f>
        <v>#DIV/0!</v>
      </c>
      <c r="CP9" s="6" t="e">
        <f>ENR!CP9/ENR!CP$29</f>
        <v>#DIV/0!</v>
      </c>
      <c r="CQ9" s="6" t="e">
        <f>ENR!CQ9/ENR!CQ$29</f>
        <v>#DIV/0!</v>
      </c>
      <c r="CR9" s="6">
        <f>ENR!CR9/ENR!CR$29</f>
        <v>0</v>
      </c>
    </row>
    <row r="10" spans="1:97" x14ac:dyDescent="0.25">
      <c r="B10" s="4" t="s">
        <v>4</v>
      </c>
      <c r="C10" s="4" t="s">
        <v>98</v>
      </c>
      <c r="D10" s="2">
        <v>5</v>
      </c>
      <c r="E10" s="6" t="e">
        <f>ENR!E10/ENR!E$29</f>
        <v>#DIV/0!</v>
      </c>
      <c r="F10" s="6" t="e">
        <f>ENR!F10/ENR!F$29</f>
        <v>#DIV/0!</v>
      </c>
      <c r="G10" s="6" t="e">
        <f>ENR!G10/ENR!G$29</f>
        <v>#DIV/0!</v>
      </c>
      <c r="H10" s="6" t="e">
        <f>ENR!H10/ENR!H$29</f>
        <v>#DIV/0!</v>
      </c>
      <c r="I10" s="6" t="e">
        <f>ENR!I10/ENR!I$29</f>
        <v>#DIV/0!</v>
      </c>
      <c r="J10" s="6" t="e">
        <f>ENR!J10/ENR!J$29</f>
        <v>#DIV/0!</v>
      </c>
      <c r="K10" s="6" t="e">
        <f>ENR!K10/ENR!K$29</f>
        <v>#DIV/0!</v>
      </c>
      <c r="L10" s="6">
        <f>ENR!L10/ENR!L$29</f>
        <v>0</v>
      </c>
      <c r="M10" s="6" t="e">
        <f>ENR!M10/ENR!M$29</f>
        <v>#DIV/0!</v>
      </c>
      <c r="N10" s="6" t="e">
        <f>ENR!N10/ENR!N$29</f>
        <v>#DIV/0!</v>
      </c>
      <c r="O10" s="6" t="e">
        <f>ENR!O10/ENR!O$29</f>
        <v>#DIV/0!</v>
      </c>
      <c r="P10" s="6">
        <f>ENR!P10/ENR!P$29</f>
        <v>0</v>
      </c>
      <c r="Q10" s="6">
        <f>ENR!Q10/ENR!Q$29</f>
        <v>0</v>
      </c>
      <c r="R10" s="6">
        <f>ENR!R10/ENR!R$29</f>
        <v>0</v>
      </c>
      <c r="S10" s="6">
        <f>ENR!S10/ENR!S$29</f>
        <v>0</v>
      </c>
      <c r="T10" s="6">
        <f>ENR!T10/ENR!T$29</f>
        <v>0</v>
      </c>
      <c r="U10" s="6">
        <f>ENR!U10/ENR!U$29</f>
        <v>0</v>
      </c>
      <c r="V10" s="6">
        <f>ENR!V10/ENR!V$29</f>
        <v>0</v>
      </c>
      <c r="W10" s="6">
        <f>ENR!W10/ENR!W$29</f>
        <v>0</v>
      </c>
      <c r="X10" s="6">
        <f>ENR!X10/ENR!X$29</f>
        <v>0</v>
      </c>
      <c r="Y10" s="6">
        <f>ENR!Y10/ENR!Y$29</f>
        <v>0</v>
      </c>
      <c r="Z10" s="6">
        <f>ENR!Z10/ENR!Z$29</f>
        <v>0</v>
      </c>
      <c r="AA10" s="6">
        <f>ENR!AA10/ENR!AA$29</f>
        <v>0</v>
      </c>
      <c r="AB10" s="6">
        <f>ENR!AB10/ENR!AB$29</f>
        <v>0</v>
      </c>
      <c r="AC10" s="6">
        <f>ENR!AC10/ENR!AC$29</f>
        <v>0</v>
      </c>
      <c r="AD10" s="6">
        <f>ENR!AD10/ENR!AD$29</f>
        <v>0</v>
      </c>
      <c r="AE10" s="6">
        <f>ENR!AE10/ENR!AE$29</f>
        <v>0</v>
      </c>
      <c r="AF10" s="6">
        <f>ENR!AF10/ENR!AF$29</f>
        <v>0</v>
      </c>
      <c r="AG10" s="6">
        <f>ENR!AG10/ENR!AG$29</f>
        <v>0</v>
      </c>
      <c r="AH10" s="6" t="e">
        <f>ENR!AH10/ENR!AH$29</f>
        <v>#DIV/0!</v>
      </c>
      <c r="AI10" s="6" t="e">
        <f>ENR!AI10/ENR!AI$29</f>
        <v>#DIV/0!</v>
      </c>
      <c r="AJ10" s="6" t="e">
        <f>ENR!AJ10/ENR!AJ$29</f>
        <v>#DIV/0!</v>
      </c>
      <c r="AK10" s="6" t="e">
        <f>ENR!AK10/ENR!AK$29</f>
        <v>#DIV/0!</v>
      </c>
      <c r="AL10" s="6">
        <f>ENR!AL10/ENR!AL$29</f>
        <v>0</v>
      </c>
      <c r="AM10" s="6">
        <f>ENR!AM10/ENR!AM$29</f>
        <v>0</v>
      </c>
      <c r="AN10" s="6">
        <f>ENR!AN10/ENR!AN$29</f>
        <v>0</v>
      </c>
      <c r="AO10" s="6">
        <f>ENR!AO10/ENR!AO$29</f>
        <v>0</v>
      </c>
      <c r="AP10" s="6">
        <f>ENR!AP10/ENR!AP$29</f>
        <v>0</v>
      </c>
      <c r="AQ10" s="6">
        <f>ENR!AQ10/ENR!AQ$29</f>
        <v>0</v>
      </c>
      <c r="AR10" s="6">
        <f>ENR!AR10/ENR!AR$29</f>
        <v>0</v>
      </c>
      <c r="AS10" s="6">
        <f>ENR!AS10/ENR!AS$29</f>
        <v>0</v>
      </c>
      <c r="AT10" s="6">
        <f>ENR!AT10/ENR!AT$29</f>
        <v>0</v>
      </c>
      <c r="AU10" s="6">
        <f>ENR!AU10/ENR!AU$29</f>
        <v>0</v>
      </c>
      <c r="AV10" s="6">
        <f>ENR!AV10/ENR!AV$29</f>
        <v>0</v>
      </c>
      <c r="AW10" s="6">
        <f>ENR!AW10/ENR!AW$29</f>
        <v>0</v>
      </c>
      <c r="AX10" s="6">
        <f>ENR!AX10/ENR!AX$29</f>
        <v>0</v>
      </c>
      <c r="AY10" s="6">
        <f>ENR!AY10/ENR!AY$29</f>
        <v>0</v>
      </c>
      <c r="AZ10" s="6">
        <f>ENR!AZ10/ENR!AZ$29</f>
        <v>0</v>
      </c>
      <c r="BA10" s="6">
        <f>ENR!BA10/ENR!BA$29</f>
        <v>0</v>
      </c>
      <c r="BB10" s="6">
        <f>ENR!BB10/ENR!BB$29</f>
        <v>0</v>
      </c>
      <c r="BC10" s="6">
        <f>ENR!BC10/ENR!BC$29</f>
        <v>0</v>
      </c>
      <c r="BD10" s="6">
        <f>ENR!BD10/ENR!BD$29</f>
        <v>0</v>
      </c>
      <c r="BE10" s="6">
        <f>ENR!BE10/ENR!BE$29</f>
        <v>0</v>
      </c>
      <c r="BF10" s="6">
        <f>ENR!BF10/ENR!BF$29</f>
        <v>0</v>
      </c>
      <c r="BG10" s="6">
        <f>ENR!BG10/ENR!BG$29</f>
        <v>0</v>
      </c>
      <c r="BH10" s="6">
        <f>ENR!BH10/ENR!BH$29</f>
        <v>0</v>
      </c>
      <c r="BI10" s="6">
        <f>ENR!BI10/ENR!BI$29</f>
        <v>0</v>
      </c>
      <c r="BJ10" s="6">
        <f>ENR!BJ10/ENR!BJ$29</f>
        <v>0</v>
      </c>
      <c r="BK10" s="6">
        <f>ENR!BK10/ENR!BK$29</f>
        <v>0</v>
      </c>
      <c r="BL10" s="6">
        <f>ENR!BL10/ENR!BL$29</f>
        <v>0</v>
      </c>
      <c r="BM10" s="6">
        <f>ENR!BM10/ENR!BM$29</f>
        <v>0</v>
      </c>
      <c r="BN10" s="6">
        <f>ENR!BN10/ENR!BN$29</f>
        <v>0</v>
      </c>
      <c r="BO10" s="6" t="e">
        <f>ENR!BO10/ENR!BO$29</f>
        <v>#DIV/0!</v>
      </c>
      <c r="BP10" s="6" t="e">
        <f>ENR!BP10/ENR!BP$29</f>
        <v>#DIV/0!</v>
      </c>
      <c r="BQ10" s="6" t="e">
        <f>ENR!BQ10/ENR!BQ$29</f>
        <v>#DIV/0!</v>
      </c>
      <c r="BR10" s="6" t="e">
        <f>ENR!BR10/ENR!BR$29</f>
        <v>#DIV/0!</v>
      </c>
      <c r="BS10" s="6" t="e">
        <f>ENR!BS10/ENR!BS$29</f>
        <v>#DIV/0!</v>
      </c>
      <c r="BT10" s="6" t="e">
        <f>ENR!BT10/ENR!BT$29</f>
        <v>#DIV/0!</v>
      </c>
      <c r="BU10" s="6" t="e">
        <f>ENR!BU10/ENR!BU$29</f>
        <v>#DIV/0!</v>
      </c>
      <c r="BV10" s="6" t="e">
        <f>ENR!BV10/ENR!BV$29</f>
        <v>#DIV/0!</v>
      </c>
      <c r="BW10" s="6" t="e">
        <f>ENR!BW10/ENR!BW$29</f>
        <v>#DIV/0!</v>
      </c>
      <c r="BX10" s="6" t="e">
        <f>ENR!BX10/ENR!BX$29</f>
        <v>#DIV/0!</v>
      </c>
      <c r="BY10" s="6" t="e">
        <f>ENR!BY10/ENR!BY$29</f>
        <v>#DIV/0!</v>
      </c>
      <c r="BZ10" s="6" t="e">
        <f>ENR!BZ10/ENR!BZ$29</f>
        <v>#DIV/0!</v>
      </c>
      <c r="CA10" s="6" t="e">
        <f>ENR!CA10/ENR!CA$29</f>
        <v>#DIV/0!</v>
      </c>
      <c r="CB10" s="6" t="e">
        <f>ENR!CB10/ENR!CB$29</f>
        <v>#DIV/0!</v>
      </c>
      <c r="CC10" s="6" t="e">
        <f>ENR!CC10/ENR!CC$29</f>
        <v>#DIV/0!</v>
      </c>
      <c r="CD10" s="6" t="e">
        <f>ENR!CD10/ENR!CD$29</f>
        <v>#DIV/0!</v>
      </c>
      <c r="CE10" s="6" t="e">
        <f>ENR!CE10/ENR!CE$29</f>
        <v>#DIV/0!</v>
      </c>
      <c r="CF10" s="6" t="e">
        <f>ENR!CF10/ENR!CF$29</f>
        <v>#DIV/0!</v>
      </c>
      <c r="CG10" s="6" t="e">
        <f>ENR!CG10/ENR!CG$29</f>
        <v>#DIV/0!</v>
      </c>
      <c r="CH10" s="6" t="e">
        <f>ENR!CH10/ENR!CH$29</f>
        <v>#DIV/0!</v>
      </c>
      <c r="CI10" s="6" t="e">
        <f>ENR!CI10/ENR!CI$29</f>
        <v>#DIV/0!</v>
      </c>
      <c r="CJ10" s="6" t="e">
        <f>ENR!CJ10/ENR!CJ$29</f>
        <v>#DIV/0!</v>
      </c>
      <c r="CK10" s="6" t="e">
        <f>ENR!CK10/ENR!CK$29</f>
        <v>#DIV/0!</v>
      </c>
      <c r="CL10" s="6" t="e">
        <f>ENR!CL10/ENR!CL$29</f>
        <v>#DIV/0!</v>
      </c>
      <c r="CM10" s="6" t="e">
        <f>ENR!CM10/ENR!CM$29</f>
        <v>#DIV/0!</v>
      </c>
      <c r="CN10" s="6" t="e">
        <f>ENR!CN10/ENR!CN$29</f>
        <v>#DIV/0!</v>
      </c>
      <c r="CO10" s="6" t="e">
        <f>ENR!CO10/ENR!CO$29</f>
        <v>#DIV/0!</v>
      </c>
      <c r="CP10" s="6" t="e">
        <f>ENR!CP10/ENR!CP$29</f>
        <v>#DIV/0!</v>
      </c>
      <c r="CQ10" s="6" t="e">
        <f>ENR!CQ10/ENR!CQ$29</f>
        <v>#DIV/0!</v>
      </c>
      <c r="CR10" s="6">
        <f>ENR!CR10/ENR!CR$29</f>
        <v>0</v>
      </c>
    </row>
    <row r="11" spans="1:97" x14ac:dyDescent="0.25">
      <c r="B11" s="4" t="s">
        <v>5</v>
      </c>
      <c r="C11" s="4" t="s">
        <v>99</v>
      </c>
      <c r="D11" s="2">
        <v>6</v>
      </c>
      <c r="E11" s="6" t="e">
        <f>ENR!E11/ENR!E$29</f>
        <v>#DIV/0!</v>
      </c>
      <c r="F11" s="6" t="e">
        <f>ENR!F11/ENR!F$29</f>
        <v>#DIV/0!</v>
      </c>
      <c r="G11" s="6" t="e">
        <f>ENR!G11/ENR!G$29</f>
        <v>#DIV/0!</v>
      </c>
      <c r="H11" s="6" t="e">
        <f>ENR!H11/ENR!H$29</f>
        <v>#DIV/0!</v>
      </c>
      <c r="I11" s="6" t="e">
        <f>ENR!I11/ENR!I$29</f>
        <v>#DIV/0!</v>
      </c>
      <c r="J11" s="6" t="e">
        <f>ENR!J11/ENR!J$29</f>
        <v>#DIV/0!</v>
      </c>
      <c r="K11" s="6" t="e">
        <f>ENR!K11/ENR!K$29</f>
        <v>#DIV/0!</v>
      </c>
      <c r="L11" s="6">
        <f>ENR!L11/ENR!L$29</f>
        <v>0</v>
      </c>
      <c r="M11" s="6" t="e">
        <f>ENR!M11/ENR!M$29</f>
        <v>#DIV/0!</v>
      </c>
      <c r="N11" s="6" t="e">
        <f>ENR!N11/ENR!N$29</f>
        <v>#DIV/0!</v>
      </c>
      <c r="O11" s="6" t="e">
        <f>ENR!O11/ENR!O$29</f>
        <v>#DIV/0!</v>
      </c>
      <c r="P11" s="6">
        <f>ENR!P11/ENR!P$29</f>
        <v>0</v>
      </c>
      <c r="Q11" s="6">
        <f>ENR!Q11/ENR!Q$29</f>
        <v>0</v>
      </c>
      <c r="R11" s="6">
        <f>ENR!R11/ENR!R$29</f>
        <v>0</v>
      </c>
      <c r="S11" s="6">
        <f>ENR!S11/ENR!S$29</f>
        <v>0</v>
      </c>
      <c r="T11" s="6">
        <f>ENR!T11/ENR!T$29</f>
        <v>0</v>
      </c>
      <c r="U11" s="6">
        <f>ENR!U11/ENR!U$29</f>
        <v>0</v>
      </c>
      <c r="V11" s="6">
        <f>ENR!V11/ENR!V$29</f>
        <v>0</v>
      </c>
      <c r="W11" s="6">
        <f>ENR!W11/ENR!W$29</f>
        <v>0</v>
      </c>
      <c r="X11" s="6">
        <f>ENR!X11/ENR!X$29</f>
        <v>0</v>
      </c>
      <c r="Y11" s="6">
        <f>ENR!Y11/ENR!Y$29</f>
        <v>0</v>
      </c>
      <c r="Z11" s="6">
        <f>ENR!Z11/ENR!Z$29</f>
        <v>0</v>
      </c>
      <c r="AA11" s="6">
        <f>ENR!AA11/ENR!AA$29</f>
        <v>0</v>
      </c>
      <c r="AB11" s="6">
        <f>ENR!AB11/ENR!AB$29</f>
        <v>0</v>
      </c>
      <c r="AC11" s="6">
        <f>ENR!AC11/ENR!AC$29</f>
        <v>0</v>
      </c>
      <c r="AD11" s="6">
        <f>ENR!AD11/ENR!AD$29</f>
        <v>0</v>
      </c>
      <c r="AE11" s="6">
        <f>ENR!AE11/ENR!AE$29</f>
        <v>0</v>
      </c>
      <c r="AF11" s="6">
        <f>ENR!AF11/ENR!AF$29</f>
        <v>0</v>
      </c>
      <c r="AG11" s="6">
        <f>ENR!AG11/ENR!AG$29</f>
        <v>0</v>
      </c>
      <c r="AH11" s="6" t="e">
        <f>ENR!AH11/ENR!AH$29</f>
        <v>#DIV/0!</v>
      </c>
      <c r="AI11" s="6" t="e">
        <f>ENR!AI11/ENR!AI$29</f>
        <v>#DIV/0!</v>
      </c>
      <c r="AJ11" s="6" t="e">
        <f>ENR!AJ11/ENR!AJ$29</f>
        <v>#DIV/0!</v>
      </c>
      <c r="AK11" s="6" t="e">
        <f>ENR!AK11/ENR!AK$29</f>
        <v>#DIV/0!</v>
      </c>
      <c r="AL11" s="6">
        <f>ENR!AL11/ENR!AL$29</f>
        <v>0</v>
      </c>
      <c r="AM11" s="6">
        <f>ENR!AM11/ENR!AM$29</f>
        <v>0</v>
      </c>
      <c r="AN11" s="6">
        <f>ENR!AN11/ENR!AN$29</f>
        <v>0</v>
      </c>
      <c r="AO11" s="6">
        <f>ENR!AO11/ENR!AO$29</f>
        <v>0</v>
      </c>
      <c r="AP11" s="6">
        <f>ENR!AP11/ENR!AP$29</f>
        <v>0</v>
      </c>
      <c r="AQ11" s="6">
        <f>ENR!AQ11/ENR!AQ$29</f>
        <v>0</v>
      </c>
      <c r="AR11" s="6">
        <f>ENR!AR11/ENR!AR$29</f>
        <v>0</v>
      </c>
      <c r="AS11" s="6">
        <f>ENR!AS11/ENR!AS$29</f>
        <v>0</v>
      </c>
      <c r="AT11" s="6">
        <f>ENR!AT11/ENR!AT$29</f>
        <v>0</v>
      </c>
      <c r="AU11" s="6">
        <f>ENR!AU11/ENR!AU$29</f>
        <v>0</v>
      </c>
      <c r="AV11" s="6">
        <f>ENR!AV11/ENR!AV$29</f>
        <v>0</v>
      </c>
      <c r="AW11" s="6">
        <f>ENR!AW11/ENR!AW$29</f>
        <v>0</v>
      </c>
      <c r="AX11" s="6">
        <f>ENR!AX11/ENR!AX$29</f>
        <v>0</v>
      </c>
      <c r="AY11" s="6">
        <f>ENR!AY11/ENR!AY$29</f>
        <v>0</v>
      </c>
      <c r="AZ11" s="6">
        <f>ENR!AZ11/ENR!AZ$29</f>
        <v>0</v>
      </c>
      <c r="BA11" s="6">
        <f>ENR!BA11/ENR!BA$29</f>
        <v>0</v>
      </c>
      <c r="BB11" s="6">
        <f>ENR!BB11/ENR!BB$29</f>
        <v>0</v>
      </c>
      <c r="BC11" s="6">
        <f>ENR!BC11/ENR!BC$29</f>
        <v>0</v>
      </c>
      <c r="BD11" s="6">
        <f>ENR!BD11/ENR!BD$29</f>
        <v>0</v>
      </c>
      <c r="BE11" s="6">
        <f>ENR!BE11/ENR!BE$29</f>
        <v>0</v>
      </c>
      <c r="BF11" s="6">
        <f>ENR!BF11/ENR!BF$29</f>
        <v>0</v>
      </c>
      <c r="BG11" s="6">
        <f>ENR!BG11/ENR!BG$29</f>
        <v>0</v>
      </c>
      <c r="BH11" s="6">
        <f>ENR!BH11/ENR!BH$29</f>
        <v>0</v>
      </c>
      <c r="BI11" s="6">
        <f>ENR!BI11/ENR!BI$29</f>
        <v>0</v>
      </c>
      <c r="BJ11" s="6">
        <f>ENR!BJ11/ENR!BJ$29</f>
        <v>0</v>
      </c>
      <c r="BK11" s="6">
        <f>ENR!BK11/ENR!BK$29</f>
        <v>0</v>
      </c>
      <c r="BL11" s="6">
        <f>ENR!BL11/ENR!BL$29</f>
        <v>0</v>
      </c>
      <c r="BM11" s="6">
        <f>ENR!BM11/ENR!BM$29</f>
        <v>0</v>
      </c>
      <c r="BN11" s="6">
        <f>ENR!BN11/ENR!BN$29</f>
        <v>0</v>
      </c>
      <c r="BO11" s="6" t="e">
        <f>ENR!BO11/ENR!BO$29</f>
        <v>#DIV/0!</v>
      </c>
      <c r="BP11" s="6" t="e">
        <f>ENR!BP11/ENR!BP$29</f>
        <v>#DIV/0!</v>
      </c>
      <c r="BQ11" s="6" t="e">
        <f>ENR!BQ11/ENR!BQ$29</f>
        <v>#DIV/0!</v>
      </c>
      <c r="BR11" s="6" t="e">
        <f>ENR!BR11/ENR!BR$29</f>
        <v>#DIV/0!</v>
      </c>
      <c r="BS11" s="6" t="e">
        <f>ENR!BS11/ENR!BS$29</f>
        <v>#DIV/0!</v>
      </c>
      <c r="BT11" s="6" t="e">
        <f>ENR!BT11/ENR!BT$29</f>
        <v>#DIV/0!</v>
      </c>
      <c r="BU11" s="6" t="e">
        <f>ENR!BU11/ENR!BU$29</f>
        <v>#DIV/0!</v>
      </c>
      <c r="BV11" s="6" t="e">
        <f>ENR!BV11/ENR!BV$29</f>
        <v>#DIV/0!</v>
      </c>
      <c r="BW11" s="6" t="e">
        <f>ENR!BW11/ENR!BW$29</f>
        <v>#DIV/0!</v>
      </c>
      <c r="BX11" s="6" t="e">
        <f>ENR!BX11/ENR!BX$29</f>
        <v>#DIV/0!</v>
      </c>
      <c r="BY11" s="6" t="e">
        <f>ENR!BY11/ENR!BY$29</f>
        <v>#DIV/0!</v>
      </c>
      <c r="BZ11" s="6" t="e">
        <f>ENR!BZ11/ENR!BZ$29</f>
        <v>#DIV/0!</v>
      </c>
      <c r="CA11" s="6" t="e">
        <f>ENR!CA11/ENR!CA$29</f>
        <v>#DIV/0!</v>
      </c>
      <c r="CB11" s="6" t="e">
        <f>ENR!CB11/ENR!CB$29</f>
        <v>#DIV/0!</v>
      </c>
      <c r="CC11" s="6" t="e">
        <f>ENR!CC11/ENR!CC$29</f>
        <v>#DIV/0!</v>
      </c>
      <c r="CD11" s="6" t="e">
        <f>ENR!CD11/ENR!CD$29</f>
        <v>#DIV/0!</v>
      </c>
      <c r="CE11" s="6" t="e">
        <f>ENR!CE11/ENR!CE$29</f>
        <v>#DIV/0!</v>
      </c>
      <c r="CF11" s="6" t="e">
        <f>ENR!CF11/ENR!CF$29</f>
        <v>#DIV/0!</v>
      </c>
      <c r="CG11" s="6" t="e">
        <f>ENR!CG11/ENR!CG$29</f>
        <v>#DIV/0!</v>
      </c>
      <c r="CH11" s="6" t="e">
        <f>ENR!CH11/ENR!CH$29</f>
        <v>#DIV/0!</v>
      </c>
      <c r="CI11" s="6" t="e">
        <f>ENR!CI11/ENR!CI$29</f>
        <v>#DIV/0!</v>
      </c>
      <c r="CJ11" s="6" t="e">
        <f>ENR!CJ11/ENR!CJ$29</f>
        <v>#DIV/0!</v>
      </c>
      <c r="CK11" s="6" t="e">
        <f>ENR!CK11/ENR!CK$29</f>
        <v>#DIV/0!</v>
      </c>
      <c r="CL11" s="6" t="e">
        <f>ENR!CL11/ENR!CL$29</f>
        <v>#DIV/0!</v>
      </c>
      <c r="CM11" s="6" t="e">
        <f>ENR!CM11/ENR!CM$29</f>
        <v>#DIV/0!</v>
      </c>
      <c r="CN11" s="6" t="e">
        <f>ENR!CN11/ENR!CN$29</f>
        <v>#DIV/0!</v>
      </c>
      <c r="CO11" s="6" t="e">
        <f>ENR!CO11/ENR!CO$29</f>
        <v>#DIV/0!</v>
      </c>
      <c r="CP11" s="6" t="e">
        <f>ENR!CP11/ENR!CP$29</f>
        <v>#DIV/0!</v>
      </c>
      <c r="CQ11" s="6" t="e">
        <f>ENR!CQ11/ENR!CQ$29</f>
        <v>#DIV/0!</v>
      </c>
      <c r="CR11" s="6">
        <f>ENR!CR11/ENR!CR$29</f>
        <v>0</v>
      </c>
    </row>
    <row r="12" spans="1:97" x14ac:dyDescent="0.25">
      <c r="B12" s="4" t="s">
        <v>6</v>
      </c>
      <c r="C12" s="4" t="s">
        <v>100</v>
      </c>
      <c r="D12" s="2">
        <v>7</v>
      </c>
      <c r="E12" s="6" t="e">
        <f>ENR!E12/ENR!E$29</f>
        <v>#DIV/0!</v>
      </c>
      <c r="F12" s="6" t="e">
        <f>ENR!F12/ENR!F$29</f>
        <v>#DIV/0!</v>
      </c>
      <c r="G12" s="6" t="e">
        <f>ENR!G12/ENR!G$29</f>
        <v>#DIV/0!</v>
      </c>
      <c r="H12" s="6" t="e">
        <f>ENR!H12/ENR!H$29</f>
        <v>#DIV/0!</v>
      </c>
      <c r="I12" s="6" t="e">
        <f>ENR!I12/ENR!I$29</f>
        <v>#DIV/0!</v>
      </c>
      <c r="J12" s="6" t="e">
        <f>ENR!J12/ENR!J$29</f>
        <v>#DIV/0!</v>
      </c>
      <c r="K12" s="6" t="e">
        <f>ENR!K12/ENR!K$29</f>
        <v>#DIV/0!</v>
      </c>
      <c r="L12" s="6">
        <f>ENR!L12/ENR!L$29</f>
        <v>0</v>
      </c>
      <c r="M12" s="6" t="e">
        <f>ENR!M12/ENR!M$29</f>
        <v>#DIV/0!</v>
      </c>
      <c r="N12" s="6" t="e">
        <f>ENR!N12/ENR!N$29</f>
        <v>#DIV/0!</v>
      </c>
      <c r="O12" s="6" t="e">
        <f>ENR!O12/ENR!O$29</f>
        <v>#DIV/0!</v>
      </c>
      <c r="P12" s="6">
        <f>ENR!P12/ENR!P$29</f>
        <v>0</v>
      </c>
      <c r="Q12" s="6">
        <f>ENR!Q12/ENR!Q$29</f>
        <v>0</v>
      </c>
      <c r="R12" s="6">
        <f>ENR!R12/ENR!R$29</f>
        <v>0</v>
      </c>
      <c r="S12" s="6">
        <f>ENR!S12/ENR!S$29</f>
        <v>0</v>
      </c>
      <c r="T12" s="6">
        <f>ENR!T12/ENR!T$29</f>
        <v>0</v>
      </c>
      <c r="U12" s="6">
        <f>ENR!U12/ENR!U$29</f>
        <v>0</v>
      </c>
      <c r="V12" s="6">
        <f>ENR!V12/ENR!V$29</f>
        <v>0</v>
      </c>
      <c r="W12" s="6">
        <f>ENR!W12/ENR!W$29</f>
        <v>0</v>
      </c>
      <c r="X12" s="6">
        <f>ENR!X12/ENR!X$29</f>
        <v>0</v>
      </c>
      <c r="Y12" s="6">
        <f>ENR!Y12/ENR!Y$29</f>
        <v>0</v>
      </c>
      <c r="Z12" s="6">
        <f>ENR!Z12/ENR!Z$29</f>
        <v>0</v>
      </c>
      <c r="AA12" s="6">
        <f>ENR!AA12/ENR!AA$29</f>
        <v>0</v>
      </c>
      <c r="AB12" s="6">
        <f>ENR!AB12/ENR!AB$29</f>
        <v>0</v>
      </c>
      <c r="AC12" s="6">
        <f>ENR!AC12/ENR!AC$29</f>
        <v>0</v>
      </c>
      <c r="AD12" s="6">
        <f>ENR!AD12/ENR!AD$29</f>
        <v>0</v>
      </c>
      <c r="AE12" s="6">
        <f>ENR!AE12/ENR!AE$29</f>
        <v>0</v>
      </c>
      <c r="AF12" s="6">
        <f>ENR!AF12/ENR!AF$29</f>
        <v>0</v>
      </c>
      <c r="AG12" s="6">
        <f>ENR!AG12/ENR!AG$29</f>
        <v>0</v>
      </c>
      <c r="AH12" s="6" t="e">
        <f>ENR!AH12/ENR!AH$29</f>
        <v>#DIV/0!</v>
      </c>
      <c r="AI12" s="6" t="e">
        <f>ENR!AI12/ENR!AI$29</f>
        <v>#DIV/0!</v>
      </c>
      <c r="AJ12" s="6" t="e">
        <f>ENR!AJ12/ENR!AJ$29</f>
        <v>#DIV/0!</v>
      </c>
      <c r="AK12" s="6" t="e">
        <f>ENR!AK12/ENR!AK$29</f>
        <v>#DIV/0!</v>
      </c>
      <c r="AL12" s="6">
        <f>ENR!AL12/ENR!AL$29</f>
        <v>0</v>
      </c>
      <c r="AM12" s="6">
        <f>ENR!AM12/ENR!AM$29</f>
        <v>0</v>
      </c>
      <c r="AN12" s="6">
        <f>ENR!AN12/ENR!AN$29</f>
        <v>0</v>
      </c>
      <c r="AO12" s="6">
        <f>ENR!AO12/ENR!AO$29</f>
        <v>0</v>
      </c>
      <c r="AP12" s="6">
        <f>ENR!AP12/ENR!AP$29</f>
        <v>0</v>
      </c>
      <c r="AQ12" s="6">
        <f>ENR!AQ12/ENR!AQ$29</f>
        <v>0</v>
      </c>
      <c r="AR12" s="6">
        <f>ENR!AR12/ENR!AR$29</f>
        <v>0</v>
      </c>
      <c r="AS12" s="6">
        <f>ENR!AS12/ENR!AS$29</f>
        <v>0</v>
      </c>
      <c r="AT12" s="6">
        <f>ENR!AT12/ENR!AT$29</f>
        <v>0</v>
      </c>
      <c r="AU12" s="6">
        <f>ENR!AU12/ENR!AU$29</f>
        <v>0</v>
      </c>
      <c r="AV12" s="6">
        <f>ENR!AV12/ENR!AV$29</f>
        <v>0</v>
      </c>
      <c r="AW12" s="6">
        <f>ENR!AW12/ENR!AW$29</f>
        <v>0</v>
      </c>
      <c r="AX12" s="6">
        <f>ENR!AX12/ENR!AX$29</f>
        <v>0</v>
      </c>
      <c r="AY12" s="6">
        <f>ENR!AY12/ENR!AY$29</f>
        <v>0</v>
      </c>
      <c r="AZ12" s="6">
        <f>ENR!AZ12/ENR!AZ$29</f>
        <v>0</v>
      </c>
      <c r="BA12" s="6">
        <f>ENR!BA12/ENR!BA$29</f>
        <v>0</v>
      </c>
      <c r="BB12" s="6">
        <f>ENR!BB12/ENR!BB$29</f>
        <v>0</v>
      </c>
      <c r="BC12" s="6">
        <f>ENR!BC12/ENR!BC$29</f>
        <v>0</v>
      </c>
      <c r="BD12" s="6">
        <f>ENR!BD12/ENR!BD$29</f>
        <v>0</v>
      </c>
      <c r="BE12" s="6">
        <f>ENR!BE12/ENR!BE$29</f>
        <v>0</v>
      </c>
      <c r="BF12" s="6">
        <f>ENR!BF12/ENR!BF$29</f>
        <v>0</v>
      </c>
      <c r="BG12" s="6">
        <f>ENR!BG12/ENR!BG$29</f>
        <v>0</v>
      </c>
      <c r="BH12" s="6">
        <f>ENR!BH12/ENR!BH$29</f>
        <v>0</v>
      </c>
      <c r="BI12" s="6">
        <f>ENR!BI12/ENR!BI$29</f>
        <v>0</v>
      </c>
      <c r="BJ12" s="6">
        <f>ENR!BJ12/ENR!BJ$29</f>
        <v>0</v>
      </c>
      <c r="BK12" s="6">
        <f>ENR!BK12/ENR!BK$29</f>
        <v>0</v>
      </c>
      <c r="BL12" s="6">
        <f>ENR!BL12/ENR!BL$29</f>
        <v>0</v>
      </c>
      <c r="BM12" s="6">
        <f>ENR!BM12/ENR!BM$29</f>
        <v>0</v>
      </c>
      <c r="BN12" s="6">
        <f>ENR!BN12/ENR!BN$29</f>
        <v>0</v>
      </c>
      <c r="BO12" s="6" t="e">
        <f>ENR!BO12/ENR!BO$29</f>
        <v>#DIV/0!</v>
      </c>
      <c r="BP12" s="6" t="e">
        <f>ENR!BP12/ENR!BP$29</f>
        <v>#DIV/0!</v>
      </c>
      <c r="BQ12" s="6" t="e">
        <f>ENR!BQ12/ENR!BQ$29</f>
        <v>#DIV/0!</v>
      </c>
      <c r="BR12" s="6" t="e">
        <f>ENR!BR12/ENR!BR$29</f>
        <v>#DIV/0!</v>
      </c>
      <c r="BS12" s="6" t="e">
        <f>ENR!BS12/ENR!BS$29</f>
        <v>#DIV/0!</v>
      </c>
      <c r="BT12" s="6" t="e">
        <f>ENR!BT12/ENR!BT$29</f>
        <v>#DIV/0!</v>
      </c>
      <c r="BU12" s="6" t="e">
        <f>ENR!BU12/ENR!BU$29</f>
        <v>#DIV/0!</v>
      </c>
      <c r="BV12" s="6" t="e">
        <f>ENR!BV12/ENR!BV$29</f>
        <v>#DIV/0!</v>
      </c>
      <c r="BW12" s="6" t="e">
        <f>ENR!BW12/ENR!BW$29</f>
        <v>#DIV/0!</v>
      </c>
      <c r="BX12" s="6" t="e">
        <f>ENR!BX12/ENR!BX$29</f>
        <v>#DIV/0!</v>
      </c>
      <c r="BY12" s="6" t="e">
        <f>ENR!BY12/ENR!BY$29</f>
        <v>#DIV/0!</v>
      </c>
      <c r="BZ12" s="6" t="e">
        <f>ENR!BZ12/ENR!BZ$29</f>
        <v>#DIV/0!</v>
      </c>
      <c r="CA12" s="6" t="e">
        <f>ENR!CA12/ENR!CA$29</f>
        <v>#DIV/0!</v>
      </c>
      <c r="CB12" s="6" t="e">
        <f>ENR!CB12/ENR!CB$29</f>
        <v>#DIV/0!</v>
      </c>
      <c r="CC12" s="6" t="e">
        <f>ENR!CC12/ENR!CC$29</f>
        <v>#DIV/0!</v>
      </c>
      <c r="CD12" s="6" t="e">
        <f>ENR!CD12/ENR!CD$29</f>
        <v>#DIV/0!</v>
      </c>
      <c r="CE12" s="6" t="e">
        <f>ENR!CE12/ENR!CE$29</f>
        <v>#DIV/0!</v>
      </c>
      <c r="CF12" s="6" t="e">
        <f>ENR!CF12/ENR!CF$29</f>
        <v>#DIV/0!</v>
      </c>
      <c r="CG12" s="6" t="e">
        <f>ENR!CG12/ENR!CG$29</f>
        <v>#DIV/0!</v>
      </c>
      <c r="CH12" s="6" t="e">
        <f>ENR!CH12/ENR!CH$29</f>
        <v>#DIV/0!</v>
      </c>
      <c r="CI12" s="6" t="e">
        <f>ENR!CI12/ENR!CI$29</f>
        <v>#DIV/0!</v>
      </c>
      <c r="CJ12" s="6" t="e">
        <f>ENR!CJ12/ENR!CJ$29</f>
        <v>#DIV/0!</v>
      </c>
      <c r="CK12" s="6" t="e">
        <f>ENR!CK12/ENR!CK$29</f>
        <v>#DIV/0!</v>
      </c>
      <c r="CL12" s="6" t="e">
        <f>ENR!CL12/ENR!CL$29</f>
        <v>#DIV/0!</v>
      </c>
      <c r="CM12" s="6" t="e">
        <f>ENR!CM12/ENR!CM$29</f>
        <v>#DIV/0!</v>
      </c>
      <c r="CN12" s="6" t="e">
        <f>ENR!CN12/ENR!CN$29</f>
        <v>#DIV/0!</v>
      </c>
      <c r="CO12" s="6" t="e">
        <f>ENR!CO12/ENR!CO$29</f>
        <v>#DIV/0!</v>
      </c>
      <c r="CP12" s="6" t="e">
        <f>ENR!CP12/ENR!CP$29</f>
        <v>#DIV/0!</v>
      </c>
      <c r="CQ12" s="6" t="e">
        <f>ENR!CQ12/ENR!CQ$29</f>
        <v>#DIV/0!</v>
      </c>
      <c r="CR12" s="6">
        <f>ENR!CR12/ENR!CR$29</f>
        <v>0</v>
      </c>
    </row>
    <row r="13" spans="1:97" x14ac:dyDescent="0.25">
      <c r="B13" s="4" t="s">
        <v>7</v>
      </c>
      <c r="C13" s="4" t="s">
        <v>64</v>
      </c>
      <c r="D13" s="2">
        <v>8</v>
      </c>
      <c r="E13" s="6" t="e">
        <f>ENR!E13/ENR!E$29</f>
        <v>#DIV/0!</v>
      </c>
      <c r="F13" s="6" t="e">
        <f>ENR!F13/ENR!F$29</f>
        <v>#DIV/0!</v>
      </c>
      <c r="G13" s="6" t="e">
        <f>ENR!G13/ENR!G$29</f>
        <v>#DIV/0!</v>
      </c>
      <c r="H13" s="6" t="e">
        <f>ENR!H13/ENR!H$29</f>
        <v>#DIV/0!</v>
      </c>
      <c r="I13" s="6" t="e">
        <f>ENR!I13/ENR!I$29</f>
        <v>#DIV/0!</v>
      </c>
      <c r="J13" s="6" t="e">
        <f>ENR!J13/ENR!J$29</f>
        <v>#DIV/0!</v>
      </c>
      <c r="K13" s="6" t="e">
        <f>ENR!K13/ENR!K$29</f>
        <v>#DIV/0!</v>
      </c>
      <c r="L13" s="6">
        <f>ENR!L13/ENR!L$29</f>
        <v>0</v>
      </c>
      <c r="M13" s="6" t="e">
        <f>ENR!M13/ENR!M$29</f>
        <v>#DIV/0!</v>
      </c>
      <c r="N13" s="6" t="e">
        <f>ENR!N13/ENR!N$29</f>
        <v>#DIV/0!</v>
      </c>
      <c r="O13" s="6" t="e">
        <f>ENR!O13/ENR!O$29</f>
        <v>#DIV/0!</v>
      </c>
      <c r="P13" s="6">
        <f>ENR!P13/ENR!P$29</f>
        <v>0</v>
      </c>
      <c r="Q13" s="6">
        <f>ENR!Q13/ENR!Q$29</f>
        <v>0</v>
      </c>
      <c r="R13" s="6">
        <f>ENR!R13/ENR!R$29</f>
        <v>0</v>
      </c>
      <c r="S13" s="6">
        <f>ENR!S13/ENR!S$29</f>
        <v>0</v>
      </c>
      <c r="T13" s="6">
        <f>ENR!T13/ENR!T$29</f>
        <v>0</v>
      </c>
      <c r="U13" s="6">
        <f>ENR!U13/ENR!U$29</f>
        <v>0</v>
      </c>
      <c r="V13" s="6">
        <f>ENR!V13/ENR!V$29</f>
        <v>0</v>
      </c>
      <c r="W13" s="6">
        <f>ENR!W13/ENR!W$29</f>
        <v>0</v>
      </c>
      <c r="X13" s="6">
        <f>ENR!X13/ENR!X$29</f>
        <v>0</v>
      </c>
      <c r="Y13" s="6">
        <f>ENR!Y13/ENR!Y$29</f>
        <v>0</v>
      </c>
      <c r="Z13" s="6">
        <f>ENR!Z13/ENR!Z$29</f>
        <v>0</v>
      </c>
      <c r="AA13" s="6">
        <f>ENR!AA13/ENR!AA$29</f>
        <v>0</v>
      </c>
      <c r="AB13" s="6">
        <f>ENR!AB13/ENR!AB$29</f>
        <v>0</v>
      </c>
      <c r="AC13" s="6">
        <f>ENR!AC13/ENR!AC$29</f>
        <v>0</v>
      </c>
      <c r="AD13" s="6">
        <f>ENR!AD13/ENR!AD$29</f>
        <v>0</v>
      </c>
      <c r="AE13" s="6">
        <f>ENR!AE13/ENR!AE$29</f>
        <v>0</v>
      </c>
      <c r="AF13" s="6">
        <f>ENR!AF13/ENR!AF$29</f>
        <v>0</v>
      </c>
      <c r="AG13" s="6">
        <f>ENR!AG13/ENR!AG$29</f>
        <v>0</v>
      </c>
      <c r="AH13" s="6" t="e">
        <f>ENR!AH13/ENR!AH$29</f>
        <v>#DIV/0!</v>
      </c>
      <c r="AI13" s="6" t="e">
        <f>ENR!AI13/ENR!AI$29</f>
        <v>#DIV/0!</v>
      </c>
      <c r="AJ13" s="6" t="e">
        <f>ENR!AJ13/ENR!AJ$29</f>
        <v>#DIV/0!</v>
      </c>
      <c r="AK13" s="6" t="e">
        <f>ENR!AK13/ENR!AK$29</f>
        <v>#DIV/0!</v>
      </c>
      <c r="AL13" s="6">
        <f>ENR!AL13/ENR!AL$29</f>
        <v>0</v>
      </c>
      <c r="AM13" s="6">
        <f>ENR!AM13/ENR!AM$29</f>
        <v>0</v>
      </c>
      <c r="AN13" s="6">
        <f>ENR!AN13/ENR!AN$29</f>
        <v>0</v>
      </c>
      <c r="AO13" s="6">
        <f>ENR!AO13/ENR!AO$29</f>
        <v>0</v>
      </c>
      <c r="AP13" s="6">
        <f>ENR!AP13/ENR!AP$29</f>
        <v>0</v>
      </c>
      <c r="AQ13" s="6">
        <f>ENR!AQ13/ENR!AQ$29</f>
        <v>0</v>
      </c>
      <c r="AR13" s="6">
        <f>ENR!AR13/ENR!AR$29</f>
        <v>0</v>
      </c>
      <c r="AS13" s="6">
        <f>ENR!AS13/ENR!AS$29</f>
        <v>0</v>
      </c>
      <c r="AT13" s="6">
        <f>ENR!AT13/ENR!AT$29</f>
        <v>0</v>
      </c>
      <c r="AU13" s="6">
        <f>ENR!AU13/ENR!AU$29</f>
        <v>0</v>
      </c>
      <c r="AV13" s="6">
        <f>ENR!AV13/ENR!AV$29</f>
        <v>0</v>
      </c>
      <c r="AW13" s="6">
        <f>ENR!AW13/ENR!AW$29</f>
        <v>0</v>
      </c>
      <c r="AX13" s="6">
        <f>ENR!AX13/ENR!AX$29</f>
        <v>0</v>
      </c>
      <c r="AY13" s="6">
        <f>ENR!AY13/ENR!AY$29</f>
        <v>0</v>
      </c>
      <c r="AZ13" s="6">
        <f>ENR!AZ13/ENR!AZ$29</f>
        <v>0</v>
      </c>
      <c r="BA13" s="6">
        <f>ENR!BA13/ENR!BA$29</f>
        <v>0</v>
      </c>
      <c r="BB13" s="6">
        <f>ENR!BB13/ENR!BB$29</f>
        <v>0</v>
      </c>
      <c r="BC13" s="6">
        <f>ENR!BC13/ENR!BC$29</f>
        <v>0</v>
      </c>
      <c r="BD13" s="6">
        <f>ENR!BD13/ENR!BD$29</f>
        <v>0</v>
      </c>
      <c r="BE13" s="6">
        <f>ENR!BE13/ENR!BE$29</f>
        <v>0</v>
      </c>
      <c r="BF13" s="6">
        <f>ENR!BF13/ENR!BF$29</f>
        <v>0</v>
      </c>
      <c r="BG13" s="6">
        <f>ENR!BG13/ENR!BG$29</f>
        <v>0</v>
      </c>
      <c r="BH13" s="6">
        <f>ENR!BH13/ENR!BH$29</f>
        <v>0</v>
      </c>
      <c r="BI13" s="6">
        <f>ENR!BI13/ENR!BI$29</f>
        <v>0</v>
      </c>
      <c r="BJ13" s="6">
        <f>ENR!BJ13/ENR!BJ$29</f>
        <v>0</v>
      </c>
      <c r="BK13" s="6">
        <f>ENR!BK13/ENR!BK$29</f>
        <v>0</v>
      </c>
      <c r="BL13" s="6">
        <f>ENR!BL13/ENR!BL$29</f>
        <v>0</v>
      </c>
      <c r="BM13" s="6">
        <f>ENR!BM13/ENR!BM$29</f>
        <v>0</v>
      </c>
      <c r="BN13" s="6">
        <f>ENR!BN13/ENR!BN$29</f>
        <v>0</v>
      </c>
      <c r="BO13" s="6" t="e">
        <f>ENR!BO13/ENR!BO$29</f>
        <v>#DIV/0!</v>
      </c>
      <c r="BP13" s="6" t="e">
        <f>ENR!BP13/ENR!BP$29</f>
        <v>#DIV/0!</v>
      </c>
      <c r="BQ13" s="6" t="e">
        <f>ENR!BQ13/ENR!BQ$29</f>
        <v>#DIV/0!</v>
      </c>
      <c r="BR13" s="6" t="e">
        <f>ENR!BR13/ENR!BR$29</f>
        <v>#DIV/0!</v>
      </c>
      <c r="BS13" s="6" t="e">
        <f>ENR!BS13/ENR!BS$29</f>
        <v>#DIV/0!</v>
      </c>
      <c r="BT13" s="6" t="e">
        <f>ENR!BT13/ENR!BT$29</f>
        <v>#DIV/0!</v>
      </c>
      <c r="BU13" s="6" t="e">
        <f>ENR!BU13/ENR!BU$29</f>
        <v>#DIV/0!</v>
      </c>
      <c r="BV13" s="6" t="e">
        <f>ENR!BV13/ENR!BV$29</f>
        <v>#DIV/0!</v>
      </c>
      <c r="BW13" s="6" t="e">
        <f>ENR!BW13/ENR!BW$29</f>
        <v>#DIV/0!</v>
      </c>
      <c r="BX13" s="6" t="e">
        <f>ENR!BX13/ENR!BX$29</f>
        <v>#DIV/0!</v>
      </c>
      <c r="BY13" s="6" t="e">
        <f>ENR!BY13/ENR!BY$29</f>
        <v>#DIV/0!</v>
      </c>
      <c r="BZ13" s="6" t="e">
        <f>ENR!BZ13/ENR!BZ$29</f>
        <v>#DIV/0!</v>
      </c>
      <c r="CA13" s="6" t="e">
        <f>ENR!CA13/ENR!CA$29</f>
        <v>#DIV/0!</v>
      </c>
      <c r="CB13" s="6" t="e">
        <f>ENR!CB13/ENR!CB$29</f>
        <v>#DIV/0!</v>
      </c>
      <c r="CC13" s="6" t="e">
        <f>ENR!CC13/ENR!CC$29</f>
        <v>#DIV/0!</v>
      </c>
      <c r="CD13" s="6" t="e">
        <f>ENR!CD13/ENR!CD$29</f>
        <v>#DIV/0!</v>
      </c>
      <c r="CE13" s="6" t="e">
        <f>ENR!CE13/ENR!CE$29</f>
        <v>#DIV/0!</v>
      </c>
      <c r="CF13" s="6" t="e">
        <f>ENR!CF13/ENR!CF$29</f>
        <v>#DIV/0!</v>
      </c>
      <c r="CG13" s="6" t="e">
        <f>ENR!CG13/ENR!CG$29</f>
        <v>#DIV/0!</v>
      </c>
      <c r="CH13" s="6" t="e">
        <f>ENR!CH13/ENR!CH$29</f>
        <v>#DIV/0!</v>
      </c>
      <c r="CI13" s="6" t="e">
        <f>ENR!CI13/ENR!CI$29</f>
        <v>#DIV/0!</v>
      </c>
      <c r="CJ13" s="6" t="e">
        <f>ENR!CJ13/ENR!CJ$29</f>
        <v>#DIV/0!</v>
      </c>
      <c r="CK13" s="6" t="e">
        <f>ENR!CK13/ENR!CK$29</f>
        <v>#DIV/0!</v>
      </c>
      <c r="CL13" s="6" t="e">
        <f>ENR!CL13/ENR!CL$29</f>
        <v>#DIV/0!</v>
      </c>
      <c r="CM13" s="6" t="e">
        <f>ENR!CM13/ENR!CM$29</f>
        <v>#DIV/0!</v>
      </c>
      <c r="CN13" s="6" t="e">
        <f>ENR!CN13/ENR!CN$29</f>
        <v>#DIV/0!</v>
      </c>
      <c r="CO13" s="6" t="e">
        <f>ENR!CO13/ENR!CO$29</f>
        <v>#DIV/0!</v>
      </c>
      <c r="CP13" s="6" t="e">
        <f>ENR!CP13/ENR!CP$29</f>
        <v>#DIV/0!</v>
      </c>
      <c r="CQ13" s="6" t="e">
        <f>ENR!CQ13/ENR!CQ$29</f>
        <v>#DIV/0!</v>
      </c>
      <c r="CR13" s="6">
        <f>ENR!CR13/ENR!CR$29</f>
        <v>0</v>
      </c>
    </row>
    <row r="14" spans="1:97" x14ac:dyDescent="0.25">
      <c r="B14" s="4" t="s">
        <v>8</v>
      </c>
      <c r="C14" s="4" t="s">
        <v>65</v>
      </c>
      <c r="D14" s="2">
        <v>9</v>
      </c>
      <c r="E14" s="6" t="e">
        <f>ENR!E14/ENR!E$29</f>
        <v>#DIV/0!</v>
      </c>
      <c r="F14" s="6" t="e">
        <f>ENR!F14/ENR!F$29</f>
        <v>#DIV/0!</v>
      </c>
      <c r="G14" s="6" t="e">
        <f>ENR!G14/ENR!G$29</f>
        <v>#DIV/0!</v>
      </c>
      <c r="H14" s="6" t="e">
        <f>ENR!H14/ENR!H$29</f>
        <v>#DIV/0!</v>
      </c>
      <c r="I14" s="6" t="e">
        <f>ENR!I14/ENR!I$29</f>
        <v>#DIV/0!</v>
      </c>
      <c r="J14" s="6" t="e">
        <f>ENR!J14/ENR!J$29</f>
        <v>#DIV/0!</v>
      </c>
      <c r="K14" s="6" t="e">
        <f>ENR!K14/ENR!K$29</f>
        <v>#DIV/0!</v>
      </c>
      <c r="L14" s="6">
        <f>ENR!L14/ENR!L$29</f>
        <v>0</v>
      </c>
      <c r="M14" s="6" t="e">
        <f>ENR!M14/ENR!M$29</f>
        <v>#DIV/0!</v>
      </c>
      <c r="N14" s="6" t="e">
        <f>ENR!N14/ENR!N$29</f>
        <v>#DIV/0!</v>
      </c>
      <c r="O14" s="6" t="e">
        <f>ENR!O14/ENR!O$29</f>
        <v>#DIV/0!</v>
      </c>
      <c r="P14" s="6">
        <f>ENR!P14/ENR!P$29</f>
        <v>0</v>
      </c>
      <c r="Q14" s="6">
        <f>ENR!Q14/ENR!Q$29</f>
        <v>0</v>
      </c>
      <c r="R14" s="6">
        <f>ENR!R14/ENR!R$29</f>
        <v>0</v>
      </c>
      <c r="S14" s="6">
        <f>ENR!S14/ENR!S$29</f>
        <v>0</v>
      </c>
      <c r="T14" s="6">
        <f>ENR!T14/ENR!T$29</f>
        <v>0</v>
      </c>
      <c r="U14" s="6">
        <f>ENR!U14/ENR!U$29</f>
        <v>0</v>
      </c>
      <c r="V14" s="6">
        <f>ENR!V14/ENR!V$29</f>
        <v>0</v>
      </c>
      <c r="W14" s="6">
        <f>ENR!W14/ENR!W$29</f>
        <v>0</v>
      </c>
      <c r="X14" s="6">
        <f>ENR!X14/ENR!X$29</f>
        <v>0</v>
      </c>
      <c r="Y14" s="6">
        <f>ENR!Y14/ENR!Y$29</f>
        <v>0</v>
      </c>
      <c r="Z14" s="6">
        <f>ENR!Z14/ENR!Z$29</f>
        <v>0</v>
      </c>
      <c r="AA14" s="6">
        <f>ENR!AA14/ENR!AA$29</f>
        <v>0</v>
      </c>
      <c r="AB14" s="6">
        <f>ENR!AB14/ENR!AB$29</f>
        <v>0</v>
      </c>
      <c r="AC14" s="6">
        <f>ENR!AC14/ENR!AC$29</f>
        <v>0</v>
      </c>
      <c r="AD14" s="6">
        <f>ENR!AD14/ENR!AD$29</f>
        <v>0</v>
      </c>
      <c r="AE14" s="6">
        <f>ENR!AE14/ENR!AE$29</f>
        <v>0</v>
      </c>
      <c r="AF14" s="6">
        <f>ENR!AF14/ENR!AF$29</f>
        <v>0</v>
      </c>
      <c r="AG14" s="6">
        <f>ENR!AG14/ENR!AG$29</f>
        <v>0</v>
      </c>
      <c r="AH14" s="6" t="e">
        <f>ENR!AH14/ENR!AH$29</f>
        <v>#DIV/0!</v>
      </c>
      <c r="AI14" s="6" t="e">
        <f>ENR!AI14/ENR!AI$29</f>
        <v>#DIV/0!</v>
      </c>
      <c r="AJ14" s="6" t="e">
        <f>ENR!AJ14/ENR!AJ$29</f>
        <v>#DIV/0!</v>
      </c>
      <c r="AK14" s="6" t="e">
        <f>ENR!AK14/ENR!AK$29</f>
        <v>#DIV/0!</v>
      </c>
      <c r="AL14" s="6">
        <f>ENR!AL14/ENR!AL$29</f>
        <v>0</v>
      </c>
      <c r="AM14" s="6">
        <f>ENR!AM14/ENR!AM$29</f>
        <v>0</v>
      </c>
      <c r="AN14" s="6">
        <f>ENR!AN14/ENR!AN$29</f>
        <v>0</v>
      </c>
      <c r="AO14" s="6">
        <f>ENR!AO14/ENR!AO$29</f>
        <v>0</v>
      </c>
      <c r="AP14" s="6">
        <f>ENR!AP14/ENR!AP$29</f>
        <v>0</v>
      </c>
      <c r="AQ14" s="6">
        <f>ENR!AQ14/ENR!AQ$29</f>
        <v>0</v>
      </c>
      <c r="AR14" s="6">
        <f>ENR!AR14/ENR!AR$29</f>
        <v>0</v>
      </c>
      <c r="AS14" s="6">
        <f>ENR!AS14/ENR!AS$29</f>
        <v>0</v>
      </c>
      <c r="AT14" s="6">
        <f>ENR!AT14/ENR!AT$29</f>
        <v>0</v>
      </c>
      <c r="AU14" s="6">
        <f>ENR!AU14/ENR!AU$29</f>
        <v>0</v>
      </c>
      <c r="AV14" s="6">
        <f>ENR!AV14/ENR!AV$29</f>
        <v>0</v>
      </c>
      <c r="AW14" s="6">
        <f>ENR!AW14/ENR!AW$29</f>
        <v>0</v>
      </c>
      <c r="AX14" s="6">
        <f>ENR!AX14/ENR!AX$29</f>
        <v>0</v>
      </c>
      <c r="AY14" s="6">
        <f>ENR!AY14/ENR!AY$29</f>
        <v>0</v>
      </c>
      <c r="AZ14" s="6">
        <f>ENR!AZ14/ENR!AZ$29</f>
        <v>0</v>
      </c>
      <c r="BA14" s="6">
        <f>ENR!BA14/ENR!BA$29</f>
        <v>0</v>
      </c>
      <c r="BB14" s="6">
        <f>ENR!BB14/ENR!BB$29</f>
        <v>0</v>
      </c>
      <c r="BC14" s="6">
        <f>ENR!BC14/ENR!BC$29</f>
        <v>0</v>
      </c>
      <c r="BD14" s="6">
        <f>ENR!BD14/ENR!BD$29</f>
        <v>0</v>
      </c>
      <c r="BE14" s="6">
        <f>ENR!BE14/ENR!BE$29</f>
        <v>0</v>
      </c>
      <c r="BF14" s="6">
        <f>ENR!BF14/ENR!BF$29</f>
        <v>0</v>
      </c>
      <c r="BG14" s="6">
        <f>ENR!BG14/ENR!BG$29</f>
        <v>0</v>
      </c>
      <c r="BH14" s="6">
        <f>ENR!BH14/ENR!BH$29</f>
        <v>0</v>
      </c>
      <c r="BI14" s="6">
        <f>ENR!BI14/ENR!BI$29</f>
        <v>0</v>
      </c>
      <c r="BJ14" s="6">
        <f>ENR!BJ14/ENR!BJ$29</f>
        <v>0</v>
      </c>
      <c r="BK14" s="6">
        <f>ENR!BK14/ENR!BK$29</f>
        <v>0</v>
      </c>
      <c r="BL14" s="6">
        <f>ENR!BL14/ENR!BL$29</f>
        <v>0</v>
      </c>
      <c r="BM14" s="6">
        <f>ENR!BM14/ENR!BM$29</f>
        <v>0</v>
      </c>
      <c r="BN14" s="6">
        <f>ENR!BN14/ENR!BN$29</f>
        <v>0</v>
      </c>
      <c r="BO14" s="6" t="e">
        <f>ENR!BO14/ENR!BO$29</f>
        <v>#DIV/0!</v>
      </c>
      <c r="BP14" s="6" t="e">
        <f>ENR!BP14/ENR!BP$29</f>
        <v>#DIV/0!</v>
      </c>
      <c r="BQ14" s="6" t="e">
        <f>ENR!BQ14/ENR!BQ$29</f>
        <v>#DIV/0!</v>
      </c>
      <c r="BR14" s="6" t="e">
        <f>ENR!BR14/ENR!BR$29</f>
        <v>#DIV/0!</v>
      </c>
      <c r="BS14" s="6" t="e">
        <f>ENR!BS14/ENR!BS$29</f>
        <v>#DIV/0!</v>
      </c>
      <c r="BT14" s="6" t="e">
        <f>ENR!BT14/ENR!BT$29</f>
        <v>#DIV/0!</v>
      </c>
      <c r="BU14" s="6" t="e">
        <f>ENR!BU14/ENR!BU$29</f>
        <v>#DIV/0!</v>
      </c>
      <c r="BV14" s="6" t="e">
        <f>ENR!BV14/ENR!BV$29</f>
        <v>#DIV/0!</v>
      </c>
      <c r="BW14" s="6" t="e">
        <f>ENR!BW14/ENR!BW$29</f>
        <v>#DIV/0!</v>
      </c>
      <c r="BX14" s="6" t="e">
        <f>ENR!BX14/ENR!BX$29</f>
        <v>#DIV/0!</v>
      </c>
      <c r="BY14" s="6" t="e">
        <f>ENR!BY14/ENR!BY$29</f>
        <v>#DIV/0!</v>
      </c>
      <c r="BZ14" s="6" t="e">
        <f>ENR!BZ14/ENR!BZ$29</f>
        <v>#DIV/0!</v>
      </c>
      <c r="CA14" s="6" t="e">
        <f>ENR!CA14/ENR!CA$29</f>
        <v>#DIV/0!</v>
      </c>
      <c r="CB14" s="6" t="e">
        <f>ENR!CB14/ENR!CB$29</f>
        <v>#DIV/0!</v>
      </c>
      <c r="CC14" s="6" t="e">
        <f>ENR!CC14/ENR!CC$29</f>
        <v>#DIV/0!</v>
      </c>
      <c r="CD14" s="6" t="e">
        <f>ENR!CD14/ENR!CD$29</f>
        <v>#DIV/0!</v>
      </c>
      <c r="CE14" s="6" t="e">
        <f>ENR!CE14/ENR!CE$29</f>
        <v>#DIV/0!</v>
      </c>
      <c r="CF14" s="6" t="e">
        <f>ENR!CF14/ENR!CF$29</f>
        <v>#DIV/0!</v>
      </c>
      <c r="CG14" s="6" t="e">
        <f>ENR!CG14/ENR!CG$29</f>
        <v>#DIV/0!</v>
      </c>
      <c r="CH14" s="6" t="e">
        <f>ENR!CH14/ENR!CH$29</f>
        <v>#DIV/0!</v>
      </c>
      <c r="CI14" s="6" t="e">
        <f>ENR!CI14/ENR!CI$29</f>
        <v>#DIV/0!</v>
      </c>
      <c r="CJ14" s="6" t="e">
        <f>ENR!CJ14/ENR!CJ$29</f>
        <v>#DIV/0!</v>
      </c>
      <c r="CK14" s="6" t="e">
        <f>ENR!CK14/ENR!CK$29</f>
        <v>#DIV/0!</v>
      </c>
      <c r="CL14" s="6" t="e">
        <f>ENR!CL14/ENR!CL$29</f>
        <v>#DIV/0!</v>
      </c>
      <c r="CM14" s="6" t="e">
        <f>ENR!CM14/ENR!CM$29</f>
        <v>#DIV/0!</v>
      </c>
      <c r="CN14" s="6" t="e">
        <f>ENR!CN14/ENR!CN$29</f>
        <v>#DIV/0!</v>
      </c>
      <c r="CO14" s="6" t="e">
        <f>ENR!CO14/ENR!CO$29</f>
        <v>#DIV/0!</v>
      </c>
      <c r="CP14" s="6" t="e">
        <f>ENR!CP14/ENR!CP$29</f>
        <v>#DIV/0!</v>
      </c>
      <c r="CQ14" s="6" t="e">
        <f>ENR!CQ14/ENR!CQ$29</f>
        <v>#DIV/0!</v>
      </c>
      <c r="CR14" s="6">
        <f>ENR!CR14/ENR!CR$29</f>
        <v>0</v>
      </c>
    </row>
    <row r="15" spans="1:97" x14ac:dyDescent="0.25">
      <c r="B15" s="4" t="s">
        <v>9</v>
      </c>
      <c r="C15" s="4" t="s">
        <v>101</v>
      </c>
      <c r="D15" s="2">
        <v>10</v>
      </c>
      <c r="E15" s="6" t="e">
        <f>ENR!E15/ENR!E$29</f>
        <v>#DIV/0!</v>
      </c>
      <c r="F15" s="6" t="e">
        <f>ENR!F15/ENR!F$29</f>
        <v>#DIV/0!</v>
      </c>
      <c r="G15" s="6" t="e">
        <f>ENR!G15/ENR!G$29</f>
        <v>#DIV/0!</v>
      </c>
      <c r="H15" s="6" t="e">
        <f>ENR!H15/ENR!H$29</f>
        <v>#DIV/0!</v>
      </c>
      <c r="I15" s="6" t="e">
        <f>ENR!I15/ENR!I$29</f>
        <v>#DIV/0!</v>
      </c>
      <c r="J15" s="6" t="e">
        <f>ENR!J15/ENR!J$29</f>
        <v>#DIV/0!</v>
      </c>
      <c r="K15" s="6" t="e">
        <f>ENR!K15/ENR!K$29</f>
        <v>#DIV/0!</v>
      </c>
      <c r="L15" s="6">
        <f>ENR!L15/ENR!L$29</f>
        <v>0</v>
      </c>
      <c r="M15" s="6" t="e">
        <f>ENR!M15/ENR!M$29</f>
        <v>#DIV/0!</v>
      </c>
      <c r="N15" s="6" t="e">
        <f>ENR!N15/ENR!N$29</f>
        <v>#DIV/0!</v>
      </c>
      <c r="O15" s="6" t="e">
        <f>ENR!O15/ENR!O$29</f>
        <v>#DIV/0!</v>
      </c>
      <c r="P15" s="6">
        <f>ENR!P15/ENR!P$29</f>
        <v>0</v>
      </c>
      <c r="Q15" s="6">
        <f>ENR!Q15/ENR!Q$29</f>
        <v>0</v>
      </c>
      <c r="R15" s="6">
        <f>ENR!R15/ENR!R$29</f>
        <v>0</v>
      </c>
      <c r="S15" s="6">
        <f>ENR!S15/ENR!S$29</f>
        <v>0</v>
      </c>
      <c r="T15" s="6">
        <f>ENR!T15/ENR!T$29</f>
        <v>0</v>
      </c>
      <c r="U15" s="6">
        <f>ENR!U15/ENR!U$29</f>
        <v>0</v>
      </c>
      <c r="V15" s="6">
        <f>ENR!V15/ENR!V$29</f>
        <v>0</v>
      </c>
      <c r="W15" s="6">
        <f>ENR!W15/ENR!W$29</f>
        <v>0</v>
      </c>
      <c r="X15" s="6">
        <f>ENR!X15/ENR!X$29</f>
        <v>0</v>
      </c>
      <c r="Y15" s="6">
        <f>ENR!Y15/ENR!Y$29</f>
        <v>0</v>
      </c>
      <c r="Z15" s="6">
        <f>ENR!Z15/ENR!Z$29</f>
        <v>0</v>
      </c>
      <c r="AA15" s="6">
        <f>ENR!AA15/ENR!AA$29</f>
        <v>0</v>
      </c>
      <c r="AB15" s="6">
        <f>ENR!AB15/ENR!AB$29</f>
        <v>0</v>
      </c>
      <c r="AC15" s="6">
        <f>ENR!AC15/ENR!AC$29</f>
        <v>0</v>
      </c>
      <c r="AD15" s="6">
        <f>ENR!AD15/ENR!AD$29</f>
        <v>0</v>
      </c>
      <c r="AE15" s="6">
        <f>ENR!AE15/ENR!AE$29</f>
        <v>0</v>
      </c>
      <c r="AF15" s="6">
        <f>ENR!AF15/ENR!AF$29</f>
        <v>0</v>
      </c>
      <c r="AG15" s="6">
        <f>ENR!AG15/ENR!AG$29</f>
        <v>0</v>
      </c>
      <c r="AH15" s="6" t="e">
        <f>ENR!AH15/ENR!AH$29</f>
        <v>#DIV/0!</v>
      </c>
      <c r="AI15" s="6" t="e">
        <f>ENR!AI15/ENR!AI$29</f>
        <v>#DIV/0!</v>
      </c>
      <c r="AJ15" s="6" t="e">
        <f>ENR!AJ15/ENR!AJ$29</f>
        <v>#DIV/0!</v>
      </c>
      <c r="AK15" s="6" t="e">
        <f>ENR!AK15/ENR!AK$29</f>
        <v>#DIV/0!</v>
      </c>
      <c r="AL15" s="6">
        <f>ENR!AL15/ENR!AL$29</f>
        <v>0</v>
      </c>
      <c r="AM15" s="6">
        <f>ENR!AM15/ENR!AM$29</f>
        <v>0</v>
      </c>
      <c r="AN15" s="6">
        <f>ENR!AN15/ENR!AN$29</f>
        <v>0</v>
      </c>
      <c r="AO15" s="6">
        <f>ENR!AO15/ENR!AO$29</f>
        <v>0</v>
      </c>
      <c r="AP15" s="6">
        <f>ENR!AP15/ENR!AP$29</f>
        <v>0</v>
      </c>
      <c r="AQ15" s="6">
        <f>ENR!AQ15/ENR!AQ$29</f>
        <v>0</v>
      </c>
      <c r="AR15" s="6">
        <f>ENR!AR15/ENR!AR$29</f>
        <v>0</v>
      </c>
      <c r="AS15" s="6">
        <f>ENR!AS15/ENR!AS$29</f>
        <v>0</v>
      </c>
      <c r="AT15" s="6">
        <f>ENR!AT15/ENR!AT$29</f>
        <v>0</v>
      </c>
      <c r="AU15" s="6">
        <f>ENR!AU15/ENR!AU$29</f>
        <v>0</v>
      </c>
      <c r="AV15" s="6">
        <f>ENR!AV15/ENR!AV$29</f>
        <v>0</v>
      </c>
      <c r="AW15" s="6">
        <f>ENR!AW15/ENR!AW$29</f>
        <v>0</v>
      </c>
      <c r="AX15" s="6">
        <f>ENR!AX15/ENR!AX$29</f>
        <v>0</v>
      </c>
      <c r="AY15" s="6">
        <f>ENR!AY15/ENR!AY$29</f>
        <v>0</v>
      </c>
      <c r="AZ15" s="6">
        <f>ENR!AZ15/ENR!AZ$29</f>
        <v>0</v>
      </c>
      <c r="BA15" s="6">
        <f>ENR!BA15/ENR!BA$29</f>
        <v>0</v>
      </c>
      <c r="BB15" s="6">
        <f>ENR!BB15/ENR!BB$29</f>
        <v>0</v>
      </c>
      <c r="BC15" s="6">
        <f>ENR!BC15/ENR!BC$29</f>
        <v>0</v>
      </c>
      <c r="BD15" s="6">
        <f>ENR!BD15/ENR!BD$29</f>
        <v>0</v>
      </c>
      <c r="BE15" s="6">
        <f>ENR!BE15/ENR!BE$29</f>
        <v>0</v>
      </c>
      <c r="BF15" s="6">
        <f>ENR!BF15/ENR!BF$29</f>
        <v>0</v>
      </c>
      <c r="BG15" s="6">
        <f>ENR!BG15/ENR!BG$29</f>
        <v>0</v>
      </c>
      <c r="BH15" s="6">
        <f>ENR!BH15/ENR!BH$29</f>
        <v>0</v>
      </c>
      <c r="BI15" s="6">
        <f>ENR!BI15/ENR!BI$29</f>
        <v>0</v>
      </c>
      <c r="BJ15" s="6">
        <f>ENR!BJ15/ENR!BJ$29</f>
        <v>0</v>
      </c>
      <c r="BK15" s="6">
        <f>ENR!BK15/ENR!BK$29</f>
        <v>0</v>
      </c>
      <c r="BL15" s="6">
        <f>ENR!BL15/ENR!BL$29</f>
        <v>0</v>
      </c>
      <c r="BM15" s="6">
        <f>ENR!BM15/ENR!BM$29</f>
        <v>0</v>
      </c>
      <c r="BN15" s="6">
        <f>ENR!BN15/ENR!BN$29</f>
        <v>0</v>
      </c>
      <c r="BO15" s="6" t="e">
        <f>ENR!BO15/ENR!BO$29</f>
        <v>#DIV/0!</v>
      </c>
      <c r="BP15" s="6" t="e">
        <f>ENR!BP15/ENR!BP$29</f>
        <v>#DIV/0!</v>
      </c>
      <c r="BQ15" s="6" t="e">
        <f>ENR!BQ15/ENR!BQ$29</f>
        <v>#DIV/0!</v>
      </c>
      <c r="BR15" s="6" t="e">
        <f>ENR!BR15/ENR!BR$29</f>
        <v>#DIV/0!</v>
      </c>
      <c r="BS15" s="6" t="e">
        <f>ENR!BS15/ENR!BS$29</f>
        <v>#DIV/0!</v>
      </c>
      <c r="BT15" s="6" t="e">
        <f>ENR!BT15/ENR!BT$29</f>
        <v>#DIV/0!</v>
      </c>
      <c r="BU15" s="6" t="e">
        <f>ENR!BU15/ENR!BU$29</f>
        <v>#DIV/0!</v>
      </c>
      <c r="BV15" s="6" t="e">
        <f>ENR!BV15/ENR!BV$29</f>
        <v>#DIV/0!</v>
      </c>
      <c r="BW15" s="6" t="e">
        <f>ENR!BW15/ENR!BW$29</f>
        <v>#DIV/0!</v>
      </c>
      <c r="BX15" s="6" t="e">
        <f>ENR!BX15/ENR!BX$29</f>
        <v>#DIV/0!</v>
      </c>
      <c r="BY15" s="6" t="e">
        <f>ENR!BY15/ENR!BY$29</f>
        <v>#DIV/0!</v>
      </c>
      <c r="BZ15" s="6" t="e">
        <f>ENR!BZ15/ENR!BZ$29</f>
        <v>#DIV/0!</v>
      </c>
      <c r="CA15" s="6" t="e">
        <f>ENR!CA15/ENR!CA$29</f>
        <v>#DIV/0!</v>
      </c>
      <c r="CB15" s="6" t="e">
        <f>ENR!CB15/ENR!CB$29</f>
        <v>#DIV/0!</v>
      </c>
      <c r="CC15" s="6" t="e">
        <f>ENR!CC15/ENR!CC$29</f>
        <v>#DIV/0!</v>
      </c>
      <c r="CD15" s="6" t="e">
        <f>ENR!CD15/ENR!CD$29</f>
        <v>#DIV/0!</v>
      </c>
      <c r="CE15" s="6" t="e">
        <f>ENR!CE15/ENR!CE$29</f>
        <v>#DIV/0!</v>
      </c>
      <c r="CF15" s="6" t="e">
        <f>ENR!CF15/ENR!CF$29</f>
        <v>#DIV/0!</v>
      </c>
      <c r="CG15" s="6" t="e">
        <f>ENR!CG15/ENR!CG$29</f>
        <v>#DIV/0!</v>
      </c>
      <c r="CH15" s="6" t="e">
        <f>ENR!CH15/ENR!CH$29</f>
        <v>#DIV/0!</v>
      </c>
      <c r="CI15" s="6" t="e">
        <f>ENR!CI15/ENR!CI$29</f>
        <v>#DIV/0!</v>
      </c>
      <c r="CJ15" s="6" t="e">
        <f>ENR!CJ15/ENR!CJ$29</f>
        <v>#DIV/0!</v>
      </c>
      <c r="CK15" s="6" t="e">
        <f>ENR!CK15/ENR!CK$29</f>
        <v>#DIV/0!</v>
      </c>
      <c r="CL15" s="6" t="e">
        <f>ENR!CL15/ENR!CL$29</f>
        <v>#DIV/0!</v>
      </c>
      <c r="CM15" s="6" t="e">
        <f>ENR!CM15/ENR!CM$29</f>
        <v>#DIV/0!</v>
      </c>
      <c r="CN15" s="6" t="e">
        <f>ENR!CN15/ENR!CN$29</f>
        <v>#DIV/0!</v>
      </c>
      <c r="CO15" s="6" t="e">
        <f>ENR!CO15/ENR!CO$29</f>
        <v>#DIV/0!</v>
      </c>
      <c r="CP15" s="6" t="e">
        <f>ENR!CP15/ENR!CP$29</f>
        <v>#DIV/0!</v>
      </c>
      <c r="CQ15" s="6" t="e">
        <f>ENR!CQ15/ENR!CQ$29</f>
        <v>#DIV/0!</v>
      </c>
      <c r="CR15" s="6">
        <f>ENR!CR15/ENR!CR$29</f>
        <v>0</v>
      </c>
    </row>
    <row r="16" spans="1:97" x14ac:dyDescent="0.25">
      <c r="B16" s="4" t="s">
        <v>10</v>
      </c>
      <c r="C16" s="4" t="s">
        <v>102</v>
      </c>
      <c r="D16" s="2">
        <v>11</v>
      </c>
      <c r="E16" s="6" t="e">
        <f>ENR!E16/ENR!E$29</f>
        <v>#DIV/0!</v>
      </c>
      <c r="F16" s="6" t="e">
        <f>ENR!F16/ENR!F$29</f>
        <v>#DIV/0!</v>
      </c>
      <c r="G16" s="6" t="e">
        <f>ENR!G16/ENR!G$29</f>
        <v>#DIV/0!</v>
      </c>
      <c r="H16" s="6" t="e">
        <f>ENR!H16/ENR!H$29</f>
        <v>#DIV/0!</v>
      </c>
      <c r="I16" s="6" t="e">
        <f>ENR!I16/ENR!I$29</f>
        <v>#DIV/0!</v>
      </c>
      <c r="J16" s="6" t="e">
        <f>ENR!J16/ENR!J$29</f>
        <v>#DIV/0!</v>
      </c>
      <c r="K16" s="6" t="e">
        <f>ENR!K16/ENR!K$29</f>
        <v>#DIV/0!</v>
      </c>
      <c r="L16" s="6">
        <f>ENR!L16/ENR!L$29</f>
        <v>0</v>
      </c>
      <c r="M16" s="6" t="e">
        <f>ENR!M16/ENR!M$29</f>
        <v>#DIV/0!</v>
      </c>
      <c r="N16" s="6" t="e">
        <f>ENR!N16/ENR!N$29</f>
        <v>#DIV/0!</v>
      </c>
      <c r="O16" s="6" t="e">
        <f>ENR!O16/ENR!O$29</f>
        <v>#DIV/0!</v>
      </c>
      <c r="P16" s="6">
        <f>ENR!P16/ENR!P$29</f>
        <v>0</v>
      </c>
      <c r="Q16" s="6">
        <f>ENR!Q16/ENR!Q$29</f>
        <v>0</v>
      </c>
      <c r="R16" s="6">
        <f>ENR!R16/ENR!R$29</f>
        <v>0</v>
      </c>
      <c r="S16" s="6">
        <f>ENR!S16/ENR!S$29</f>
        <v>0</v>
      </c>
      <c r="T16" s="6">
        <f>ENR!T16/ENR!T$29</f>
        <v>0</v>
      </c>
      <c r="U16" s="6">
        <f>ENR!U16/ENR!U$29</f>
        <v>0</v>
      </c>
      <c r="V16" s="6">
        <f>ENR!V16/ENR!V$29</f>
        <v>0</v>
      </c>
      <c r="W16" s="6">
        <f>ENR!W16/ENR!W$29</f>
        <v>0</v>
      </c>
      <c r="X16" s="6">
        <f>ENR!X16/ENR!X$29</f>
        <v>0</v>
      </c>
      <c r="Y16" s="6">
        <f>ENR!Y16/ENR!Y$29</f>
        <v>0</v>
      </c>
      <c r="Z16" s="6">
        <f>ENR!Z16/ENR!Z$29</f>
        <v>0</v>
      </c>
      <c r="AA16" s="6">
        <f>ENR!AA16/ENR!AA$29</f>
        <v>0</v>
      </c>
      <c r="AB16" s="6">
        <f>ENR!AB16/ENR!AB$29</f>
        <v>0</v>
      </c>
      <c r="AC16" s="6">
        <f>ENR!AC16/ENR!AC$29</f>
        <v>0</v>
      </c>
      <c r="AD16" s="6">
        <f>ENR!AD16/ENR!AD$29</f>
        <v>0</v>
      </c>
      <c r="AE16" s="6">
        <f>ENR!AE16/ENR!AE$29</f>
        <v>0</v>
      </c>
      <c r="AF16" s="6">
        <f>ENR!AF16/ENR!AF$29</f>
        <v>0</v>
      </c>
      <c r="AG16" s="6">
        <f>ENR!AG16/ENR!AG$29</f>
        <v>0</v>
      </c>
      <c r="AH16" s="6" t="e">
        <f>ENR!AH16/ENR!AH$29</f>
        <v>#DIV/0!</v>
      </c>
      <c r="AI16" s="6" t="e">
        <f>ENR!AI16/ENR!AI$29</f>
        <v>#DIV/0!</v>
      </c>
      <c r="AJ16" s="6" t="e">
        <f>ENR!AJ16/ENR!AJ$29</f>
        <v>#DIV/0!</v>
      </c>
      <c r="AK16" s="6" t="e">
        <f>ENR!AK16/ENR!AK$29</f>
        <v>#DIV/0!</v>
      </c>
      <c r="AL16" s="6">
        <f>ENR!AL16/ENR!AL$29</f>
        <v>0</v>
      </c>
      <c r="AM16" s="6">
        <f>ENR!AM16/ENR!AM$29</f>
        <v>0</v>
      </c>
      <c r="AN16" s="6">
        <f>ENR!AN16/ENR!AN$29</f>
        <v>0</v>
      </c>
      <c r="AO16" s="6">
        <f>ENR!AO16/ENR!AO$29</f>
        <v>0</v>
      </c>
      <c r="AP16" s="6">
        <f>ENR!AP16/ENR!AP$29</f>
        <v>0</v>
      </c>
      <c r="AQ16" s="6">
        <f>ENR!AQ16/ENR!AQ$29</f>
        <v>0</v>
      </c>
      <c r="AR16" s="6">
        <f>ENR!AR16/ENR!AR$29</f>
        <v>0</v>
      </c>
      <c r="AS16" s="6">
        <f>ENR!AS16/ENR!AS$29</f>
        <v>0</v>
      </c>
      <c r="AT16" s="6">
        <f>ENR!AT16/ENR!AT$29</f>
        <v>0</v>
      </c>
      <c r="AU16" s="6">
        <f>ENR!AU16/ENR!AU$29</f>
        <v>0</v>
      </c>
      <c r="AV16" s="6">
        <f>ENR!AV16/ENR!AV$29</f>
        <v>0</v>
      </c>
      <c r="AW16" s="6">
        <f>ENR!AW16/ENR!AW$29</f>
        <v>0</v>
      </c>
      <c r="AX16" s="6">
        <f>ENR!AX16/ENR!AX$29</f>
        <v>0</v>
      </c>
      <c r="AY16" s="6">
        <f>ENR!AY16/ENR!AY$29</f>
        <v>0</v>
      </c>
      <c r="AZ16" s="6">
        <f>ENR!AZ16/ENR!AZ$29</f>
        <v>0</v>
      </c>
      <c r="BA16" s="6">
        <f>ENR!BA16/ENR!BA$29</f>
        <v>0</v>
      </c>
      <c r="BB16" s="6">
        <f>ENR!BB16/ENR!BB$29</f>
        <v>0</v>
      </c>
      <c r="BC16" s="6">
        <f>ENR!BC16/ENR!BC$29</f>
        <v>0</v>
      </c>
      <c r="BD16" s="6">
        <f>ENR!BD16/ENR!BD$29</f>
        <v>0</v>
      </c>
      <c r="BE16" s="6">
        <f>ENR!BE16/ENR!BE$29</f>
        <v>0</v>
      </c>
      <c r="BF16" s="6">
        <f>ENR!BF16/ENR!BF$29</f>
        <v>0</v>
      </c>
      <c r="BG16" s="6">
        <f>ENR!BG16/ENR!BG$29</f>
        <v>0</v>
      </c>
      <c r="BH16" s="6">
        <f>ENR!BH16/ENR!BH$29</f>
        <v>0</v>
      </c>
      <c r="BI16" s="6">
        <f>ENR!BI16/ENR!BI$29</f>
        <v>0</v>
      </c>
      <c r="BJ16" s="6">
        <f>ENR!BJ16/ENR!BJ$29</f>
        <v>0</v>
      </c>
      <c r="BK16" s="6">
        <f>ENR!BK16/ENR!BK$29</f>
        <v>0</v>
      </c>
      <c r="BL16" s="6">
        <f>ENR!BL16/ENR!BL$29</f>
        <v>0</v>
      </c>
      <c r="BM16" s="6">
        <f>ENR!BM16/ENR!BM$29</f>
        <v>0</v>
      </c>
      <c r="BN16" s="6">
        <f>ENR!BN16/ENR!BN$29</f>
        <v>0</v>
      </c>
      <c r="BO16" s="6" t="e">
        <f>ENR!BO16/ENR!BO$29</f>
        <v>#DIV/0!</v>
      </c>
      <c r="BP16" s="6" t="e">
        <f>ENR!BP16/ENR!BP$29</f>
        <v>#DIV/0!</v>
      </c>
      <c r="BQ16" s="6" t="e">
        <f>ENR!BQ16/ENR!BQ$29</f>
        <v>#DIV/0!</v>
      </c>
      <c r="BR16" s="6" t="e">
        <f>ENR!BR16/ENR!BR$29</f>
        <v>#DIV/0!</v>
      </c>
      <c r="BS16" s="6" t="e">
        <f>ENR!BS16/ENR!BS$29</f>
        <v>#DIV/0!</v>
      </c>
      <c r="BT16" s="6" t="e">
        <f>ENR!BT16/ENR!BT$29</f>
        <v>#DIV/0!</v>
      </c>
      <c r="BU16" s="6" t="e">
        <f>ENR!BU16/ENR!BU$29</f>
        <v>#DIV/0!</v>
      </c>
      <c r="BV16" s="6" t="e">
        <f>ENR!BV16/ENR!BV$29</f>
        <v>#DIV/0!</v>
      </c>
      <c r="BW16" s="6" t="e">
        <f>ENR!BW16/ENR!BW$29</f>
        <v>#DIV/0!</v>
      </c>
      <c r="BX16" s="6" t="e">
        <f>ENR!BX16/ENR!BX$29</f>
        <v>#DIV/0!</v>
      </c>
      <c r="BY16" s="6" t="e">
        <f>ENR!BY16/ENR!BY$29</f>
        <v>#DIV/0!</v>
      </c>
      <c r="BZ16" s="6" t="e">
        <f>ENR!BZ16/ENR!BZ$29</f>
        <v>#DIV/0!</v>
      </c>
      <c r="CA16" s="6" t="e">
        <f>ENR!CA16/ENR!CA$29</f>
        <v>#DIV/0!</v>
      </c>
      <c r="CB16" s="6" t="e">
        <f>ENR!CB16/ENR!CB$29</f>
        <v>#DIV/0!</v>
      </c>
      <c r="CC16" s="6" t="e">
        <f>ENR!CC16/ENR!CC$29</f>
        <v>#DIV/0!</v>
      </c>
      <c r="CD16" s="6" t="e">
        <f>ENR!CD16/ENR!CD$29</f>
        <v>#DIV/0!</v>
      </c>
      <c r="CE16" s="6" t="e">
        <f>ENR!CE16/ENR!CE$29</f>
        <v>#DIV/0!</v>
      </c>
      <c r="CF16" s="6" t="e">
        <f>ENR!CF16/ENR!CF$29</f>
        <v>#DIV/0!</v>
      </c>
      <c r="CG16" s="6" t="e">
        <f>ENR!CG16/ENR!CG$29</f>
        <v>#DIV/0!</v>
      </c>
      <c r="CH16" s="6" t="e">
        <f>ENR!CH16/ENR!CH$29</f>
        <v>#DIV/0!</v>
      </c>
      <c r="CI16" s="6" t="e">
        <f>ENR!CI16/ENR!CI$29</f>
        <v>#DIV/0!</v>
      </c>
      <c r="CJ16" s="6" t="e">
        <f>ENR!CJ16/ENR!CJ$29</f>
        <v>#DIV/0!</v>
      </c>
      <c r="CK16" s="6" t="e">
        <f>ENR!CK16/ENR!CK$29</f>
        <v>#DIV/0!</v>
      </c>
      <c r="CL16" s="6" t="e">
        <f>ENR!CL16/ENR!CL$29</f>
        <v>#DIV/0!</v>
      </c>
      <c r="CM16" s="6" t="e">
        <f>ENR!CM16/ENR!CM$29</f>
        <v>#DIV/0!</v>
      </c>
      <c r="CN16" s="6" t="e">
        <f>ENR!CN16/ENR!CN$29</f>
        <v>#DIV/0!</v>
      </c>
      <c r="CO16" s="6" t="e">
        <f>ENR!CO16/ENR!CO$29</f>
        <v>#DIV/0!</v>
      </c>
      <c r="CP16" s="6" t="e">
        <f>ENR!CP16/ENR!CP$29</f>
        <v>#DIV/0!</v>
      </c>
      <c r="CQ16" s="6" t="e">
        <f>ENR!CQ16/ENR!CQ$29</f>
        <v>#DIV/0!</v>
      </c>
      <c r="CR16" s="6">
        <f>ENR!CR16/ENR!CR$29</f>
        <v>0</v>
      </c>
    </row>
    <row r="17" spans="2:96" x14ac:dyDescent="0.25">
      <c r="B17" s="10" t="s">
        <v>73</v>
      </c>
      <c r="C17" s="10" t="s">
        <v>103</v>
      </c>
      <c r="D17" s="2">
        <v>12</v>
      </c>
      <c r="E17" s="6" t="e">
        <f>ENR!E17/ENR!E$29</f>
        <v>#DIV/0!</v>
      </c>
      <c r="F17" s="6" t="e">
        <f>ENR!F17/ENR!F$29</f>
        <v>#DIV/0!</v>
      </c>
      <c r="G17" s="6" t="e">
        <f>ENR!G17/ENR!G$29</f>
        <v>#DIV/0!</v>
      </c>
      <c r="H17" s="6" t="e">
        <f>ENR!H17/ENR!H$29</f>
        <v>#DIV/0!</v>
      </c>
      <c r="I17" s="6" t="e">
        <f>ENR!I17/ENR!I$29</f>
        <v>#DIV/0!</v>
      </c>
      <c r="J17" s="6" t="e">
        <f>ENR!J17/ENR!J$29</f>
        <v>#DIV/0!</v>
      </c>
      <c r="K17" s="6" t="e">
        <f>ENR!K17/ENR!K$29</f>
        <v>#DIV/0!</v>
      </c>
      <c r="L17" s="6">
        <f>ENR!L17/ENR!L$29</f>
        <v>0</v>
      </c>
      <c r="M17" s="6" t="e">
        <f>ENR!M17/ENR!M$29</f>
        <v>#DIV/0!</v>
      </c>
      <c r="N17" s="6" t="e">
        <f>ENR!N17/ENR!N$29</f>
        <v>#DIV/0!</v>
      </c>
      <c r="O17" s="6" t="e">
        <f>ENR!O17/ENR!O$29</f>
        <v>#DIV/0!</v>
      </c>
      <c r="P17" s="6">
        <f>ENR!P17/ENR!P$29</f>
        <v>1</v>
      </c>
      <c r="Q17" s="6">
        <f>ENR!Q17/ENR!Q$29</f>
        <v>0</v>
      </c>
      <c r="R17" s="6">
        <f>ENR!R17/ENR!R$29</f>
        <v>0</v>
      </c>
      <c r="S17" s="6">
        <f>ENR!S17/ENR!S$29</f>
        <v>0</v>
      </c>
      <c r="T17" s="6">
        <f>ENR!T17/ENR!T$29</f>
        <v>0</v>
      </c>
      <c r="U17" s="6">
        <f>ENR!U17/ENR!U$29</f>
        <v>0</v>
      </c>
      <c r="V17" s="6">
        <f>ENR!V17/ENR!V$29</f>
        <v>0</v>
      </c>
      <c r="W17" s="6">
        <f>ENR!W17/ENR!W$29</f>
        <v>0</v>
      </c>
      <c r="X17" s="6">
        <f>ENR!X17/ENR!X$29</f>
        <v>0</v>
      </c>
      <c r="Y17" s="6">
        <f>ENR!Y17/ENR!Y$29</f>
        <v>0</v>
      </c>
      <c r="Z17" s="6">
        <f>ENR!Z17/ENR!Z$29</f>
        <v>0</v>
      </c>
      <c r="AA17" s="6">
        <f>ENR!AA17/ENR!AA$29</f>
        <v>0</v>
      </c>
      <c r="AB17" s="6">
        <f>ENR!AB17/ENR!AB$29</f>
        <v>0</v>
      </c>
      <c r="AC17" s="6">
        <f>ENR!AC17/ENR!AC$29</f>
        <v>0</v>
      </c>
      <c r="AD17" s="6">
        <f>ENR!AD17/ENR!AD$29</f>
        <v>0</v>
      </c>
      <c r="AE17" s="6">
        <f>ENR!AE17/ENR!AE$29</f>
        <v>0</v>
      </c>
      <c r="AF17" s="6">
        <f>ENR!AF17/ENR!AF$29</f>
        <v>0</v>
      </c>
      <c r="AG17" s="6">
        <f>ENR!AG17/ENR!AG$29</f>
        <v>5.6389516883858279E-2</v>
      </c>
      <c r="AH17" s="6" t="e">
        <f>ENR!AH17/ENR!AH$29</f>
        <v>#DIV/0!</v>
      </c>
      <c r="AI17" s="6" t="e">
        <f>ENR!AI17/ENR!AI$29</f>
        <v>#DIV/0!</v>
      </c>
      <c r="AJ17" s="6" t="e">
        <f>ENR!AJ17/ENR!AJ$29</f>
        <v>#DIV/0!</v>
      </c>
      <c r="AK17" s="6" t="e">
        <f>ENR!AK17/ENR!AK$29</f>
        <v>#DIV/0!</v>
      </c>
      <c r="AL17" s="11">
        <f>ENR!AL17/ENR!AL$29</f>
        <v>5.7658181345874682E-4</v>
      </c>
      <c r="AM17" s="11">
        <f>ENR!AM17/ENR!AM$29</f>
        <v>0.59479314343588641</v>
      </c>
      <c r="AN17" s="11">
        <f>ENR!AN17/ENR!AN$29</f>
        <v>2.4182294814250587E-3</v>
      </c>
      <c r="AO17" s="11">
        <f>ENR!AO17/ENR!AO$29</f>
        <v>2.4182294814250609E-3</v>
      </c>
      <c r="AP17" s="11">
        <f>ENR!AP17/ENR!AP$29</f>
        <v>4.4665578480414081E-2</v>
      </c>
      <c r="AQ17" s="11">
        <f>ENR!AQ17/ENR!AQ$29</f>
        <v>3.9536517982375561E-4</v>
      </c>
      <c r="AR17" s="11">
        <f>ENR!AR17/ENR!AR$29</f>
        <v>1.008212211980644E-2</v>
      </c>
      <c r="AS17" s="11">
        <f>ENR!AS17/ENR!AS$29</f>
        <v>2.4867715159750912E-3</v>
      </c>
      <c r="AT17" s="11">
        <f>ENR!AT17/ENR!AT$29</f>
        <v>0</v>
      </c>
      <c r="AU17" s="11">
        <f>ENR!AU17/ENR!AU$29</f>
        <v>0</v>
      </c>
      <c r="AV17" s="11">
        <f>ENR!AV17/ENR!AV$29</f>
        <v>0</v>
      </c>
      <c r="AW17" s="11">
        <f>ENR!AW17/ENR!AW$29</f>
        <v>0.96854625290445806</v>
      </c>
      <c r="AX17" s="11">
        <f>ENR!AX17/ENR!AX$29</f>
        <v>3.004939265381461E-4</v>
      </c>
      <c r="AY17" s="11">
        <f>ENR!AY17/ENR!AY$29</f>
        <v>2.8581309333189944E-4</v>
      </c>
      <c r="AZ17" s="11">
        <f>ENR!AZ17/ENR!AZ$29</f>
        <v>2.7550776176651031E-6</v>
      </c>
      <c r="BA17" s="11">
        <f>ENR!BA17/ENR!BA$29</f>
        <v>0.51685074442424228</v>
      </c>
      <c r="BB17" s="11">
        <f>ENR!BB17/ENR!BB$29</f>
        <v>1.2786199133648788E-2</v>
      </c>
      <c r="BC17" s="11">
        <f>ENR!BC17/ENR!BC$29</f>
        <v>2.0813040475685371E-4</v>
      </c>
      <c r="BD17" s="11">
        <f>ENR!BD17/ENR!BD$29</f>
        <v>1.5211912847066123E-6</v>
      </c>
      <c r="BE17" s="11">
        <f>ENR!BE17/ENR!BE$29</f>
        <v>0.93470840974914504</v>
      </c>
      <c r="BF17" s="11">
        <f>ENR!BF17/ENR!BF$29</f>
        <v>3.6561966217629126E-6</v>
      </c>
      <c r="BG17" s="11">
        <f>ENR!BG17/ENR!BG$29</f>
        <v>1.2183169314364402E-6</v>
      </c>
      <c r="BH17" s="11">
        <f>ENR!BH17/ENR!BH$29</f>
        <v>4.0791774235659042E-6</v>
      </c>
      <c r="BI17" s="11">
        <f>ENR!BI17/ENR!BI$29</f>
        <v>4.0791774235659118E-6</v>
      </c>
      <c r="BJ17" s="11">
        <f>ENR!BJ17/ENR!BJ$29</f>
        <v>4.0791774235659152E-6</v>
      </c>
      <c r="BK17" s="11">
        <f>ENR!BK17/ENR!BK$29</f>
        <v>2.0141411093234771E-6</v>
      </c>
      <c r="BL17" s="11">
        <f>ENR!BL17/ENR!BL$29</f>
        <v>3.7380209652942208E-5</v>
      </c>
      <c r="BM17" s="11">
        <f>ENR!BM17/ENR!BM$29</f>
        <v>2.0744102484218089E-5</v>
      </c>
      <c r="BN17" s="6">
        <f>ENR!BN17/ENR!BN$29</f>
        <v>3.0509787359985155E-5</v>
      </c>
      <c r="BO17" s="6" t="e">
        <f>ENR!BO17/ENR!BO$29</f>
        <v>#DIV/0!</v>
      </c>
      <c r="BP17" s="6" t="e">
        <f>ENR!BP17/ENR!BP$29</f>
        <v>#DIV/0!</v>
      </c>
      <c r="BQ17" s="6" t="e">
        <f>ENR!BQ17/ENR!BQ$29</f>
        <v>#DIV/0!</v>
      </c>
      <c r="BR17" s="6" t="e">
        <f>ENR!BR17/ENR!BR$29</f>
        <v>#DIV/0!</v>
      </c>
      <c r="BS17" s="6" t="e">
        <f>ENR!BS17/ENR!BS$29</f>
        <v>#DIV/0!</v>
      </c>
      <c r="BT17" s="6" t="e">
        <f>ENR!BT17/ENR!BT$29</f>
        <v>#DIV/0!</v>
      </c>
      <c r="BU17" s="6" t="e">
        <f>ENR!BU17/ENR!BU$29</f>
        <v>#DIV/0!</v>
      </c>
      <c r="BV17" s="6" t="e">
        <f>ENR!BV17/ENR!BV$29</f>
        <v>#DIV/0!</v>
      </c>
      <c r="BW17" s="6" t="e">
        <f>ENR!BW17/ENR!BW$29</f>
        <v>#DIV/0!</v>
      </c>
      <c r="BX17" s="6" t="e">
        <f>ENR!BX17/ENR!BX$29</f>
        <v>#DIV/0!</v>
      </c>
      <c r="BY17" s="6" t="e">
        <f>ENR!BY17/ENR!BY$29</f>
        <v>#DIV/0!</v>
      </c>
      <c r="BZ17" s="6" t="e">
        <f>ENR!BZ17/ENR!BZ$29</f>
        <v>#DIV/0!</v>
      </c>
      <c r="CA17" s="6" t="e">
        <f>ENR!CA17/ENR!CA$29</f>
        <v>#DIV/0!</v>
      </c>
      <c r="CB17" s="6" t="e">
        <f>ENR!CB17/ENR!CB$29</f>
        <v>#DIV/0!</v>
      </c>
      <c r="CC17" s="6" t="e">
        <f>ENR!CC17/ENR!CC$29</f>
        <v>#DIV/0!</v>
      </c>
      <c r="CD17" s="6" t="e">
        <f>ENR!CD17/ENR!CD$29</f>
        <v>#DIV/0!</v>
      </c>
      <c r="CE17" s="6" t="e">
        <f>ENR!CE17/ENR!CE$29</f>
        <v>#DIV/0!</v>
      </c>
      <c r="CF17" s="6" t="e">
        <f>ENR!CF17/ENR!CF$29</f>
        <v>#DIV/0!</v>
      </c>
      <c r="CG17" s="6" t="e">
        <f>ENR!CG17/ENR!CG$29</f>
        <v>#DIV/0!</v>
      </c>
      <c r="CH17" s="6" t="e">
        <f>ENR!CH17/ENR!CH$29</f>
        <v>#DIV/0!</v>
      </c>
      <c r="CI17" s="6" t="e">
        <f>ENR!CI17/ENR!CI$29</f>
        <v>#DIV/0!</v>
      </c>
      <c r="CJ17" s="6" t="e">
        <f>ENR!CJ17/ENR!CJ$29</f>
        <v>#DIV/0!</v>
      </c>
      <c r="CK17" s="6" t="e">
        <f>ENR!CK17/ENR!CK$29</f>
        <v>#DIV/0!</v>
      </c>
      <c r="CL17" s="6" t="e">
        <f>ENR!CL17/ENR!CL$29</f>
        <v>#DIV/0!</v>
      </c>
      <c r="CM17" s="6" t="e">
        <f>ENR!CM17/ENR!CM$29</f>
        <v>#DIV/0!</v>
      </c>
      <c r="CN17" s="6" t="e">
        <f>ENR!CN17/ENR!CN$29</f>
        <v>#DIV/0!</v>
      </c>
      <c r="CO17" s="6" t="e">
        <f>ENR!CO17/ENR!CO$29</f>
        <v>#DIV/0!</v>
      </c>
      <c r="CP17" s="6" t="e">
        <f>ENR!CP17/ENR!CP$29</f>
        <v>#DIV/0!</v>
      </c>
      <c r="CQ17" s="6" t="e">
        <f>ENR!CQ17/ENR!CQ$29</f>
        <v>#DIV/0!</v>
      </c>
      <c r="CR17" s="6">
        <f>ENR!CR17/ENR!CR$29</f>
        <v>6.9297282900847833E-4</v>
      </c>
    </row>
    <row r="18" spans="2:96" x14ac:dyDescent="0.25">
      <c r="B18" s="10" t="s">
        <v>12</v>
      </c>
      <c r="C18" s="10" t="s">
        <v>104</v>
      </c>
      <c r="D18" s="2">
        <v>13</v>
      </c>
      <c r="E18" s="6" t="e">
        <f>ENR!E18/ENR!E$29</f>
        <v>#DIV/0!</v>
      </c>
      <c r="F18" s="6" t="e">
        <f>ENR!F18/ENR!F$29</f>
        <v>#DIV/0!</v>
      </c>
      <c r="G18" s="6" t="e">
        <f>ENR!G18/ENR!G$29</f>
        <v>#DIV/0!</v>
      </c>
      <c r="H18" s="6" t="e">
        <f>ENR!H18/ENR!H$29</f>
        <v>#DIV/0!</v>
      </c>
      <c r="I18" s="6" t="e">
        <f>ENR!I18/ENR!I$29</f>
        <v>#DIV/0!</v>
      </c>
      <c r="J18" s="6" t="e">
        <f>ENR!J18/ENR!J$29</f>
        <v>#DIV/0!</v>
      </c>
      <c r="K18" s="6" t="e">
        <f>ENR!K18/ENR!K$29</f>
        <v>#DIV/0!</v>
      </c>
      <c r="L18" s="6">
        <f>ENR!L18/ENR!L$29</f>
        <v>0</v>
      </c>
      <c r="M18" s="6" t="e">
        <f>ENR!M18/ENR!M$29</f>
        <v>#DIV/0!</v>
      </c>
      <c r="N18" s="6" t="e">
        <f>ENR!N18/ENR!N$29</f>
        <v>#DIV/0!</v>
      </c>
      <c r="O18" s="6" t="e">
        <f>ENR!O18/ENR!O$29</f>
        <v>#DIV/0!</v>
      </c>
      <c r="P18" s="6">
        <f>ENR!P18/ENR!P$29</f>
        <v>0</v>
      </c>
      <c r="Q18" s="6">
        <f>ENR!Q18/ENR!Q$29</f>
        <v>1</v>
      </c>
      <c r="R18" s="6">
        <f>ENR!R18/ENR!R$29</f>
        <v>0</v>
      </c>
      <c r="S18" s="6">
        <f>ENR!S18/ENR!S$29</f>
        <v>0</v>
      </c>
      <c r="T18" s="6">
        <f>ENR!T18/ENR!T$29</f>
        <v>0</v>
      </c>
      <c r="U18" s="6">
        <f>ENR!U18/ENR!U$29</f>
        <v>0</v>
      </c>
      <c r="V18" s="6">
        <f>ENR!V18/ENR!V$29</f>
        <v>0</v>
      </c>
      <c r="W18" s="6">
        <f>ENR!W18/ENR!W$29</f>
        <v>0</v>
      </c>
      <c r="X18" s="6">
        <f>ENR!X18/ENR!X$29</f>
        <v>0</v>
      </c>
      <c r="Y18" s="6">
        <f>ENR!Y18/ENR!Y$29</f>
        <v>0</v>
      </c>
      <c r="Z18" s="6">
        <f>ENR!Z18/ENR!Z$29</f>
        <v>0</v>
      </c>
      <c r="AA18" s="6">
        <f>ENR!AA18/ENR!AA$29</f>
        <v>0</v>
      </c>
      <c r="AB18" s="6">
        <f>ENR!AB18/ENR!AB$29</f>
        <v>0</v>
      </c>
      <c r="AC18" s="6">
        <f>ENR!AC18/ENR!AC$29</f>
        <v>0</v>
      </c>
      <c r="AD18" s="6">
        <f>ENR!AD18/ENR!AD$29</f>
        <v>0</v>
      </c>
      <c r="AE18" s="6">
        <f>ENR!AE18/ENR!AE$29</f>
        <v>0</v>
      </c>
      <c r="AF18" s="6">
        <f>ENR!AF18/ENR!AF$29</f>
        <v>0</v>
      </c>
      <c r="AG18" s="6">
        <f>ENR!AG18/ENR!AG$29</f>
        <v>0.3007578121659325</v>
      </c>
      <c r="AH18" s="6" t="e">
        <f>ENR!AH18/ENR!AH$29</f>
        <v>#DIV/0!</v>
      </c>
      <c r="AI18" s="6" t="e">
        <f>ENR!AI18/ENR!AI$29</f>
        <v>#DIV/0!</v>
      </c>
      <c r="AJ18" s="6" t="e">
        <f>ENR!AJ18/ENR!AJ$29</f>
        <v>#DIV/0!</v>
      </c>
      <c r="AK18" s="6" t="e">
        <f>ENR!AK18/ENR!AK$29</f>
        <v>#DIV/0!</v>
      </c>
      <c r="AL18" s="11">
        <f>ENR!AL18/ENR!AL$29</f>
        <v>2.1890129839363431E-2</v>
      </c>
      <c r="AM18" s="11">
        <f>ENR!AM18/ENR!AM$29</f>
        <v>1.6651024718994233E-2</v>
      </c>
      <c r="AN18" s="11">
        <f>ENR!AN18/ENR!AN$29</f>
        <v>9.1808926494277118E-2</v>
      </c>
      <c r="AO18" s="11">
        <f>ENR!AO18/ENR!AO$29</f>
        <v>9.1808926494277077E-2</v>
      </c>
      <c r="AP18" s="11">
        <f>ENR!AP18/ENR!AP$29</f>
        <v>5.2266790004937717E-2</v>
      </c>
      <c r="AQ18" s="11">
        <f>ENR!AQ18/ENR!AQ$29</f>
        <v>1.5010177078581238E-2</v>
      </c>
      <c r="AR18" s="11">
        <f>ENR!AR18/ENR!AR$29</f>
        <v>2.7937398433276233E-2</v>
      </c>
      <c r="AS18" s="11">
        <f>ENR!AS18/ENR!AS$29</f>
        <v>5.0356816189449795E-2</v>
      </c>
      <c r="AT18" s="11">
        <f>ENR!AT18/ENR!AT$29</f>
        <v>0</v>
      </c>
      <c r="AU18" s="11">
        <f>ENR!AU18/ENR!AU$29</f>
        <v>0</v>
      </c>
      <c r="AV18" s="11">
        <f>ENR!AV18/ENR!AV$29</f>
        <v>0</v>
      </c>
      <c r="AW18" s="11">
        <f>ENR!AW18/ENR!AW$29</f>
        <v>3.7799382996515763E-5</v>
      </c>
      <c r="AX18" s="11">
        <f>ENR!AX18/ENR!AX$29</f>
        <v>5.4689752035902359E-3</v>
      </c>
      <c r="AY18" s="11">
        <f>ENR!AY18/ENR!AY$29</f>
        <v>0.67757330574380037</v>
      </c>
      <c r="AZ18" s="11">
        <f>ENR!AZ18/ENR!AZ$29</f>
        <v>0.10993344663708281</v>
      </c>
      <c r="BA18" s="11">
        <f>ENR!BA18/ENR!BA$29</f>
        <v>1.865047922838467E-3</v>
      </c>
      <c r="BB18" s="11">
        <f>ENR!BB18/ENR!BB$29</f>
        <v>7.6395991625700349E-2</v>
      </c>
      <c r="BC18" s="11">
        <f>ENR!BC18/ENR!BC$29</f>
        <v>7.9017434773335383E-3</v>
      </c>
      <c r="BD18" s="11">
        <f>ENR!BD18/ENR!BD$29</f>
        <v>5.7752558189416887E-5</v>
      </c>
      <c r="BE18" s="11">
        <f>ENR!BE18/ENR!BE$29</f>
        <v>1.5320665234891172E-5</v>
      </c>
      <c r="BF18" s="11">
        <f>ENR!BF18/ENR!BF$29</f>
        <v>2.2946547227040615E-5</v>
      </c>
      <c r="BG18" s="11">
        <f>ENR!BG18/ENR!BG$29</f>
        <v>7.6462427754308649E-6</v>
      </c>
      <c r="BH18" s="11">
        <f>ENR!BH18/ENR!BH$29</f>
        <v>2.560120449763995E-5</v>
      </c>
      <c r="BI18" s="11">
        <f>ENR!BI18/ENR!BI$29</f>
        <v>2.5601204497640082E-5</v>
      </c>
      <c r="BJ18" s="11">
        <f>ENR!BJ18/ENR!BJ$29</f>
        <v>2.5601204497640014E-5</v>
      </c>
      <c r="BK18" s="11">
        <f>ENR!BK18/ENR!BK$29</f>
        <v>1.2640891305438149E-5</v>
      </c>
      <c r="BL18" s="11">
        <f>ENR!BL18/ENR!BL$29</f>
        <v>2.3460082563730804E-4</v>
      </c>
      <c r="BM18" s="11">
        <f>ENR!BM18/ENR!BM$29</f>
        <v>1.2394350057449397E-4</v>
      </c>
      <c r="BN18" s="6">
        <f>ENR!BN18/ENR!BN$29</f>
        <v>0</v>
      </c>
      <c r="BO18" s="6" t="e">
        <f>ENR!BO18/ENR!BO$29</f>
        <v>#DIV/0!</v>
      </c>
      <c r="BP18" s="6" t="e">
        <f>ENR!BP18/ENR!BP$29</f>
        <v>#DIV/0!</v>
      </c>
      <c r="BQ18" s="6" t="e">
        <f>ENR!BQ18/ENR!BQ$29</f>
        <v>#DIV/0!</v>
      </c>
      <c r="BR18" s="6" t="e">
        <f>ENR!BR18/ENR!BR$29</f>
        <v>#DIV/0!</v>
      </c>
      <c r="BS18" s="6" t="e">
        <f>ENR!BS18/ENR!BS$29</f>
        <v>#DIV/0!</v>
      </c>
      <c r="BT18" s="6" t="e">
        <f>ENR!BT18/ENR!BT$29</f>
        <v>#DIV/0!</v>
      </c>
      <c r="BU18" s="6" t="e">
        <f>ENR!BU18/ENR!BU$29</f>
        <v>#DIV/0!</v>
      </c>
      <c r="BV18" s="6" t="e">
        <f>ENR!BV18/ENR!BV$29</f>
        <v>#DIV/0!</v>
      </c>
      <c r="BW18" s="6" t="e">
        <f>ENR!BW18/ENR!BW$29</f>
        <v>#DIV/0!</v>
      </c>
      <c r="BX18" s="6" t="e">
        <f>ENR!BX18/ENR!BX$29</f>
        <v>#DIV/0!</v>
      </c>
      <c r="BY18" s="6" t="e">
        <f>ENR!BY18/ENR!BY$29</f>
        <v>#DIV/0!</v>
      </c>
      <c r="BZ18" s="6" t="e">
        <f>ENR!BZ18/ENR!BZ$29</f>
        <v>#DIV/0!</v>
      </c>
      <c r="CA18" s="6" t="e">
        <f>ENR!CA18/ENR!CA$29</f>
        <v>#DIV/0!</v>
      </c>
      <c r="CB18" s="6" t="e">
        <f>ENR!CB18/ENR!CB$29</f>
        <v>#DIV/0!</v>
      </c>
      <c r="CC18" s="6" t="e">
        <f>ENR!CC18/ENR!CC$29</f>
        <v>#DIV/0!</v>
      </c>
      <c r="CD18" s="6" t="e">
        <f>ENR!CD18/ENR!CD$29</f>
        <v>#DIV/0!</v>
      </c>
      <c r="CE18" s="6" t="e">
        <f>ENR!CE18/ENR!CE$29</f>
        <v>#DIV/0!</v>
      </c>
      <c r="CF18" s="6" t="e">
        <f>ENR!CF18/ENR!CF$29</f>
        <v>#DIV/0!</v>
      </c>
      <c r="CG18" s="6" t="e">
        <f>ENR!CG18/ENR!CG$29</f>
        <v>#DIV/0!</v>
      </c>
      <c r="CH18" s="6" t="e">
        <f>ENR!CH18/ENR!CH$29</f>
        <v>#DIV/0!</v>
      </c>
      <c r="CI18" s="6" t="e">
        <f>ENR!CI18/ENR!CI$29</f>
        <v>#DIV/0!</v>
      </c>
      <c r="CJ18" s="6" t="e">
        <f>ENR!CJ18/ENR!CJ$29</f>
        <v>#DIV/0!</v>
      </c>
      <c r="CK18" s="6" t="e">
        <f>ENR!CK18/ENR!CK$29</f>
        <v>#DIV/0!</v>
      </c>
      <c r="CL18" s="6" t="e">
        <f>ENR!CL18/ENR!CL$29</f>
        <v>#DIV/0!</v>
      </c>
      <c r="CM18" s="6" t="e">
        <f>ENR!CM18/ENR!CM$29</f>
        <v>#DIV/0!</v>
      </c>
      <c r="CN18" s="6" t="e">
        <f>ENR!CN18/ENR!CN$29</f>
        <v>#DIV/0!</v>
      </c>
      <c r="CO18" s="6" t="e">
        <f>ENR!CO18/ENR!CO$29</f>
        <v>#DIV/0!</v>
      </c>
      <c r="CP18" s="6" t="e">
        <f>ENR!CP18/ENR!CP$29</f>
        <v>#DIV/0!</v>
      </c>
      <c r="CQ18" s="6" t="e">
        <f>ENR!CQ18/ENR!CQ$29</f>
        <v>#DIV/0!</v>
      </c>
      <c r="CR18" s="6">
        <f>ENR!CR18/ENR!CR$29</f>
        <v>1.9293463860109246E-3</v>
      </c>
    </row>
    <row r="19" spans="2:96" x14ac:dyDescent="0.25">
      <c r="B19" s="10" t="s">
        <v>74</v>
      </c>
      <c r="C19" s="10" t="s">
        <v>105</v>
      </c>
      <c r="D19" s="2">
        <v>14</v>
      </c>
      <c r="E19" s="6" t="e">
        <f>ENR!E19/ENR!E$29</f>
        <v>#DIV/0!</v>
      </c>
      <c r="F19" s="6" t="e">
        <f>ENR!F19/ENR!F$29</f>
        <v>#DIV/0!</v>
      </c>
      <c r="G19" s="6" t="e">
        <f>ENR!G19/ENR!G$29</f>
        <v>#DIV/0!</v>
      </c>
      <c r="H19" s="6" t="e">
        <f>ENR!H19/ENR!H$29</f>
        <v>#DIV/0!</v>
      </c>
      <c r="I19" s="6" t="e">
        <f>ENR!I19/ENR!I$29</f>
        <v>#DIV/0!</v>
      </c>
      <c r="J19" s="6" t="e">
        <f>ENR!J19/ENR!J$29</f>
        <v>#DIV/0!</v>
      </c>
      <c r="K19" s="6" t="e">
        <f>ENR!K19/ENR!K$29</f>
        <v>#DIV/0!</v>
      </c>
      <c r="L19" s="6">
        <f>ENR!L19/ENR!L$29</f>
        <v>0</v>
      </c>
      <c r="M19" s="6" t="e">
        <f>ENR!M19/ENR!M$29</f>
        <v>#DIV/0!</v>
      </c>
      <c r="N19" s="6" t="e">
        <f>ENR!N19/ENR!N$29</f>
        <v>#DIV/0!</v>
      </c>
      <c r="O19" s="6" t="e">
        <f>ENR!O19/ENR!O$29</f>
        <v>#DIV/0!</v>
      </c>
      <c r="P19" s="6">
        <f>ENR!P19/ENR!P$29</f>
        <v>0</v>
      </c>
      <c r="Q19" s="6">
        <f>ENR!Q19/ENR!Q$29</f>
        <v>0</v>
      </c>
      <c r="R19" s="6">
        <f>ENR!R19/ENR!R$29</f>
        <v>1</v>
      </c>
      <c r="S19" s="6">
        <f>ENR!S19/ENR!S$29</f>
        <v>0</v>
      </c>
      <c r="T19" s="6">
        <f>ENR!T19/ENR!T$29</f>
        <v>0</v>
      </c>
      <c r="U19" s="6">
        <f>ENR!U19/ENR!U$29</f>
        <v>0</v>
      </c>
      <c r="V19" s="6">
        <f>ENR!V19/ENR!V$29</f>
        <v>0</v>
      </c>
      <c r="W19" s="6">
        <f>ENR!W19/ENR!W$29</f>
        <v>0</v>
      </c>
      <c r="X19" s="6">
        <f>ENR!X19/ENR!X$29</f>
        <v>0</v>
      </c>
      <c r="Y19" s="6">
        <f>ENR!Y19/ENR!Y$29</f>
        <v>0</v>
      </c>
      <c r="Z19" s="6">
        <f>ENR!Z19/ENR!Z$29</f>
        <v>0</v>
      </c>
      <c r="AA19" s="6">
        <f>ENR!AA19/ENR!AA$29</f>
        <v>0</v>
      </c>
      <c r="AB19" s="6">
        <f>ENR!AB19/ENR!AB$29</f>
        <v>0</v>
      </c>
      <c r="AC19" s="6">
        <f>ENR!AC19/ENR!AC$29</f>
        <v>0</v>
      </c>
      <c r="AD19" s="6">
        <f>ENR!AD19/ENR!AD$29</f>
        <v>0</v>
      </c>
      <c r="AE19" s="6">
        <f>ENR!AE19/ENR!AE$29</f>
        <v>0</v>
      </c>
      <c r="AF19" s="6">
        <f>ENR!AF19/ENR!AF$29</f>
        <v>0</v>
      </c>
      <c r="AG19" s="6">
        <f>ENR!AG19/ENR!AG$29</f>
        <v>0.37419852483354699</v>
      </c>
      <c r="AH19" s="6" t="e">
        <f>ENR!AH19/ENR!AH$29</f>
        <v>#DIV/0!</v>
      </c>
      <c r="AI19" s="6" t="e">
        <f>ENR!AI19/ENR!AI$29</f>
        <v>#DIV/0!</v>
      </c>
      <c r="AJ19" s="6" t="e">
        <f>ENR!AJ19/ENR!AJ$29</f>
        <v>#DIV/0!</v>
      </c>
      <c r="AK19" s="6" t="e">
        <f>ENR!AK19/ENR!AK$29</f>
        <v>#DIV/0!</v>
      </c>
      <c r="AL19" s="11">
        <f>ENR!AL19/ENR!AL$29</f>
        <v>0.17351230373702389</v>
      </c>
      <c r="AM19" s="11">
        <f>ENR!AM19/ENR!AM$29</f>
        <v>2.5891203846297686E-2</v>
      </c>
      <c r="AN19" s="11">
        <f>ENR!AN19/ENR!AN$29</f>
        <v>0.31201497963277808</v>
      </c>
      <c r="AO19" s="11">
        <f>ENR!AO19/ENR!AO$29</f>
        <v>0.31201497963277808</v>
      </c>
      <c r="AP19" s="11">
        <f>ENR!AP19/ENR!AP$29</f>
        <v>9.0516770977678421E-2</v>
      </c>
      <c r="AQ19" s="11">
        <f>ENR!AQ19/ENR!AQ$29</f>
        <v>2.2391909513953812E-2</v>
      </c>
      <c r="AR19" s="11">
        <f>ENR!AR19/ENR!AR$29</f>
        <v>4.6712892601749566E-2</v>
      </c>
      <c r="AS19" s="11">
        <f>ENR!AS19/ENR!AS$29</f>
        <v>0.13063842810744408</v>
      </c>
      <c r="AT19" s="11">
        <f>ENR!AT19/ENR!AT$29</f>
        <v>0.88625462297414026</v>
      </c>
      <c r="AU19" s="11">
        <f>ENR!AU19/ENR!AU$29</f>
        <v>0.97628654624154321</v>
      </c>
      <c r="AV19" s="11">
        <f>ENR!AV19/ENR!AV$29</f>
        <v>0.29377761478175834</v>
      </c>
      <c r="AW19" s="11">
        <f>ENR!AW19/ENR!AW$29</f>
        <v>5.8570144372402579E-5</v>
      </c>
      <c r="AX19" s="11">
        <f>ENR!AX19/ENR!AX$29</f>
        <v>8.474177138629347E-3</v>
      </c>
      <c r="AY19" s="11">
        <f>ENR!AY19/ENR!AY$29</f>
        <v>5.7118151171648306E-2</v>
      </c>
      <c r="AZ19" s="11">
        <f>ENR!AZ19/ENR!AZ$29</f>
        <v>0.55555048571083854</v>
      </c>
      <c r="BA19" s="11">
        <f>ENR!BA19/ENR!BA$29</f>
        <v>5.2943914350849261E-2</v>
      </c>
      <c r="BB19" s="11">
        <f>ENR!BB19/ENR!BB$29</f>
        <v>0.11715110457128387</v>
      </c>
      <c r="BC19" s="11">
        <f>ENR!BC19/ENR!BC$29</f>
        <v>2.9956157851077782E-2</v>
      </c>
      <c r="BD19" s="11">
        <f>ENR!BD19/ENR!BD$29</f>
        <v>1.9627354283828822E-4</v>
      </c>
      <c r="BE19" s="11">
        <f>ENR!BE19/ENR!BE$29</f>
        <v>0</v>
      </c>
      <c r="BF19" s="11">
        <f>ENR!BF19/ENR!BF$29</f>
        <v>0</v>
      </c>
      <c r="BG19" s="11">
        <f>ENR!BG19/ENR!BG$29</f>
        <v>0.96741303278784174</v>
      </c>
      <c r="BH19" s="11">
        <f>ENR!BH19/ENR!BH$29</f>
        <v>0</v>
      </c>
      <c r="BI19" s="11">
        <f>ENR!BI19/ENR!BI$29</f>
        <v>0</v>
      </c>
      <c r="BJ19" s="11">
        <f>ENR!BJ19/ENR!BJ$29</f>
        <v>0</v>
      </c>
      <c r="BK19" s="11">
        <f>ENR!BK19/ENR!BK$29</f>
        <v>0</v>
      </c>
      <c r="BL19" s="11">
        <f>ENR!BL19/ENR!BL$29</f>
        <v>0</v>
      </c>
      <c r="BM19" s="11">
        <f>ENR!BM19/ENR!BM$29</f>
        <v>0.28167357908963875</v>
      </c>
      <c r="BN19" s="6">
        <f>ENR!BN19/ENR!BN$29</f>
        <v>0.44541109778358595</v>
      </c>
      <c r="BO19" s="6" t="e">
        <f>ENR!BO19/ENR!BO$29</f>
        <v>#DIV/0!</v>
      </c>
      <c r="BP19" s="6" t="e">
        <f>ENR!BP19/ENR!BP$29</f>
        <v>#DIV/0!</v>
      </c>
      <c r="BQ19" s="6" t="e">
        <f>ENR!BQ19/ENR!BQ$29</f>
        <v>#DIV/0!</v>
      </c>
      <c r="BR19" s="6" t="e">
        <f>ENR!BR19/ENR!BR$29</f>
        <v>#DIV/0!</v>
      </c>
      <c r="BS19" s="6" t="e">
        <f>ENR!BS19/ENR!BS$29</f>
        <v>#DIV/0!</v>
      </c>
      <c r="BT19" s="6" t="e">
        <f>ENR!BT19/ENR!BT$29</f>
        <v>#DIV/0!</v>
      </c>
      <c r="BU19" s="6" t="e">
        <f>ENR!BU19/ENR!BU$29</f>
        <v>#DIV/0!</v>
      </c>
      <c r="BV19" s="6" t="e">
        <f>ENR!BV19/ENR!BV$29</f>
        <v>#DIV/0!</v>
      </c>
      <c r="BW19" s="6" t="e">
        <f>ENR!BW19/ENR!BW$29</f>
        <v>#DIV/0!</v>
      </c>
      <c r="BX19" s="6" t="e">
        <f>ENR!BX19/ENR!BX$29</f>
        <v>#DIV/0!</v>
      </c>
      <c r="BY19" s="6" t="e">
        <f>ENR!BY19/ENR!BY$29</f>
        <v>#DIV/0!</v>
      </c>
      <c r="BZ19" s="6" t="e">
        <f>ENR!BZ19/ENR!BZ$29</f>
        <v>#DIV/0!</v>
      </c>
      <c r="CA19" s="6" t="e">
        <f>ENR!CA19/ENR!CA$29</f>
        <v>#DIV/0!</v>
      </c>
      <c r="CB19" s="6" t="e">
        <f>ENR!CB19/ENR!CB$29</f>
        <v>#DIV/0!</v>
      </c>
      <c r="CC19" s="6" t="e">
        <f>ENR!CC19/ENR!CC$29</f>
        <v>#DIV/0!</v>
      </c>
      <c r="CD19" s="6" t="e">
        <f>ENR!CD19/ENR!CD$29</f>
        <v>#DIV/0!</v>
      </c>
      <c r="CE19" s="6" t="e">
        <f>ENR!CE19/ENR!CE$29</f>
        <v>#DIV/0!</v>
      </c>
      <c r="CF19" s="6" t="e">
        <f>ENR!CF19/ENR!CF$29</f>
        <v>#DIV/0!</v>
      </c>
      <c r="CG19" s="6" t="e">
        <f>ENR!CG19/ENR!CG$29</f>
        <v>#DIV/0!</v>
      </c>
      <c r="CH19" s="6" t="e">
        <f>ENR!CH19/ENR!CH$29</f>
        <v>#DIV/0!</v>
      </c>
      <c r="CI19" s="6" t="e">
        <f>ENR!CI19/ENR!CI$29</f>
        <v>#DIV/0!</v>
      </c>
      <c r="CJ19" s="6" t="e">
        <f>ENR!CJ19/ENR!CJ$29</f>
        <v>#DIV/0!</v>
      </c>
      <c r="CK19" s="6" t="e">
        <f>ENR!CK19/ENR!CK$29</f>
        <v>#DIV/0!</v>
      </c>
      <c r="CL19" s="6" t="e">
        <f>ENR!CL19/ENR!CL$29</f>
        <v>#DIV/0!</v>
      </c>
      <c r="CM19" s="6" t="e">
        <f>ENR!CM19/ENR!CM$29</f>
        <v>#DIV/0!</v>
      </c>
      <c r="CN19" s="6" t="e">
        <f>ENR!CN19/ENR!CN$29</f>
        <v>#DIV/0!</v>
      </c>
      <c r="CO19" s="6" t="e">
        <f>ENR!CO19/ENR!CO$29</f>
        <v>#DIV/0!</v>
      </c>
      <c r="CP19" s="6" t="e">
        <f>ENR!CP19/ENR!CP$29</f>
        <v>#DIV/0!</v>
      </c>
      <c r="CQ19" s="6" t="e">
        <f>ENR!CQ19/ENR!CQ$29</f>
        <v>#DIV/0!</v>
      </c>
      <c r="CR19" s="6">
        <f>ENR!CR19/ENR!CR$29</f>
        <v>0.65037381013871232</v>
      </c>
    </row>
    <row r="20" spans="2:96" x14ac:dyDescent="0.25">
      <c r="B20" s="10" t="s">
        <v>75</v>
      </c>
      <c r="C20" s="10" t="s">
        <v>106</v>
      </c>
      <c r="D20" s="2">
        <v>15</v>
      </c>
      <c r="E20" s="6" t="e">
        <f>ENR!E20/ENR!E$29</f>
        <v>#DIV/0!</v>
      </c>
      <c r="F20" s="6" t="e">
        <f>ENR!F20/ENR!F$29</f>
        <v>#DIV/0!</v>
      </c>
      <c r="G20" s="6" t="e">
        <f>ENR!G20/ENR!G$29</f>
        <v>#DIV/0!</v>
      </c>
      <c r="H20" s="6" t="e">
        <f>ENR!H20/ENR!H$29</f>
        <v>#DIV/0!</v>
      </c>
      <c r="I20" s="6" t="e">
        <f>ENR!I20/ENR!I$29</f>
        <v>#DIV/0!</v>
      </c>
      <c r="J20" s="6" t="e">
        <f>ENR!J20/ENR!J$29</f>
        <v>#DIV/0!</v>
      </c>
      <c r="K20" s="6" t="e">
        <f>ENR!K20/ENR!K$29</f>
        <v>#DIV/0!</v>
      </c>
      <c r="L20" s="6">
        <f>ENR!L20/ENR!L$29</f>
        <v>0</v>
      </c>
      <c r="M20" s="6" t="e">
        <f>ENR!M20/ENR!M$29</f>
        <v>#DIV/0!</v>
      </c>
      <c r="N20" s="6" t="e">
        <f>ENR!N20/ENR!N$29</f>
        <v>#DIV/0!</v>
      </c>
      <c r="O20" s="6" t="e">
        <f>ENR!O20/ENR!O$29</f>
        <v>#DIV/0!</v>
      </c>
      <c r="P20" s="6">
        <f>ENR!P20/ENR!P$29</f>
        <v>0</v>
      </c>
      <c r="Q20" s="6">
        <f>ENR!Q20/ENR!Q$29</f>
        <v>0</v>
      </c>
      <c r="R20" s="6">
        <f>ENR!R20/ENR!R$29</f>
        <v>0</v>
      </c>
      <c r="S20" s="6">
        <f>ENR!S20/ENR!S$29</f>
        <v>1</v>
      </c>
      <c r="T20" s="6">
        <f>ENR!T20/ENR!T$29</f>
        <v>0</v>
      </c>
      <c r="U20" s="6">
        <f>ENR!U20/ENR!U$29</f>
        <v>0</v>
      </c>
      <c r="V20" s="6">
        <f>ENR!V20/ENR!V$29</f>
        <v>0</v>
      </c>
      <c r="W20" s="6">
        <f>ENR!W20/ENR!W$29</f>
        <v>0</v>
      </c>
      <c r="X20" s="6">
        <f>ENR!X20/ENR!X$29</f>
        <v>0</v>
      </c>
      <c r="Y20" s="6">
        <f>ENR!Y20/ENR!Y$29</f>
        <v>0</v>
      </c>
      <c r="Z20" s="6">
        <f>ENR!Z20/ENR!Z$29</f>
        <v>0</v>
      </c>
      <c r="AA20" s="6">
        <f>ENR!AA20/ENR!AA$29</f>
        <v>0</v>
      </c>
      <c r="AB20" s="6">
        <f>ENR!AB20/ENR!AB$29</f>
        <v>0</v>
      </c>
      <c r="AC20" s="6">
        <f>ENR!AC20/ENR!AC$29</f>
        <v>0</v>
      </c>
      <c r="AD20" s="6">
        <f>ENR!AD20/ENR!AD$29</f>
        <v>0</v>
      </c>
      <c r="AE20" s="6">
        <f>ENR!AE20/ENR!AE$29</f>
        <v>0</v>
      </c>
      <c r="AF20" s="6">
        <f>ENR!AF20/ENR!AF$29</f>
        <v>0</v>
      </c>
      <c r="AG20" s="6">
        <f>ENR!AG20/ENR!AG$29</f>
        <v>0.10509757023570408</v>
      </c>
      <c r="AH20" s="6" t="e">
        <f>ENR!AH20/ENR!AH$29</f>
        <v>#DIV/0!</v>
      </c>
      <c r="AI20" s="6" t="e">
        <f>ENR!AI20/ENR!AI$29</f>
        <v>#DIV/0!</v>
      </c>
      <c r="AJ20" s="6" t="e">
        <f>ENR!AJ20/ENR!AJ$29</f>
        <v>#DIV/0!</v>
      </c>
      <c r="AK20" s="6" t="e">
        <f>ENR!AK20/ENR!AK$29</f>
        <v>#DIV/0!</v>
      </c>
      <c r="AL20" s="11">
        <f>ENR!AL20/ENR!AL$29</f>
        <v>4.249894786245987E-2</v>
      </c>
      <c r="AM20" s="11">
        <f>ENR!AM20/ENR!AM$29</f>
        <v>3.2327402193684018E-2</v>
      </c>
      <c r="AN20" s="11">
        <f>ENR!AN20/ENR!AN$29</f>
        <v>0.17824393043902345</v>
      </c>
      <c r="AO20" s="11">
        <f>ENR!AO20/ENR!AO$29</f>
        <v>0.17824393043902378</v>
      </c>
      <c r="AP20" s="11">
        <f>ENR!AP20/ENR!AP$29</f>
        <v>0.10147420776662615</v>
      </c>
      <c r="AQ20" s="11">
        <f>ENR!AQ20/ENR!AQ$29</f>
        <v>2.9141751910570786E-2</v>
      </c>
      <c r="AR20" s="11">
        <f>ENR!AR20/ENR!AR$29</f>
        <v>5.4239515623773084E-2</v>
      </c>
      <c r="AS20" s="11">
        <f>ENR!AS20/ENR!AS$29</f>
        <v>0.10015754107452622</v>
      </c>
      <c r="AT20" s="11">
        <f>ENR!AT20/ENR!AT$29</f>
        <v>1.2778651353117485E-2</v>
      </c>
      <c r="AU20" s="11">
        <f>ENR!AU20/ENR!AU$29</f>
        <v>2.3713453758456862E-2</v>
      </c>
      <c r="AV20" s="11">
        <f>ENR!AV20/ENR!AV$29</f>
        <v>0.70622238521824177</v>
      </c>
      <c r="AW20" s="11">
        <f>ENR!AW20/ENR!AW$29</f>
        <v>7.3386225618147976E-5</v>
      </c>
      <c r="AX20" s="11">
        <f>ENR!AX20/ENR!AX$29</f>
        <v>1.0617830672731461E-2</v>
      </c>
      <c r="AY20" s="11">
        <f>ENR!AY20/ENR!AY$29</f>
        <v>0.20108651873536285</v>
      </c>
      <c r="AZ20" s="11">
        <f>ENR!AZ20/ENR!AZ$29</f>
        <v>0.32625602670068937</v>
      </c>
      <c r="BA20" s="11">
        <f>ENR!BA20/ENR!BA$29</f>
        <v>3.6209275602910765E-3</v>
      </c>
      <c r="BB20" s="11">
        <f>ENR!BB20/ENR!BB$29</f>
        <v>0.14832023788014106</v>
      </c>
      <c r="BC20" s="11">
        <f>ENR!BC20/ENR!BC$29</f>
        <v>1.5340968122621947E-2</v>
      </c>
      <c r="BD20" s="11">
        <f>ENR!BD20/ENR!BD$29</f>
        <v>1.1212464144466132E-4</v>
      </c>
      <c r="BE20" s="11">
        <f>ENR!BE20/ENR!BE$29</f>
        <v>2.9744554180989406E-5</v>
      </c>
      <c r="BF20" s="11">
        <f>ENR!BF20/ENR!BF$29</f>
        <v>4.4549946545855147E-5</v>
      </c>
      <c r="BG20" s="11">
        <f>ENR!BG20/ENR!BG$29</f>
        <v>1.4844922138031319E-5</v>
      </c>
      <c r="BH20" s="11">
        <f>ENR!BH20/ENR!BH$29</f>
        <v>4.9703873990041785E-5</v>
      </c>
      <c r="BI20" s="11">
        <f>ENR!BI20/ENR!BI$29</f>
        <v>4.97038739900419E-5</v>
      </c>
      <c r="BJ20" s="11">
        <f>ENR!BJ20/ENR!BJ$29</f>
        <v>4.9703873990041846E-5</v>
      </c>
      <c r="BK20" s="11">
        <f>ENR!BK20/ENR!BK$29</f>
        <v>2.4541863591817744E-5</v>
      </c>
      <c r="BL20" s="11">
        <f>ENR!BL20/ENR!BL$29</f>
        <v>4.554695806016256E-4</v>
      </c>
      <c r="BM20" s="11">
        <f>ENR!BM20/ENR!BM$29</f>
        <v>2.406321208444402E-4</v>
      </c>
      <c r="BN20" s="6">
        <f>ENR!BN20/ENR!BN$29</f>
        <v>0</v>
      </c>
      <c r="BO20" s="6" t="e">
        <f>ENR!BO20/ENR!BO$29</f>
        <v>#DIV/0!</v>
      </c>
      <c r="BP20" s="6" t="e">
        <f>ENR!BP20/ENR!BP$29</f>
        <v>#DIV/0!</v>
      </c>
      <c r="BQ20" s="6" t="e">
        <f>ENR!BQ20/ENR!BQ$29</f>
        <v>#DIV/0!</v>
      </c>
      <c r="BR20" s="6" t="e">
        <f>ENR!BR20/ENR!BR$29</f>
        <v>#DIV/0!</v>
      </c>
      <c r="BS20" s="6" t="e">
        <f>ENR!BS20/ENR!BS$29</f>
        <v>#DIV/0!</v>
      </c>
      <c r="BT20" s="6" t="e">
        <f>ENR!BT20/ENR!BT$29</f>
        <v>#DIV/0!</v>
      </c>
      <c r="BU20" s="6" t="e">
        <f>ENR!BU20/ENR!BU$29</f>
        <v>#DIV/0!</v>
      </c>
      <c r="BV20" s="6" t="e">
        <f>ENR!BV20/ENR!BV$29</f>
        <v>#DIV/0!</v>
      </c>
      <c r="BW20" s="6" t="e">
        <f>ENR!BW20/ENR!BW$29</f>
        <v>#DIV/0!</v>
      </c>
      <c r="BX20" s="6" t="e">
        <f>ENR!BX20/ENR!BX$29</f>
        <v>#DIV/0!</v>
      </c>
      <c r="BY20" s="6" t="e">
        <f>ENR!BY20/ENR!BY$29</f>
        <v>#DIV/0!</v>
      </c>
      <c r="BZ20" s="6" t="e">
        <f>ENR!BZ20/ENR!BZ$29</f>
        <v>#DIV/0!</v>
      </c>
      <c r="CA20" s="6" t="e">
        <f>ENR!CA20/ENR!CA$29</f>
        <v>#DIV/0!</v>
      </c>
      <c r="CB20" s="6" t="e">
        <f>ENR!CB20/ENR!CB$29</f>
        <v>#DIV/0!</v>
      </c>
      <c r="CC20" s="6" t="e">
        <f>ENR!CC20/ENR!CC$29</f>
        <v>#DIV/0!</v>
      </c>
      <c r="CD20" s="6" t="e">
        <f>ENR!CD20/ENR!CD$29</f>
        <v>#DIV/0!</v>
      </c>
      <c r="CE20" s="6" t="e">
        <f>ENR!CE20/ENR!CE$29</f>
        <v>#DIV/0!</v>
      </c>
      <c r="CF20" s="6" t="e">
        <f>ENR!CF20/ENR!CF$29</f>
        <v>#DIV/0!</v>
      </c>
      <c r="CG20" s="6" t="e">
        <f>ENR!CG20/ENR!CG$29</f>
        <v>#DIV/0!</v>
      </c>
      <c r="CH20" s="6" t="e">
        <f>ENR!CH20/ENR!CH$29</f>
        <v>#DIV/0!</v>
      </c>
      <c r="CI20" s="6" t="e">
        <f>ENR!CI20/ENR!CI$29</f>
        <v>#DIV/0!</v>
      </c>
      <c r="CJ20" s="6" t="e">
        <f>ENR!CJ20/ENR!CJ$29</f>
        <v>#DIV/0!</v>
      </c>
      <c r="CK20" s="6" t="e">
        <f>ENR!CK20/ENR!CK$29</f>
        <v>#DIV/0!</v>
      </c>
      <c r="CL20" s="6" t="e">
        <f>ENR!CL20/ENR!CL$29</f>
        <v>#DIV/0!</v>
      </c>
      <c r="CM20" s="6" t="e">
        <f>ENR!CM20/ENR!CM$29</f>
        <v>#DIV/0!</v>
      </c>
      <c r="CN20" s="6" t="e">
        <f>ENR!CN20/ENR!CN$29</f>
        <v>#DIV/0!</v>
      </c>
      <c r="CO20" s="6" t="e">
        <f>ENR!CO20/ENR!CO$29</f>
        <v>#DIV/0!</v>
      </c>
      <c r="CP20" s="6" t="e">
        <f>ENR!CP20/ENR!CP$29</f>
        <v>#DIV/0!</v>
      </c>
      <c r="CQ20" s="6" t="e">
        <f>ENR!CQ20/ENR!CQ$29</f>
        <v>#DIV/0!</v>
      </c>
      <c r="CR20" s="6">
        <f>ENR!CR20/ENR!CR$29</f>
        <v>9.6596231823847967E-2</v>
      </c>
    </row>
    <row r="21" spans="2:96" x14ac:dyDescent="0.25">
      <c r="B21" s="10" t="s">
        <v>76</v>
      </c>
      <c r="C21" s="10" t="s">
        <v>107</v>
      </c>
      <c r="D21" s="2">
        <v>16</v>
      </c>
      <c r="E21" s="6" t="e">
        <f>ENR!E21/ENR!E$29</f>
        <v>#DIV/0!</v>
      </c>
      <c r="F21" s="6" t="e">
        <f>ENR!F21/ENR!F$29</f>
        <v>#DIV/0!</v>
      </c>
      <c r="G21" s="6" t="e">
        <f>ENR!G21/ENR!G$29</f>
        <v>#DIV/0!</v>
      </c>
      <c r="H21" s="6" t="e">
        <f>ENR!H21/ENR!H$29</f>
        <v>#DIV/0!</v>
      </c>
      <c r="I21" s="6" t="e">
        <f>ENR!I21/ENR!I$29</f>
        <v>#DIV/0!</v>
      </c>
      <c r="J21" s="6" t="e">
        <f>ENR!J21/ENR!J$29</f>
        <v>#DIV/0!</v>
      </c>
      <c r="K21" s="6" t="e">
        <f>ENR!K21/ENR!K$29</f>
        <v>#DIV/0!</v>
      </c>
      <c r="L21" s="6">
        <f>ENR!L21/ENR!L$29</f>
        <v>0</v>
      </c>
      <c r="M21" s="6" t="e">
        <f>ENR!M21/ENR!M$29</f>
        <v>#DIV/0!</v>
      </c>
      <c r="N21" s="6" t="e">
        <f>ENR!N21/ENR!N$29</f>
        <v>#DIV/0!</v>
      </c>
      <c r="O21" s="6" t="e">
        <f>ENR!O21/ENR!O$29</f>
        <v>#DIV/0!</v>
      </c>
      <c r="P21" s="6">
        <f>ENR!P21/ENR!P$29</f>
        <v>0</v>
      </c>
      <c r="Q21" s="6">
        <f>ENR!Q21/ENR!Q$29</f>
        <v>0</v>
      </c>
      <c r="R21" s="6">
        <f>ENR!R21/ENR!R$29</f>
        <v>0</v>
      </c>
      <c r="S21" s="6">
        <f>ENR!S21/ENR!S$29</f>
        <v>0</v>
      </c>
      <c r="T21" s="6">
        <f>ENR!T21/ENR!T$29</f>
        <v>0</v>
      </c>
      <c r="U21" s="6">
        <f>ENR!U21/ENR!U$29</f>
        <v>0</v>
      </c>
      <c r="V21" s="6">
        <f>ENR!V21/ENR!V$29</f>
        <v>0</v>
      </c>
      <c r="W21" s="6">
        <f>ENR!W21/ENR!W$29</f>
        <v>0</v>
      </c>
      <c r="X21" s="6">
        <f>ENR!X21/ENR!X$29</f>
        <v>1</v>
      </c>
      <c r="Y21" s="6">
        <f>ENR!Y21/ENR!Y$29</f>
        <v>1</v>
      </c>
      <c r="Z21" s="6">
        <f>ENR!Z21/ENR!Z$29</f>
        <v>1</v>
      </c>
      <c r="AA21" s="6">
        <f>ENR!AA21/ENR!AA$29</f>
        <v>1</v>
      </c>
      <c r="AB21" s="6">
        <f>ENR!AB21/ENR!AB$29</f>
        <v>1</v>
      </c>
      <c r="AC21" s="6">
        <f>ENR!AC21/ENR!AC$29</f>
        <v>1</v>
      </c>
      <c r="AD21" s="6">
        <f>ENR!AD21/ENR!AD$29</f>
        <v>1</v>
      </c>
      <c r="AE21" s="6">
        <f>ENR!AE21/ENR!AE$29</f>
        <v>1</v>
      </c>
      <c r="AF21" s="6">
        <f>ENR!AF21/ENR!AF$29</f>
        <v>0</v>
      </c>
      <c r="AG21" s="6">
        <f>ENR!AG21/ENR!AG$29</f>
        <v>1.290985456982718E-2</v>
      </c>
      <c r="AH21" s="6" t="e">
        <f>ENR!AH21/ENR!AH$29</f>
        <v>#DIV/0!</v>
      </c>
      <c r="AI21" s="6" t="e">
        <f>ENR!AI21/ENR!AI$29</f>
        <v>#DIV/0!</v>
      </c>
      <c r="AJ21" s="6" t="e">
        <f>ENR!AJ21/ENR!AJ$29</f>
        <v>#DIV/0!</v>
      </c>
      <c r="AK21" s="6" t="e">
        <f>ENR!AK21/ENR!AK$29</f>
        <v>#DIV/0!</v>
      </c>
      <c r="AL21" s="11">
        <f>ENR!AL21/ENR!AL$29</f>
        <v>0.1786076343704735</v>
      </c>
      <c r="AM21" s="11">
        <f>ENR!AM21/ENR!AM$29</f>
        <v>0.10348988461431832</v>
      </c>
      <c r="AN21" s="11">
        <f>ENR!AN21/ENR!AN$29</f>
        <v>7.7046109210189312E-2</v>
      </c>
      <c r="AO21" s="11">
        <f>ENR!AO21/ENR!AO$29</f>
        <v>7.7046109210189409E-2</v>
      </c>
      <c r="AP21" s="11">
        <f>ENR!AP21/ENR!AP$29</f>
        <v>0.12625520891201947</v>
      </c>
      <c r="AQ21" s="11">
        <f>ENR!AQ21/ENR!AQ$29</f>
        <v>0.32923629847921343</v>
      </c>
      <c r="AR21" s="11">
        <f>ENR!AR21/ENR!AR$29</f>
        <v>0.23719936893155064</v>
      </c>
      <c r="AS21" s="11">
        <f>ENR!AS21/ENR!AS$29</f>
        <v>0.30803239315205905</v>
      </c>
      <c r="AT21" s="11">
        <f>ENR!AT21/ENR!AT$29</f>
        <v>6.998616733752891E-2</v>
      </c>
      <c r="AU21" s="11">
        <f>ENR!AU21/ENR!AU$29</f>
        <v>0</v>
      </c>
      <c r="AV21" s="11">
        <f>ENR!AV21/ENR!AV$29</f>
        <v>0</v>
      </c>
      <c r="AW21" s="11">
        <f>ENR!AW21/ENR!AW$29</f>
        <v>4.3685238126989056E-3</v>
      </c>
      <c r="AX21" s="11">
        <f>ENR!AX21/ENR!AX$29</f>
        <v>0.28115576657171593</v>
      </c>
      <c r="AY21" s="11">
        <f>ENR!AY21/ENR!AY$29</f>
        <v>1.148155884098917E-2</v>
      </c>
      <c r="AZ21" s="11">
        <f>ENR!AZ21/ENR!AZ$29</f>
        <v>3.6976750474508953E-3</v>
      </c>
      <c r="BA21" s="11">
        <f>ENR!BA21/ENR!BA$29</f>
        <v>9.4617890037826474E-2</v>
      </c>
      <c r="BB21" s="11">
        <f>ENR!BB21/ENR!BB$29</f>
        <v>0.25390298193620231</v>
      </c>
      <c r="BC21" s="11">
        <f>ENR!BC21/ENR!BC$29</f>
        <v>0.36657821919425221</v>
      </c>
      <c r="BD21" s="11">
        <f>ENR!BD21/ENR!BD$29</f>
        <v>2.0416379632260361E-3</v>
      </c>
      <c r="BE21" s="11">
        <f>ENR!BE21/ENR!BE$29</f>
        <v>0</v>
      </c>
      <c r="BF21" s="11">
        <f>ENR!BF21/ENR!BF$29</f>
        <v>0</v>
      </c>
      <c r="BG21" s="11">
        <f>ENR!BG21/ENR!BG$29</f>
        <v>0</v>
      </c>
      <c r="BH21" s="11">
        <f>ENR!BH21/ENR!BH$29</f>
        <v>0.89089208437939738</v>
      </c>
      <c r="BI21" s="11">
        <f>ENR!BI21/ENR!BI$29</f>
        <v>0.89089208437939726</v>
      </c>
      <c r="BJ21" s="11">
        <f>ENR!BJ21/ENR!BJ$29</f>
        <v>0.89089208437939738</v>
      </c>
      <c r="BK21" s="11">
        <f>ENR!BK21/ENR!BK$29</f>
        <v>0</v>
      </c>
      <c r="BL21" s="11">
        <f>ENR!BL21/ENR!BL$29</f>
        <v>0</v>
      </c>
      <c r="BM21" s="11">
        <f>ENR!BM21/ENR!BM$29</f>
        <v>4.1192769041679332E-4</v>
      </c>
      <c r="BN21" s="6">
        <f>ENR!BN21/ENR!BN$29</f>
        <v>0.11084511275565807</v>
      </c>
      <c r="BO21" s="6" t="e">
        <f>ENR!BO21/ENR!BO$29</f>
        <v>#DIV/0!</v>
      </c>
      <c r="BP21" s="6" t="e">
        <f>ENR!BP21/ENR!BP$29</f>
        <v>#DIV/0!</v>
      </c>
      <c r="BQ21" s="6" t="e">
        <f>ENR!BQ21/ENR!BQ$29</f>
        <v>#DIV/0!</v>
      </c>
      <c r="BR21" s="6" t="e">
        <f>ENR!BR21/ENR!BR$29</f>
        <v>#DIV/0!</v>
      </c>
      <c r="BS21" s="6" t="e">
        <f>ENR!BS21/ENR!BS$29</f>
        <v>#DIV/0!</v>
      </c>
      <c r="BT21" s="6" t="e">
        <f>ENR!BT21/ENR!BT$29</f>
        <v>#DIV/0!</v>
      </c>
      <c r="BU21" s="6" t="e">
        <f>ENR!BU21/ENR!BU$29</f>
        <v>#DIV/0!</v>
      </c>
      <c r="BV21" s="6" t="e">
        <f>ENR!BV21/ENR!BV$29</f>
        <v>#DIV/0!</v>
      </c>
      <c r="BW21" s="6" t="e">
        <f>ENR!BW21/ENR!BW$29</f>
        <v>#DIV/0!</v>
      </c>
      <c r="BX21" s="6" t="e">
        <f>ENR!BX21/ENR!BX$29</f>
        <v>#DIV/0!</v>
      </c>
      <c r="BY21" s="6" t="e">
        <f>ENR!BY21/ENR!BY$29</f>
        <v>#DIV/0!</v>
      </c>
      <c r="BZ21" s="6" t="e">
        <f>ENR!BZ21/ENR!BZ$29</f>
        <v>#DIV/0!</v>
      </c>
      <c r="CA21" s="6" t="e">
        <f>ENR!CA21/ENR!CA$29</f>
        <v>#DIV/0!</v>
      </c>
      <c r="CB21" s="6" t="e">
        <f>ENR!CB21/ENR!CB$29</f>
        <v>#DIV/0!</v>
      </c>
      <c r="CC21" s="6" t="e">
        <f>ENR!CC21/ENR!CC$29</f>
        <v>#DIV/0!</v>
      </c>
      <c r="CD21" s="6" t="e">
        <f>ENR!CD21/ENR!CD$29</f>
        <v>#DIV/0!</v>
      </c>
      <c r="CE21" s="6" t="e">
        <f>ENR!CE21/ENR!CE$29</f>
        <v>#DIV/0!</v>
      </c>
      <c r="CF21" s="6" t="e">
        <f>ENR!CF21/ENR!CF$29</f>
        <v>#DIV/0!</v>
      </c>
      <c r="CG21" s="6" t="e">
        <f>ENR!CG21/ENR!CG$29</f>
        <v>#DIV/0!</v>
      </c>
      <c r="CH21" s="6" t="e">
        <f>ENR!CH21/ENR!CH$29</f>
        <v>#DIV/0!</v>
      </c>
      <c r="CI21" s="6" t="e">
        <f>ENR!CI21/ENR!CI$29</f>
        <v>#DIV/0!</v>
      </c>
      <c r="CJ21" s="6" t="e">
        <f>ENR!CJ21/ENR!CJ$29</f>
        <v>#DIV/0!</v>
      </c>
      <c r="CK21" s="6" t="e">
        <f>ENR!CK21/ENR!CK$29</f>
        <v>#DIV/0!</v>
      </c>
      <c r="CL21" s="6" t="e">
        <f>ENR!CL21/ENR!CL$29</f>
        <v>#DIV/0!</v>
      </c>
      <c r="CM21" s="6" t="e">
        <f>ENR!CM21/ENR!CM$29</f>
        <v>#DIV/0!</v>
      </c>
      <c r="CN21" s="6" t="e">
        <f>ENR!CN21/ENR!CN$29</f>
        <v>#DIV/0!</v>
      </c>
      <c r="CO21" s="6" t="e">
        <f>ENR!CO21/ENR!CO$29</f>
        <v>#DIV/0!</v>
      </c>
      <c r="CP21" s="6" t="e">
        <f>ENR!CP21/ENR!CP$29</f>
        <v>#DIV/0!</v>
      </c>
      <c r="CQ21" s="6" t="e">
        <f>ENR!CQ21/ENR!CQ$29</f>
        <v>#DIV/0!</v>
      </c>
      <c r="CR21" s="6">
        <f>ENR!CR21/ENR!CR$29</f>
        <v>1.095600734239887E-2</v>
      </c>
    </row>
    <row r="22" spans="2:96" x14ac:dyDescent="0.25">
      <c r="B22" s="10" t="s">
        <v>77</v>
      </c>
      <c r="C22" s="10" t="s">
        <v>108</v>
      </c>
      <c r="D22" s="2">
        <v>17</v>
      </c>
      <c r="E22" s="6" t="e">
        <f>ENR!E22/ENR!E$29</f>
        <v>#DIV/0!</v>
      </c>
      <c r="F22" s="6" t="e">
        <f>ENR!F22/ENR!F$29</f>
        <v>#DIV/0!</v>
      </c>
      <c r="G22" s="6" t="e">
        <f>ENR!G22/ENR!G$29</f>
        <v>#DIV/0!</v>
      </c>
      <c r="H22" s="6" t="e">
        <f>ENR!H22/ENR!H$29</f>
        <v>#DIV/0!</v>
      </c>
      <c r="I22" s="6" t="e">
        <f>ENR!I22/ENR!I$29</f>
        <v>#DIV/0!</v>
      </c>
      <c r="J22" s="6" t="e">
        <f>ENR!J22/ENR!J$29</f>
        <v>#DIV/0!</v>
      </c>
      <c r="K22" s="6" t="e">
        <f>ENR!K22/ENR!K$29</f>
        <v>#DIV/0!</v>
      </c>
      <c r="L22" s="6">
        <f>ENR!L22/ENR!L$29</f>
        <v>0</v>
      </c>
      <c r="M22" s="6" t="e">
        <f>ENR!M22/ENR!M$29</f>
        <v>#DIV/0!</v>
      </c>
      <c r="N22" s="6" t="e">
        <f>ENR!N22/ENR!N$29</f>
        <v>#DIV/0!</v>
      </c>
      <c r="O22" s="6" t="e">
        <f>ENR!O22/ENR!O$29</f>
        <v>#DIV/0!</v>
      </c>
      <c r="P22" s="6">
        <f>ENR!P22/ENR!P$29</f>
        <v>0</v>
      </c>
      <c r="Q22" s="6">
        <f>ENR!Q22/ENR!Q$29</f>
        <v>0</v>
      </c>
      <c r="R22" s="6">
        <f>ENR!R22/ENR!R$29</f>
        <v>0</v>
      </c>
      <c r="S22" s="6">
        <f>ENR!S22/ENR!S$29</f>
        <v>0</v>
      </c>
      <c r="T22" s="6">
        <f>ENR!T22/ENR!T$29</f>
        <v>0.97223186766859815</v>
      </c>
      <c r="U22" s="6">
        <f>ENR!U22/ENR!U$29</f>
        <v>0</v>
      </c>
      <c r="V22" s="6">
        <f>ENR!V22/ENR!V$29</f>
        <v>0</v>
      </c>
      <c r="W22" s="6">
        <f>ENR!W22/ENR!W$29</f>
        <v>0</v>
      </c>
      <c r="X22" s="6">
        <f>ENR!X22/ENR!X$29</f>
        <v>0</v>
      </c>
      <c r="Y22" s="6">
        <f>ENR!Y22/ENR!Y$29</f>
        <v>0</v>
      </c>
      <c r="Z22" s="6">
        <f>ENR!Z22/ENR!Z$29</f>
        <v>0</v>
      </c>
      <c r="AA22" s="6">
        <f>ENR!AA22/ENR!AA$29</f>
        <v>0</v>
      </c>
      <c r="AB22" s="6">
        <f>ENR!AB22/ENR!AB$29</f>
        <v>0</v>
      </c>
      <c r="AC22" s="6">
        <f>ENR!AC22/ENR!AC$29</f>
        <v>0</v>
      </c>
      <c r="AD22" s="6">
        <f>ENR!AD22/ENR!AD$29</f>
        <v>0</v>
      </c>
      <c r="AE22" s="6">
        <f>ENR!AE22/ENR!AE$29</f>
        <v>0</v>
      </c>
      <c r="AF22" s="6">
        <f>ENR!AF22/ENR!AF$29</f>
        <v>0</v>
      </c>
      <c r="AG22" s="6">
        <f>ENR!AG22/ENR!AG$29</f>
        <v>0.14729165032310174</v>
      </c>
      <c r="AH22" s="6" t="e">
        <f>ENR!AH22/ENR!AH$29</f>
        <v>#DIV/0!</v>
      </c>
      <c r="AI22" s="6" t="e">
        <f>ENR!AI22/ENR!AI$29</f>
        <v>#DIV/0!</v>
      </c>
      <c r="AJ22" s="6" t="e">
        <f>ENR!AJ22/ENR!AJ$29</f>
        <v>#DIV/0!</v>
      </c>
      <c r="AK22" s="6" t="e">
        <f>ENR!AK22/ENR!AK$29</f>
        <v>#DIV/0!</v>
      </c>
      <c r="AL22" s="11">
        <f>ENR!AL22/ENR!AL$29</f>
        <v>0.51973423681966147</v>
      </c>
      <c r="AM22" s="11">
        <f>ENR!AM22/ENR!AM$29</f>
        <v>0.10131562548092278</v>
      </c>
      <c r="AN22" s="11">
        <f>ENR!AN22/ENR!AN$29</f>
        <v>0.22864728456927561</v>
      </c>
      <c r="AO22" s="11">
        <f>ENR!AO22/ENR!AO$29</f>
        <v>0.22864728456927547</v>
      </c>
      <c r="AP22" s="11">
        <f>ENR!AP22/ENR!AP$29</f>
        <v>0.5847253592244489</v>
      </c>
      <c r="AQ22" s="11">
        <f>ENR!AQ22/ENR!AQ$29</f>
        <v>0.53119770996007565</v>
      </c>
      <c r="AR22" s="11">
        <f>ENR!AR22/ENR!AR$29</f>
        <v>0.56936042947845134</v>
      </c>
      <c r="AS22" s="11">
        <f>ENR!AS22/ENR!AS$29</f>
        <v>0.36547908963458536</v>
      </c>
      <c r="AT22" s="11">
        <f>ENR!AT22/ENR!AT$29</f>
        <v>3.3012928003910685E-3</v>
      </c>
      <c r="AU22" s="11">
        <f>ENR!AU22/ENR!AU$29</f>
        <v>0</v>
      </c>
      <c r="AV22" s="11">
        <f>ENR!AV22/ENR!AV$29</f>
        <v>0</v>
      </c>
      <c r="AW22" s="11">
        <f>ENR!AW22/ENR!AW$29</f>
        <v>5.3033624128701952E-5</v>
      </c>
      <c r="AX22" s="11">
        <f>ENR!AX22/ENR!AX$29</f>
        <v>0.69229421124006862</v>
      </c>
      <c r="AY22" s="11">
        <f>ENR!AY22/ENR!AY$29</f>
        <v>3.7045899803480317E-2</v>
      </c>
      <c r="AZ22" s="11">
        <f>ENR!AZ22/ENR!AZ$29</f>
        <v>3.0635133666683662E-3</v>
      </c>
      <c r="BA22" s="11">
        <f>ENR!BA22/ENR!BA$29</f>
        <v>0.22747058734368819</v>
      </c>
      <c r="BB22" s="11">
        <f>ENR!BB22/ENR!BB$29</f>
        <v>0.26443918795480426</v>
      </c>
      <c r="BC22" s="11">
        <f>ENR!BC22/ENR!BC$29</f>
        <v>0.37762662668880076</v>
      </c>
      <c r="BD22" s="11">
        <f>ENR!BD22/ENR!BD$29</f>
        <v>1.6914913046651621E-3</v>
      </c>
      <c r="BE22" s="11">
        <f>ENR!BE22/ENR!BE$29</f>
        <v>0</v>
      </c>
      <c r="BF22" s="11">
        <f>ENR!BF22/ENR!BF$29</f>
        <v>0.83761439767039758</v>
      </c>
      <c r="BG22" s="11">
        <f>ENR!BG22/ENR!BG$29</f>
        <v>0</v>
      </c>
      <c r="BH22" s="11">
        <f>ENR!BH22/ENR!BH$29</f>
        <v>0</v>
      </c>
      <c r="BI22" s="11">
        <f>ENR!BI22/ENR!BI$29</f>
        <v>0</v>
      </c>
      <c r="BJ22" s="11">
        <f>ENR!BJ22/ENR!BJ$29</f>
        <v>0</v>
      </c>
      <c r="BK22" s="11">
        <f>ENR!BK22/ENR!BK$29</f>
        <v>0</v>
      </c>
      <c r="BL22" s="11">
        <f>ENR!BL22/ENR!BL$29</f>
        <v>0</v>
      </c>
      <c r="BM22" s="11">
        <f>ENR!BM22/ENR!BM$29</f>
        <v>0.17970714435511811</v>
      </c>
      <c r="BN22" s="6">
        <f>ENR!BN22/ENR!BN$29</f>
        <v>0.3873805886378261</v>
      </c>
      <c r="BO22" s="6" t="e">
        <f>ENR!BO22/ENR!BO$29</f>
        <v>#DIV/0!</v>
      </c>
      <c r="BP22" s="6" t="e">
        <f>ENR!BP22/ENR!BP$29</f>
        <v>#DIV/0!</v>
      </c>
      <c r="BQ22" s="6" t="e">
        <f>ENR!BQ22/ENR!BQ$29</f>
        <v>#DIV/0!</v>
      </c>
      <c r="BR22" s="6" t="e">
        <f>ENR!BR22/ENR!BR$29</f>
        <v>#DIV/0!</v>
      </c>
      <c r="BS22" s="6" t="e">
        <f>ENR!BS22/ENR!BS$29</f>
        <v>#DIV/0!</v>
      </c>
      <c r="BT22" s="6" t="e">
        <f>ENR!BT22/ENR!BT$29</f>
        <v>#DIV/0!</v>
      </c>
      <c r="BU22" s="6" t="e">
        <f>ENR!BU22/ENR!BU$29</f>
        <v>#DIV/0!</v>
      </c>
      <c r="BV22" s="6" t="e">
        <f>ENR!BV22/ENR!BV$29</f>
        <v>#DIV/0!</v>
      </c>
      <c r="BW22" s="6" t="e">
        <f>ENR!BW22/ENR!BW$29</f>
        <v>#DIV/0!</v>
      </c>
      <c r="BX22" s="6" t="e">
        <f>ENR!BX22/ENR!BX$29</f>
        <v>#DIV/0!</v>
      </c>
      <c r="BY22" s="6" t="e">
        <f>ENR!BY22/ENR!BY$29</f>
        <v>#DIV/0!</v>
      </c>
      <c r="BZ22" s="6" t="e">
        <f>ENR!BZ22/ENR!BZ$29</f>
        <v>#DIV/0!</v>
      </c>
      <c r="CA22" s="6" t="e">
        <f>ENR!CA22/ENR!CA$29</f>
        <v>#DIV/0!</v>
      </c>
      <c r="CB22" s="6" t="e">
        <f>ENR!CB22/ENR!CB$29</f>
        <v>#DIV/0!</v>
      </c>
      <c r="CC22" s="6" t="e">
        <f>ENR!CC22/ENR!CC$29</f>
        <v>#DIV/0!</v>
      </c>
      <c r="CD22" s="6" t="e">
        <f>ENR!CD22/ENR!CD$29</f>
        <v>#DIV/0!</v>
      </c>
      <c r="CE22" s="6" t="e">
        <f>ENR!CE22/ENR!CE$29</f>
        <v>#DIV/0!</v>
      </c>
      <c r="CF22" s="6" t="e">
        <f>ENR!CF22/ENR!CF$29</f>
        <v>#DIV/0!</v>
      </c>
      <c r="CG22" s="6" t="e">
        <f>ENR!CG22/ENR!CG$29</f>
        <v>#DIV/0!</v>
      </c>
      <c r="CH22" s="6" t="e">
        <f>ENR!CH22/ENR!CH$29</f>
        <v>#DIV/0!</v>
      </c>
      <c r="CI22" s="6" t="e">
        <f>ENR!CI22/ENR!CI$29</f>
        <v>#DIV/0!</v>
      </c>
      <c r="CJ22" s="6" t="e">
        <f>ENR!CJ22/ENR!CJ$29</f>
        <v>#DIV/0!</v>
      </c>
      <c r="CK22" s="6" t="e">
        <f>ENR!CK22/ENR!CK$29</f>
        <v>#DIV/0!</v>
      </c>
      <c r="CL22" s="6" t="e">
        <f>ENR!CL22/ENR!CL$29</f>
        <v>#DIV/0!</v>
      </c>
      <c r="CM22" s="6" t="e">
        <f>ENR!CM22/ENR!CM$29</f>
        <v>#DIV/0!</v>
      </c>
      <c r="CN22" s="6" t="e">
        <f>ENR!CN22/ENR!CN$29</f>
        <v>#DIV/0!</v>
      </c>
      <c r="CO22" s="6" t="e">
        <f>ENR!CO22/ENR!CO$29</f>
        <v>#DIV/0!</v>
      </c>
      <c r="CP22" s="6" t="e">
        <f>ENR!CP22/ENR!CP$29</f>
        <v>#DIV/0!</v>
      </c>
      <c r="CQ22" s="6" t="e">
        <f>ENR!CQ22/ENR!CQ$29</f>
        <v>#DIV/0!</v>
      </c>
      <c r="CR22" s="6">
        <f>ENR!CR22/ENR!CR$29</f>
        <v>0.22998878078998486</v>
      </c>
    </row>
    <row r="23" spans="2:96" x14ac:dyDescent="0.25">
      <c r="B23" s="10" t="s">
        <v>78</v>
      </c>
      <c r="C23" s="10" t="s">
        <v>109</v>
      </c>
      <c r="D23" s="2">
        <v>18</v>
      </c>
      <c r="E23" s="6" t="e">
        <f>ENR!E23/ENR!E$29</f>
        <v>#DIV/0!</v>
      </c>
      <c r="F23" s="6" t="e">
        <f>ENR!F23/ENR!F$29</f>
        <v>#DIV/0!</v>
      </c>
      <c r="G23" s="6" t="e">
        <f>ENR!G23/ENR!G$29</f>
        <v>#DIV/0!</v>
      </c>
      <c r="H23" s="6" t="e">
        <f>ENR!H23/ENR!H$29</f>
        <v>#DIV/0!</v>
      </c>
      <c r="I23" s="6" t="e">
        <f>ENR!I23/ENR!I$29</f>
        <v>#DIV/0!</v>
      </c>
      <c r="J23" s="6" t="e">
        <f>ENR!J23/ENR!J$29</f>
        <v>#DIV/0!</v>
      </c>
      <c r="K23" s="6" t="e">
        <f>ENR!K23/ENR!K$29</f>
        <v>#DIV/0!</v>
      </c>
      <c r="L23" s="6">
        <f>ENR!L23/ENR!L$29</f>
        <v>0</v>
      </c>
      <c r="M23" s="6" t="e">
        <f>ENR!M23/ENR!M$29</f>
        <v>#DIV/0!</v>
      </c>
      <c r="N23" s="6" t="e">
        <f>ENR!N23/ENR!N$29</f>
        <v>#DIV/0!</v>
      </c>
      <c r="O23" s="6" t="e">
        <f>ENR!O23/ENR!O$29</f>
        <v>#DIV/0!</v>
      </c>
      <c r="P23" s="6">
        <f>ENR!P23/ENR!P$29</f>
        <v>0</v>
      </c>
      <c r="Q23" s="6">
        <f>ENR!Q23/ENR!Q$29</f>
        <v>0</v>
      </c>
      <c r="R23" s="6">
        <f>ENR!R23/ENR!R$29</f>
        <v>0</v>
      </c>
      <c r="S23" s="6">
        <f>ENR!S23/ENR!S$29</f>
        <v>0</v>
      </c>
      <c r="T23" s="6">
        <f>ENR!T23/ENR!T$29</f>
        <v>2.7768132331401851E-2</v>
      </c>
      <c r="U23" s="6">
        <f>ENR!U23/ENR!U$29</f>
        <v>0</v>
      </c>
      <c r="V23" s="6">
        <f>ENR!V23/ENR!V$29</f>
        <v>0</v>
      </c>
      <c r="W23" s="6">
        <f>ENR!W23/ENR!W$29</f>
        <v>0</v>
      </c>
      <c r="X23" s="6">
        <f>ENR!X23/ENR!X$29</f>
        <v>0</v>
      </c>
      <c r="Y23" s="6">
        <f>ENR!Y23/ENR!Y$29</f>
        <v>0</v>
      </c>
      <c r="Z23" s="6">
        <f>ENR!Z23/ENR!Z$29</f>
        <v>0</v>
      </c>
      <c r="AA23" s="6">
        <f>ENR!AA23/ENR!AA$29</f>
        <v>0</v>
      </c>
      <c r="AB23" s="6">
        <f>ENR!AB23/ENR!AB$29</f>
        <v>0</v>
      </c>
      <c r="AC23" s="6">
        <f>ENR!AC23/ENR!AC$29</f>
        <v>0</v>
      </c>
      <c r="AD23" s="6">
        <f>ENR!AD23/ENR!AD$29</f>
        <v>0</v>
      </c>
      <c r="AE23" s="6">
        <f>ENR!AE23/ENR!AE$29</f>
        <v>0</v>
      </c>
      <c r="AF23" s="6">
        <f>ENR!AF23/ENR!AF$29</f>
        <v>0</v>
      </c>
      <c r="AG23" s="6">
        <f>ENR!AG23/ENR!AG$29</f>
        <v>0</v>
      </c>
      <c r="AH23" s="6" t="e">
        <f>ENR!AH23/ENR!AH$29</f>
        <v>#DIV/0!</v>
      </c>
      <c r="AI23" s="6" t="e">
        <f>ENR!AI23/ENR!AI$29</f>
        <v>#DIV/0!</v>
      </c>
      <c r="AJ23" s="6" t="e">
        <f>ENR!AJ23/ENR!AJ$29</f>
        <v>#DIV/0!</v>
      </c>
      <c r="AK23" s="6" t="e">
        <f>ENR!AK23/ENR!AK$29</f>
        <v>#DIV/0!</v>
      </c>
      <c r="AL23" s="11">
        <f>ENR!AL23/ENR!AL$29</f>
        <v>0</v>
      </c>
      <c r="AM23" s="11">
        <f>ENR!AM23/ENR!AM$29</f>
        <v>0.11804045765546935</v>
      </c>
      <c r="AN23" s="11">
        <f>ENR!AN23/ENR!AN$29</f>
        <v>0</v>
      </c>
      <c r="AO23" s="11">
        <f>ENR!AO23/ENR!AO$29</f>
        <v>0</v>
      </c>
      <c r="AP23" s="11">
        <f>ENR!AP23/ENR!AP$29</f>
        <v>0</v>
      </c>
      <c r="AQ23" s="11">
        <f>ENR!AQ23/ENR!AQ$29</f>
        <v>0</v>
      </c>
      <c r="AR23" s="11">
        <f>ENR!AR23/ENR!AR$29</f>
        <v>0</v>
      </c>
      <c r="AS23" s="11">
        <f>ENR!AS23/ENR!AS$29</f>
        <v>0</v>
      </c>
      <c r="AT23" s="11">
        <f>ENR!AT23/ENR!AT$29</f>
        <v>0</v>
      </c>
      <c r="AU23" s="11">
        <f>ENR!AU23/ENR!AU$29</f>
        <v>0</v>
      </c>
      <c r="AV23" s="11">
        <f>ENR!AV23/ENR!AV$29</f>
        <v>0</v>
      </c>
      <c r="AW23" s="11">
        <f>ENR!AW23/ENR!AW$29</f>
        <v>2.6850934517996985E-2</v>
      </c>
      <c r="AX23" s="11">
        <f>ENR!AX23/ENR!AX$29</f>
        <v>0</v>
      </c>
      <c r="AY23" s="11">
        <f>ENR!AY23/ENR!AY$29</f>
        <v>0</v>
      </c>
      <c r="AZ23" s="11">
        <f>ENR!AZ23/ENR!AZ$29</f>
        <v>0</v>
      </c>
      <c r="BA23" s="11">
        <f>ENR!BA23/ENR!BA$29</f>
        <v>4.9891588920890437E-4</v>
      </c>
      <c r="BB23" s="11">
        <f>ENR!BB23/ENR!BB$29</f>
        <v>0</v>
      </c>
      <c r="BC23" s="11">
        <f>ENR!BC23/ENR!BC$29</f>
        <v>0</v>
      </c>
      <c r="BD23" s="11">
        <f>ENR!BD23/ENR!BD$29</f>
        <v>0</v>
      </c>
      <c r="BE23" s="11">
        <f>ENR!BE23/ENR!BE$29</f>
        <v>0</v>
      </c>
      <c r="BF23" s="11">
        <f>ENR!BF23/ENR!BF$29</f>
        <v>6.4591377887431717E-2</v>
      </c>
      <c r="BG23" s="11">
        <f>ENR!BG23/ENR!BG$29</f>
        <v>0</v>
      </c>
      <c r="BH23" s="11">
        <f>ENR!BH23/ENR!BH$29</f>
        <v>0</v>
      </c>
      <c r="BI23" s="11">
        <f>ENR!BI23/ENR!BI$29</f>
        <v>0</v>
      </c>
      <c r="BJ23" s="11">
        <f>ENR!BJ23/ENR!BJ$29</f>
        <v>0</v>
      </c>
      <c r="BK23" s="11">
        <f>ENR!BK23/ENR!BK$29</f>
        <v>0</v>
      </c>
      <c r="BL23" s="11">
        <f>ENR!BL23/ENR!BL$29</f>
        <v>0</v>
      </c>
      <c r="BM23" s="11">
        <f>ENR!BM23/ENR!BM$29</f>
        <v>0</v>
      </c>
      <c r="BN23" s="6">
        <f>ENR!BN23/ENR!BN$29</f>
        <v>0</v>
      </c>
      <c r="BO23" s="6" t="e">
        <f>ENR!BO23/ENR!BO$29</f>
        <v>#DIV/0!</v>
      </c>
      <c r="BP23" s="6" t="e">
        <f>ENR!BP23/ENR!BP$29</f>
        <v>#DIV/0!</v>
      </c>
      <c r="BQ23" s="6" t="e">
        <f>ENR!BQ23/ENR!BQ$29</f>
        <v>#DIV/0!</v>
      </c>
      <c r="BR23" s="6" t="e">
        <f>ENR!BR23/ENR!BR$29</f>
        <v>#DIV/0!</v>
      </c>
      <c r="BS23" s="6" t="e">
        <f>ENR!BS23/ENR!BS$29</f>
        <v>#DIV/0!</v>
      </c>
      <c r="BT23" s="6" t="e">
        <f>ENR!BT23/ENR!BT$29</f>
        <v>#DIV/0!</v>
      </c>
      <c r="BU23" s="6" t="e">
        <f>ENR!BU23/ENR!BU$29</f>
        <v>#DIV/0!</v>
      </c>
      <c r="BV23" s="6" t="e">
        <f>ENR!BV23/ENR!BV$29</f>
        <v>#DIV/0!</v>
      </c>
      <c r="BW23" s="6" t="e">
        <f>ENR!BW23/ENR!BW$29</f>
        <v>#DIV/0!</v>
      </c>
      <c r="BX23" s="6" t="e">
        <f>ENR!BX23/ENR!BX$29</f>
        <v>#DIV/0!</v>
      </c>
      <c r="BY23" s="6" t="e">
        <f>ENR!BY23/ENR!BY$29</f>
        <v>#DIV/0!</v>
      </c>
      <c r="BZ23" s="6" t="e">
        <f>ENR!BZ23/ENR!BZ$29</f>
        <v>#DIV/0!</v>
      </c>
      <c r="CA23" s="6" t="e">
        <f>ENR!CA23/ENR!CA$29</f>
        <v>#DIV/0!</v>
      </c>
      <c r="CB23" s="6" t="e">
        <f>ENR!CB23/ENR!CB$29</f>
        <v>#DIV/0!</v>
      </c>
      <c r="CC23" s="6" t="e">
        <f>ENR!CC23/ENR!CC$29</f>
        <v>#DIV/0!</v>
      </c>
      <c r="CD23" s="6" t="e">
        <f>ENR!CD23/ENR!CD$29</f>
        <v>#DIV/0!</v>
      </c>
      <c r="CE23" s="6" t="e">
        <f>ENR!CE23/ENR!CE$29</f>
        <v>#DIV/0!</v>
      </c>
      <c r="CF23" s="6" t="e">
        <f>ENR!CF23/ENR!CF$29</f>
        <v>#DIV/0!</v>
      </c>
      <c r="CG23" s="6" t="e">
        <f>ENR!CG23/ENR!CG$29</f>
        <v>#DIV/0!</v>
      </c>
      <c r="CH23" s="6" t="e">
        <f>ENR!CH23/ENR!CH$29</f>
        <v>#DIV/0!</v>
      </c>
      <c r="CI23" s="6" t="e">
        <f>ENR!CI23/ENR!CI$29</f>
        <v>#DIV/0!</v>
      </c>
      <c r="CJ23" s="6" t="e">
        <f>ENR!CJ23/ENR!CJ$29</f>
        <v>#DIV/0!</v>
      </c>
      <c r="CK23" s="6" t="e">
        <f>ENR!CK23/ENR!CK$29</f>
        <v>#DIV/0!</v>
      </c>
      <c r="CL23" s="6" t="e">
        <f>ENR!CL23/ENR!CL$29</f>
        <v>#DIV/0!</v>
      </c>
      <c r="CM23" s="6" t="e">
        <f>ENR!CM23/ENR!CM$29</f>
        <v>#DIV/0!</v>
      </c>
      <c r="CN23" s="6" t="e">
        <f>ENR!CN23/ENR!CN$29</f>
        <v>#DIV/0!</v>
      </c>
      <c r="CO23" s="6" t="e">
        <f>ENR!CO23/ENR!CO$29</f>
        <v>#DIV/0!</v>
      </c>
      <c r="CP23" s="6" t="e">
        <f>ENR!CP23/ENR!CP$29</f>
        <v>#DIV/0!</v>
      </c>
      <c r="CQ23" s="6" t="e">
        <f>ENR!CQ23/ENR!CQ$29</f>
        <v>#DIV/0!</v>
      </c>
      <c r="CR23" s="6">
        <f>ENR!CR23/ENR!CR$29</f>
        <v>0</v>
      </c>
    </row>
    <row r="24" spans="2:96" x14ac:dyDescent="0.25">
      <c r="B24" s="10" t="s">
        <v>79</v>
      </c>
      <c r="C24" s="10" t="s">
        <v>110</v>
      </c>
      <c r="D24" s="2">
        <v>19</v>
      </c>
      <c r="E24" s="6" t="e">
        <f>ENR!E24/ENR!E$29</f>
        <v>#DIV/0!</v>
      </c>
      <c r="F24" s="6" t="e">
        <f>ENR!F24/ENR!F$29</f>
        <v>#DIV/0!</v>
      </c>
      <c r="G24" s="6" t="e">
        <f>ENR!G24/ENR!G$29</f>
        <v>#DIV/0!</v>
      </c>
      <c r="H24" s="6" t="e">
        <f>ENR!H24/ENR!H$29</f>
        <v>#DIV/0!</v>
      </c>
      <c r="I24" s="6" t="e">
        <f>ENR!I24/ENR!I$29</f>
        <v>#DIV/0!</v>
      </c>
      <c r="J24" s="6" t="e">
        <f>ENR!J24/ENR!J$29</f>
        <v>#DIV/0!</v>
      </c>
      <c r="K24" s="6" t="e">
        <f>ENR!K24/ENR!K$29</f>
        <v>#DIV/0!</v>
      </c>
      <c r="L24" s="6">
        <f>ENR!L24/ENR!L$29</f>
        <v>0</v>
      </c>
      <c r="M24" s="6" t="e">
        <f>ENR!M24/ENR!M$29</f>
        <v>#DIV/0!</v>
      </c>
      <c r="N24" s="6" t="e">
        <f>ENR!N24/ENR!N$29</f>
        <v>#DIV/0!</v>
      </c>
      <c r="O24" s="6" t="e">
        <f>ENR!O24/ENR!O$29</f>
        <v>#DIV/0!</v>
      </c>
      <c r="P24" s="6">
        <f>ENR!P24/ENR!P$29</f>
        <v>0</v>
      </c>
      <c r="Q24" s="6">
        <f>ENR!Q24/ENR!Q$29</f>
        <v>0</v>
      </c>
      <c r="R24" s="6">
        <f>ENR!R24/ENR!R$29</f>
        <v>0</v>
      </c>
      <c r="S24" s="6">
        <f>ENR!S24/ENR!S$29</f>
        <v>0</v>
      </c>
      <c r="T24" s="6">
        <f>ENR!T24/ENR!T$29</f>
        <v>0</v>
      </c>
      <c r="U24" s="6">
        <f>ENR!U24/ENR!U$29</f>
        <v>1</v>
      </c>
      <c r="V24" s="6">
        <f>ENR!V24/ENR!V$29</f>
        <v>0</v>
      </c>
      <c r="W24" s="6">
        <f>ENR!W24/ENR!W$29</f>
        <v>0</v>
      </c>
      <c r="X24" s="6">
        <f>ENR!X24/ENR!X$29</f>
        <v>0</v>
      </c>
      <c r="Y24" s="6">
        <f>ENR!Y24/ENR!Y$29</f>
        <v>0</v>
      </c>
      <c r="Z24" s="6">
        <f>ENR!Z24/ENR!Z$29</f>
        <v>0</v>
      </c>
      <c r="AA24" s="6">
        <f>ENR!AA24/ENR!AA$29</f>
        <v>0</v>
      </c>
      <c r="AB24" s="6">
        <f>ENR!AB24/ENR!AB$29</f>
        <v>0</v>
      </c>
      <c r="AC24" s="6">
        <f>ENR!AC24/ENR!AC$29</f>
        <v>0</v>
      </c>
      <c r="AD24" s="6">
        <f>ENR!AD24/ENR!AD$29</f>
        <v>0</v>
      </c>
      <c r="AE24" s="6">
        <f>ENR!AE24/ENR!AE$29</f>
        <v>0</v>
      </c>
      <c r="AF24" s="6">
        <f>ENR!AF24/ENR!AF$29</f>
        <v>0</v>
      </c>
      <c r="AG24" s="6">
        <f>ENR!AG24/ENR!AG$29</f>
        <v>0</v>
      </c>
      <c r="AH24" s="6" t="e">
        <f>ENR!AH24/ENR!AH$29</f>
        <v>#DIV/0!</v>
      </c>
      <c r="AI24" s="6" t="e">
        <f>ENR!AI24/ENR!AI$29</f>
        <v>#DIV/0!</v>
      </c>
      <c r="AJ24" s="6" t="e">
        <f>ENR!AJ24/ENR!AJ$29</f>
        <v>#DIV/0!</v>
      </c>
      <c r="AK24" s="6" t="e">
        <f>ENR!AK24/ENR!AK$29</f>
        <v>#DIV/0!</v>
      </c>
      <c r="AL24" s="11">
        <f>ENR!AL24/ENR!AL$29</f>
        <v>1.2849305349211389E-2</v>
      </c>
      <c r="AM24" s="11">
        <f>ENR!AM24/ENR!AM$29</f>
        <v>0</v>
      </c>
      <c r="AN24" s="11">
        <f>ENR!AN24/ENR!AN$29</f>
        <v>0</v>
      </c>
      <c r="AO24" s="11">
        <f>ENR!AO24/ENR!AO$29</f>
        <v>0</v>
      </c>
      <c r="AP24" s="11">
        <f>ENR!AP24/ENR!AP$29</f>
        <v>0</v>
      </c>
      <c r="AQ24" s="11">
        <f>ENR!AQ24/ENR!AQ$29</f>
        <v>7.282028999776714E-3</v>
      </c>
      <c r="AR24" s="11">
        <f>ENR!AR24/ENR!AR$29</f>
        <v>5.2321105874251119E-3</v>
      </c>
      <c r="AS24" s="11">
        <f>ENR!AS24/ENR!AS$29</f>
        <v>3.0401188837878572E-3</v>
      </c>
      <c r="AT24" s="11">
        <f>ENR!AT24/ENR!AT$29</f>
        <v>0</v>
      </c>
      <c r="AU24" s="11">
        <f>ENR!AU24/ENR!AU$29</f>
        <v>0</v>
      </c>
      <c r="AV24" s="11">
        <f>ENR!AV24/ENR!AV$29</f>
        <v>0</v>
      </c>
      <c r="AW24" s="11">
        <f>ENR!AW24/ENR!AW$29</f>
        <v>0</v>
      </c>
      <c r="AX24" s="11">
        <f>ENR!AX24/ENR!AX$29</f>
        <v>0</v>
      </c>
      <c r="AY24" s="11">
        <f>ENR!AY24/ENR!AY$29</f>
        <v>0</v>
      </c>
      <c r="AZ24" s="11">
        <f>ENR!AZ24/ENR!AZ$29</f>
        <v>0</v>
      </c>
      <c r="BA24" s="11">
        <f>ENR!BA24/ENR!BA$29</f>
        <v>0.10037452463614417</v>
      </c>
      <c r="BB24" s="11">
        <f>ENR!BB24/ENR!BB$29</f>
        <v>2.1831480251811464E-3</v>
      </c>
      <c r="BC24" s="11">
        <f>ENR!BC24/ENR!BC$29</f>
        <v>2.3834781528425286E-3</v>
      </c>
      <c r="BD24" s="11">
        <f>ENR!BD24/ENR!BD$29</f>
        <v>0</v>
      </c>
      <c r="BE24" s="11">
        <f>ENR!BE24/ENR!BE$29</f>
        <v>0</v>
      </c>
      <c r="BF24" s="11">
        <f>ENR!BF24/ENR!BF$29</f>
        <v>0</v>
      </c>
      <c r="BG24" s="11">
        <f>ENR!BG24/ENR!BG$29</f>
        <v>0</v>
      </c>
      <c r="BH24" s="11">
        <f>ENR!BH24/ENR!BH$29</f>
        <v>0</v>
      </c>
      <c r="BI24" s="11">
        <f>ENR!BI24/ENR!BI$29</f>
        <v>0</v>
      </c>
      <c r="BJ24" s="11">
        <f>ENR!BJ24/ENR!BJ$29</f>
        <v>0</v>
      </c>
      <c r="BK24" s="11">
        <f>ENR!BK24/ENR!BK$29</f>
        <v>0.2300369840623481</v>
      </c>
      <c r="BL24" s="11">
        <f>ENR!BL24/ENR!BL$29</f>
        <v>0</v>
      </c>
      <c r="BM24" s="11">
        <f>ENR!BM24/ENR!BM$29</f>
        <v>3.5419005991698793E-6</v>
      </c>
      <c r="BN24" s="6">
        <f>ENR!BN24/ENR!BN$29</f>
        <v>0</v>
      </c>
      <c r="BO24" s="6" t="e">
        <f>ENR!BO24/ENR!BO$29</f>
        <v>#DIV/0!</v>
      </c>
      <c r="BP24" s="6" t="e">
        <f>ENR!BP24/ENR!BP$29</f>
        <v>#DIV/0!</v>
      </c>
      <c r="BQ24" s="6" t="e">
        <f>ENR!BQ24/ENR!BQ$29</f>
        <v>#DIV/0!</v>
      </c>
      <c r="BR24" s="6" t="e">
        <f>ENR!BR24/ENR!BR$29</f>
        <v>#DIV/0!</v>
      </c>
      <c r="BS24" s="6" t="e">
        <f>ENR!BS24/ENR!BS$29</f>
        <v>#DIV/0!</v>
      </c>
      <c r="BT24" s="6" t="e">
        <f>ENR!BT24/ENR!BT$29</f>
        <v>#DIV/0!</v>
      </c>
      <c r="BU24" s="6" t="e">
        <f>ENR!BU24/ENR!BU$29</f>
        <v>#DIV/0!</v>
      </c>
      <c r="BV24" s="6" t="e">
        <f>ENR!BV24/ENR!BV$29</f>
        <v>#DIV/0!</v>
      </c>
      <c r="BW24" s="6" t="e">
        <f>ENR!BW24/ENR!BW$29</f>
        <v>#DIV/0!</v>
      </c>
      <c r="BX24" s="6" t="e">
        <f>ENR!BX24/ENR!BX$29</f>
        <v>#DIV/0!</v>
      </c>
      <c r="BY24" s="6" t="e">
        <f>ENR!BY24/ENR!BY$29</f>
        <v>#DIV/0!</v>
      </c>
      <c r="BZ24" s="6" t="e">
        <f>ENR!BZ24/ENR!BZ$29</f>
        <v>#DIV/0!</v>
      </c>
      <c r="CA24" s="6" t="e">
        <f>ENR!CA24/ENR!CA$29</f>
        <v>#DIV/0!</v>
      </c>
      <c r="CB24" s="6" t="e">
        <f>ENR!CB24/ENR!CB$29</f>
        <v>#DIV/0!</v>
      </c>
      <c r="CC24" s="6" t="e">
        <f>ENR!CC24/ENR!CC$29</f>
        <v>#DIV/0!</v>
      </c>
      <c r="CD24" s="6" t="e">
        <f>ENR!CD24/ENR!CD$29</f>
        <v>#DIV/0!</v>
      </c>
      <c r="CE24" s="6" t="e">
        <f>ENR!CE24/ENR!CE$29</f>
        <v>#DIV/0!</v>
      </c>
      <c r="CF24" s="6" t="e">
        <f>ENR!CF24/ENR!CF$29</f>
        <v>#DIV/0!</v>
      </c>
      <c r="CG24" s="6" t="e">
        <f>ENR!CG24/ENR!CG$29</f>
        <v>#DIV/0!</v>
      </c>
      <c r="CH24" s="6" t="e">
        <f>ENR!CH24/ENR!CH$29</f>
        <v>#DIV/0!</v>
      </c>
      <c r="CI24" s="6" t="e">
        <f>ENR!CI24/ENR!CI$29</f>
        <v>#DIV/0!</v>
      </c>
      <c r="CJ24" s="6" t="e">
        <f>ENR!CJ24/ENR!CJ$29</f>
        <v>#DIV/0!</v>
      </c>
      <c r="CK24" s="6" t="e">
        <f>ENR!CK24/ENR!CK$29</f>
        <v>#DIV/0!</v>
      </c>
      <c r="CL24" s="6" t="e">
        <f>ENR!CL24/ENR!CL$29</f>
        <v>#DIV/0!</v>
      </c>
      <c r="CM24" s="6" t="e">
        <f>ENR!CM24/ENR!CM$29</f>
        <v>#DIV/0!</v>
      </c>
      <c r="CN24" s="6" t="e">
        <f>ENR!CN24/ENR!CN$29</f>
        <v>#DIV/0!</v>
      </c>
      <c r="CO24" s="6" t="e">
        <f>ENR!CO24/ENR!CO$29</f>
        <v>#DIV/0!</v>
      </c>
      <c r="CP24" s="6" t="e">
        <f>ENR!CP24/ENR!CP$29</f>
        <v>#DIV/0!</v>
      </c>
      <c r="CQ24" s="6" t="e">
        <f>ENR!CQ24/ENR!CQ$29</f>
        <v>#DIV/0!</v>
      </c>
      <c r="CR24" s="6">
        <f>ENR!CR24/ENR!CR$29</f>
        <v>0</v>
      </c>
    </row>
    <row r="25" spans="2:96" x14ac:dyDescent="0.25">
      <c r="B25" s="10" t="s">
        <v>80</v>
      </c>
      <c r="C25" s="10" t="s">
        <v>111</v>
      </c>
      <c r="D25" s="2">
        <v>20</v>
      </c>
      <c r="E25" s="6" t="e">
        <f>ENR!E25/ENR!E$29</f>
        <v>#DIV/0!</v>
      </c>
      <c r="F25" s="6" t="e">
        <f>ENR!F25/ENR!F$29</f>
        <v>#DIV/0!</v>
      </c>
      <c r="G25" s="6" t="e">
        <f>ENR!G25/ENR!G$29</f>
        <v>#DIV/0!</v>
      </c>
      <c r="H25" s="6" t="e">
        <f>ENR!H25/ENR!H$29</f>
        <v>#DIV/0!</v>
      </c>
      <c r="I25" s="6" t="e">
        <f>ENR!I25/ENR!I$29</f>
        <v>#DIV/0!</v>
      </c>
      <c r="J25" s="6" t="e">
        <f>ENR!J25/ENR!J$29</f>
        <v>#DIV/0!</v>
      </c>
      <c r="K25" s="6" t="e">
        <f>ENR!K25/ENR!K$29</f>
        <v>#DIV/0!</v>
      </c>
      <c r="L25" s="6">
        <f>ENR!L25/ENR!L$29</f>
        <v>0</v>
      </c>
      <c r="M25" s="6" t="e">
        <f>ENR!M25/ENR!M$29</f>
        <v>#DIV/0!</v>
      </c>
      <c r="N25" s="6" t="e">
        <f>ENR!N25/ENR!N$29</f>
        <v>#DIV/0!</v>
      </c>
      <c r="O25" s="6" t="e">
        <f>ENR!O25/ENR!O$29</f>
        <v>#DIV/0!</v>
      </c>
      <c r="P25" s="6">
        <f>ENR!P25/ENR!P$29</f>
        <v>0</v>
      </c>
      <c r="Q25" s="6">
        <f>ENR!Q25/ENR!Q$29</f>
        <v>0</v>
      </c>
      <c r="R25" s="6">
        <f>ENR!R25/ENR!R$29</f>
        <v>0</v>
      </c>
      <c r="S25" s="6">
        <f>ENR!S25/ENR!S$29</f>
        <v>0</v>
      </c>
      <c r="T25" s="6">
        <f>ENR!T25/ENR!T$29</f>
        <v>0</v>
      </c>
      <c r="U25" s="6">
        <f>ENR!U25/ENR!U$29</f>
        <v>0</v>
      </c>
      <c r="V25" s="6">
        <f>ENR!V25/ENR!V$29</f>
        <v>1</v>
      </c>
      <c r="W25" s="6">
        <f>ENR!W25/ENR!W$29</f>
        <v>0</v>
      </c>
      <c r="X25" s="6">
        <f>ENR!X25/ENR!X$29</f>
        <v>0</v>
      </c>
      <c r="Y25" s="6">
        <f>ENR!Y25/ENR!Y$29</f>
        <v>0</v>
      </c>
      <c r="Z25" s="6">
        <f>ENR!Z25/ENR!Z$29</f>
        <v>0</v>
      </c>
      <c r="AA25" s="6">
        <f>ENR!AA25/ENR!AA$29</f>
        <v>0</v>
      </c>
      <c r="AB25" s="6">
        <f>ENR!AB25/ENR!AB$29</f>
        <v>0</v>
      </c>
      <c r="AC25" s="6">
        <f>ENR!AC25/ENR!AC$29</f>
        <v>0</v>
      </c>
      <c r="AD25" s="6">
        <f>ENR!AD25/ENR!AD$29</f>
        <v>0</v>
      </c>
      <c r="AE25" s="6">
        <f>ENR!AE25/ENR!AE$29</f>
        <v>0</v>
      </c>
      <c r="AF25" s="6">
        <f>ENR!AF25/ENR!AF$29</f>
        <v>0</v>
      </c>
      <c r="AG25" s="6">
        <f>ENR!AG25/ENR!AG$29</f>
        <v>6.1734205081583494E-4</v>
      </c>
      <c r="AH25" s="6" t="e">
        <f>ENR!AH25/ENR!AH$29</f>
        <v>#DIV/0!</v>
      </c>
      <c r="AI25" s="6" t="e">
        <f>ENR!AI25/ENR!AI$29</f>
        <v>#DIV/0!</v>
      </c>
      <c r="AJ25" s="6" t="e">
        <f>ENR!AJ25/ENR!AJ$29</f>
        <v>#DIV/0!</v>
      </c>
      <c r="AK25" s="6" t="e">
        <f>ENR!AK25/ENR!AK$29</f>
        <v>#DIV/0!</v>
      </c>
      <c r="AL25" s="11">
        <f>ENR!AL25/ENR!AL$29</f>
        <v>1.5016031000547395E-2</v>
      </c>
      <c r="AM25" s="11">
        <f>ENR!AM25/ENR!AM$29</f>
        <v>0</v>
      </c>
      <c r="AN25" s="11">
        <f>ENR!AN25/ENR!AN$29</f>
        <v>0</v>
      </c>
      <c r="AO25" s="11">
        <f>ENR!AO25/ENR!AO$29</f>
        <v>0</v>
      </c>
      <c r="AP25" s="11">
        <f>ENR!AP25/ENR!AP$29</f>
        <v>0</v>
      </c>
      <c r="AQ25" s="11">
        <f>ENR!AQ25/ENR!AQ$29</f>
        <v>0</v>
      </c>
      <c r="AR25" s="11">
        <f>ENR!AR25/ENR!AR$29</f>
        <v>0</v>
      </c>
      <c r="AS25" s="11">
        <f>ENR!AS25/ENR!AS$29</f>
        <v>1.1298228516077393E-2</v>
      </c>
      <c r="AT25" s="11">
        <f>ENR!AT25/ENR!AT$29</f>
        <v>0</v>
      </c>
      <c r="AU25" s="11">
        <f>ENR!AU25/ENR!AU$29</f>
        <v>0</v>
      </c>
      <c r="AV25" s="11">
        <f>ENR!AV25/ENR!AV$29</f>
        <v>0</v>
      </c>
      <c r="AW25" s="11">
        <f>ENR!AW25/ENR!AW$29</f>
        <v>0</v>
      </c>
      <c r="AX25" s="11">
        <f>ENR!AX25/ENR!AX$29</f>
        <v>0</v>
      </c>
      <c r="AY25" s="11">
        <f>ENR!AY25/ENR!AY$29</f>
        <v>0</v>
      </c>
      <c r="AZ25" s="11">
        <f>ENR!AZ25/ENR!AZ$29</f>
        <v>0</v>
      </c>
      <c r="BA25" s="11">
        <f>ENR!BA25/ENR!BA$29</f>
        <v>0</v>
      </c>
      <c r="BB25" s="11">
        <f>ENR!BB25/ENR!BB$29</f>
        <v>0.12289901301672812</v>
      </c>
      <c r="BC25" s="11">
        <f>ENR!BC25/ENR!BC$29</f>
        <v>8.987829163127814E-2</v>
      </c>
      <c r="BD25" s="11">
        <f>ENR!BD25/ENR!BD$29</f>
        <v>0</v>
      </c>
      <c r="BE25" s="11">
        <f>ENR!BE25/ENR!BE$29</f>
        <v>0</v>
      </c>
      <c r="BF25" s="11">
        <f>ENR!BF25/ENR!BF$29</f>
        <v>0</v>
      </c>
      <c r="BG25" s="11">
        <f>ENR!BG25/ENR!BG$29</f>
        <v>0</v>
      </c>
      <c r="BH25" s="11">
        <f>ENR!BH25/ENR!BH$29</f>
        <v>0</v>
      </c>
      <c r="BI25" s="11">
        <f>ENR!BI25/ENR!BI$29</f>
        <v>0</v>
      </c>
      <c r="BJ25" s="11">
        <f>ENR!BJ25/ENR!BJ$29</f>
        <v>0</v>
      </c>
      <c r="BK25" s="11">
        <f>ENR!BK25/ENR!BK$29</f>
        <v>0.71608971860704784</v>
      </c>
      <c r="BL25" s="11">
        <f>ENR!BL25/ENR!BL$29</f>
        <v>0</v>
      </c>
      <c r="BM25" s="11">
        <f>ENR!BM25/ENR!BM$29</f>
        <v>1.9168387482273508E-2</v>
      </c>
      <c r="BN25" s="6">
        <f>ENR!BN25/ENR!BN$29</f>
        <v>2.2636337670514848E-2</v>
      </c>
      <c r="BO25" s="6" t="e">
        <f>ENR!BO25/ENR!BO$29</f>
        <v>#DIV/0!</v>
      </c>
      <c r="BP25" s="6" t="e">
        <f>ENR!BP25/ENR!BP$29</f>
        <v>#DIV/0!</v>
      </c>
      <c r="BQ25" s="6" t="e">
        <f>ENR!BQ25/ENR!BQ$29</f>
        <v>#DIV/0!</v>
      </c>
      <c r="BR25" s="6" t="e">
        <f>ENR!BR25/ENR!BR$29</f>
        <v>#DIV/0!</v>
      </c>
      <c r="BS25" s="6" t="e">
        <f>ENR!BS25/ENR!BS$29</f>
        <v>#DIV/0!</v>
      </c>
      <c r="BT25" s="6" t="e">
        <f>ENR!BT25/ENR!BT$29</f>
        <v>#DIV/0!</v>
      </c>
      <c r="BU25" s="6" t="e">
        <f>ENR!BU25/ENR!BU$29</f>
        <v>#DIV/0!</v>
      </c>
      <c r="BV25" s="6" t="e">
        <f>ENR!BV25/ENR!BV$29</f>
        <v>#DIV/0!</v>
      </c>
      <c r="BW25" s="6" t="e">
        <f>ENR!BW25/ENR!BW$29</f>
        <v>#DIV/0!</v>
      </c>
      <c r="BX25" s="6" t="e">
        <f>ENR!BX25/ENR!BX$29</f>
        <v>#DIV/0!</v>
      </c>
      <c r="BY25" s="6" t="e">
        <f>ENR!BY25/ENR!BY$29</f>
        <v>#DIV/0!</v>
      </c>
      <c r="BZ25" s="6" t="e">
        <f>ENR!BZ25/ENR!BZ$29</f>
        <v>#DIV/0!</v>
      </c>
      <c r="CA25" s="6" t="e">
        <f>ENR!CA25/ENR!CA$29</f>
        <v>#DIV/0!</v>
      </c>
      <c r="CB25" s="6" t="e">
        <f>ENR!CB25/ENR!CB$29</f>
        <v>#DIV/0!</v>
      </c>
      <c r="CC25" s="6" t="e">
        <f>ENR!CC25/ENR!CC$29</f>
        <v>#DIV/0!</v>
      </c>
      <c r="CD25" s="6" t="e">
        <f>ENR!CD25/ENR!CD$29</f>
        <v>#DIV/0!</v>
      </c>
      <c r="CE25" s="6" t="e">
        <f>ENR!CE25/ENR!CE$29</f>
        <v>#DIV/0!</v>
      </c>
      <c r="CF25" s="6" t="e">
        <f>ENR!CF25/ENR!CF$29</f>
        <v>#DIV/0!</v>
      </c>
      <c r="CG25" s="6" t="e">
        <f>ENR!CG25/ENR!CG$29</f>
        <v>#DIV/0!</v>
      </c>
      <c r="CH25" s="6" t="e">
        <f>ENR!CH25/ENR!CH$29</f>
        <v>#DIV/0!</v>
      </c>
      <c r="CI25" s="6" t="e">
        <f>ENR!CI25/ENR!CI$29</f>
        <v>#DIV/0!</v>
      </c>
      <c r="CJ25" s="6" t="e">
        <f>ENR!CJ25/ENR!CJ$29</f>
        <v>#DIV/0!</v>
      </c>
      <c r="CK25" s="6" t="e">
        <f>ENR!CK25/ENR!CK$29</f>
        <v>#DIV/0!</v>
      </c>
      <c r="CL25" s="6" t="e">
        <f>ENR!CL25/ENR!CL$29</f>
        <v>#DIV/0!</v>
      </c>
      <c r="CM25" s="6" t="e">
        <f>ENR!CM25/ENR!CM$29</f>
        <v>#DIV/0!</v>
      </c>
      <c r="CN25" s="6" t="e">
        <f>ENR!CN25/ENR!CN$29</f>
        <v>#DIV/0!</v>
      </c>
      <c r="CO25" s="6" t="e">
        <f>ENR!CO25/ENR!CO$29</f>
        <v>#DIV/0!</v>
      </c>
      <c r="CP25" s="6" t="e">
        <f>ENR!CP25/ENR!CP$29</f>
        <v>#DIV/0!</v>
      </c>
      <c r="CQ25" s="6" t="e">
        <f>ENR!CQ25/ENR!CQ$29</f>
        <v>#DIV/0!</v>
      </c>
      <c r="CR25" s="6">
        <f>ENR!CR25/ENR!CR$29</f>
        <v>1.7011359091969594E-3</v>
      </c>
    </row>
    <row r="26" spans="2:96" x14ac:dyDescent="0.25">
      <c r="B26" s="10" t="s">
        <v>81</v>
      </c>
      <c r="C26" s="10" t="s">
        <v>112</v>
      </c>
      <c r="D26" s="2">
        <v>21</v>
      </c>
      <c r="E26" s="6" t="e">
        <f>ENR!E26/ENR!E$29</f>
        <v>#DIV/0!</v>
      </c>
      <c r="F26" s="6" t="e">
        <f>ENR!F26/ENR!F$29</f>
        <v>#DIV/0!</v>
      </c>
      <c r="G26" s="6" t="e">
        <f>ENR!G26/ENR!G$29</f>
        <v>#DIV/0!</v>
      </c>
      <c r="H26" s="6" t="e">
        <f>ENR!H26/ENR!H$29</f>
        <v>#DIV/0!</v>
      </c>
      <c r="I26" s="6" t="e">
        <f>ENR!I26/ENR!I$29</f>
        <v>#DIV/0!</v>
      </c>
      <c r="J26" s="6" t="e">
        <f>ENR!J26/ENR!J$29</f>
        <v>#DIV/0!</v>
      </c>
      <c r="K26" s="6" t="e">
        <f>ENR!K26/ENR!K$29</f>
        <v>#DIV/0!</v>
      </c>
      <c r="L26" s="6">
        <f>ENR!L26/ENR!L$29</f>
        <v>0</v>
      </c>
      <c r="M26" s="6" t="e">
        <f>ENR!M26/ENR!M$29</f>
        <v>#DIV/0!</v>
      </c>
      <c r="N26" s="6" t="e">
        <f>ENR!N26/ENR!N$29</f>
        <v>#DIV/0!</v>
      </c>
      <c r="O26" s="6" t="e">
        <f>ENR!O26/ENR!O$29</f>
        <v>#DIV/0!</v>
      </c>
      <c r="P26" s="6">
        <f>ENR!P26/ENR!P$29</f>
        <v>0</v>
      </c>
      <c r="Q26" s="6">
        <f>ENR!Q26/ENR!Q$29</f>
        <v>0</v>
      </c>
      <c r="R26" s="6">
        <f>ENR!R26/ENR!R$29</f>
        <v>0</v>
      </c>
      <c r="S26" s="6">
        <f>ENR!S26/ENR!S$29</f>
        <v>0</v>
      </c>
      <c r="T26" s="6">
        <f>ENR!T26/ENR!T$29</f>
        <v>0</v>
      </c>
      <c r="U26" s="6">
        <f>ENR!U26/ENR!U$29</f>
        <v>0</v>
      </c>
      <c r="V26" s="6">
        <f>ENR!V26/ENR!V$29</f>
        <v>0</v>
      </c>
      <c r="W26" s="6">
        <f>ENR!W26/ENR!W$29</f>
        <v>1</v>
      </c>
      <c r="X26" s="6">
        <f>ENR!X26/ENR!X$29</f>
        <v>0</v>
      </c>
      <c r="Y26" s="6">
        <f>ENR!Y26/ENR!Y$29</f>
        <v>0</v>
      </c>
      <c r="Z26" s="6">
        <f>ENR!Z26/ENR!Z$29</f>
        <v>0</v>
      </c>
      <c r="AA26" s="6">
        <f>ENR!AA26/ENR!AA$29</f>
        <v>0</v>
      </c>
      <c r="AB26" s="6">
        <f>ENR!AB26/ENR!AB$29</f>
        <v>0</v>
      </c>
      <c r="AC26" s="6">
        <f>ENR!AC26/ENR!AC$29</f>
        <v>0</v>
      </c>
      <c r="AD26" s="6">
        <f>ENR!AD26/ENR!AD$29</f>
        <v>0</v>
      </c>
      <c r="AE26" s="6">
        <f>ENR!AE26/ENR!AE$29</f>
        <v>0</v>
      </c>
      <c r="AF26" s="6">
        <f>ENR!AF26/ENR!AF$29</f>
        <v>0</v>
      </c>
      <c r="AG26" s="6">
        <f>ENR!AG26/ENR!AG$29</f>
        <v>7.4227503388391816E-4</v>
      </c>
      <c r="AH26" s="6" t="e">
        <f>ENR!AH26/ENR!AH$29</f>
        <v>#DIV/0!</v>
      </c>
      <c r="AI26" s="6" t="e">
        <f>ENR!AI26/ENR!AI$29</f>
        <v>#DIV/0!</v>
      </c>
      <c r="AJ26" s="6" t="e">
        <f>ENR!AJ26/ENR!AJ$29</f>
        <v>#DIV/0!</v>
      </c>
      <c r="AK26" s="6" t="e">
        <f>ENR!AK26/ENR!AK$29</f>
        <v>#DIV/0!</v>
      </c>
      <c r="AL26" s="11">
        <f>ENR!AL26/ENR!AL$29</f>
        <v>2.4530933631278081E-3</v>
      </c>
      <c r="AM26" s="11">
        <f>ENR!AM26/ENR!AM$29</f>
        <v>0</v>
      </c>
      <c r="AN26" s="11">
        <f>ENR!AN26/ENR!AN$29</f>
        <v>0</v>
      </c>
      <c r="AO26" s="11">
        <f>ENR!AO26/ENR!AO$29</f>
        <v>0</v>
      </c>
      <c r="AP26" s="11">
        <f>ENR!AP26/ENR!AP$29</f>
        <v>0</v>
      </c>
      <c r="AQ26" s="11">
        <f>ENR!AQ26/ENR!AQ$29</f>
        <v>0</v>
      </c>
      <c r="AR26" s="11">
        <f>ENR!AR26/ENR!AR$29</f>
        <v>0</v>
      </c>
      <c r="AS26" s="11">
        <f>ENR!AS26/ENR!AS$29</f>
        <v>9.4639427510246048E-4</v>
      </c>
      <c r="AT26" s="11">
        <f>ENR!AT26/ENR!AT$29</f>
        <v>2.7679265534822341E-2</v>
      </c>
      <c r="AU26" s="11">
        <f>ENR!AU26/ENR!AU$29</f>
        <v>0</v>
      </c>
      <c r="AV26" s="11">
        <f>ENR!AV26/ENR!AV$29</f>
        <v>0</v>
      </c>
      <c r="AW26" s="11">
        <f>ENR!AW26/ENR!AW$29</f>
        <v>0</v>
      </c>
      <c r="AX26" s="11">
        <f>ENR!AX26/ENR!AX$29</f>
        <v>0</v>
      </c>
      <c r="AY26" s="11">
        <f>ENR!AY26/ENR!AY$29</f>
        <v>0</v>
      </c>
      <c r="AZ26" s="11">
        <f>ENR!AZ26/ENR!AZ$29</f>
        <v>0</v>
      </c>
      <c r="BA26" s="11">
        <f>ENR!BA26/ENR!BA$29</f>
        <v>0</v>
      </c>
      <c r="BB26" s="11">
        <f>ENR!BB26/ENR!BB$29</f>
        <v>0</v>
      </c>
      <c r="BC26" s="11">
        <f>ENR!BC26/ENR!BC$29</f>
        <v>4.550358388250911E-4</v>
      </c>
      <c r="BD26" s="11">
        <f>ENR!BD26/ENR!BD$29</f>
        <v>0.99507314206510289</v>
      </c>
      <c r="BE26" s="11">
        <f>ENR!BE26/ENR!BE$29</f>
        <v>0</v>
      </c>
      <c r="BF26" s="11">
        <f>ENR!BF26/ENR!BF$29</f>
        <v>0</v>
      </c>
      <c r="BG26" s="11">
        <f>ENR!BG26/ENR!BG$29</f>
        <v>0</v>
      </c>
      <c r="BH26" s="11">
        <f>ENR!BH26/ENR!BH$29</f>
        <v>0</v>
      </c>
      <c r="BI26" s="11">
        <f>ENR!BI26/ENR!BI$29</f>
        <v>0</v>
      </c>
      <c r="BJ26" s="11">
        <f>ENR!BJ26/ENR!BJ$29</f>
        <v>0</v>
      </c>
      <c r="BK26" s="11">
        <f>ENR!BK26/ENR!BK$29</f>
        <v>0</v>
      </c>
      <c r="BL26" s="11">
        <f>ENR!BL26/ENR!BL$29</f>
        <v>0</v>
      </c>
      <c r="BM26" s="11">
        <f>ENR!BM26/ENR!BM$29</f>
        <v>0</v>
      </c>
      <c r="BN26" s="6">
        <f>ENR!BN26/ENR!BN$29</f>
        <v>1.3851859353481294E-2</v>
      </c>
      <c r="BO26" s="6" t="e">
        <f>ENR!BO26/ENR!BO$29</f>
        <v>#DIV/0!</v>
      </c>
      <c r="BP26" s="6" t="e">
        <f>ENR!BP26/ENR!BP$29</f>
        <v>#DIV/0!</v>
      </c>
      <c r="BQ26" s="6" t="e">
        <f>ENR!BQ26/ENR!BQ$29</f>
        <v>#DIV/0!</v>
      </c>
      <c r="BR26" s="6" t="e">
        <f>ENR!BR26/ENR!BR$29</f>
        <v>#DIV/0!</v>
      </c>
      <c r="BS26" s="6" t="e">
        <f>ENR!BS26/ENR!BS$29</f>
        <v>#DIV/0!</v>
      </c>
      <c r="BT26" s="6" t="e">
        <f>ENR!BT26/ENR!BT$29</f>
        <v>#DIV/0!</v>
      </c>
      <c r="BU26" s="6" t="e">
        <f>ENR!BU26/ENR!BU$29</f>
        <v>#DIV/0!</v>
      </c>
      <c r="BV26" s="6" t="e">
        <f>ENR!BV26/ENR!BV$29</f>
        <v>#DIV/0!</v>
      </c>
      <c r="BW26" s="6" t="e">
        <f>ENR!BW26/ENR!BW$29</f>
        <v>#DIV/0!</v>
      </c>
      <c r="BX26" s="6" t="e">
        <f>ENR!BX26/ENR!BX$29</f>
        <v>#DIV/0!</v>
      </c>
      <c r="BY26" s="6" t="e">
        <f>ENR!BY26/ENR!BY$29</f>
        <v>#DIV/0!</v>
      </c>
      <c r="BZ26" s="6" t="e">
        <f>ENR!BZ26/ENR!BZ$29</f>
        <v>#DIV/0!</v>
      </c>
      <c r="CA26" s="6" t="e">
        <f>ENR!CA26/ENR!CA$29</f>
        <v>#DIV/0!</v>
      </c>
      <c r="CB26" s="6" t="e">
        <f>ENR!CB26/ENR!CB$29</f>
        <v>#DIV/0!</v>
      </c>
      <c r="CC26" s="6" t="e">
        <f>ENR!CC26/ENR!CC$29</f>
        <v>#DIV/0!</v>
      </c>
      <c r="CD26" s="6" t="e">
        <f>ENR!CD26/ENR!CD$29</f>
        <v>#DIV/0!</v>
      </c>
      <c r="CE26" s="6" t="e">
        <f>ENR!CE26/ENR!CE$29</f>
        <v>#DIV/0!</v>
      </c>
      <c r="CF26" s="6" t="e">
        <f>ENR!CF26/ENR!CF$29</f>
        <v>#DIV/0!</v>
      </c>
      <c r="CG26" s="6" t="e">
        <f>ENR!CG26/ENR!CG$29</f>
        <v>#DIV/0!</v>
      </c>
      <c r="CH26" s="6" t="e">
        <f>ENR!CH26/ENR!CH$29</f>
        <v>#DIV/0!</v>
      </c>
      <c r="CI26" s="6" t="e">
        <f>ENR!CI26/ENR!CI$29</f>
        <v>#DIV/0!</v>
      </c>
      <c r="CJ26" s="6" t="e">
        <f>ENR!CJ26/ENR!CJ$29</f>
        <v>#DIV/0!</v>
      </c>
      <c r="CK26" s="6" t="e">
        <f>ENR!CK26/ENR!CK$29</f>
        <v>#DIV/0!</v>
      </c>
      <c r="CL26" s="6" t="e">
        <f>ENR!CL26/ENR!CL$29</f>
        <v>#DIV/0!</v>
      </c>
      <c r="CM26" s="6" t="e">
        <f>ENR!CM26/ENR!CM$29</f>
        <v>#DIV/0!</v>
      </c>
      <c r="CN26" s="6" t="e">
        <f>ENR!CN26/ENR!CN$29</f>
        <v>#DIV/0!</v>
      </c>
      <c r="CO26" s="6" t="e">
        <f>ENR!CO26/ENR!CO$29</f>
        <v>#DIV/0!</v>
      </c>
      <c r="CP26" s="6" t="e">
        <f>ENR!CP26/ENR!CP$29</f>
        <v>#DIV/0!</v>
      </c>
      <c r="CQ26" s="6" t="e">
        <f>ENR!CQ26/ENR!CQ$29</f>
        <v>#DIV/0!</v>
      </c>
      <c r="CR26" s="6">
        <f>ENR!CR26/ENR!CR$29</f>
        <v>7.3985079431850616E-3</v>
      </c>
    </row>
    <row r="27" spans="2:96" x14ac:dyDescent="0.25">
      <c r="B27" s="10" t="s">
        <v>27</v>
      </c>
      <c r="C27" s="10" t="s">
        <v>113</v>
      </c>
      <c r="D27" s="2">
        <v>22</v>
      </c>
      <c r="E27" s="6" t="e">
        <f>ENR!E27/ENR!E$29</f>
        <v>#DIV/0!</v>
      </c>
      <c r="F27" s="6" t="e">
        <f>ENR!F27/ENR!F$29</f>
        <v>#DIV/0!</v>
      </c>
      <c r="G27" s="6" t="e">
        <f>ENR!G27/ENR!G$29</f>
        <v>#DIV/0!</v>
      </c>
      <c r="H27" s="6" t="e">
        <f>ENR!H27/ENR!H$29</f>
        <v>#DIV/0!</v>
      </c>
      <c r="I27" s="6" t="e">
        <f>ENR!I27/ENR!I$29</f>
        <v>#DIV/0!</v>
      </c>
      <c r="J27" s="6" t="e">
        <f>ENR!J27/ENR!J$29</f>
        <v>#DIV/0!</v>
      </c>
      <c r="K27" s="6" t="e">
        <f>ENR!K27/ENR!K$29</f>
        <v>#DIV/0!</v>
      </c>
      <c r="L27" s="6">
        <f>ENR!L27/ENR!L$29</f>
        <v>0</v>
      </c>
      <c r="M27" s="6" t="e">
        <f>ENR!M27/ENR!M$29</f>
        <v>#DIV/0!</v>
      </c>
      <c r="N27" s="6" t="e">
        <f>ENR!N27/ENR!N$29</f>
        <v>#DIV/0!</v>
      </c>
      <c r="O27" s="6" t="e">
        <f>ENR!O27/ENR!O$29</f>
        <v>#DIV/0!</v>
      </c>
      <c r="P27" s="6">
        <f>ENR!P27/ENR!P$29</f>
        <v>0</v>
      </c>
      <c r="Q27" s="6">
        <f>ENR!Q27/ENR!Q$29</f>
        <v>0</v>
      </c>
      <c r="R27" s="6">
        <f>ENR!R27/ENR!R$29</f>
        <v>0</v>
      </c>
      <c r="S27" s="6">
        <f>ENR!S27/ENR!S$29</f>
        <v>0</v>
      </c>
      <c r="T27" s="6">
        <f>ENR!T27/ENR!T$29</f>
        <v>0</v>
      </c>
      <c r="U27" s="6">
        <f>ENR!U27/ENR!U$29</f>
        <v>0</v>
      </c>
      <c r="V27" s="6">
        <f>ENR!V27/ENR!V$29</f>
        <v>0</v>
      </c>
      <c r="W27" s="6">
        <f>ENR!W27/ENR!W$29</f>
        <v>0</v>
      </c>
      <c r="X27" s="6">
        <f>ENR!X27/ENR!X$29</f>
        <v>0</v>
      </c>
      <c r="Y27" s="6">
        <f>ENR!Y27/ENR!Y$29</f>
        <v>0</v>
      </c>
      <c r="Z27" s="6">
        <f>ENR!Z27/ENR!Z$29</f>
        <v>0</v>
      </c>
      <c r="AA27" s="6">
        <f>ENR!AA27/ENR!AA$29</f>
        <v>0</v>
      </c>
      <c r="AB27" s="6">
        <f>ENR!AB27/ENR!AB$29</f>
        <v>0</v>
      </c>
      <c r="AC27" s="6">
        <f>ENR!AC27/ENR!AC$29</f>
        <v>0</v>
      </c>
      <c r="AD27" s="6">
        <f>ENR!AD27/ENR!AD$29</f>
        <v>0</v>
      </c>
      <c r="AE27" s="6">
        <f>ENR!AE27/ENR!AE$29</f>
        <v>0</v>
      </c>
      <c r="AF27" s="6">
        <f>ENR!AF27/ENR!AF$29</f>
        <v>1</v>
      </c>
      <c r="AG27" s="6">
        <f>ENR!AG27/ENR!AG$29</f>
        <v>0</v>
      </c>
      <c r="AH27" s="6" t="e">
        <f>ENR!AH27/ENR!AH$29</f>
        <v>#DIV/0!</v>
      </c>
      <c r="AI27" s="6" t="e">
        <f>ENR!AI27/ENR!AI$29</f>
        <v>#DIV/0!</v>
      </c>
      <c r="AJ27" s="6" t="e">
        <f>ENR!AJ27/ENR!AJ$29</f>
        <v>#DIV/0!</v>
      </c>
      <c r="AK27" s="6" t="e">
        <f>ENR!AK27/ENR!AK$29</f>
        <v>#DIV/0!</v>
      </c>
      <c r="AL27" s="11">
        <f>ENR!AL27/ENR!AL$29</f>
        <v>3.2861735844672536E-2</v>
      </c>
      <c r="AM27" s="11">
        <f>ENR!AM27/ENR!AM$29</f>
        <v>7.4912580544272732E-3</v>
      </c>
      <c r="AN27" s="11">
        <f>ENR!AN27/ENR!AN$29</f>
        <v>0.10982054017303115</v>
      </c>
      <c r="AO27" s="11">
        <f>ENR!AO27/ENR!AO$29</f>
        <v>0.10982054017303119</v>
      </c>
      <c r="AP27" s="11">
        <f>ENR!AP27/ENR!AP$29</f>
        <v>9.6084633875205062E-5</v>
      </c>
      <c r="AQ27" s="11">
        <f>ENR!AQ27/ENR!AQ$29</f>
        <v>6.5344758878004658E-2</v>
      </c>
      <c r="AR27" s="11">
        <f>ENR!AR27/ENR!AR$29</f>
        <v>4.9236162223967636E-2</v>
      </c>
      <c r="AS27" s="11">
        <f>ENR!AS27/ENR!AS$29</f>
        <v>2.1002150755511519E-2</v>
      </c>
      <c r="AT27" s="11">
        <f>ENR!AT27/ENR!AT$29</f>
        <v>0</v>
      </c>
      <c r="AU27" s="11">
        <f>ENR!AU27/ENR!AU$29</f>
        <v>0</v>
      </c>
      <c r="AV27" s="11">
        <f>ENR!AV27/ENR!AV$29</f>
        <v>0</v>
      </c>
      <c r="AW27" s="11">
        <f>ENR!AW27/ENR!AW$29</f>
        <v>1.149938773028941E-5</v>
      </c>
      <c r="AX27" s="11">
        <f>ENR!AX27/ENR!AX$29</f>
        <v>1.6885452467261682E-3</v>
      </c>
      <c r="AY27" s="11">
        <f>ENR!AY27/ENR!AY$29</f>
        <v>1.5408752611387145E-2</v>
      </c>
      <c r="AZ27" s="11">
        <f>ENR!AZ27/ENR!AZ$29</f>
        <v>1.4960974596524832E-3</v>
      </c>
      <c r="BA27" s="11">
        <f>ENR!BA27/ENR!BA$29</f>
        <v>1.7574478349109287E-3</v>
      </c>
      <c r="BB27" s="11">
        <f>ENR!BB27/ENR!BB$29</f>
        <v>1.9221358563101421E-3</v>
      </c>
      <c r="BC27" s="11">
        <f>ENR!BC27/ENR!BC$29</f>
        <v>0.10967134863821121</v>
      </c>
      <c r="BD27" s="11">
        <f>ENR!BD27/ENR!BD$29</f>
        <v>8.2605673324870712E-4</v>
      </c>
      <c r="BE27" s="11">
        <f>ENR!BE27/ENR!BE$29</f>
        <v>0</v>
      </c>
      <c r="BF27" s="11">
        <f>ENR!BF27/ENR!BF$29</f>
        <v>0</v>
      </c>
      <c r="BG27" s="11">
        <f>ENR!BG27/ENR!BG$29</f>
        <v>0</v>
      </c>
      <c r="BH27" s="11">
        <f>ENR!BH27/ENR!BH$29</f>
        <v>0</v>
      </c>
      <c r="BI27" s="11">
        <f>ENR!BI27/ENR!BI$29</f>
        <v>0</v>
      </c>
      <c r="BJ27" s="11">
        <f>ENR!BJ27/ENR!BJ$29</f>
        <v>0</v>
      </c>
      <c r="BK27" s="11">
        <f>ENR!BK27/ENR!BK$29</f>
        <v>0</v>
      </c>
      <c r="BL27" s="11">
        <f>ENR!BL27/ENR!BL$29</f>
        <v>1.7176572615049891E-4</v>
      </c>
      <c r="BM27" s="11">
        <f>ENR!BM27/ENR!BM$29</f>
        <v>0.51865009975805065</v>
      </c>
      <c r="BN27" s="6">
        <f>ENR!BN27/ENR!BN$29</f>
        <v>1.9844494011573871E-2</v>
      </c>
      <c r="BO27" s="6" t="e">
        <f>ENR!BO27/ENR!BO$29</f>
        <v>#DIV/0!</v>
      </c>
      <c r="BP27" s="6" t="e">
        <f>ENR!BP27/ENR!BP$29</f>
        <v>#DIV/0!</v>
      </c>
      <c r="BQ27" s="6" t="e">
        <f>ENR!BQ27/ENR!BQ$29</f>
        <v>#DIV/0!</v>
      </c>
      <c r="BR27" s="6" t="e">
        <f>ENR!BR27/ENR!BR$29</f>
        <v>#DIV/0!</v>
      </c>
      <c r="BS27" s="6" t="e">
        <f>ENR!BS27/ENR!BS$29</f>
        <v>#DIV/0!</v>
      </c>
      <c r="BT27" s="6" t="e">
        <f>ENR!BT27/ENR!BT$29</f>
        <v>#DIV/0!</v>
      </c>
      <c r="BU27" s="6" t="e">
        <f>ENR!BU27/ENR!BU$29</f>
        <v>#DIV/0!</v>
      </c>
      <c r="BV27" s="6" t="e">
        <f>ENR!BV27/ENR!BV$29</f>
        <v>#DIV/0!</v>
      </c>
      <c r="BW27" s="6" t="e">
        <f>ENR!BW27/ENR!BW$29</f>
        <v>#DIV/0!</v>
      </c>
      <c r="BX27" s="6" t="e">
        <f>ENR!BX27/ENR!BX$29</f>
        <v>#DIV/0!</v>
      </c>
      <c r="BY27" s="6" t="e">
        <f>ENR!BY27/ENR!BY$29</f>
        <v>#DIV/0!</v>
      </c>
      <c r="BZ27" s="6" t="e">
        <f>ENR!BZ27/ENR!BZ$29</f>
        <v>#DIV/0!</v>
      </c>
      <c r="CA27" s="6" t="e">
        <f>ENR!CA27/ENR!CA$29</f>
        <v>#DIV/0!</v>
      </c>
      <c r="CB27" s="6" t="e">
        <f>ENR!CB27/ENR!CB$29</f>
        <v>#DIV/0!</v>
      </c>
      <c r="CC27" s="6" t="e">
        <f>ENR!CC27/ENR!CC$29</f>
        <v>#DIV/0!</v>
      </c>
      <c r="CD27" s="6" t="e">
        <f>ENR!CD27/ENR!CD$29</f>
        <v>#DIV/0!</v>
      </c>
      <c r="CE27" s="6" t="e">
        <f>ENR!CE27/ENR!CE$29</f>
        <v>#DIV/0!</v>
      </c>
      <c r="CF27" s="6" t="e">
        <f>ENR!CF27/ENR!CF$29</f>
        <v>#DIV/0!</v>
      </c>
      <c r="CG27" s="6" t="e">
        <f>ENR!CG27/ENR!CG$29</f>
        <v>#DIV/0!</v>
      </c>
      <c r="CH27" s="6" t="e">
        <f>ENR!CH27/ENR!CH$29</f>
        <v>#DIV/0!</v>
      </c>
      <c r="CI27" s="6" t="e">
        <f>ENR!CI27/ENR!CI$29</f>
        <v>#DIV/0!</v>
      </c>
      <c r="CJ27" s="6" t="e">
        <f>ENR!CJ27/ENR!CJ$29</f>
        <v>#DIV/0!</v>
      </c>
      <c r="CK27" s="6" t="e">
        <f>ENR!CK27/ENR!CK$29</f>
        <v>#DIV/0!</v>
      </c>
      <c r="CL27" s="6" t="e">
        <f>ENR!CL27/ENR!CL$29</f>
        <v>#DIV/0!</v>
      </c>
      <c r="CM27" s="6" t="e">
        <f>ENR!CM27/ENR!CM$29</f>
        <v>#DIV/0!</v>
      </c>
      <c r="CN27" s="6" t="e">
        <f>ENR!CN27/ENR!CN$29</f>
        <v>#DIV/0!</v>
      </c>
      <c r="CO27" s="6" t="e">
        <f>ENR!CO27/ENR!CO$29</f>
        <v>#DIV/0!</v>
      </c>
      <c r="CP27" s="6" t="e">
        <f>ENR!CP27/ENR!CP$29</f>
        <v>#DIV/0!</v>
      </c>
      <c r="CQ27" s="6" t="e">
        <f>ENR!CQ27/ENR!CQ$29</f>
        <v>#DIV/0!</v>
      </c>
      <c r="CR27" s="6">
        <f>ENR!CR27/ENR!CR$29</f>
        <v>0</v>
      </c>
    </row>
    <row r="28" spans="2:96" x14ac:dyDescent="0.25">
      <c r="B28" s="10" t="s">
        <v>82</v>
      </c>
      <c r="C28" s="10" t="s">
        <v>114</v>
      </c>
      <c r="D28" s="2">
        <v>23</v>
      </c>
      <c r="E28" s="6" t="e">
        <f>ENR!E28/ENR!E$29</f>
        <v>#DIV/0!</v>
      </c>
      <c r="F28" s="6" t="e">
        <f>ENR!F28/ENR!F$29</f>
        <v>#DIV/0!</v>
      </c>
      <c r="G28" s="6" t="e">
        <f>ENR!G28/ENR!G$29</f>
        <v>#DIV/0!</v>
      </c>
      <c r="H28" s="6" t="e">
        <f>ENR!H28/ENR!H$29</f>
        <v>#DIV/0!</v>
      </c>
      <c r="I28" s="6" t="e">
        <f>ENR!I28/ENR!I$29</f>
        <v>#DIV/0!</v>
      </c>
      <c r="J28" s="6" t="e">
        <f>ENR!J28/ENR!J$29</f>
        <v>#DIV/0!</v>
      </c>
      <c r="K28" s="6" t="e">
        <f>ENR!K28/ENR!K$29</f>
        <v>#DIV/0!</v>
      </c>
      <c r="L28" s="6">
        <f>ENR!L28/ENR!L$29</f>
        <v>1</v>
      </c>
      <c r="M28" s="6" t="e">
        <f>ENR!M28/ENR!M$29</f>
        <v>#DIV/0!</v>
      </c>
      <c r="N28" s="6" t="e">
        <f>ENR!N28/ENR!N$29</f>
        <v>#DIV/0!</v>
      </c>
      <c r="O28" s="6" t="e">
        <f>ENR!O28/ENR!O$29</f>
        <v>#DIV/0!</v>
      </c>
      <c r="P28" s="6">
        <f>ENR!P28/ENR!P$29</f>
        <v>0</v>
      </c>
      <c r="Q28" s="6">
        <f>ENR!Q28/ENR!Q$29</f>
        <v>0</v>
      </c>
      <c r="R28" s="6">
        <f>ENR!R28/ENR!R$29</f>
        <v>0</v>
      </c>
      <c r="S28" s="6">
        <f>ENR!S28/ENR!S$29</f>
        <v>0</v>
      </c>
      <c r="T28" s="6">
        <f>ENR!T28/ENR!T$29</f>
        <v>0</v>
      </c>
      <c r="U28" s="6">
        <f>ENR!U28/ENR!U$29</f>
        <v>0</v>
      </c>
      <c r="V28" s="6">
        <f>ENR!V28/ENR!V$29</f>
        <v>0</v>
      </c>
      <c r="W28" s="6">
        <f>ENR!W28/ENR!W$29</f>
        <v>0</v>
      </c>
      <c r="X28" s="6">
        <f>ENR!X28/ENR!X$29</f>
        <v>0</v>
      </c>
      <c r="Y28" s="6">
        <f>ENR!Y28/ENR!Y$29</f>
        <v>0</v>
      </c>
      <c r="Z28" s="6">
        <f>ENR!Z28/ENR!Z$29</f>
        <v>0</v>
      </c>
      <c r="AA28" s="6">
        <f>ENR!AA28/ENR!AA$29</f>
        <v>0</v>
      </c>
      <c r="AB28" s="6">
        <f>ENR!AB28/ENR!AB$29</f>
        <v>0</v>
      </c>
      <c r="AC28" s="6">
        <f>ENR!AC28/ENR!AC$29</f>
        <v>0</v>
      </c>
      <c r="AD28" s="6">
        <f>ENR!AD28/ENR!AD$29</f>
        <v>0</v>
      </c>
      <c r="AE28" s="6">
        <f>ENR!AE28/ENR!AE$29</f>
        <v>0</v>
      </c>
      <c r="AF28" s="6">
        <f>ENR!AF28/ENR!AF$29</f>
        <v>0</v>
      </c>
      <c r="AG28" s="6">
        <f>ENR!AG28/ENR!AG$29</f>
        <v>1.9954539033295673E-3</v>
      </c>
      <c r="AH28" s="6" t="e">
        <f>ENR!AH28/ENR!AH$29</f>
        <v>#DIV/0!</v>
      </c>
      <c r="AI28" s="6" t="e">
        <f>ENR!AI28/ENR!AI$29</f>
        <v>#DIV/0!</v>
      </c>
      <c r="AJ28" s="6" t="e">
        <f>ENR!AJ28/ENR!AJ$29</f>
        <v>#DIV/0!</v>
      </c>
      <c r="AK28" s="6" t="e">
        <f>ENR!AK28/ENR!AK$29</f>
        <v>#DIV/0!</v>
      </c>
      <c r="AL28" s="11">
        <f>ENR!AL28/ENR!AL$29</f>
        <v>0</v>
      </c>
      <c r="AM28" s="11">
        <f>ENR!AM28/ENR!AM$29</f>
        <v>0</v>
      </c>
      <c r="AN28" s="11">
        <f>ENR!AN28/ENR!AN$29</f>
        <v>0</v>
      </c>
      <c r="AO28" s="11">
        <f>ENR!AO28/ENR!AO$29</f>
        <v>0</v>
      </c>
      <c r="AP28" s="11">
        <f>ENR!AP28/ENR!AP$29</f>
        <v>0</v>
      </c>
      <c r="AQ28" s="11">
        <f>ENR!AQ28/ENR!AQ$29</f>
        <v>0</v>
      </c>
      <c r="AR28" s="11">
        <f>ENR!AR28/ENR!AR$29</f>
        <v>0</v>
      </c>
      <c r="AS28" s="11">
        <f>ENR!AS28/ENR!AS$29</f>
        <v>6.5620678954810673E-3</v>
      </c>
      <c r="AT28" s="11">
        <f>ENR!AT28/ENR!AT$29</f>
        <v>0</v>
      </c>
      <c r="AU28" s="11">
        <f>ENR!AU28/ENR!AU$29</f>
        <v>0</v>
      </c>
      <c r="AV28" s="11">
        <f>ENR!AV28/ENR!AV$29</f>
        <v>0</v>
      </c>
      <c r="AW28" s="11">
        <f>ENR!AW28/ENR!AW$29</f>
        <v>0</v>
      </c>
      <c r="AX28" s="11">
        <f>ENR!AX28/ENR!AX$29</f>
        <v>0</v>
      </c>
      <c r="AY28" s="11">
        <f>ENR!AY28/ENR!AY$29</f>
        <v>0</v>
      </c>
      <c r="AZ28" s="11">
        <f>ENR!AZ28/ENR!AZ$29</f>
        <v>0</v>
      </c>
      <c r="BA28" s="11">
        <f>ENR!BA28/ENR!BA$29</f>
        <v>0</v>
      </c>
      <c r="BB28" s="11">
        <f>ENR!BB28/ENR!BB$29</f>
        <v>0</v>
      </c>
      <c r="BC28" s="11">
        <f>ENR!BC28/ENR!BC$29</f>
        <v>0</v>
      </c>
      <c r="BD28" s="11">
        <f>ENR!BD28/ENR!BD$29</f>
        <v>0</v>
      </c>
      <c r="BE28" s="11">
        <f>ENR!BE28/ENR!BE$29</f>
        <v>6.5246525031439212E-2</v>
      </c>
      <c r="BF28" s="11">
        <f>ENR!BF28/ENR!BF$29</f>
        <v>9.7723071751776122E-2</v>
      </c>
      <c r="BG28" s="11">
        <f>ENR!BG28/ENR!BG$29</f>
        <v>3.2563257730313239E-2</v>
      </c>
      <c r="BH28" s="11">
        <f>ENR!BH28/ENR!BH$29</f>
        <v>0.10902853136469151</v>
      </c>
      <c r="BI28" s="11">
        <f>ENR!BI28/ENR!BI$29</f>
        <v>0.10902853136469147</v>
      </c>
      <c r="BJ28" s="11">
        <f>ENR!BJ28/ENR!BJ$29</f>
        <v>0.10902853136469144</v>
      </c>
      <c r="BK28" s="11">
        <f>ENR!BK28/ENR!BK$29</f>
        <v>5.3834100434597396E-2</v>
      </c>
      <c r="BL28" s="11">
        <f>ENR!BL28/ENR!BL$29</f>
        <v>0.99910078365795763</v>
      </c>
      <c r="BM28" s="11">
        <f>ENR!BM28/ENR!BM$29</f>
        <v>0</v>
      </c>
      <c r="BN28" s="6">
        <f>ENR!BN28/ENR!BN$29</f>
        <v>0</v>
      </c>
      <c r="BO28" s="6" t="e">
        <f>ENR!BO28/ENR!BO$29</f>
        <v>#DIV/0!</v>
      </c>
      <c r="BP28" s="6" t="e">
        <f>ENR!BP28/ENR!BP$29</f>
        <v>#DIV/0!</v>
      </c>
      <c r="BQ28" s="6" t="e">
        <f>ENR!BQ28/ENR!BQ$29</f>
        <v>#DIV/0!</v>
      </c>
      <c r="BR28" s="6" t="e">
        <f>ENR!BR28/ENR!BR$29</f>
        <v>#DIV/0!</v>
      </c>
      <c r="BS28" s="6" t="e">
        <f>ENR!BS28/ENR!BS$29</f>
        <v>#DIV/0!</v>
      </c>
      <c r="BT28" s="6" t="e">
        <f>ENR!BT28/ENR!BT$29</f>
        <v>#DIV/0!</v>
      </c>
      <c r="BU28" s="6" t="e">
        <f>ENR!BU28/ENR!BU$29</f>
        <v>#DIV/0!</v>
      </c>
      <c r="BV28" s="6" t="e">
        <f>ENR!BV28/ENR!BV$29</f>
        <v>#DIV/0!</v>
      </c>
      <c r="BW28" s="6" t="e">
        <f>ENR!BW28/ENR!BW$29</f>
        <v>#DIV/0!</v>
      </c>
      <c r="BX28" s="6" t="e">
        <f>ENR!BX28/ENR!BX$29</f>
        <v>#DIV/0!</v>
      </c>
      <c r="BY28" s="6" t="e">
        <f>ENR!BY28/ENR!BY$29</f>
        <v>#DIV/0!</v>
      </c>
      <c r="BZ28" s="6" t="e">
        <f>ENR!BZ28/ENR!BZ$29</f>
        <v>#DIV/0!</v>
      </c>
      <c r="CA28" s="6" t="e">
        <f>ENR!CA28/ENR!CA$29</f>
        <v>#DIV/0!</v>
      </c>
      <c r="CB28" s="6" t="e">
        <f>ENR!CB28/ENR!CB$29</f>
        <v>#DIV/0!</v>
      </c>
      <c r="CC28" s="6" t="e">
        <f>ENR!CC28/ENR!CC$29</f>
        <v>#DIV/0!</v>
      </c>
      <c r="CD28" s="6" t="e">
        <f>ENR!CD28/ENR!CD$29</f>
        <v>#DIV/0!</v>
      </c>
      <c r="CE28" s="6" t="e">
        <f>ENR!CE28/ENR!CE$29</f>
        <v>#DIV/0!</v>
      </c>
      <c r="CF28" s="6" t="e">
        <f>ENR!CF28/ENR!CF$29</f>
        <v>#DIV/0!</v>
      </c>
      <c r="CG28" s="6" t="e">
        <f>ENR!CG28/ENR!CG$29</f>
        <v>#DIV/0!</v>
      </c>
      <c r="CH28" s="6" t="e">
        <f>ENR!CH28/ENR!CH$29</f>
        <v>#DIV/0!</v>
      </c>
      <c r="CI28" s="6" t="e">
        <f>ENR!CI28/ENR!CI$29</f>
        <v>#DIV/0!</v>
      </c>
      <c r="CJ28" s="6" t="e">
        <f>ENR!CJ28/ENR!CJ$29</f>
        <v>#DIV/0!</v>
      </c>
      <c r="CK28" s="6" t="e">
        <f>ENR!CK28/ENR!CK$29</f>
        <v>#DIV/0!</v>
      </c>
      <c r="CL28" s="6" t="e">
        <f>ENR!CL28/ENR!CL$29</f>
        <v>#DIV/0!</v>
      </c>
      <c r="CM28" s="6" t="e">
        <f>ENR!CM28/ENR!CM$29</f>
        <v>#DIV/0!</v>
      </c>
      <c r="CN28" s="6" t="e">
        <f>ENR!CN28/ENR!CN$29</f>
        <v>#DIV/0!</v>
      </c>
      <c r="CO28" s="6" t="e">
        <f>ENR!CO28/ENR!CO$29</f>
        <v>#DIV/0!</v>
      </c>
      <c r="CP28" s="6" t="e">
        <f>ENR!CP28/ENR!CP$29</f>
        <v>#DIV/0!</v>
      </c>
      <c r="CQ28" s="6" t="e">
        <f>ENR!CQ28/ENR!CQ$29</f>
        <v>#DIV/0!</v>
      </c>
      <c r="CR28" s="6">
        <f>ENR!CR28/ENR!CR$29</f>
        <v>3.6320683765453187E-4</v>
      </c>
    </row>
  </sheetData>
  <mergeCells count="6">
    <mergeCell ref="E2:AF2"/>
    <mergeCell ref="AH2:AI2"/>
    <mergeCell ref="AL2:BL2"/>
    <mergeCell ref="BP2:CQ2"/>
    <mergeCell ref="E1:AK1"/>
    <mergeCell ref="AL1:CS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SUT</vt:lpstr>
      <vt:lpstr>GHG</vt:lpstr>
      <vt:lpstr>TAX</vt:lpstr>
      <vt:lpstr>HH</vt:lpstr>
      <vt:lpstr>OTH</vt:lpstr>
      <vt:lpstr>ENR</vt:lpstr>
      <vt:lpstr>ENR_Share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reynesfgd</dc:creator>
  <cp:lastModifiedBy>H.J. Boonman MSc</cp:lastModifiedBy>
  <dcterms:created xsi:type="dcterms:W3CDTF">2022-03-29T13:03:07Z</dcterms:created>
  <dcterms:modified xsi:type="dcterms:W3CDTF">2022-09-29T10:43:14Z</dcterms:modified>
</cp:coreProperties>
</file>