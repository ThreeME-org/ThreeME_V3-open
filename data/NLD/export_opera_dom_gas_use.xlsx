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onmanhj\Documents\Gitlab\ThreeME_V3\data\NLD\"/>
    </mc:Choice>
  </mc:AlternateContent>
  <xr:revisionPtr revIDLastSave="0" documentId="13_ncr:1_{8F022B6A-39DC-4A89-9B94-D8F60B3E39D0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baseline_dom_gas_use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2" l="1"/>
  <c r="C5" i="2"/>
  <c r="CC21" i="1"/>
  <c r="CC22" i="1" s="1"/>
  <c r="CC23" i="1" s="1"/>
  <c r="CC24" i="1" s="1"/>
  <c r="CC25" i="1" s="1"/>
  <c r="CC26" i="1" s="1"/>
  <c r="CC27" i="1" s="1"/>
  <c r="CC28" i="1" s="1"/>
  <c r="CC29" i="1" s="1"/>
  <c r="CC30" i="1" s="1"/>
  <c r="CC31" i="1" s="1"/>
  <c r="CC32" i="1" s="1"/>
  <c r="CC33" i="1" s="1"/>
  <c r="CC34" i="1" s="1"/>
  <c r="CC35" i="1" s="1"/>
  <c r="CC36" i="1" s="1"/>
  <c r="CC37" i="1" s="1"/>
  <c r="CC38" i="1" s="1"/>
  <c r="CC39" i="1" s="1"/>
  <c r="CC40" i="1" s="1"/>
  <c r="CC41" i="1" s="1"/>
  <c r="CC42" i="1" s="1"/>
  <c r="CC43" i="1" s="1"/>
  <c r="CC44" i="1" s="1"/>
  <c r="CC45" i="1" s="1"/>
  <c r="CC46" i="1" s="1"/>
  <c r="CC47" i="1" s="1"/>
  <c r="CC48" i="1" s="1"/>
  <c r="CC49" i="1" s="1"/>
  <c r="CC50" i="1" s="1"/>
  <c r="CC51" i="1" s="1"/>
  <c r="CC52" i="1" s="1"/>
  <c r="CC53" i="1" s="1"/>
  <c r="CC54" i="1" s="1"/>
  <c r="CC55" i="1" s="1"/>
  <c r="CC56" i="1" s="1"/>
  <c r="CC57" i="1" s="1"/>
  <c r="CC58" i="1" s="1"/>
  <c r="CC59" i="1" s="1"/>
  <c r="CC60" i="1" s="1"/>
  <c r="CC61" i="1" s="1"/>
  <c r="CC62" i="1" s="1"/>
  <c r="CC63" i="1" s="1"/>
  <c r="CC64" i="1" s="1"/>
  <c r="CC65" i="1" s="1"/>
  <c r="CC66" i="1" s="1"/>
  <c r="CC67" i="1" s="1"/>
  <c r="CC68" i="1" s="1"/>
  <c r="CC69" i="1" s="1"/>
  <c r="CC70" i="1" s="1"/>
  <c r="CC71" i="1" s="1"/>
  <c r="CC72" i="1" s="1"/>
  <c r="CC73" i="1" s="1"/>
  <c r="CC74" i="1" s="1"/>
  <c r="CC5" i="1"/>
  <c r="CC6" i="1" s="1"/>
  <c r="CC7" i="1" s="1"/>
  <c r="CC8" i="1" s="1"/>
  <c r="CC9" i="1" s="1"/>
  <c r="CC10" i="1" s="1"/>
  <c r="CC11" i="1" s="1"/>
  <c r="CC12" i="1" s="1"/>
  <c r="CC13" i="1" s="1"/>
  <c r="CC14" i="1" s="1"/>
  <c r="CC15" i="1" s="1"/>
  <c r="CC16" i="1" s="1"/>
  <c r="CC17" i="1" s="1"/>
  <c r="CC18" i="1" s="1"/>
  <c r="CC19" i="1" s="1"/>
  <c r="CC20" i="1" s="1"/>
  <c r="CC4" i="1"/>
  <c r="BQ7" i="1"/>
  <c r="AY9" i="1"/>
  <c r="BI15" i="1"/>
  <c r="AY17" i="1"/>
  <c r="BQ23" i="1"/>
  <c r="BL24" i="1"/>
  <c r="BJ29" i="1"/>
  <c r="BE30" i="1"/>
  <c r="BG33" i="1"/>
  <c r="BN33" i="1"/>
  <c r="BG36" i="1"/>
  <c r="BO36" i="1"/>
  <c r="AW14" i="1"/>
  <c r="AW22" i="1"/>
  <c r="Z3" i="1"/>
  <c r="AX3" i="1" s="1"/>
  <c r="AA3" i="1"/>
  <c r="AY3" i="1" s="1"/>
  <c r="AB3" i="1"/>
  <c r="AZ3" i="1" s="1"/>
  <c r="AC3" i="1"/>
  <c r="BA3" i="1" s="1"/>
  <c r="AD3" i="1"/>
  <c r="BB3" i="1" s="1"/>
  <c r="AE3" i="1"/>
  <c r="BC3" i="1" s="1"/>
  <c r="AF3" i="1"/>
  <c r="BD3" i="1" s="1"/>
  <c r="AG3" i="1"/>
  <c r="BE3" i="1" s="1"/>
  <c r="AH3" i="1"/>
  <c r="BF3" i="1" s="1"/>
  <c r="AI3" i="1"/>
  <c r="BG3" i="1" s="1"/>
  <c r="AJ3" i="1"/>
  <c r="BH3" i="1" s="1"/>
  <c r="AK3" i="1"/>
  <c r="BI3" i="1" s="1"/>
  <c r="AL3" i="1"/>
  <c r="BJ3" i="1" s="1"/>
  <c r="AM3" i="1"/>
  <c r="BK3" i="1" s="1"/>
  <c r="AN3" i="1"/>
  <c r="BL3" i="1" s="1"/>
  <c r="AO3" i="1"/>
  <c r="BM3" i="1" s="1"/>
  <c r="AP3" i="1"/>
  <c r="BN3" i="1" s="1"/>
  <c r="AQ3" i="1"/>
  <c r="BO3" i="1" s="1"/>
  <c r="AR3" i="1"/>
  <c r="BP3" i="1" s="1"/>
  <c r="AS3" i="1"/>
  <c r="BQ3" i="1" s="1"/>
  <c r="AT3" i="1"/>
  <c r="BR3" i="1" s="1"/>
  <c r="Z4" i="1"/>
  <c r="AX4" i="1" s="1"/>
  <c r="AA4" i="1"/>
  <c r="AY4" i="1" s="1"/>
  <c r="AB4" i="1"/>
  <c r="AZ4" i="1" s="1"/>
  <c r="AC4" i="1"/>
  <c r="BA4" i="1" s="1"/>
  <c r="AD4" i="1"/>
  <c r="BB4" i="1" s="1"/>
  <c r="AE4" i="1"/>
  <c r="BC4" i="1" s="1"/>
  <c r="AF4" i="1"/>
  <c r="BD4" i="1" s="1"/>
  <c r="AG4" i="1"/>
  <c r="BE4" i="1" s="1"/>
  <c r="AH4" i="1"/>
  <c r="BF4" i="1" s="1"/>
  <c r="AI4" i="1"/>
  <c r="BG4" i="1" s="1"/>
  <c r="AJ4" i="1"/>
  <c r="BH4" i="1" s="1"/>
  <c r="AK4" i="1"/>
  <c r="BI4" i="1" s="1"/>
  <c r="AL4" i="1"/>
  <c r="BJ4" i="1" s="1"/>
  <c r="AM4" i="1"/>
  <c r="BK4" i="1" s="1"/>
  <c r="AN4" i="1"/>
  <c r="BL4" i="1" s="1"/>
  <c r="AO4" i="1"/>
  <c r="BM4" i="1" s="1"/>
  <c r="AP4" i="1"/>
  <c r="BN4" i="1" s="1"/>
  <c r="AQ4" i="1"/>
  <c r="BO4" i="1" s="1"/>
  <c r="AR4" i="1"/>
  <c r="BP4" i="1" s="1"/>
  <c r="AS4" i="1"/>
  <c r="BQ4" i="1" s="1"/>
  <c r="AT4" i="1"/>
  <c r="BR4" i="1" s="1"/>
  <c r="Z5" i="1"/>
  <c r="AX5" i="1" s="1"/>
  <c r="AA5" i="1"/>
  <c r="AY5" i="1" s="1"/>
  <c r="AB5" i="1"/>
  <c r="AZ5" i="1" s="1"/>
  <c r="AC5" i="1"/>
  <c r="BA5" i="1" s="1"/>
  <c r="AD5" i="1"/>
  <c r="BB5" i="1" s="1"/>
  <c r="AE5" i="1"/>
  <c r="BC5" i="1" s="1"/>
  <c r="AF5" i="1"/>
  <c r="BD5" i="1" s="1"/>
  <c r="AG5" i="1"/>
  <c r="BE5" i="1" s="1"/>
  <c r="AH5" i="1"/>
  <c r="BF5" i="1" s="1"/>
  <c r="AI5" i="1"/>
  <c r="BG5" i="1" s="1"/>
  <c r="AJ5" i="1"/>
  <c r="BH5" i="1" s="1"/>
  <c r="AK5" i="1"/>
  <c r="BI5" i="1" s="1"/>
  <c r="AL5" i="1"/>
  <c r="BJ5" i="1" s="1"/>
  <c r="AM5" i="1"/>
  <c r="BK5" i="1" s="1"/>
  <c r="AN5" i="1"/>
  <c r="BL5" i="1" s="1"/>
  <c r="AO5" i="1"/>
  <c r="BM5" i="1" s="1"/>
  <c r="AP5" i="1"/>
  <c r="BN5" i="1" s="1"/>
  <c r="AQ5" i="1"/>
  <c r="BO5" i="1" s="1"/>
  <c r="AR5" i="1"/>
  <c r="BP5" i="1" s="1"/>
  <c r="AS5" i="1"/>
  <c r="BQ5" i="1" s="1"/>
  <c r="AT5" i="1"/>
  <c r="BR5" i="1" s="1"/>
  <c r="Z6" i="1"/>
  <c r="AX6" i="1" s="1"/>
  <c r="AA6" i="1"/>
  <c r="AY6" i="1" s="1"/>
  <c r="AB6" i="1"/>
  <c r="AZ6" i="1" s="1"/>
  <c r="AC6" i="1"/>
  <c r="BA6" i="1" s="1"/>
  <c r="AD6" i="1"/>
  <c r="BB6" i="1" s="1"/>
  <c r="AE6" i="1"/>
  <c r="BC6" i="1" s="1"/>
  <c r="AF6" i="1"/>
  <c r="BD6" i="1" s="1"/>
  <c r="AG6" i="1"/>
  <c r="BE6" i="1" s="1"/>
  <c r="AH6" i="1"/>
  <c r="BF6" i="1" s="1"/>
  <c r="AI6" i="1"/>
  <c r="BG6" i="1" s="1"/>
  <c r="AJ6" i="1"/>
  <c r="BH6" i="1" s="1"/>
  <c r="AK6" i="1"/>
  <c r="BI6" i="1" s="1"/>
  <c r="AL6" i="1"/>
  <c r="BJ6" i="1" s="1"/>
  <c r="AM6" i="1"/>
  <c r="BK6" i="1" s="1"/>
  <c r="AN6" i="1"/>
  <c r="BL6" i="1" s="1"/>
  <c r="AO6" i="1"/>
  <c r="BM6" i="1" s="1"/>
  <c r="AP6" i="1"/>
  <c r="BN6" i="1" s="1"/>
  <c r="AQ6" i="1"/>
  <c r="BO6" i="1" s="1"/>
  <c r="AR6" i="1"/>
  <c r="BP6" i="1" s="1"/>
  <c r="AS6" i="1"/>
  <c r="BQ6" i="1" s="1"/>
  <c r="AT6" i="1"/>
  <c r="BR6" i="1" s="1"/>
  <c r="Z7" i="1"/>
  <c r="AX7" i="1" s="1"/>
  <c r="AA7" i="1"/>
  <c r="AY7" i="1" s="1"/>
  <c r="AB7" i="1"/>
  <c r="AZ7" i="1" s="1"/>
  <c r="AC7" i="1"/>
  <c r="BA7" i="1" s="1"/>
  <c r="AD7" i="1"/>
  <c r="BB7" i="1" s="1"/>
  <c r="AE7" i="1"/>
  <c r="BC7" i="1" s="1"/>
  <c r="AF7" i="1"/>
  <c r="BD7" i="1" s="1"/>
  <c r="AG7" i="1"/>
  <c r="BE7" i="1" s="1"/>
  <c r="AH7" i="1"/>
  <c r="BF7" i="1" s="1"/>
  <c r="AI7" i="1"/>
  <c r="BG7" i="1" s="1"/>
  <c r="AJ7" i="1"/>
  <c r="BH7" i="1" s="1"/>
  <c r="AK7" i="1"/>
  <c r="BI7" i="1" s="1"/>
  <c r="AL7" i="1"/>
  <c r="BJ7" i="1" s="1"/>
  <c r="AM7" i="1"/>
  <c r="BK7" i="1" s="1"/>
  <c r="AN7" i="1"/>
  <c r="BL7" i="1" s="1"/>
  <c r="AO7" i="1"/>
  <c r="BM7" i="1" s="1"/>
  <c r="AP7" i="1"/>
  <c r="BN7" i="1" s="1"/>
  <c r="AQ7" i="1"/>
  <c r="BO7" i="1" s="1"/>
  <c r="AR7" i="1"/>
  <c r="BP7" i="1" s="1"/>
  <c r="AS7" i="1"/>
  <c r="AT7" i="1"/>
  <c r="BR7" i="1" s="1"/>
  <c r="Z8" i="1"/>
  <c r="AX8" i="1" s="1"/>
  <c r="AA8" i="1"/>
  <c r="AY8" i="1" s="1"/>
  <c r="AB8" i="1"/>
  <c r="AZ8" i="1" s="1"/>
  <c r="AC8" i="1"/>
  <c r="BA8" i="1" s="1"/>
  <c r="AD8" i="1"/>
  <c r="BB8" i="1" s="1"/>
  <c r="AE8" i="1"/>
  <c r="BC8" i="1" s="1"/>
  <c r="AF8" i="1"/>
  <c r="BD8" i="1" s="1"/>
  <c r="AG8" i="1"/>
  <c r="BE8" i="1" s="1"/>
  <c r="AH8" i="1"/>
  <c r="BF8" i="1" s="1"/>
  <c r="AI8" i="1"/>
  <c r="BG8" i="1" s="1"/>
  <c r="AJ8" i="1"/>
  <c r="BH8" i="1" s="1"/>
  <c r="AK8" i="1"/>
  <c r="BI8" i="1" s="1"/>
  <c r="AL8" i="1"/>
  <c r="BJ8" i="1" s="1"/>
  <c r="AM8" i="1"/>
  <c r="BK8" i="1" s="1"/>
  <c r="AN8" i="1"/>
  <c r="BL8" i="1" s="1"/>
  <c r="AO8" i="1"/>
  <c r="BM8" i="1" s="1"/>
  <c r="AP8" i="1"/>
  <c r="BN8" i="1" s="1"/>
  <c r="AQ8" i="1"/>
  <c r="BO8" i="1" s="1"/>
  <c r="AR8" i="1"/>
  <c r="BP8" i="1" s="1"/>
  <c r="AS8" i="1"/>
  <c r="BQ8" i="1" s="1"/>
  <c r="AT8" i="1"/>
  <c r="BR8" i="1" s="1"/>
  <c r="Z9" i="1"/>
  <c r="AX9" i="1" s="1"/>
  <c r="AA9" i="1"/>
  <c r="AB9" i="1"/>
  <c r="AZ9" i="1" s="1"/>
  <c r="AC9" i="1"/>
  <c r="BA9" i="1" s="1"/>
  <c r="AD9" i="1"/>
  <c r="BB9" i="1" s="1"/>
  <c r="AE9" i="1"/>
  <c r="BC9" i="1" s="1"/>
  <c r="AF9" i="1"/>
  <c r="BD9" i="1" s="1"/>
  <c r="AG9" i="1"/>
  <c r="BE9" i="1" s="1"/>
  <c r="AH9" i="1"/>
  <c r="BF9" i="1" s="1"/>
  <c r="AI9" i="1"/>
  <c r="BG9" i="1" s="1"/>
  <c r="AJ9" i="1"/>
  <c r="BH9" i="1" s="1"/>
  <c r="AK9" i="1"/>
  <c r="BI9" i="1" s="1"/>
  <c r="AL9" i="1"/>
  <c r="BJ9" i="1" s="1"/>
  <c r="AM9" i="1"/>
  <c r="BK9" i="1" s="1"/>
  <c r="AN9" i="1"/>
  <c r="BL9" i="1" s="1"/>
  <c r="AO9" i="1"/>
  <c r="BM9" i="1" s="1"/>
  <c r="AP9" i="1"/>
  <c r="BN9" i="1" s="1"/>
  <c r="AQ9" i="1"/>
  <c r="BO9" i="1" s="1"/>
  <c r="AR9" i="1"/>
  <c r="BP9" i="1" s="1"/>
  <c r="AS9" i="1"/>
  <c r="BQ9" i="1" s="1"/>
  <c r="AT9" i="1"/>
  <c r="BR9" i="1" s="1"/>
  <c r="Z10" i="1"/>
  <c r="AX10" i="1" s="1"/>
  <c r="AA10" i="1"/>
  <c r="AY10" i="1" s="1"/>
  <c r="AB10" i="1"/>
  <c r="AZ10" i="1" s="1"/>
  <c r="AC10" i="1"/>
  <c r="BA10" i="1" s="1"/>
  <c r="AD10" i="1"/>
  <c r="BB10" i="1" s="1"/>
  <c r="AE10" i="1"/>
  <c r="BC10" i="1" s="1"/>
  <c r="AF10" i="1"/>
  <c r="BD10" i="1" s="1"/>
  <c r="AG10" i="1"/>
  <c r="BE10" i="1" s="1"/>
  <c r="AH10" i="1"/>
  <c r="BF10" i="1" s="1"/>
  <c r="AI10" i="1"/>
  <c r="BG10" i="1" s="1"/>
  <c r="AJ10" i="1"/>
  <c r="BH10" i="1" s="1"/>
  <c r="AK10" i="1"/>
  <c r="BI10" i="1" s="1"/>
  <c r="AL10" i="1"/>
  <c r="BJ10" i="1" s="1"/>
  <c r="AM10" i="1"/>
  <c r="BK10" i="1" s="1"/>
  <c r="AN10" i="1"/>
  <c r="BL10" i="1" s="1"/>
  <c r="AO10" i="1"/>
  <c r="BM10" i="1" s="1"/>
  <c r="AP10" i="1"/>
  <c r="BN10" i="1" s="1"/>
  <c r="AQ10" i="1"/>
  <c r="BO10" i="1" s="1"/>
  <c r="AR10" i="1"/>
  <c r="BP10" i="1" s="1"/>
  <c r="AS10" i="1"/>
  <c r="BQ10" i="1" s="1"/>
  <c r="AT10" i="1"/>
  <c r="BR10" i="1" s="1"/>
  <c r="Z11" i="1"/>
  <c r="AX11" i="1" s="1"/>
  <c r="AA11" i="1"/>
  <c r="AY11" i="1" s="1"/>
  <c r="AB11" i="1"/>
  <c r="AZ11" i="1" s="1"/>
  <c r="AC11" i="1"/>
  <c r="BA11" i="1" s="1"/>
  <c r="AD11" i="1"/>
  <c r="BB11" i="1" s="1"/>
  <c r="AE11" i="1"/>
  <c r="BC11" i="1" s="1"/>
  <c r="AF11" i="1"/>
  <c r="BD11" i="1" s="1"/>
  <c r="AG11" i="1"/>
  <c r="BE11" i="1" s="1"/>
  <c r="AH11" i="1"/>
  <c r="BF11" i="1" s="1"/>
  <c r="AI11" i="1"/>
  <c r="BG11" i="1" s="1"/>
  <c r="AJ11" i="1"/>
  <c r="BH11" i="1" s="1"/>
  <c r="AK11" i="1"/>
  <c r="BI11" i="1" s="1"/>
  <c r="AL11" i="1"/>
  <c r="BJ11" i="1" s="1"/>
  <c r="AM11" i="1"/>
  <c r="BK11" i="1" s="1"/>
  <c r="AN11" i="1"/>
  <c r="BL11" i="1" s="1"/>
  <c r="AO11" i="1"/>
  <c r="BM11" i="1" s="1"/>
  <c r="AP11" i="1"/>
  <c r="BN11" i="1" s="1"/>
  <c r="AQ11" i="1"/>
  <c r="BO11" i="1" s="1"/>
  <c r="AR11" i="1"/>
  <c r="BP11" i="1" s="1"/>
  <c r="AS11" i="1"/>
  <c r="BQ11" i="1" s="1"/>
  <c r="AT11" i="1"/>
  <c r="BR11" i="1" s="1"/>
  <c r="Z12" i="1"/>
  <c r="AX12" i="1" s="1"/>
  <c r="AA12" i="1"/>
  <c r="AY12" i="1" s="1"/>
  <c r="AB12" i="1"/>
  <c r="AZ12" i="1" s="1"/>
  <c r="AC12" i="1"/>
  <c r="BA12" i="1" s="1"/>
  <c r="AD12" i="1"/>
  <c r="BB12" i="1" s="1"/>
  <c r="AE12" i="1"/>
  <c r="BC12" i="1" s="1"/>
  <c r="AF12" i="1"/>
  <c r="BD12" i="1" s="1"/>
  <c r="AG12" i="1"/>
  <c r="BE12" i="1" s="1"/>
  <c r="AH12" i="1"/>
  <c r="BF12" i="1" s="1"/>
  <c r="AI12" i="1"/>
  <c r="BG12" i="1" s="1"/>
  <c r="AJ12" i="1"/>
  <c r="BH12" i="1" s="1"/>
  <c r="AK12" i="1"/>
  <c r="BI12" i="1" s="1"/>
  <c r="AL12" i="1"/>
  <c r="BJ12" i="1" s="1"/>
  <c r="AM12" i="1"/>
  <c r="BK12" i="1" s="1"/>
  <c r="AN12" i="1"/>
  <c r="BL12" i="1" s="1"/>
  <c r="AO12" i="1"/>
  <c r="BM12" i="1" s="1"/>
  <c r="AP12" i="1"/>
  <c r="BN12" i="1" s="1"/>
  <c r="AQ12" i="1"/>
  <c r="BO12" i="1" s="1"/>
  <c r="AR12" i="1"/>
  <c r="BP12" i="1" s="1"/>
  <c r="AS12" i="1"/>
  <c r="BQ12" i="1" s="1"/>
  <c r="AT12" i="1"/>
  <c r="BR12" i="1" s="1"/>
  <c r="Z13" i="1"/>
  <c r="AX13" i="1" s="1"/>
  <c r="AA13" i="1"/>
  <c r="AY13" i="1" s="1"/>
  <c r="AB13" i="1"/>
  <c r="AZ13" i="1" s="1"/>
  <c r="AC13" i="1"/>
  <c r="BA13" i="1" s="1"/>
  <c r="AD13" i="1"/>
  <c r="BB13" i="1" s="1"/>
  <c r="AE13" i="1"/>
  <c r="BC13" i="1" s="1"/>
  <c r="AF13" i="1"/>
  <c r="BD13" i="1" s="1"/>
  <c r="AG13" i="1"/>
  <c r="BE13" i="1" s="1"/>
  <c r="AH13" i="1"/>
  <c r="BF13" i="1" s="1"/>
  <c r="AI13" i="1"/>
  <c r="BG13" i="1" s="1"/>
  <c r="AJ13" i="1"/>
  <c r="BH13" i="1" s="1"/>
  <c r="AK13" i="1"/>
  <c r="BI13" i="1" s="1"/>
  <c r="AL13" i="1"/>
  <c r="BJ13" i="1" s="1"/>
  <c r="AM13" i="1"/>
  <c r="BK13" i="1" s="1"/>
  <c r="AN13" i="1"/>
  <c r="BL13" i="1" s="1"/>
  <c r="AO13" i="1"/>
  <c r="BM13" i="1" s="1"/>
  <c r="AP13" i="1"/>
  <c r="BN13" i="1" s="1"/>
  <c r="AQ13" i="1"/>
  <c r="BO13" i="1" s="1"/>
  <c r="AR13" i="1"/>
  <c r="BP13" i="1" s="1"/>
  <c r="AS13" i="1"/>
  <c r="BQ13" i="1" s="1"/>
  <c r="AT13" i="1"/>
  <c r="BR13" i="1" s="1"/>
  <c r="Z14" i="1"/>
  <c r="AX14" i="1" s="1"/>
  <c r="AA14" i="1"/>
  <c r="AY14" i="1" s="1"/>
  <c r="AB14" i="1"/>
  <c r="AZ14" i="1" s="1"/>
  <c r="AC14" i="1"/>
  <c r="BA14" i="1" s="1"/>
  <c r="AD14" i="1"/>
  <c r="BB14" i="1" s="1"/>
  <c r="AE14" i="1"/>
  <c r="BC14" i="1" s="1"/>
  <c r="AF14" i="1"/>
  <c r="BD14" i="1" s="1"/>
  <c r="AG14" i="1"/>
  <c r="BE14" i="1" s="1"/>
  <c r="AH14" i="1"/>
  <c r="BF14" i="1" s="1"/>
  <c r="AI14" i="1"/>
  <c r="BG14" i="1" s="1"/>
  <c r="AJ14" i="1"/>
  <c r="BH14" i="1" s="1"/>
  <c r="AK14" i="1"/>
  <c r="BI14" i="1" s="1"/>
  <c r="AL14" i="1"/>
  <c r="BJ14" i="1" s="1"/>
  <c r="AM14" i="1"/>
  <c r="BK14" i="1" s="1"/>
  <c r="AN14" i="1"/>
  <c r="BL14" i="1" s="1"/>
  <c r="AO14" i="1"/>
  <c r="BM14" i="1" s="1"/>
  <c r="AP14" i="1"/>
  <c r="BN14" i="1" s="1"/>
  <c r="AQ14" i="1"/>
  <c r="BO14" i="1" s="1"/>
  <c r="AR14" i="1"/>
  <c r="BP14" i="1" s="1"/>
  <c r="AS14" i="1"/>
  <c r="BQ14" i="1" s="1"/>
  <c r="AT14" i="1"/>
  <c r="BR14" i="1" s="1"/>
  <c r="Z15" i="1"/>
  <c r="AX15" i="1" s="1"/>
  <c r="AA15" i="1"/>
  <c r="AY15" i="1" s="1"/>
  <c r="AB15" i="1"/>
  <c r="AZ15" i="1" s="1"/>
  <c r="AC15" i="1"/>
  <c r="BA15" i="1" s="1"/>
  <c r="AD15" i="1"/>
  <c r="BB15" i="1" s="1"/>
  <c r="AE15" i="1"/>
  <c r="BC15" i="1" s="1"/>
  <c r="AF15" i="1"/>
  <c r="BD15" i="1" s="1"/>
  <c r="AG15" i="1"/>
  <c r="BE15" i="1" s="1"/>
  <c r="AH15" i="1"/>
  <c r="BF15" i="1" s="1"/>
  <c r="AI15" i="1"/>
  <c r="BG15" i="1" s="1"/>
  <c r="AJ15" i="1"/>
  <c r="BH15" i="1" s="1"/>
  <c r="AK15" i="1"/>
  <c r="AL15" i="1"/>
  <c r="BJ15" i="1" s="1"/>
  <c r="AM15" i="1"/>
  <c r="BK15" i="1" s="1"/>
  <c r="AN15" i="1"/>
  <c r="BL15" i="1" s="1"/>
  <c r="AO15" i="1"/>
  <c r="BM15" i="1" s="1"/>
  <c r="AP15" i="1"/>
  <c r="BN15" i="1" s="1"/>
  <c r="AQ15" i="1"/>
  <c r="BO15" i="1" s="1"/>
  <c r="AR15" i="1"/>
  <c r="BP15" i="1" s="1"/>
  <c r="AS15" i="1"/>
  <c r="BQ15" i="1" s="1"/>
  <c r="AT15" i="1"/>
  <c r="BR15" i="1" s="1"/>
  <c r="Z16" i="1"/>
  <c r="AX16" i="1" s="1"/>
  <c r="AA16" i="1"/>
  <c r="AY16" i="1" s="1"/>
  <c r="AB16" i="1"/>
  <c r="AZ16" i="1" s="1"/>
  <c r="AC16" i="1"/>
  <c r="BA16" i="1" s="1"/>
  <c r="AD16" i="1"/>
  <c r="BB16" i="1" s="1"/>
  <c r="AE16" i="1"/>
  <c r="BC16" i="1" s="1"/>
  <c r="AF16" i="1"/>
  <c r="BD16" i="1" s="1"/>
  <c r="AG16" i="1"/>
  <c r="BE16" i="1" s="1"/>
  <c r="AH16" i="1"/>
  <c r="BF16" i="1" s="1"/>
  <c r="AI16" i="1"/>
  <c r="BG16" i="1" s="1"/>
  <c r="AJ16" i="1"/>
  <c r="BH16" i="1" s="1"/>
  <c r="AK16" i="1"/>
  <c r="BI16" i="1" s="1"/>
  <c r="AL16" i="1"/>
  <c r="BJ16" i="1" s="1"/>
  <c r="AM16" i="1"/>
  <c r="BK16" i="1" s="1"/>
  <c r="AN16" i="1"/>
  <c r="BL16" i="1" s="1"/>
  <c r="AO16" i="1"/>
  <c r="BM16" i="1" s="1"/>
  <c r="AP16" i="1"/>
  <c r="BN16" i="1" s="1"/>
  <c r="AQ16" i="1"/>
  <c r="BO16" i="1" s="1"/>
  <c r="AR16" i="1"/>
  <c r="BP16" i="1" s="1"/>
  <c r="AS16" i="1"/>
  <c r="BQ16" i="1" s="1"/>
  <c r="AT16" i="1"/>
  <c r="BR16" i="1" s="1"/>
  <c r="Z17" i="1"/>
  <c r="AX17" i="1" s="1"/>
  <c r="AA17" i="1"/>
  <c r="AB17" i="1"/>
  <c r="AZ17" i="1" s="1"/>
  <c r="AC17" i="1"/>
  <c r="BA17" i="1" s="1"/>
  <c r="AD17" i="1"/>
  <c r="BB17" i="1" s="1"/>
  <c r="AE17" i="1"/>
  <c r="BC17" i="1" s="1"/>
  <c r="AF17" i="1"/>
  <c r="BD17" i="1" s="1"/>
  <c r="AG17" i="1"/>
  <c r="BE17" i="1" s="1"/>
  <c r="AH17" i="1"/>
  <c r="BF17" i="1" s="1"/>
  <c r="AI17" i="1"/>
  <c r="BG17" i="1" s="1"/>
  <c r="AJ17" i="1"/>
  <c r="BH17" i="1" s="1"/>
  <c r="AK17" i="1"/>
  <c r="BI17" i="1" s="1"/>
  <c r="AL17" i="1"/>
  <c r="BJ17" i="1" s="1"/>
  <c r="AM17" i="1"/>
  <c r="BK17" i="1" s="1"/>
  <c r="AN17" i="1"/>
  <c r="BL17" i="1" s="1"/>
  <c r="AO17" i="1"/>
  <c r="BM17" i="1" s="1"/>
  <c r="AP17" i="1"/>
  <c r="BN17" i="1" s="1"/>
  <c r="AQ17" i="1"/>
  <c r="BO17" i="1" s="1"/>
  <c r="AR17" i="1"/>
  <c r="BP17" i="1" s="1"/>
  <c r="AS17" i="1"/>
  <c r="BQ17" i="1" s="1"/>
  <c r="AT17" i="1"/>
  <c r="BR17" i="1" s="1"/>
  <c r="Z18" i="1"/>
  <c r="AX18" i="1" s="1"/>
  <c r="AA18" i="1"/>
  <c r="AY18" i="1" s="1"/>
  <c r="AB18" i="1"/>
  <c r="AZ18" i="1" s="1"/>
  <c r="AC18" i="1"/>
  <c r="BA18" i="1" s="1"/>
  <c r="AD18" i="1"/>
  <c r="BB18" i="1" s="1"/>
  <c r="AE18" i="1"/>
  <c r="BC18" i="1" s="1"/>
  <c r="AF18" i="1"/>
  <c r="BD18" i="1" s="1"/>
  <c r="AG18" i="1"/>
  <c r="BE18" i="1" s="1"/>
  <c r="AH18" i="1"/>
  <c r="BF18" i="1" s="1"/>
  <c r="AI18" i="1"/>
  <c r="BG18" i="1" s="1"/>
  <c r="AJ18" i="1"/>
  <c r="BH18" i="1" s="1"/>
  <c r="AK18" i="1"/>
  <c r="BI18" i="1" s="1"/>
  <c r="AL18" i="1"/>
  <c r="BJ18" i="1" s="1"/>
  <c r="AM18" i="1"/>
  <c r="BK18" i="1" s="1"/>
  <c r="AN18" i="1"/>
  <c r="BL18" i="1" s="1"/>
  <c r="AO18" i="1"/>
  <c r="BM18" i="1" s="1"/>
  <c r="AP18" i="1"/>
  <c r="BN18" i="1" s="1"/>
  <c r="AQ18" i="1"/>
  <c r="BO18" i="1" s="1"/>
  <c r="AR18" i="1"/>
  <c r="BP18" i="1" s="1"/>
  <c r="AS18" i="1"/>
  <c r="BQ18" i="1" s="1"/>
  <c r="AT18" i="1"/>
  <c r="BR18" i="1" s="1"/>
  <c r="Z19" i="1"/>
  <c r="AX19" i="1" s="1"/>
  <c r="AA19" i="1"/>
  <c r="AY19" i="1" s="1"/>
  <c r="AB19" i="1"/>
  <c r="AZ19" i="1" s="1"/>
  <c r="AC19" i="1"/>
  <c r="BA19" i="1" s="1"/>
  <c r="AD19" i="1"/>
  <c r="BB19" i="1" s="1"/>
  <c r="AE19" i="1"/>
  <c r="BC19" i="1" s="1"/>
  <c r="AF19" i="1"/>
  <c r="BD19" i="1" s="1"/>
  <c r="AG19" i="1"/>
  <c r="BE19" i="1" s="1"/>
  <c r="AH19" i="1"/>
  <c r="BF19" i="1" s="1"/>
  <c r="AI19" i="1"/>
  <c r="BG19" i="1" s="1"/>
  <c r="AJ19" i="1"/>
  <c r="BH19" i="1" s="1"/>
  <c r="AK19" i="1"/>
  <c r="BI19" i="1" s="1"/>
  <c r="AL19" i="1"/>
  <c r="BJ19" i="1" s="1"/>
  <c r="AM19" i="1"/>
  <c r="BK19" i="1" s="1"/>
  <c r="AN19" i="1"/>
  <c r="BL19" i="1" s="1"/>
  <c r="AO19" i="1"/>
  <c r="BM19" i="1" s="1"/>
  <c r="AP19" i="1"/>
  <c r="BN19" i="1" s="1"/>
  <c r="AQ19" i="1"/>
  <c r="BO19" i="1" s="1"/>
  <c r="AR19" i="1"/>
  <c r="BP19" i="1" s="1"/>
  <c r="AS19" i="1"/>
  <c r="BQ19" i="1" s="1"/>
  <c r="AT19" i="1"/>
  <c r="BR19" i="1" s="1"/>
  <c r="Z20" i="1"/>
  <c r="AX20" i="1" s="1"/>
  <c r="AA20" i="1"/>
  <c r="AY20" i="1" s="1"/>
  <c r="AB20" i="1"/>
  <c r="AZ20" i="1" s="1"/>
  <c r="AC20" i="1"/>
  <c r="BA20" i="1" s="1"/>
  <c r="AD20" i="1"/>
  <c r="BB20" i="1" s="1"/>
  <c r="AE20" i="1"/>
  <c r="BC20" i="1" s="1"/>
  <c r="AF20" i="1"/>
  <c r="BD20" i="1" s="1"/>
  <c r="AG20" i="1"/>
  <c r="BE20" i="1" s="1"/>
  <c r="AH20" i="1"/>
  <c r="BF20" i="1" s="1"/>
  <c r="AI20" i="1"/>
  <c r="BG20" i="1" s="1"/>
  <c r="AJ20" i="1"/>
  <c r="BH20" i="1" s="1"/>
  <c r="AK20" i="1"/>
  <c r="BI20" i="1" s="1"/>
  <c r="AL20" i="1"/>
  <c r="BJ20" i="1" s="1"/>
  <c r="AM20" i="1"/>
  <c r="BK20" i="1" s="1"/>
  <c r="AN20" i="1"/>
  <c r="BL20" i="1" s="1"/>
  <c r="AO20" i="1"/>
  <c r="BM20" i="1" s="1"/>
  <c r="AP20" i="1"/>
  <c r="BN20" i="1" s="1"/>
  <c r="AQ20" i="1"/>
  <c r="BO20" i="1" s="1"/>
  <c r="AR20" i="1"/>
  <c r="BP20" i="1" s="1"/>
  <c r="AS20" i="1"/>
  <c r="BQ20" i="1" s="1"/>
  <c r="AT20" i="1"/>
  <c r="BR20" i="1" s="1"/>
  <c r="Z21" i="1"/>
  <c r="AX21" i="1" s="1"/>
  <c r="AA21" i="1"/>
  <c r="AY21" i="1" s="1"/>
  <c r="AB21" i="1"/>
  <c r="AZ21" i="1" s="1"/>
  <c r="AC21" i="1"/>
  <c r="BA21" i="1" s="1"/>
  <c r="AD21" i="1"/>
  <c r="BB21" i="1" s="1"/>
  <c r="AE21" i="1"/>
  <c r="BC21" i="1" s="1"/>
  <c r="AF21" i="1"/>
  <c r="BD21" i="1" s="1"/>
  <c r="AG21" i="1"/>
  <c r="BE21" i="1" s="1"/>
  <c r="AH21" i="1"/>
  <c r="BF21" i="1" s="1"/>
  <c r="AI21" i="1"/>
  <c r="BG21" i="1" s="1"/>
  <c r="AJ21" i="1"/>
  <c r="BH21" i="1" s="1"/>
  <c r="AK21" i="1"/>
  <c r="BI21" i="1" s="1"/>
  <c r="AL21" i="1"/>
  <c r="BJ21" i="1" s="1"/>
  <c r="AM21" i="1"/>
  <c r="BK21" i="1" s="1"/>
  <c r="AN21" i="1"/>
  <c r="BL21" i="1" s="1"/>
  <c r="AO21" i="1"/>
  <c r="BM21" i="1" s="1"/>
  <c r="AP21" i="1"/>
  <c r="BN21" i="1" s="1"/>
  <c r="AQ21" i="1"/>
  <c r="BO21" i="1" s="1"/>
  <c r="AR21" i="1"/>
  <c r="BP21" i="1" s="1"/>
  <c r="AS21" i="1"/>
  <c r="BQ21" i="1" s="1"/>
  <c r="AT21" i="1"/>
  <c r="BR21" i="1" s="1"/>
  <c r="Z22" i="1"/>
  <c r="AX22" i="1" s="1"/>
  <c r="AA22" i="1"/>
  <c r="AY22" i="1" s="1"/>
  <c r="AB22" i="1"/>
  <c r="AZ22" i="1" s="1"/>
  <c r="AC22" i="1"/>
  <c r="BA22" i="1" s="1"/>
  <c r="AD22" i="1"/>
  <c r="BB22" i="1" s="1"/>
  <c r="AE22" i="1"/>
  <c r="BC22" i="1" s="1"/>
  <c r="AF22" i="1"/>
  <c r="BD22" i="1" s="1"/>
  <c r="AG22" i="1"/>
  <c r="BE22" i="1" s="1"/>
  <c r="AH22" i="1"/>
  <c r="BF22" i="1" s="1"/>
  <c r="AI22" i="1"/>
  <c r="BG22" i="1" s="1"/>
  <c r="AJ22" i="1"/>
  <c r="BH22" i="1" s="1"/>
  <c r="AK22" i="1"/>
  <c r="BI22" i="1" s="1"/>
  <c r="AL22" i="1"/>
  <c r="BJ22" i="1" s="1"/>
  <c r="AM22" i="1"/>
  <c r="BK22" i="1" s="1"/>
  <c r="AN22" i="1"/>
  <c r="BL22" i="1" s="1"/>
  <c r="AO22" i="1"/>
  <c r="BM22" i="1" s="1"/>
  <c r="AP22" i="1"/>
  <c r="BN22" i="1" s="1"/>
  <c r="AQ22" i="1"/>
  <c r="BO22" i="1" s="1"/>
  <c r="AR22" i="1"/>
  <c r="BP22" i="1" s="1"/>
  <c r="AS22" i="1"/>
  <c r="BQ22" i="1" s="1"/>
  <c r="AT22" i="1"/>
  <c r="BR22" i="1" s="1"/>
  <c r="Z23" i="1"/>
  <c r="AX23" i="1" s="1"/>
  <c r="AA23" i="1"/>
  <c r="AY23" i="1" s="1"/>
  <c r="AB23" i="1"/>
  <c r="AZ23" i="1" s="1"/>
  <c r="AC23" i="1"/>
  <c r="BA23" i="1" s="1"/>
  <c r="AD23" i="1"/>
  <c r="BB23" i="1" s="1"/>
  <c r="AE23" i="1"/>
  <c r="BC23" i="1" s="1"/>
  <c r="AF23" i="1"/>
  <c r="BD23" i="1" s="1"/>
  <c r="AG23" i="1"/>
  <c r="BE23" i="1" s="1"/>
  <c r="AH23" i="1"/>
  <c r="BF23" i="1" s="1"/>
  <c r="AI23" i="1"/>
  <c r="BG23" i="1" s="1"/>
  <c r="AJ23" i="1"/>
  <c r="BH23" i="1" s="1"/>
  <c r="AK23" i="1"/>
  <c r="BI23" i="1" s="1"/>
  <c r="AL23" i="1"/>
  <c r="BJ23" i="1" s="1"/>
  <c r="AM23" i="1"/>
  <c r="BK23" i="1" s="1"/>
  <c r="AN23" i="1"/>
  <c r="BL23" i="1" s="1"/>
  <c r="AO23" i="1"/>
  <c r="BM23" i="1" s="1"/>
  <c r="AP23" i="1"/>
  <c r="BN23" i="1" s="1"/>
  <c r="AQ23" i="1"/>
  <c r="BO23" i="1" s="1"/>
  <c r="AR23" i="1"/>
  <c r="BP23" i="1" s="1"/>
  <c r="AS23" i="1"/>
  <c r="AT23" i="1"/>
  <c r="BR23" i="1" s="1"/>
  <c r="Z24" i="1"/>
  <c r="AX24" i="1" s="1"/>
  <c r="AA24" i="1"/>
  <c r="AY24" i="1" s="1"/>
  <c r="AB24" i="1"/>
  <c r="AZ24" i="1" s="1"/>
  <c r="AC24" i="1"/>
  <c r="BA24" i="1" s="1"/>
  <c r="AD24" i="1"/>
  <c r="BB24" i="1" s="1"/>
  <c r="AE24" i="1"/>
  <c r="BC24" i="1" s="1"/>
  <c r="AF24" i="1"/>
  <c r="BD24" i="1" s="1"/>
  <c r="AG24" i="1"/>
  <c r="BE24" i="1" s="1"/>
  <c r="AH24" i="1"/>
  <c r="BF24" i="1" s="1"/>
  <c r="AI24" i="1"/>
  <c r="BG24" i="1" s="1"/>
  <c r="AJ24" i="1"/>
  <c r="BH24" i="1" s="1"/>
  <c r="AK24" i="1"/>
  <c r="BI24" i="1" s="1"/>
  <c r="AL24" i="1"/>
  <c r="BJ24" i="1" s="1"/>
  <c r="AM24" i="1"/>
  <c r="BK24" i="1" s="1"/>
  <c r="AN24" i="1"/>
  <c r="AO24" i="1"/>
  <c r="BM24" i="1" s="1"/>
  <c r="AP24" i="1"/>
  <c r="BN24" i="1" s="1"/>
  <c r="AQ24" i="1"/>
  <c r="BO24" i="1" s="1"/>
  <c r="AR24" i="1"/>
  <c r="BP24" i="1" s="1"/>
  <c r="AS24" i="1"/>
  <c r="BQ24" i="1" s="1"/>
  <c r="AT24" i="1"/>
  <c r="BR24" i="1" s="1"/>
  <c r="Z25" i="1"/>
  <c r="AX25" i="1" s="1"/>
  <c r="AA25" i="1"/>
  <c r="AY25" i="1" s="1"/>
  <c r="AB25" i="1"/>
  <c r="AZ25" i="1" s="1"/>
  <c r="AC25" i="1"/>
  <c r="BA25" i="1" s="1"/>
  <c r="AD25" i="1"/>
  <c r="BB25" i="1" s="1"/>
  <c r="AE25" i="1"/>
  <c r="BC25" i="1" s="1"/>
  <c r="AF25" i="1"/>
  <c r="BD25" i="1" s="1"/>
  <c r="AG25" i="1"/>
  <c r="BE25" i="1" s="1"/>
  <c r="AH25" i="1"/>
  <c r="BF25" i="1" s="1"/>
  <c r="AI25" i="1"/>
  <c r="BG25" i="1" s="1"/>
  <c r="AJ25" i="1"/>
  <c r="BH25" i="1" s="1"/>
  <c r="AK25" i="1"/>
  <c r="BI25" i="1" s="1"/>
  <c r="AL25" i="1"/>
  <c r="BJ25" i="1" s="1"/>
  <c r="AM25" i="1"/>
  <c r="BK25" i="1" s="1"/>
  <c r="AN25" i="1"/>
  <c r="BL25" i="1" s="1"/>
  <c r="AO25" i="1"/>
  <c r="BM25" i="1" s="1"/>
  <c r="AP25" i="1"/>
  <c r="BN25" i="1" s="1"/>
  <c r="AQ25" i="1"/>
  <c r="BO25" i="1" s="1"/>
  <c r="AR25" i="1"/>
  <c r="BP25" i="1" s="1"/>
  <c r="AS25" i="1"/>
  <c r="BQ25" i="1" s="1"/>
  <c r="AT25" i="1"/>
  <c r="BR25" i="1" s="1"/>
  <c r="Z26" i="1"/>
  <c r="AX26" i="1" s="1"/>
  <c r="AA26" i="1"/>
  <c r="AY26" i="1" s="1"/>
  <c r="AB26" i="1"/>
  <c r="AZ26" i="1" s="1"/>
  <c r="AC26" i="1"/>
  <c r="BA26" i="1" s="1"/>
  <c r="AD26" i="1"/>
  <c r="BB26" i="1" s="1"/>
  <c r="AE26" i="1"/>
  <c r="BC26" i="1" s="1"/>
  <c r="AF26" i="1"/>
  <c r="BD26" i="1" s="1"/>
  <c r="AG26" i="1"/>
  <c r="BE26" i="1" s="1"/>
  <c r="AH26" i="1"/>
  <c r="BF26" i="1" s="1"/>
  <c r="AI26" i="1"/>
  <c r="BG26" i="1" s="1"/>
  <c r="AJ26" i="1"/>
  <c r="BH26" i="1" s="1"/>
  <c r="AK26" i="1"/>
  <c r="BI26" i="1" s="1"/>
  <c r="AL26" i="1"/>
  <c r="BJ26" i="1" s="1"/>
  <c r="AM26" i="1"/>
  <c r="BK26" i="1" s="1"/>
  <c r="AN26" i="1"/>
  <c r="BL26" i="1" s="1"/>
  <c r="AO26" i="1"/>
  <c r="BM26" i="1" s="1"/>
  <c r="AP26" i="1"/>
  <c r="BN26" i="1" s="1"/>
  <c r="AQ26" i="1"/>
  <c r="BO26" i="1" s="1"/>
  <c r="AR26" i="1"/>
  <c r="BP26" i="1" s="1"/>
  <c r="AS26" i="1"/>
  <c r="BQ26" i="1" s="1"/>
  <c r="AT26" i="1"/>
  <c r="BR26" i="1" s="1"/>
  <c r="Z27" i="1"/>
  <c r="AX27" i="1" s="1"/>
  <c r="AA27" i="1"/>
  <c r="AY27" i="1" s="1"/>
  <c r="AB27" i="1"/>
  <c r="AZ27" i="1" s="1"/>
  <c r="AC27" i="1"/>
  <c r="BA27" i="1" s="1"/>
  <c r="AD27" i="1"/>
  <c r="BB27" i="1" s="1"/>
  <c r="AE27" i="1"/>
  <c r="BC27" i="1" s="1"/>
  <c r="AF27" i="1"/>
  <c r="BD27" i="1" s="1"/>
  <c r="AG27" i="1"/>
  <c r="BE27" i="1" s="1"/>
  <c r="AH27" i="1"/>
  <c r="BF27" i="1" s="1"/>
  <c r="AI27" i="1"/>
  <c r="BG27" i="1" s="1"/>
  <c r="AJ27" i="1"/>
  <c r="BH27" i="1" s="1"/>
  <c r="AK27" i="1"/>
  <c r="BI27" i="1" s="1"/>
  <c r="AL27" i="1"/>
  <c r="BJ27" i="1" s="1"/>
  <c r="AM27" i="1"/>
  <c r="BK27" i="1" s="1"/>
  <c r="AN27" i="1"/>
  <c r="BL27" i="1" s="1"/>
  <c r="AO27" i="1"/>
  <c r="BM27" i="1" s="1"/>
  <c r="AP27" i="1"/>
  <c r="BN27" i="1" s="1"/>
  <c r="AQ27" i="1"/>
  <c r="BO27" i="1" s="1"/>
  <c r="AR27" i="1"/>
  <c r="BP27" i="1" s="1"/>
  <c r="AS27" i="1"/>
  <c r="BQ27" i="1" s="1"/>
  <c r="AT27" i="1"/>
  <c r="BR27" i="1" s="1"/>
  <c r="Z28" i="1"/>
  <c r="AX28" i="1" s="1"/>
  <c r="AA28" i="1"/>
  <c r="AY28" i="1" s="1"/>
  <c r="AB28" i="1"/>
  <c r="AZ28" i="1" s="1"/>
  <c r="AC28" i="1"/>
  <c r="BA28" i="1" s="1"/>
  <c r="AD28" i="1"/>
  <c r="BB28" i="1" s="1"/>
  <c r="AE28" i="1"/>
  <c r="BC28" i="1" s="1"/>
  <c r="AF28" i="1"/>
  <c r="BD28" i="1" s="1"/>
  <c r="AG28" i="1"/>
  <c r="BE28" i="1" s="1"/>
  <c r="AH28" i="1"/>
  <c r="BF28" i="1" s="1"/>
  <c r="AI28" i="1"/>
  <c r="BG28" i="1" s="1"/>
  <c r="AJ28" i="1"/>
  <c r="BH28" i="1" s="1"/>
  <c r="AK28" i="1"/>
  <c r="BI28" i="1" s="1"/>
  <c r="AL28" i="1"/>
  <c r="BJ28" i="1" s="1"/>
  <c r="AM28" i="1"/>
  <c r="BK28" i="1" s="1"/>
  <c r="AN28" i="1"/>
  <c r="BL28" i="1" s="1"/>
  <c r="AO28" i="1"/>
  <c r="BM28" i="1" s="1"/>
  <c r="AP28" i="1"/>
  <c r="BN28" i="1" s="1"/>
  <c r="AQ28" i="1"/>
  <c r="BO28" i="1" s="1"/>
  <c r="AR28" i="1"/>
  <c r="BP28" i="1" s="1"/>
  <c r="AS28" i="1"/>
  <c r="BQ28" i="1" s="1"/>
  <c r="AT28" i="1"/>
  <c r="BR28" i="1" s="1"/>
  <c r="Z29" i="1"/>
  <c r="AX29" i="1" s="1"/>
  <c r="AA29" i="1"/>
  <c r="AY29" i="1" s="1"/>
  <c r="AB29" i="1"/>
  <c r="AZ29" i="1" s="1"/>
  <c r="AC29" i="1"/>
  <c r="BA29" i="1" s="1"/>
  <c r="AD29" i="1"/>
  <c r="BB29" i="1" s="1"/>
  <c r="AE29" i="1"/>
  <c r="BC29" i="1" s="1"/>
  <c r="AF29" i="1"/>
  <c r="BD29" i="1" s="1"/>
  <c r="AG29" i="1"/>
  <c r="BE29" i="1" s="1"/>
  <c r="AH29" i="1"/>
  <c r="BF29" i="1" s="1"/>
  <c r="AI29" i="1"/>
  <c r="BG29" i="1" s="1"/>
  <c r="AJ29" i="1"/>
  <c r="BH29" i="1" s="1"/>
  <c r="AK29" i="1"/>
  <c r="BI29" i="1" s="1"/>
  <c r="AL29" i="1"/>
  <c r="AM29" i="1"/>
  <c r="BK29" i="1" s="1"/>
  <c r="AN29" i="1"/>
  <c r="BL29" i="1" s="1"/>
  <c r="AO29" i="1"/>
  <c r="BM29" i="1" s="1"/>
  <c r="AP29" i="1"/>
  <c r="BN29" i="1" s="1"/>
  <c r="AQ29" i="1"/>
  <c r="BO29" i="1" s="1"/>
  <c r="AR29" i="1"/>
  <c r="BP29" i="1" s="1"/>
  <c r="AS29" i="1"/>
  <c r="BQ29" i="1" s="1"/>
  <c r="AT29" i="1"/>
  <c r="BR29" i="1" s="1"/>
  <c r="Z30" i="1"/>
  <c r="AX30" i="1" s="1"/>
  <c r="AA30" i="1"/>
  <c r="AY30" i="1" s="1"/>
  <c r="AB30" i="1"/>
  <c r="AZ30" i="1" s="1"/>
  <c r="AC30" i="1"/>
  <c r="BA30" i="1" s="1"/>
  <c r="AD30" i="1"/>
  <c r="BB30" i="1" s="1"/>
  <c r="AE30" i="1"/>
  <c r="BC30" i="1" s="1"/>
  <c r="AF30" i="1"/>
  <c r="BD30" i="1" s="1"/>
  <c r="AG30" i="1"/>
  <c r="AH30" i="1"/>
  <c r="BF30" i="1" s="1"/>
  <c r="AI30" i="1"/>
  <c r="BG30" i="1" s="1"/>
  <c r="AJ30" i="1"/>
  <c r="BH30" i="1" s="1"/>
  <c r="AK30" i="1"/>
  <c r="BI30" i="1" s="1"/>
  <c r="AL30" i="1"/>
  <c r="BJ30" i="1" s="1"/>
  <c r="AM30" i="1"/>
  <c r="BK30" i="1" s="1"/>
  <c r="AN30" i="1"/>
  <c r="BL30" i="1" s="1"/>
  <c r="AO30" i="1"/>
  <c r="BM30" i="1" s="1"/>
  <c r="AP30" i="1"/>
  <c r="BN30" i="1" s="1"/>
  <c r="AQ30" i="1"/>
  <c r="BO30" i="1" s="1"/>
  <c r="AR30" i="1"/>
  <c r="BP30" i="1" s="1"/>
  <c r="AS30" i="1"/>
  <c r="BQ30" i="1" s="1"/>
  <c r="AT30" i="1"/>
  <c r="BR30" i="1" s="1"/>
  <c r="Z31" i="1"/>
  <c r="AX31" i="1" s="1"/>
  <c r="AA31" i="1"/>
  <c r="AY31" i="1" s="1"/>
  <c r="AB31" i="1"/>
  <c r="AZ31" i="1" s="1"/>
  <c r="AC31" i="1"/>
  <c r="BA31" i="1" s="1"/>
  <c r="AD31" i="1"/>
  <c r="BB31" i="1" s="1"/>
  <c r="AE31" i="1"/>
  <c r="BC31" i="1" s="1"/>
  <c r="AF31" i="1"/>
  <c r="BD31" i="1" s="1"/>
  <c r="AG31" i="1"/>
  <c r="BE31" i="1" s="1"/>
  <c r="AH31" i="1"/>
  <c r="BF31" i="1" s="1"/>
  <c r="AI31" i="1"/>
  <c r="BG31" i="1" s="1"/>
  <c r="AJ31" i="1"/>
  <c r="BH31" i="1" s="1"/>
  <c r="AK31" i="1"/>
  <c r="BI31" i="1" s="1"/>
  <c r="AL31" i="1"/>
  <c r="BJ31" i="1" s="1"/>
  <c r="AM31" i="1"/>
  <c r="BK31" i="1" s="1"/>
  <c r="AN31" i="1"/>
  <c r="BL31" i="1" s="1"/>
  <c r="AO31" i="1"/>
  <c r="BM31" i="1" s="1"/>
  <c r="AP31" i="1"/>
  <c r="BN31" i="1" s="1"/>
  <c r="AQ31" i="1"/>
  <c r="BO31" i="1" s="1"/>
  <c r="AR31" i="1"/>
  <c r="BP31" i="1" s="1"/>
  <c r="AS31" i="1"/>
  <c r="BQ31" i="1" s="1"/>
  <c r="AT31" i="1"/>
  <c r="BR31" i="1" s="1"/>
  <c r="Z32" i="1"/>
  <c r="AX32" i="1" s="1"/>
  <c r="AA32" i="1"/>
  <c r="AY32" i="1" s="1"/>
  <c r="AB32" i="1"/>
  <c r="AZ32" i="1" s="1"/>
  <c r="AC32" i="1"/>
  <c r="BA32" i="1" s="1"/>
  <c r="AD32" i="1"/>
  <c r="BB32" i="1" s="1"/>
  <c r="AE32" i="1"/>
  <c r="BC32" i="1" s="1"/>
  <c r="AF32" i="1"/>
  <c r="BD32" i="1" s="1"/>
  <c r="AG32" i="1"/>
  <c r="BE32" i="1" s="1"/>
  <c r="AH32" i="1"/>
  <c r="BF32" i="1" s="1"/>
  <c r="AI32" i="1"/>
  <c r="BG32" i="1" s="1"/>
  <c r="AJ32" i="1"/>
  <c r="BH32" i="1" s="1"/>
  <c r="AK32" i="1"/>
  <c r="BI32" i="1" s="1"/>
  <c r="AL32" i="1"/>
  <c r="BJ32" i="1" s="1"/>
  <c r="AM32" i="1"/>
  <c r="BK32" i="1" s="1"/>
  <c r="AN32" i="1"/>
  <c r="BL32" i="1" s="1"/>
  <c r="AO32" i="1"/>
  <c r="BM32" i="1" s="1"/>
  <c r="AP32" i="1"/>
  <c r="BN32" i="1" s="1"/>
  <c r="AQ32" i="1"/>
  <c r="BO32" i="1" s="1"/>
  <c r="AR32" i="1"/>
  <c r="BP32" i="1" s="1"/>
  <c r="AS32" i="1"/>
  <c r="BQ32" i="1" s="1"/>
  <c r="AT32" i="1"/>
  <c r="BR32" i="1" s="1"/>
  <c r="Z33" i="1"/>
  <c r="AX33" i="1" s="1"/>
  <c r="AA33" i="1"/>
  <c r="AY33" i="1" s="1"/>
  <c r="AB33" i="1"/>
  <c r="AZ33" i="1" s="1"/>
  <c r="AC33" i="1"/>
  <c r="BA33" i="1" s="1"/>
  <c r="AD33" i="1"/>
  <c r="BB33" i="1" s="1"/>
  <c r="AE33" i="1"/>
  <c r="BC33" i="1" s="1"/>
  <c r="AF33" i="1"/>
  <c r="BD33" i="1" s="1"/>
  <c r="AG33" i="1"/>
  <c r="BE33" i="1" s="1"/>
  <c r="AH33" i="1"/>
  <c r="BF33" i="1" s="1"/>
  <c r="AI33" i="1"/>
  <c r="AJ33" i="1"/>
  <c r="BH33" i="1" s="1"/>
  <c r="AK33" i="1"/>
  <c r="BI33" i="1" s="1"/>
  <c r="AL33" i="1"/>
  <c r="BJ33" i="1" s="1"/>
  <c r="AM33" i="1"/>
  <c r="BK33" i="1" s="1"/>
  <c r="AN33" i="1"/>
  <c r="BL33" i="1" s="1"/>
  <c r="AO33" i="1"/>
  <c r="BM33" i="1" s="1"/>
  <c r="AP33" i="1"/>
  <c r="AQ33" i="1"/>
  <c r="BO33" i="1" s="1"/>
  <c r="AR33" i="1"/>
  <c r="BP33" i="1" s="1"/>
  <c r="AS33" i="1"/>
  <c r="BQ33" i="1" s="1"/>
  <c r="AT33" i="1"/>
  <c r="BR33" i="1" s="1"/>
  <c r="Z34" i="1"/>
  <c r="AX34" i="1" s="1"/>
  <c r="AA34" i="1"/>
  <c r="AY34" i="1" s="1"/>
  <c r="AB34" i="1"/>
  <c r="AZ34" i="1" s="1"/>
  <c r="AC34" i="1"/>
  <c r="BA34" i="1" s="1"/>
  <c r="AD34" i="1"/>
  <c r="BB34" i="1" s="1"/>
  <c r="AE34" i="1"/>
  <c r="BC34" i="1" s="1"/>
  <c r="AF34" i="1"/>
  <c r="BD34" i="1" s="1"/>
  <c r="AG34" i="1"/>
  <c r="BE34" i="1" s="1"/>
  <c r="AH34" i="1"/>
  <c r="BF34" i="1" s="1"/>
  <c r="AI34" i="1"/>
  <c r="BG34" i="1" s="1"/>
  <c r="AJ34" i="1"/>
  <c r="BH34" i="1" s="1"/>
  <c r="AK34" i="1"/>
  <c r="BI34" i="1" s="1"/>
  <c r="AL34" i="1"/>
  <c r="BJ34" i="1" s="1"/>
  <c r="AM34" i="1"/>
  <c r="BK34" i="1" s="1"/>
  <c r="AN34" i="1"/>
  <c r="BL34" i="1" s="1"/>
  <c r="AO34" i="1"/>
  <c r="BM34" i="1" s="1"/>
  <c r="AP34" i="1"/>
  <c r="BN34" i="1" s="1"/>
  <c r="AQ34" i="1"/>
  <c r="BO34" i="1" s="1"/>
  <c r="AR34" i="1"/>
  <c r="BP34" i="1" s="1"/>
  <c r="AS34" i="1"/>
  <c r="BQ34" i="1" s="1"/>
  <c r="AT34" i="1"/>
  <c r="BR34" i="1" s="1"/>
  <c r="Z35" i="1"/>
  <c r="AX35" i="1" s="1"/>
  <c r="AA35" i="1"/>
  <c r="AY35" i="1" s="1"/>
  <c r="AB35" i="1"/>
  <c r="AZ35" i="1" s="1"/>
  <c r="AC35" i="1"/>
  <c r="BA35" i="1" s="1"/>
  <c r="AD35" i="1"/>
  <c r="BB35" i="1" s="1"/>
  <c r="AE35" i="1"/>
  <c r="BC35" i="1" s="1"/>
  <c r="AF35" i="1"/>
  <c r="BD35" i="1" s="1"/>
  <c r="AG35" i="1"/>
  <c r="BE35" i="1" s="1"/>
  <c r="AH35" i="1"/>
  <c r="BF35" i="1" s="1"/>
  <c r="AI35" i="1"/>
  <c r="BG35" i="1" s="1"/>
  <c r="AJ35" i="1"/>
  <c r="BH35" i="1" s="1"/>
  <c r="AK35" i="1"/>
  <c r="BI35" i="1" s="1"/>
  <c r="AL35" i="1"/>
  <c r="BJ35" i="1" s="1"/>
  <c r="AM35" i="1"/>
  <c r="BK35" i="1" s="1"/>
  <c r="AN35" i="1"/>
  <c r="BL35" i="1" s="1"/>
  <c r="AO35" i="1"/>
  <c r="BM35" i="1" s="1"/>
  <c r="AP35" i="1"/>
  <c r="BN35" i="1" s="1"/>
  <c r="AQ35" i="1"/>
  <c r="BO35" i="1" s="1"/>
  <c r="AR35" i="1"/>
  <c r="BP35" i="1" s="1"/>
  <c r="AS35" i="1"/>
  <c r="BQ35" i="1" s="1"/>
  <c r="AT35" i="1"/>
  <c r="BR35" i="1" s="1"/>
  <c r="Z36" i="1"/>
  <c r="AX36" i="1" s="1"/>
  <c r="AA36" i="1"/>
  <c r="AY36" i="1" s="1"/>
  <c r="AB36" i="1"/>
  <c r="AZ36" i="1" s="1"/>
  <c r="AC36" i="1"/>
  <c r="BA36" i="1" s="1"/>
  <c r="AD36" i="1"/>
  <c r="BB36" i="1" s="1"/>
  <c r="AE36" i="1"/>
  <c r="BC36" i="1" s="1"/>
  <c r="AF36" i="1"/>
  <c r="BD36" i="1" s="1"/>
  <c r="AG36" i="1"/>
  <c r="BE36" i="1" s="1"/>
  <c r="AH36" i="1"/>
  <c r="BF36" i="1" s="1"/>
  <c r="AI36" i="1"/>
  <c r="AJ36" i="1"/>
  <c r="BH36" i="1" s="1"/>
  <c r="AK36" i="1"/>
  <c r="BI36" i="1" s="1"/>
  <c r="AL36" i="1"/>
  <c r="BJ36" i="1" s="1"/>
  <c r="AM36" i="1"/>
  <c r="BK36" i="1" s="1"/>
  <c r="AN36" i="1"/>
  <c r="BL36" i="1" s="1"/>
  <c r="AO36" i="1"/>
  <c r="BM36" i="1" s="1"/>
  <c r="AP36" i="1"/>
  <c r="BN36" i="1" s="1"/>
  <c r="AQ36" i="1"/>
  <c r="AR36" i="1"/>
  <c r="BP36" i="1" s="1"/>
  <c r="AS36" i="1"/>
  <c r="BQ36" i="1" s="1"/>
  <c r="AT36" i="1"/>
  <c r="BR36" i="1" s="1"/>
  <c r="Z37" i="1"/>
  <c r="AX37" i="1" s="1"/>
  <c r="AA37" i="1"/>
  <c r="AY37" i="1" s="1"/>
  <c r="AB37" i="1"/>
  <c r="AZ37" i="1" s="1"/>
  <c r="AC37" i="1"/>
  <c r="BA37" i="1" s="1"/>
  <c r="AD37" i="1"/>
  <c r="BB37" i="1" s="1"/>
  <c r="AE37" i="1"/>
  <c r="BC37" i="1" s="1"/>
  <c r="AF37" i="1"/>
  <c r="BD37" i="1" s="1"/>
  <c r="AG37" i="1"/>
  <c r="BE37" i="1" s="1"/>
  <c r="AH37" i="1"/>
  <c r="BF37" i="1" s="1"/>
  <c r="AI37" i="1"/>
  <c r="BG37" i="1" s="1"/>
  <c r="AJ37" i="1"/>
  <c r="BH37" i="1" s="1"/>
  <c r="AK37" i="1"/>
  <c r="BI37" i="1" s="1"/>
  <c r="AL37" i="1"/>
  <c r="BJ37" i="1" s="1"/>
  <c r="AM37" i="1"/>
  <c r="BK37" i="1" s="1"/>
  <c r="AN37" i="1"/>
  <c r="BL37" i="1" s="1"/>
  <c r="AO37" i="1"/>
  <c r="BM37" i="1" s="1"/>
  <c r="AP37" i="1"/>
  <c r="BN37" i="1" s="1"/>
  <c r="AQ37" i="1"/>
  <c r="BO37" i="1" s="1"/>
  <c r="AR37" i="1"/>
  <c r="BP37" i="1" s="1"/>
  <c r="AS37" i="1"/>
  <c r="BQ37" i="1" s="1"/>
  <c r="AT37" i="1"/>
  <c r="BR37" i="1" s="1"/>
  <c r="Z38" i="1"/>
  <c r="AX38" i="1" s="1"/>
  <c r="AA38" i="1"/>
  <c r="AY38" i="1" s="1"/>
  <c r="AB38" i="1"/>
  <c r="AZ38" i="1" s="1"/>
  <c r="AC38" i="1"/>
  <c r="BA38" i="1" s="1"/>
  <c r="AD38" i="1"/>
  <c r="BB38" i="1" s="1"/>
  <c r="AE38" i="1"/>
  <c r="BC38" i="1" s="1"/>
  <c r="AF38" i="1"/>
  <c r="BD38" i="1" s="1"/>
  <c r="AG38" i="1"/>
  <c r="BE38" i="1" s="1"/>
  <c r="AH38" i="1"/>
  <c r="BF38" i="1" s="1"/>
  <c r="AI38" i="1"/>
  <c r="BG38" i="1" s="1"/>
  <c r="AJ38" i="1"/>
  <c r="BH38" i="1" s="1"/>
  <c r="AK38" i="1"/>
  <c r="BI38" i="1" s="1"/>
  <c r="AL38" i="1"/>
  <c r="BJ38" i="1" s="1"/>
  <c r="AM38" i="1"/>
  <c r="BK38" i="1" s="1"/>
  <c r="AN38" i="1"/>
  <c r="BL38" i="1" s="1"/>
  <c r="AO38" i="1"/>
  <c r="BM38" i="1" s="1"/>
  <c r="AP38" i="1"/>
  <c r="BN38" i="1" s="1"/>
  <c r="AQ38" i="1"/>
  <c r="BO38" i="1" s="1"/>
  <c r="AR38" i="1"/>
  <c r="BP38" i="1" s="1"/>
  <c r="AS38" i="1"/>
  <c r="BQ38" i="1" s="1"/>
  <c r="AT38" i="1"/>
  <c r="BR38" i="1" s="1"/>
  <c r="Y4" i="1"/>
  <c r="AW4" i="1" s="1"/>
  <c r="Y5" i="1"/>
  <c r="AW5" i="1" s="1"/>
  <c r="Y6" i="1"/>
  <c r="AW6" i="1" s="1"/>
  <c r="Y7" i="1"/>
  <c r="AW7" i="1" s="1"/>
  <c r="Y8" i="1"/>
  <c r="AW8" i="1" s="1"/>
  <c r="Y9" i="1"/>
  <c r="AW9" i="1" s="1"/>
  <c r="Y10" i="1"/>
  <c r="AW10" i="1" s="1"/>
  <c r="Y11" i="1"/>
  <c r="AW11" i="1" s="1"/>
  <c r="Y12" i="1"/>
  <c r="AW12" i="1" s="1"/>
  <c r="Y13" i="1"/>
  <c r="AW13" i="1" s="1"/>
  <c r="Y14" i="1"/>
  <c r="Y15" i="1"/>
  <c r="AW15" i="1" s="1"/>
  <c r="Y16" i="1"/>
  <c r="AW16" i="1" s="1"/>
  <c r="Y17" i="1"/>
  <c r="AW17" i="1" s="1"/>
  <c r="Y18" i="1"/>
  <c r="AW18" i="1" s="1"/>
  <c r="Y19" i="1"/>
  <c r="AW19" i="1" s="1"/>
  <c r="Y20" i="1"/>
  <c r="AW20" i="1" s="1"/>
  <c r="Y21" i="1"/>
  <c r="AW21" i="1" s="1"/>
  <c r="Y22" i="1"/>
  <c r="Y23" i="1"/>
  <c r="AW23" i="1" s="1"/>
  <c r="Y24" i="1"/>
  <c r="AW24" i="1" s="1"/>
  <c r="Y25" i="1"/>
  <c r="AW25" i="1" s="1"/>
  <c r="Y26" i="1"/>
  <c r="AW26" i="1" s="1"/>
  <c r="Y27" i="1"/>
  <c r="AW27" i="1" s="1"/>
  <c r="Y28" i="1"/>
  <c r="AW28" i="1" s="1"/>
  <c r="Y29" i="1"/>
  <c r="AW29" i="1" s="1"/>
  <c r="Y30" i="1"/>
  <c r="AW30" i="1" s="1"/>
  <c r="Y31" i="1"/>
  <c r="AW31" i="1" s="1"/>
  <c r="Y32" i="1"/>
  <c r="AW32" i="1" s="1"/>
  <c r="Y33" i="1"/>
  <c r="AW33" i="1" s="1"/>
  <c r="Y34" i="1"/>
  <c r="AW34" i="1" s="1"/>
  <c r="Y35" i="1"/>
  <c r="AW35" i="1" s="1"/>
  <c r="Y36" i="1"/>
  <c r="AW36" i="1" s="1"/>
  <c r="Y37" i="1"/>
  <c r="AW37" i="1" s="1"/>
  <c r="Y38" i="1"/>
  <c r="AW38" i="1" s="1"/>
  <c r="Y3" i="1"/>
  <c r="AW3" i="1" s="1"/>
  <c r="R4" i="2"/>
  <c r="R5" i="2" s="1"/>
  <c r="E4" i="2"/>
  <c r="E5" i="2" s="1"/>
  <c r="F4" i="2"/>
  <c r="F5" i="2" s="1"/>
  <c r="G4" i="2"/>
  <c r="G5" i="2" s="1"/>
  <c r="H4" i="2"/>
  <c r="H5" i="2" s="1"/>
  <c r="I4" i="2"/>
  <c r="I5" i="2" s="1"/>
  <c r="J4" i="2"/>
  <c r="J5" i="2" s="1"/>
  <c r="K4" i="2"/>
  <c r="K5" i="2" s="1"/>
  <c r="L4" i="2"/>
  <c r="L5" i="2" s="1"/>
  <c r="M4" i="2"/>
  <c r="M5" i="2" s="1"/>
  <c r="N4" i="2"/>
  <c r="N5" i="2" s="1"/>
  <c r="O4" i="2"/>
  <c r="O5" i="2" s="1"/>
  <c r="P4" i="2"/>
  <c r="P5" i="2" s="1"/>
  <c r="Q4" i="2"/>
  <c r="Q5" i="2" s="1"/>
  <c r="S4" i="2"/>
  <c r="S5" i="2" s="1"/>
  <c r="T4" i="2"/>
  <c r="T5" i="2" s="1"/>
  <c r="U4" i="2"/>
  <c r="U5" i="2" s="1"/>
  <c r="V4" i="2"/>
  <c r="V5" i="2" s="1"/>
  <c r="W4" i="2"/>
  <c r="W5" i="2" s="1"/>
  <c r="X4" i="2"/>
  <c r="X5" i="2" s="1"/>
  <c r="Y4" i="2"/>
  <c r="Y5" i="2" s="1"/>
  <c r="Z4" i="2"/>
  <c r="Z5" i="2" s="1"/>
  <c r="AA4" i="2"/>
  <c r="AA5" i="2" s="1"/>
  <c r="AB4" i="2"/>
  <c r="AB5" i="2" s="1"/>
  <c r="AC4" i="2"/>
  <c r="AC5" i="2" s="1"/>
  <c r="AD4" i="2"/>
  <c r="AD5" i="2" s="1"/>
  <c r="AE4" i="2"/>
  <c r="AE5" i="2" s="1"/>
  <c r="AF4" i="2"/>
  <c r="AF5" i="2" s="1"/>
  <c r="AG4" i="2"/>
  <c r="AG5" i="2" s="1"/>
  <c r="AH4" i="2"/>
  <c r="AH5" i="2" s="1"/>
  <c r="AI4" i="2"/>
  <c r="AI5" i="2" s="1"/>
  <c r="AJ4" i="2"/>
  <c r="AJ5" i="2" s="1"/>
  <c r="AK4" i="2"/>
  <c r="AK5" i="2" s="1"/>
  <c r="AL4" i="2"/>
  <c r="AL5" i="2" s="1"/>
  <c r="D4" i="2"/>
  <c r="D5" i="2" s="1"/>
  <c r="CE34" i="1" a="1"/>
  <c r="CE66" i="1" a="1"/>
  <c r="CE63" i="1" a="1"/>
  <c r="BV188" i="1" a="1"/>
  <c r="BV477" i="1" a="1"/>
  <c r="L52" i="2" a="1"/>
  <c r="BV616" i="1" a="1"/>
  <c r="BV168" i="1" a="1"/>
  <c r="BV108" i="1" a="1"/>
  <c r="BV685" i="1" a="1"/>
  <c r="BV432" i="1" a="1"/>
  <c r="BV224" i="1" a="1"/>
  <c r="BV313" i="1" a="1"/>
  <c r="CE32" i="1" a="1"/>
  <c r="BV405" i="1" a="1"/>
  <c r="BV625" i="1" a="1"/>
  <c r="BV111" i="1" a="1"/>
  <c r="BV358" i="1" a="1"/>
  <c r="BV500" i="1" a="1"/>
  <c r="BV441" i="1" a="1"/>
  <c r="BV120" i="1" a="1"/>
  <c r="BV612" i="1" a="1"/>
  <c r="CE14" i="1" a="1"/>
  <c r="BV603" i="1" a="1"/>
  <c r="BV150" i="1" a="1"/>
  <c r="BV609" i="1" a="1"/>
  <c r="BV36" i="1" a="1"/>
  <c r="BV819" i="1" a="1"/>
  <c r="BV827" i="1" a="1"/>
  <c r="BV394" i="1" a="1"/>
  <c r="BV202" i="1" a="1"/>
  <c r="BV617" i="1" a="1"/>
  <c r="BV436" i="1" a="1"/>
  <c r="L74" i="2" a="1"/>
  <c r="BV170" i="1" a="1"/>
  <c r="BV501" i="1" a="1"/>
  <c r="BV115" i="1" a="1"/>
  <c r="BV174" i="1" a="1"/>
  <c r="CE50" i="1" a="1"/>
  <c r="L10" i="2" a="1"/>
  <c r="CE26" i="1" a="1"/>
  <c r="BV209" i="1" a="1"/>
  <c r="BV343" i="1" a="1"/>
  <c r="BV515" i="1" a="1"/>
  <c r="BV829" i="1" a="1"/>
  <c r="BV590" i="1" a="1"/>
  <c r="L19" i="2" a="1"/>
  <c r="BV521" i="1" a="1"/>
  <c r="BV554" i="1" a="1"/>
  <c r="BV777" i="1" a="1"/>
  <c r="CE55" i="1" a="1"/>
  <c r="BV772" i="1" a="1"/>
  <c r="BV600" i="1" a="1"/>
  <c r="BV450" i="1" a="1"/>
  <c r="BV723" i="1" a="1"/>
  <c r="BV64" i="1" a="1"/>
  <c r="BV726" i="1" a="1"/>
  <c r="L18" i="2" a="1"/>
  <c r="BV725" i="1" a="1"/>
  <c r="BV71" i="1" a="1"/>
  <c r="L9" i="2" a="1"/>
  <c r="BV822" i="1" a="1"/>
  <c r="BV794" i="1" a="1"/>
  <c r="BV834" i="1" a="1"/>
  <c r="BV702" i="1" a="1"/>
  <c r="CE27" i="1" a="1"/>
  <c r="BV715" i="1" a="1"/>
  <c r="BV671" i="1" a="1"/>
  <c r="BV288" i="1" a="1"/>
  <c r="BV502" i="1" a="1"/>
  <c r="BV440" i="1" a="1"/>
  <c r="BV291" i="1" a="1"/>
  <c r="BV826" i="1" a="1"/>
  <c r="BV690" i="1" a="1"/>
  <c r="BV524" i="1" a="1"/>
  <c r="BV804" i="1" a="1"/>
  <c r="BV217" i="1" a="1"/>
  <c r="BV349" i="1" a="1"/>
  <c r="BV572" i="1" a="1"/>
  <c r="BV390" i="1" a="1"/>
  <c r="BV618" i="1" a="1"/>
  <c r="L63" i="2" a="1"/>
  <c r="BV438" i="1" a="1"/>
  <c r="L50" i="2" a="1"/>
  <c r="BV56" i="1" a="1"/>
  <c r="BV20" i="1" a="1"/>
  <c r="L55" i="2" a="1"/>
  <c r="BV654" i="1" a="1"/>
  <c r="BV546" i="1" a="1"/>
  <c r="BV541" i="1" a="1"/>
  <c r="BV159" i="1" a="1"/>
  <c r="L31" i="2" a="1"/>
  <c r="BV243" i="1" a="1"/>
  <c r="BV274" i="1" a="1"/>
  <c r="BV85" i="1" a="1"/>
  <c r="BV490" i="1" a="1"/>
  <c r="BV314" i="1" a="1"/>
  <c r="BV350" i="1" a="1"/>
  <c r="BV104" i="1" a="1"/>
  <c r="BV226" i="1" a="1"/>
  <c r="BV648" i="1" a="1"/>
  <c r="BV680" i="1" a="1"/>
  <c r="BV695" i="1" a="1"/>
  <c r="L53" i="2" a="1"/>
  <c r="BV99" i="1" a="1"/>
  <c r="BV3" i="1" a="1"/>
  <c r="BV830" i="1" a="1"/>
  <c r="BV388" i="1" a="1"/>
  <c r="BV788" i="1" a="1"/>
  <c r="BV583" i="1" a="1"/>
  <c r="BV112" i="1" a="1"/>
  <c r="BV559" i="1" a="1"/>
  <c r="BV31" i="1" a="1"/>
  <c r="BV656" i="1" a="1"/>
  <c r="BV795" i="1" a="1"/>
  <c r="BV589" i="1" a="1"/>
  <c r="BV584" i="1" a="1"/>
  <c r="BV747" i="1" a="1"/>
  <c r="BV62" i="1" a="1"/>
  <c r="BV766" i="1" a="1"/>
  <c r="BV745" i="1" a="1"/>
  <c r="BV661" i="1" a="1"/>
  <c r="BV811" i="1" a="1"/>
  <c r="BV722" i="1" a="1"/>
  <c r="BV545" i="1" a="1"/>
  <c r="CE59" i="1" a="1"/>
  <c r="CE28" i="1" a="1"/>
  <c r="BV254" i="1" a="1"/>
  <c r="BV191" i="1" a="1"/>
  <c r="L60" i="2" a="1"/>
  <c r="BV799" i="1" a="1"/>
  <c r="BV586" i="1" a="1"/>
  <c r="BV53" i="1" a="1"/>
  <c r="BV257" i="1" a="1"/>
  <c r="BV507" i="1" a="1"/>
  <c r="BV634" i="1" a="1"/>
  <c r="CE17" i="1" a="1"/>
  <c r="CE64" i="1" a="1"/>
  <c r="L16" i="2" a="1"/>
  <c r="BV703" i="1" a="1"/>
  <c r="BV775" i="1" a="1"/>
  <c r="BV376" i="1" a="1"/>
  <c r="BV279" i="1" a="1"/>
  <c r="BV181" i="1" a="1"/>
  <c r="BV790" i="1" a="1"/>
  <c r="BV6" i="1" a="1"/>
  <c r="CE46" i="1" a="1"/>
  <c r="BV354" i="1" a="1"/>
  <c r="L43" i="2" a="1"/>
  <c r="BV796" i="1" a="1"/>
  <c r="L68" i="2" a="1"/>
  <c r="BV325" i="1" a="1"/>
  <c r="BV206" i="1" a="1"/>
  <c r="BV146" i="1" a="1"/>
  <c r="BV721" i="1" a="1"/>
  <c r="BV841" i="1" a="1"/>
  <c r="BV12" i="1" a="1"/>
  <c r="BV54" i="1" a="1"/>
  <c r="BV166" i="1" a="1"/>
  <c r="BV845" i="1" a="1"/>
  <c r="BV132" i="1" a="1"/>
  <c r="BV165" i="1" a="1"/>
  <c r="CE11" i="1" a="1"/>
  <c r="BV828" i="1" a="1"/>
  <c r="CE58" i="1" a="1"/>
  <c r="BV801" i="1" a="1"/>
  <c r="BV152" i="1" a="1"/>
  <c r="BV195" i="1" a="1"/>
  <c r="L73" i="2" a="1"/>
  <c r="BV645" i="1" a="1"/>
  <c r="CE13" i="1" a="1"/>
  <c r="CE60" i="1" a="1"/>
  <c r="BV370" i="1" a="1"/>
  <c r="BV768" i="1" a="1"/>
  <c r="BV840" i="1" a="1"/>
  <c r="BV285" i="1" a="1"/>
  <c r="BV156" i="1" a="1"/>
  <c r="BV193" i="1" a="1"/>
  <c r="BV127" i="1" a="1"/>
  <c r="BV504" i="1" a="1"/>
  <c r="BV295" i="1" a="1"/>
  <c r="CE49" i="1" a="1"/>
  <c r="BV688" i="1" a="1"/>
  <c r="BV476" i="1" a="1"/>
  <c r="BV136" i="1" a="1"/>
  <c r="BV848" i="1" a="1"/>
  <c r="BV700" i="1" a="1"/>
  <c r="BV837" i="1" a="1"/>
  <c r="BV84" i="1" a="1"/>
  <c r="BV265" i="1" a="1"/>
  <c r="BV752" i="1" a="1"/>
  <c r="CE7" i="1" a="1"/>
  <c r="BV353" i="1" a="1"/>
  <c r="BV750" i="1" a="1"/>
  <c r="BV164" i="1" a="1"/>
  <c r="BV691" i="1" a="1"/>
  <c r="L11" i="2" a="1"/>
  <c r="BV562" i="1" a="1"/>
  <c r="BV428" i="1" a="1"/>
  <c r="BV244" i="1" a="1"/>
  <c r="BV399" i="1" a="1"/>
  <c r="BV850" i="1" a="1"/>
  <c r="BV414" i="1" a="1"/>
  <c r="BV446" i="1" a="1"/>
  <c r="BV555" i="1" a="1"/>
  <c r="BV207" i="1" a="1"/>
  <c r="L76" i="2" a="1"/>
  <c r="CE43" i="1" a="1"/>
  <c r="BV266" i="1" a="1"/>
  <c r="CE19" i="1" a="1"/>
  <c r="BV183" i="1" a="1"/>
  <c r="BV496" i="1" a="1"/>
  <c r="BV408" i="1" a="1"/>
  <c r="BV176" i="1" a="1"/>
  <c r="BV552" i="1" a="1"/>
  <c r="BV824" i="1" a="1"/>
  <c r="BV805" i="1" a="1"/>
  <c r="BV91" i="1" a="1"/>
  <c r="CE5" i="1" a="1"/>
  <c r="CE52" i="1" a="1"/>
  <c r="BV420" i="1" a="1"/>
  <c r="BV605" i="1" a="1"/>
  <c r="L22" i="2" a="1"/>
  <c r="BV322" i="1" a="1"/>
  <c r="BV449" i="1" a="1"/>
  <c r="BV178" i="1" a="1"/>
  <c r="L71" i="2" a="1"/>
  <c r="BV148" i="1" a="1"/>
  <c r="BV346" i="1" a="1"/>
  <c r="BV387" i="1" a="1"/>
  <c r="BV624" i="1" a="1"/>
  <c r="BV14" i="1" a="1"/>
  <c r="BV17" i="1" a="1"/>
  <c r="BV297" i="1" a="1"/>
  <c r="CE4" i="1" a="1"/>
  <c r="BV831" i="1" a="1"/>
  <c r="BV113" i="1" a="1"/>
  <c r="BV485" i="1" a="1"/>
  <c r="BV462" i="1" a="1"/>
  <c r="BV791" i="1" a="1"/>
  <c r="BV637" i="1" a="1"/>
  <c r="BV162" i="1" a="1"/>
  <c r="BV467" i="1" a="1"/>
  <c r="CE54" i="1" a="1"/>
  <c r="BV364" i="1" a="1"/>
  <c r="BV498" i="1" a="1"/>
  <c r="L29" i="2" a="1"/>
  <c r="BV738" i="1" a="1"/>
  <c r="BV508" i="1" a="1"/>
  <c r="BV316" i="1" a="1"/>
  <c r="BV518" i="1" a="1"/>
  <c r="BV198" i="1" a="1"/>
  <c r="BV106" i="1" a="1"/>
  <c r="BV495" i="1" a="1"/>
  <c r="BV177" i="1" a="1"/>
  <c r="BV222" i="1" a="1"/>
  <c r="BV66" i="1" a="1"/>
  <c r="BV151" i="1" a="1"/>
  <c r="CE56" i="1" a="1"/>
  <c r="BV538" i="1" a="1"/>
  <c r="BV626" i="1" a="1"/>
  <c r="BV478" i="1" a="1"/>
  <c r="BV19" i="1" a="1"/>
  <c r="BV780" i="1" a="1"/>
  <c r="BV748" i="1" a="1"/>
  <c r="BV39" i="1" a="1"/>
  <c r="BV270" i="1" a="1"/>
  <c r="BV434" i="1" a="1"/>
  <c r="BV252" i="1" a="1"/>
  <c r="BV732" i="1" a="1"/>
  <c r="BV734" i="1" a="1"/>
  <c r="BV24" i="1" a="1"/>
  <c r="BV770" i="1" a="1"/>
  <c r="BV693" i="1" a="1"/>
  <c r="L27" i="2" a="1"/>
  <c r="BV392" i="1" a="1"/>
  <c r="BV599" i="1" a="1"/>
  <c r="CE24" i="1" a="1"/>
  <c r="BV225" i="1" a="1"/>
  <c r="BV836" i="1" a="1"/>
  <c r="BV758" i="1" a="1"/>
  <c r="BV567" i="1" a="1"/>
  <c r="BV262" i="1" a="1"/>
  <c r="BV620" i="1" a="1"/>
  <c r="BV374" i="1" a="1"/>
  <c r="BV389" i="1" a="1"/>
  <c r="BV125" i="1" a="1"/>
  <c r="BV421" i="1" a="1"/>
  <c r="BV849" i="1" a="1"/>
  <c r="BV260" i="1" a="1"/>
  <c r="L47" i="2" a="1"/>
  <c r="BV273" i="1" a="1"/>
  <c r="BV544" i="1" a="1"/>
  <c r="BV754" i="1" a="1"/>
  <c r="BV427" i="1" a="1"/>
  <c r="BV759" i="1" a="1"/>
  <c r="CE45" i="1" a="1"/>
  <c r="BV308" i="1" a="1"/>
  <c r="BV833" i="1" a="1"/>
  <c r="L34" i="2" a="1"/>
  <c r="BV192" i="1" a="1"/>
  <c r="BV37" i="1" a="1"/>
  <c r="BV341" i="1" a="1"/>
  <c r="BV82" i="1" a="1"/>
  <c r="BV30" i="1" a="1"/>
  <c r="BV223" i="1" a="1"/>
  <c r="BV591" i="1" a="1"/>
  <c r="CE10" i="1" a="1"/>
  <c r="BV242" i="1" a="1"/>
  <c r="BV43" i="1" a="1"/>
  <c r="BV549" i="1" a="1"/>
  <c r="BV468" i="1" a="1"/>
  <c r="BV172" i="1" a="1"/>
  <c r="BV235" i="1" a="1"/>
  <c r="BV426" i="1" a="1"/>
  <c r="BV674" i="1" a="1"/>
  <c r="BV698" i="1" a="1"/>
  <c r="CE39" i="1" a="1"/>
  <c r="BV699" i="1" a="1"/>
  <c r="BV33" i="1" a="1"/>
  <c r="BV69" i="1" a="1"/>
  <c r="BV380" i="1" a="1"/>
  <c r="L23" i="2" a="1"/>
  <c r="BV47" i="1" a="1"/>
  <c r="BV326" i="1" a="1"/>
  <c r="BV737" i="1" a="1"/>
  <c r="BV381" i="1" a="1"/>
  <c r="BV167" i="1" a="1"/>
  <c r="BV576" i="1" a="1"/>
  <c r="BV456" i="1" a="1"/>
  <c r="L42" i="2" a="1"/>
  <c r="BV425" i="1" a="1"/>
  <c r="BV802" i="1" a="1"/>
  <c r="CE8" i="1" a="1"/>
  <c r="BV131" i="1" a="1"/>
  <c r="CE51" i="1" a="1"/>
  <c r="BV109" i="1" a="1"/>
  <c r="BV79" i="1" a="1"/>
  <c r="BV491" i="1" a="1"/>
  <c r="BV95" i="1" a="1"/>
  <c r="BV735" i="1" a="1"/>
  <c r="BV267" i="1" a="1"/>
  <c r="BV377" i="1" a="1"/>
  <c r="BV256" i="1" a="1"/>
  <c r="CE37" i="1" a="1"/>
  <c r="BV247" i="1" a="1"/>
  <c r="BV290" i="1" a="1"/>
  <c r="BV730" i="1" a="1"/>
  <c r="BV470" i="1" a="1"/>
  <c r="BV821" i="1" a="1"/>
  <c r="BV486" i="1" a="1"/>
  <c r="BV302" i="1" a="1"/>
  <c r="BV437" i="1" a="1"/>
  <c r="BV578" i="1" a="1"/>
  <c r="BV781" i="1" a="1"/>
  <c r="BV189" i="1" a="1"/>
  <c r="BV581" i="1" a="1"/>
  <c r="BV250" i="1" a="1"/>
  <c r="BV48" i="1" a="1"/>
  <c r="BV363" i="1" a="1"/>
  <c r="BV101" i="1" a="1"/>
  <c r="BV23" i="1" a="1"/>
  <c r="BV372" i="1" a="1"/>
  <c r="BV110" i="1" a="1"/>
  <c r="BV514" i="1" a="1"/>
  <c r="BV528" i="1" a="1"/>
  <c r="BV670" i="1" a="1"/>
  <c r="BV140" i="1" a="1"/>
  <c r="BV138" i="1" a="1"/>
  <c r="BV629" i="1" a="1"/>
  <c r="BV568" i="1" a="1"/>
  <c r="BV676" i="1" a="1"/>
  <c r="BV7" i="1" a="1"/>
  <c r="BV182" i="1" a="1"/>
  <c r="BV340" i="1" a="1"/>
  <c r="BV724" i="1" a="1"/>
  <c r="BV736" i="1" a="1"/>
  <c r="BV711" i="1" a="1"/>
  <c r="BV213" i="1" a="1"/>
  <c r="BV814" i="1" a="1"/>
  <c r="BV422" i="1" a="1"/>
  <c r="BV320" i="1" a="1"/>
  <c r="BV431" i="1" a="1"/>
  <c r="BV391" i="1" a="1"/>
  <c r="BV435" i="1" a="1"/>
  <c r="CE47" i="1" a="1"/>
  <c r="BV416" i="1" a="1"/>
  <c r="BV838" i="1" a="1"/>
  <c r="BV333" i="1" a="1"/>
  <c r="BV276" i="1" a="1"/>
  <c r="BV86" i="1" a="1"/>
  <c r="BV652" i="1" a="1"/>
  <c r="BV540" i="1" a="1"/>
  <c r="CE61" i="1" a="1"/>
  <c r="CE12" i="1" a="1"/>
  <c r="BV557" i="1" a="1"/>
  <c r="BV298" i="1" a="1"/>
  <c r="BV753" i="1" a="1"/>
  <c r="BV489" i="1" a="1"/>
  <c r="BV409" i="1" a="1"/>
  <c r="L25" i="2" a="1"/>
  <c r="BV513" i="1" a="1"/>
  <c r="BV448" i="1" a="1"/>
  <c r="L69" i="2" a="1"/>
  <c r="BV596" i="1" a="1"/>
  <c r="BV57" i="1" a="1"/>
  <c r="BV510" i="1" a="1"/>
  <c r="BV371" i="1" a="1"/>
  <c r="BV632" i="1" a="1"/>
  <c r="BV539" i="1" a="1"/>
  <c r="BV143" i="1" a="1"/>
  <c r="BV25" i="1" a="1"/>
  <c r="BV473" i="1" a="1"/>
  <c r="BV763" i="1" a="1"/>
  <c r="BV218" i="1" a="1"/>
  <c r="BV757" i="1" a="1"/>
  <c r="BV452" i="1" a="1"/>
  <c r="BV815" i="1" a="1"/>
  <c r="BV94" i="1" a="1"/>
  <c r="BV523" i="1" a="1"/>
  <c r="BV761" i="1" a="1"/>
  <c r="BV742" i="1" a="1"/>
  <c r="BV720" i="1" a="1"/>
  <c r="CE6" i="1" a="1"/>
  <c r="BV38" i="1" a="1"/>
  <c r="BV765" i="1" a="1"/>
  <c r="BV263" i="1" a="1"/>
  <c r="BV356" i="1" a="1"/>
  <c r="BV215" i="1" a="1"/>
  <c r="BV516" i="1" a="1"/>
  <c r="L61" i="2" a="1"/>
  <c r="L26" i="2" a="1"/>
  <c r="BV712" i="1" a="1"/>
  <c r="BV58" i="1" a="1"/>
  <c r="CE42" i="1" a="1"/>
  <c r="L30" i="2" a="1"/>
  <c r="L45" i="2" a="1"/>
  <c r="BV635" i="1" a="1"/>
  <c r="BV216" i="1" a="1"/>
  <c r="BV246" i="1" a="1"/>
  <c r="BV282" i="1" a="1"/>
  <c r="BV852" i="1" a="1"/>
  <c r="BV682" i="1" a="1"/>
  <c r="BV455" i="1" a="1"/>
  <c r="CE71" i="1" a="1"/>
  <c r="BV506" i="1" a="1"/>
  <c r="BV331" i="1" a="1"/>
  <c r="BV692" i="1" a="1"/>
  <c r="BV5" i="1" a="1"/>
  <c r="BV194" i="1" a="1"/>
  <c r="BV696" i="1" a="1"/>
  <c r="BV517" i="1" a="1"/>
  <c r="BV271" i="1" a="1"/>
  <c r="BV550" i="1" a="1"/>
  <c r="L59" i="2" a="1"/>
  <c r="BV28" i="1" a="1"/>
  <c r="BV701" i="1" a="1"/>
  <c r="BV330" i="1" a="1"/>
  <c r="BV525" i="1" a="1"/>
  <c r="L72" i="2" a="1"/>
  <c r="CE40" i="1" a="1"/>
  <c r="BV337" i="1" a="1"/>
  <c r="CE16" i="1" a="1"/>
  <c r="BV733" i="1" a="1"/>
  <c r="BV378" i="1" a="1"/>
  <c r="BV126" i="1" a="1"/>
  <c r="BV551" i="1" a="1"/>
  <c r="BV344" i="1" a="1"/>
  <c r="BV413" i="1" a="1"/>
  <c r="BV673" i="1" a="1"/>
  <c r="BV339" i="1" a="1"/>
  <c r="CE69" i="1" a="1"/>
  <c r="BV494" i="1" a="1"/>
  <c r="BV248" i="1" a="1"/>
  <c r="BV180" i="1" a="1"/>
  <c r="BV729" i="1" a="1"/>
  <c r="L75" i="2" a="1"/>
  <c r="BV643" i="1" a="1"/>
  <c r="L48" i="2" a="1"/>
  <c r="BV751" i="1" a="1"/>
  <c r="BV719" i="1" a="1"/>
  <c r="BV607" i="1" a="1"/>
  <c r="BV764" i="1" a="1"/>
  <c r="BV445" i="1" a="1"/>
  <c r="BV593" i="1" a="1"/>
  <c r="BV423" i="1" a="1"/>
  <c r="BV488" i="1" a="1"/>
  <c r="L46" i="2" a="1"/>
  <c r="L54" i="2" a="1"/>
  <c r="BV561" i="1" a="1"/>
  <c r="BV251" i="1" a="1"/>
  <c r="BV185" i="1" a="1"/>
  <c r="BV457" i="1" a="1"/>
  <c r="BV231" i="1" a="1"/>
  <c r="BV336" i="1" a="1"/>
  <c r="BV398" i="1" a="1"/>
  <c r="BV803" i="1" a="1"/>
  <c r="BV598" i="1" a="1"/>
  <c r="BV442" i="1" a="1"/>
  <c r="BV149" i="1" a="1"/>
  <c r="BV261" i="1" a="1"/>
  <c r="BV70" i="1" a="1"/>
  <c r="BV471" i="1" a="1"/>
  <c r="CE15" i="1" a="1"/>
  <c r="BV342" i="1" a="1"/>
  <c r="BV662" i="1" a="1"/>
  <c r="BV842" i="1" a="1"/>
  <c r="BV186" i="1" a="1"/>
  <c r="BV556" i="1" a="1"/>
  <c r="BV705" i="1" a="1"/>
  <c r="BV233" i="1" a="1"/>
  <c r="BV677" i="1" a="1"/>
  <c r="BV68" i="1" a="1"/>
  <c r="BV451" i="1" a="1"/>
  <c r="BV769" i="1" a="1"/>
  <c r="BV153" i="1" a="1"/>
  <c r="BV602" i="1" a="1"/>
  <c r="BV83" i="1" a="1"/>
  <c r="BV197" i="1" a="1"/>
  <c r="BV704" i="1" a="1"/>
  <c r="BV63" i="1" a="1"/>
  <c r="BV825" i="1" a="1"/>
  <c r="BV667" i="1" a="1"/>
  <c r="BV200" i="1" a="1"/>
  <c r="BV459" i="1" a="1"/>
  <c r="BV713" i="1" a="1"/>
  <c r="BV482" i="1" a="1"/>
  <c r="BV835" i="1" a="1"/>
  <c r="BV219" i="1" a="1"/>
  <c r="BV641" i="1" a="1"/>
  <c r="BV306" i="1" a="1"/>
  <c r="BV577" i="1" a="1"/>
  <c r="BV694" i="1" a="1"/>
  <c r="BV608" i="1" a="1"/>
  <c r="BV480" i="1" a="1"/>
  <c r="BV287" i="1" a="1"/>
  <c r="BV382" i="1" a="1"/>
  <c r="BV384" i="1" a="1"/>
  <c r="BV847" i="1" a="1"/>
  <c r="BV304" i="1" a="1"/>
  <c r="L79" i="2" a="1"/>
  <c r="BV714" i="1" a="1"/>
  <c r="BV707" i="1" a="1"/>
  <c r="CE9" i="1" a="1"/>
  <c r="CE38" i="1" a="1"/>
  <c r="BV199" i="1" a="1"/>
  <c r="BV672" i="1" a="1"/>
  <c r="BV60" i="1" a="1"/>
  <c r="BV832" i="1" a="1"/>
  <c r="BV221" i="1" a="1"/>
  <c r="BV774" i="1" a="1"/>
  <c r="BV44" i="1" a="1"/>
  <c r="BV241" i="1" a="1"/>
  <c r="BV122" i="1" a="1"/>
  <c r="BV718" i="1" a="1"/>
  <c r="CE74" i="1" a="1"/>
  <c r="BV553" i="1" a="1"/>
  <c r="BV657" i="1" a="1"/>
  <c r="BV309" i="1" a="1"/>
  <c r="BV615" i="1" a="1"/>
  <c r="BV184" i="1" a="1"/>
  <c r="BV689" i="1" a="1"/>
  <c r="BV403" i="1" a="1"/>
  <c r="BV205" i="1" a="1"/>
  <c r="BV157" i="1" a="1"/>
  <c r="CE36" i="1" a="1"/>
  <c r="BV129" i="1" a="1"/>
  <c r="BV806" i="1" a="1"/>
  <c r="BV463" i="1" a="1"/>
  <c r="BV45" i="1" a="1"/>
  <c r="BV606" i="1" a="1"/>
  <c r="BV67" i="1" a="1"/>
  <c r="BV668" i="1" a="1"/>
  <c r="BV173" i="1" a="1"/>
  <c r="BV646" i="1" a="1"/>
  <c r="BV453" i="1" a="1"/>
  <c r="BV78" i="1" a="1"/>
  <c r="BV312" i="1" a="1"/>
  <c r="BV424" i="1" a="1"/>
  <c r="BV410" i="1" a="1"/>
  <c r="CE25" i="1" a="1"/>
  <c r="CE72" i="1" a="1"/>
  <c r="CE29" i="1" a="1"/>
  <c r="CE48" i="1" a="1"/>
  <c r="BV592" i="1" a="1"/>
  <c r="BV155" i="1" a="1"/>
  <c r="BV481" i="1" a="1"/>
  <c r="BV520" i="1" a="1"/>
  <c r="BV80" i="1" a="1"/>
  <c r="BV163" i="1" a="1"/>
  <c r="BV46" i="1" a="1"/>
  <c r="BV361" i="1" a="1"/>
  <c r="CE30" i="1" a="1"/>
  <c r="BV466" i="1" a="1"/>
  <c r="BV454" i="1" a="1"/>
  <c r="L24" i="2" a="1"/>
  <c r="BV484" i="1" a="1"/>
  <c r="BV22" i="1" a="1"/>
  <c r="BV229" i="1" a="1"/>
  <c r="BV13" i="1" a="1"/>
  <c r="BV709" i="1" a="1"/>
  <c r="BV161" i="1" a="1"/>
  <c r="BV234" i="1" a="1"/>
  <c r="BV563" i="1" a="1"/>
  <c r="BV362" i="1" a="1"/>
  <c r="BV357" i="1" a="1"/>
  <c r="BV640" i="1" a="1"/>
  <c r="BV212" i="1" a="1"/>
  <c r="BV347" i="1" a="1"/>
  <c r="BV324" i="1" a="1"/>
  <c r="BV16" i="1" a="1"/>
  <c r="BV118" i="1" a="1"/>
  <c r="BV776" i="1" a="1"/>
  <c r="BV294" i="1" a="1"/>
  <c r="BV411" i="1" a="1"/>
  <c r="BV369" i="1" a="1"/>
  <c r="BV419" i="1" a="1"/>
  <c r="BV669" i="1" a="1"/>
  <c r="BV558" i="1" a="1"/>
  <c r="BV439" i="1" a="1"/>
  <c r="L51" i="2" a="1"/>
  <c r="BV813" i="1" a="1"/>
  <c r="BV497" i="1" a="1"/>
  <c r="BV169" i="1" a="1"/>
  <c r="BV527" i="1" a="1"/>
  <c r="L33" i="2" a="1"/>
  <c r="L13" i="2" a="1"/>
  <c r="BV402" i="1" a="1"/>
  <c r="BV97" i="1" a="1"/>
  <c r="BV613" i="1" a="1"/>
  <c r="BV158" i="1" a="1"/>
  <c r="BV627" i="1" a="1"/>
  <c r="BV658" i="1" a="1"/>
  <c r="BV571" i="1" a="1"/>
  <c r="BV716" i="1" a="1"/>
  <c r="BV531" i="1" a="1"/>
  <c r="BV281" i="1" a="1"/>
  <c r="BV706" i="1" a="1"/>
  <c r="BV560" i="1" a="1"/>
  <c r="BV479" i="1" a="1"/>
  <c r="BV810" i="1" a="1"/>
  <c r="BV93" i="1" a="1"/>
  <c r="BV117" i="1" a="1"/>
  <c r="BV52" i="1" a="1"/>
  <c r="BV32" i="1" a="1"/>
  <c r="BV238" i="1" a="1"/>
  <c r="BV622" i="1" a="1"/>
  <c r="BV532" i="1" a="1"/>
  <c r="BV717" i="1" a="1"/>
  <c r="BV808" i="1" a="1"/>
  <c r="L65" i="2" a="1"/>
  <c r="BV75" i="1" a="1"/>
  <c r="BV259" i="1" a="1"/>
  <c r="BV232" i="1" a="1"/>
  <c r="BV638" i="1" a="1"/>
  <c r="BV98" i="1" a="1"/>
  <c r="BV400" i="1" a="1"/>
  <c r="BV395" i="1" a="1"/>
  <c r="BV760" i="1" a="1"/>
  <c r="CE44" i="1" a="1"/>
  <c r="BV179" i="1" a="1"/>
  <c r="BV175" i="1" a="1"/>
  <c r="BV103" i="1" a="1"/>
  <c r="L70" i="2" a="1"/>
  <c r="BV130" i="1" a="1"/>
  <c r="BV283" i="1" a="1"/>
  <c r="BV303" i="1" a="1"/>
  <c r="L36" i="2" a="1"/>
  <c r="CE73" i="1" a="1"/>
  <c r="CE70" i="1" a="1"/>
  <c r="BV433" i="1" a="1"/>
  <c r="L80" i="2" a="1"/>
  <c r="BV619" i="1" a="1"/>
  <c r="BV512" i="1" a="1"/>
  <c r="BV107" i="1" a="1"/>
  <c r="BV116" i="1" a="1"/>
  <c r="BV299" i="1" a="1"/>
  <c r="BV29" i="1" a="1"/>
  <c r="BV220" i="1" a="1"/>
  <c r="BV393" i="1" a="1"/>
  <c r="CE35" i="1" a="1"/>
  <c r="BV105" i="1" a="1"/>
  <c r="BV744" i="1" a="1"/>
  <c r="BV663" i="1" a="1"/>
  <c r="BV15" i="1" a="1"/>
  <c r="BV415" i="1" a="1"/>
  <c r="BV65" i="1" a="1"/>
  <c r="BV614" i="1" a="1"/>
  <c r="BV820" i="1" a="1"/>
  <c r="CE21" i="1" a="1"/>
  <c r="CE68" i="1" a="1"/>
  <c r="BV639" i="1" a="1"/>
  <c r="BV41" i="1" a="1"/>
  <c r="BV10" i="1" a="1"/>
  <c r="BV686" i="1" a="1"/>
  <c r="L15" i="2" a="1"/>
  <c r="BV310" i="1" a="1"/>
  <c r="BV844" i="1" a="1"/>
  <c r="BV280" i="1" a="1"/>
  <c r="L37" i="2" a="1"/>
  <c r="L58" i="2" a="1"/>
  <c r="BV543" i="1" a="1"/>
  <c r="BV264" i="1" a="1"/>
  <c r="BV797" i="1" a="1"/>
  <c r="BV289" i="1" a="1"/>
  <c r="CE57" i="1" a="1"/>
  <c r="BV505" i="1" a="1"/>
  <c r="CE33" i="1" a="1"/>
  <c r="CE3" i="1" a="1"/>
  <c r="BV406" i="1" a="1"/>
  <c r="BV401" i="1" a="1"/>
  <c r="BV604" i="1" a="1"/>
  <c r="BV542" i="1" a="1"/>
  <c r="L67" i="2" a="1"/>
  <c r="BV123" i="1" a="1"/>
  <c r="L38" i="2" a="1"/>
  <c r="BV469" i="1" a="1"/>
  <c r="CE62" i="1" a="1"/>
  <c r="BV564" i="1" a="1"/>
  <c r="BV50" i="1" a="1"/>
  <c r="BV458" i="1" a="1"/>
  <c r="BV460" i="1" a="1"/>
  <c r="BV659" i="1" a="1"/>
  <c r="BV588" i="1" a="1"/>
  <c r="BV522" i="1" a="1"/>
  <c r="L17" i="2" a="1"/>
  <c r="BV211" i="1" a="1"/>
  <c r="BV327" i="1" a="1"/>
  <c r="BV275" i="1" a="1"/>
  <c r="BV141" i="1" a="1"/>
  <c r="BV26" i="1" a="1"/>
  <c r="BV623" i="1" a="1"/>
  <c r="BV319" i="1" a="1"/>
  <c r="BV90" i="1" a="1"/>
  <c r="BV74" i="1" a="1"/>
  <c r="BV329" i="1" a="1"/>
  <c r="BV385" i="1" a="1"/>
  <c r="BV611" i="1" a="1"/>
  <c r="BV474" i="1" a="1"/>
  <c r="L41" i="2" a="1"/>
  <c r="BV240" i="1" a="1"/>
  <c r="BV321" i="1" a="1"/>
  <c r="BV351" i="1" a="1"/>
  <c r="BV681" i="1" a="1"/>
  <c r="BV139" i="1" a="1"/>
  <c r="BV579" i="1" a="1"/>
  <c r="L62" i="2" a="1"/>
  <c r="BV687" i="1" a="1"/>
  <c r="BV4" i="1" a="1"/>
  <c r="BV548" i="1" a="1"/>
  <c r="BV307" i="1" a="1"/>
  <c r="BV580" i="1" a="1"/>
  <c r="BV142" i="1" a="1"/>
  <c r="BV201" i="1" a="1"/>
  <c r="BV249" i="1" a="1"/>
  <c r="BV227" i="1" a="1"/>
  <c r="BV503" i="1" a="1"/>
  <c r="BV360" i="1" a="1"/>
  <c r="BV300" i="1" a="1"/>
  <c r="BV839" i="1" a="1"/>
  <c r="BV644" i="1" a="1"/>
  <c r="CE31" i="1" a="1"/>
  <c r="BV35" i="1" a="1"/>
  <c r="BV575" i="1" a="1"/>
  <c r="BV535" i="1" a="1"/>
  <c r="BV315" i="1" a="1"/>
  <c r="BV812" i="1" a="1"/>
  <c r="BV305" i="1" a="1"/>
  <c r="BV88" i="1" a="1"/>
  <c r="BV636" i="1" a="1"/>
  <c r="BV367" i="1" a="1"/>
  <c r="BV430" i="1" a="1"/>
  <c r="BV76" i="1" a="1"/>
  <c r="L12" i="2" a="1"/>
  <c r="BV258" i="1" a="1"/>
  <c r="BV21" i="1" a="1"/>
  <c r="BV710" i="1" a="1"/>
  <c r="BV851" i="1" a="1"/>
  <c r="BV461" i="1" a="1"/>
  <c r="BV137" i="1" a="1"/>
  <c r="BV55" i="1" a="1"/>
  <c r="BV269" i="1" a="1"/>
  <c r="BV786" i="1" a="1"/>
  <c r="BV286" i="1" a="1"/>
  <c r="BV746" i="1" a="1"/>
  <c r="BV767" i="1" a="1"/>
  <c r="BV582" i="1" a="1"/>
  <c r="BV464" i="1" a="1"/>
  <c r="BV664" i="1" a="1"/>
  <c r="BV800" i="1" a="1"/>
  <c r="BV383" i="1" a="1"/>
  <c r="L35" i="2" a="1"/>
  <c r="BV653" i="1" a="1"/>
  <c r="L56" i="2" a="1"/>
  <c r="BV236" i="1" a="1"/>
  <c r="CE53" i="1" a="1"/>
  <c r="BV678" i="1" a="1"/>
  <c r="BV771" i="1" a="1"/>
  <c r="BV208" i="1" a="1"/>
  <c r="BV128" i="1" a="1"/>
  <c r="BV683" i="1" a="1"/>
  <c r="BV853" i="1" a="1"/>
  <c r="BV366" i="1" a="1"/>
  <c r="BV214" i="1" a="1"/>
  <c r="CE20" i="1" a="1"/>
  <c r="BV798" i="1" a="1"/>
  <c r="BV204" i="1" a="1"/>
  <c r="BV396" i="1" a="1"/>
  <c r="BV40" i="1" a="1"/>
  <c r="BV255" i="1" a="1"/>
  <c r="BV679" i="1" a="1"/>
  <c r="BV318" i="1" a="1"/>
  <c r="BV412" i="1" a="1"/>
  <c r="BV345" i="1" a="1"/>
  <c r="BV660" i="1" a="1"/>
  <c r="BV782" i="1" a="1"/>
  <c r="BV253" i="1" a="1"/>
  <c r="BV102" i="1" a="1"/>
  <c r="BV487" i="1" a="1"/>
  <c r="BV59" i="1" a="1"/>
  <c r="BV323" i="1" a="1"/>
  <c r="BV100" i="1" a="1"/>
  <c r="BV697" i="1" a="1"/>
  <c r="BV144" i="1" a="1"/>
  <c r="BV465" i="1" a="1"/>
  <c r="BV755" i="1" a="1"/>
  <c r="L28" i="2" a="1"/>
  <c r="BV42" i="1" a="1"/>
  <c r="BV96" i="1" a="1"/>
  <c r="BV154" i="1" a="1"/>
  <c r="BV418" i="1" a="1"/>
  <c r="BV756" i="1" a="1"/>
  <c r="BV595" i="1" a="1"/>
  <c r="BV817" i="1" a="1"/>
  <c r="BV87" i="1" a="1"/>
  <c r="BV537" i="1" a="1"/>
  <c r="BV196" i="1" a="1"/>
  <c r="BV147" i="1" a="1"/>
  <c r="BV509" i="1" a="1"/>
  <c r="BV292" i="1" a="1"/>
  <c r="BV809" i="1" a="1"/>
  <c r="BV630" i="1" a="1"/>
  <c r="BV631" i="1" a="1"/>
  <c r="BV272" i="1" a="1"/>
  <c r="BV762" i="1" a="1"/>
  <c r="BV332" i="1" a="1"/>
  <c r="BV843" i="1" a="1"/>
  <c r="L20" i="2" a="1"/>
  <c r="BV210" i="1" a="1"/>
  <c r="BV444" i="1" a="1"/>
  <c r="BV785" i="1" a="1"/>
  <c r="BV649" i="1" a="1"/>
  <c r="BV787" i="1" a="1"/>
  <c r="BV124" i="1" a="1"/>
  <c r="BV651" i="1" a="1"/>
  <c r="BV11" i="1" a="1"/>
  <c r="BV89" i="1" a="1"/>
  <c r="BV447" i="1" a="1"/>
  <c r="BV740" i="1" a="1"/>
  <c r="BV565" i="1" a="1"/>
  <c r="BV51" i="1" a="1"/>
  <c r="BV727" i="1" a="1"/>
  <c r="BV778" i="1" a="1"/>
  <c r="CE41" i="1" a="1"/>
  <c r="BV569" i="1" a="1"/>
  <c r="BV655" i="1" a="1"/>
  <c r="BV379" i="1" a="1"/>
  <c r="BV134" i="1" a="1"/>
  <c r="BV334" i="1" a="1"/>
  <c r="L14" i="2" a="1"/>
  <c r="BV511" i="1" a="1"/>
  <c r="BV731" i="1" a="1"/>
  <c r="BV570" i="1" a="1"/>
  <c r="L49" i="2" a="1"/>
  <c r="BV245" i="1" a="1"/>
  <c r="BV665" i="1" a="1"/>
  <c r="BV121" i="1" a="1"/>
  <c r="BV573" i="1" a="1"/>
  <c r="BV268" i="1" a="1"/>
  <c r="BV160" i="1" a="1"/>
  <c r="BV61" i="1" a="1"/>
  <c r="BV493" i="1" a="1"/>
  <c r="BV792" i="1" a="1"/>
  <c r="L44" i="2" a="1"/>
  <c r="BV534" i="1" a="1"/>
  <c r="BV816" i="1" a="1"/>
  <c r="BV348" i="1" a="1"/>
  <c r="CE23" i="1" a="1"/>
  <c r="BV335" i="1" a="1"/>
  <c r="BV784" i="1" a="1"/>
  <c r="BV793" i="1" a="1"/>
  <c r="BV650" i="1" a="1"/>
  <c r="BV666" i="1" a="1"/>
  <c r="L40" i="2" a="1"/>
  <c r="BV296" i="1" a="1"/>
  <c r="BV574" i="1" a="1"/>
  <c r="BV338" i="1" a="1"/>
  <c r="BV483" i="1" a="1"/>
  <c r="BV846" i="1" a="1"/>
  <c r="BV190" i="1" a="1"/>
  <c r="BV77" i="1" a="1"/>
  <c r="BV610" i="1" a="1"/>
  <c r="BV741" i="1" a="1"/>
  <c r="BV818" i="1" a="1"/>
  <c r="CE67" i="1" a="1"/>
  <c r="BV230" i="1" a="1"/>
  <c r="BV684" i="1" a="1"/>
  <c r="BV171" i="1" a="1"/>
  <c r="BV311" i="1" a="1"/>
  <c r="BV633" i="1" a="1"/>
  <c r="BV601" i="1" a="1"/>
  <c r="BV135" i="1" a="1"/>
  <c r="BV9" i="1" a="1"/>
  <c r="CE22" i="1" a="1"/>
  <c r="BV789" i="1" a="1"/>
  <c r="BV352" i="1" a="1"/>
  <c r="BV417" i="1" a="1"/>
  <c r="L78" i="2" a="1"/>
  <c r="BV203" i="1" a="1"/>
  <c r="BV301" i="1" a="1"/>
  <c r="BV397" i="1" a="1"/>
  <c r="BV472" i="1" a="1"/>
  <c r="BV526" i="1" a="1"/>
  <c r="BV647" i="1" a="1"/>
  <c r="BV475" i="1" a="1"/>
  <c r="L77" i="2" a="1"/>
  <c r="BV239" i="1" a="1"/>
  <c r="BV530" i="1" a="1"/>
  <c r="BV749" i="1" a="1"/>
  <c r="CE18" i="1" a="1"/>
  <c r="BV533" i="1" a="1"/>
  <c r="BV328" i="1" a="1"/>
  <c r="BV119" i="1" a="1"/>
  <c r="BV587" i="1" a="1"/>
  <c r="BV779" i="1" a="1"/>
  <c r="BV278" i="1" a="1"/>
  <c r="L39" i="2" a="1"/>
  <c r="BV73" i="1" a="1"/>
  <c r="BV597" i="1" a="1"/>
  <c r="BV365" i="1" a="1"/>
  <c r="BV519" i="1" a="1"/>
  <c r="BV359" i="1" a="1"/>
  <c r="BV277" i="1" a="1"/>
  <c r="BV492" i="1" a="1"/>
  <c r="BV443" i="1" a="1"/>
  <c r="L64" i="2" a="1"/>
  <c r="BV823" i="1" a="1"/>
  <c r="BV27" i="1" a="1"/>
  <c r="BV675" i="1" a="1"/>
  <c r="BV18" i="1" a="1"/>
  <c r="CE65" i="1" a="1"/>
  <c r="BV81" i="1" a="1"/>
  <c r="BV547" i="1" a="1"/>
  <c r="BV114" i="1" a="1"/>
  <c r="BV807" i="1" a="1"/>
  <c r="BV566" i="1" a="1"/>
  <c r="BV8" i="1" a="1"/>
  <c r="L32" i="2" a="1"/>
  <c r="BV628" i="1" a="1"/>
  <c r="BV187" i="1" a="1"/>
  <c r="BV708" i="1" a="1"/>
  <c r="BV34" i="1" a="1"/>
  <c r="BV355" i="1" a="1"/>
  <c r="BV72" i="1" a="1"/>
  <c r="BV407" i="1" a="1"/>
  <c r="BV621" i="1" a="1"/>
  <c r="BV317" i="1" a="1"/>
  <c r="BV529" i="1" a="1"/>
  <c r="BV375" i="1" a="1"/>
  <c r="BV373" i="1" a="1"/>
  <c r="BV133" i="1" a="1"/>
  <c r="BV773" i="1" a="1"/>
  <c r="BV237" i="1" a="1"/>
  <c r="BV49" i="1" a="1"/>
  <c r="BV284" i="1" a="1"/>
  <c r="BV368" i="1" a="1"/>
  <c r="BV429" i="1" a="1"/>
  <c r="BV92" i="1" a="1"/>
  <c r="BV594" i="1" a="1"/>
  <c r="L21" i="2" a="1"/>
  <c r="BV536" i="1" a="1"/>
  <c r="BV145" i="1" a="1"/>
  <c r="BV642" i="1" a="1"/>
  <c r="BV228" i="1" a="1"/>
  <c r="BV739" i="1" a="1"/>
  <c r="BV404" i="1" a="1"/>
  <c r="L57" i="2" a="1"/>
  <c r="BV293" i="1" a="1"/>
  <c r="BV728" i="1" a="1"/>
  <c r="L66" i="2" a="1"/>
  <c r="BV585" i="1" a="1"/>
  <c r="BV743" i="1" a="1"/>
  <c r="BV386" i="1" a="1"/>
  <c r="BV783" i="1" a="1"/>
  <c r="BV499" i="1" a="1"/>
  <c r="BV499" i="1" l="1"/>
  <c r="BV783" i="1"/>
  <c r="BV386" i="1"/>
  <c r="BV743" i="1"/>
  <c r="BV585" i="1"/>
  <c r="L66" i="2"/>
  <c r="BV728" i="1"/>
  <c r="BV293" i="1"/>
  <c r="L57" i="2"/>
  <c r="BV404" i="1"/>
  <c r="BV739" i="1"/>
  <c r="BV228" i="1"/>
  <c r="BV642" i="1"/>
  <c r="BV145" i="1"/>
  <c r="BV536" i="1"/>
  <c r="L21" i="2"/>
  <c r="BV594" i="1"/>
  <c r="BV92" i="1"/>
  <c r="BV429" i="1"/>
  <c r="BV368" i="1"/>
  <c r="BV284" i="1"/>
  <c r="BV49" i="1"/>
  <c r="BV237" i="1"/>
  <c r="BV773" i="1"/>
  <c r="BV133" i="1"/>
  <c r="BV373" i="1"/>
  <c r="BV375" i="1"/>
  <c r="BV529" i="1"/>
  <c r="BV317" i="1"/>
  <c r="BV621" i="1"/>
  <c r="BV407" i="1"/>
  <c r="BV72" i="1"/>
  <c r="BV355" i="1"/>
  <c r="BV34" i="1"/>
  <c r="BV708" i="1"/>
  <c r="BV187" i="1"/>
  <c r="BV628" i="1"/>
  <c r="L32" i="2"/>
  <c r="BV8" i="1"/>
  <c r="BV566" i="1"/>
  <c r="BV807" i="1"/>
  <c r="BV114" i="1"/>
  <c r="BV547" i="1"/>
  <c r="BV81" i="1"/>
  <c r="CE65" i="1"/>
  <c r="BV18" i="1"/>
  <c r="BV675" i="1"/>
  <c r="BV27" i="1"/>
  <c r="BV823" i="1"/>
  <c r="L64" i="2"/>
  <c r="BV443" i="1"/>
  <c r="BV492" i="1"/>
  <c r="BV277" i="1"/>
  <c r="BV359" i="1"/>
  <c r="BV519" i="1"/>
  <c r="BV365" i="1"/>
  <c r="BV597" i="1"/>
  <c r="BV73" i="1"/>
  <c r="L39" i="2"/>
  <c r="BV278" i="1"/>
  <c r="BV779" i="1"/>
  <c r="BV587" i="1"/>
  <c r="BV119" i="1"/>
  <c r="BV328" i="1"/>
  <c r="BV533" i="1"/>
  <c r="CE18" i="1"/>
  <c r="BV749" i="1"/>
  <c r="BV530" i="1"/>
  <c r="BV239" i="1"/>
  <c r="L77" i="2"/>
  <c r="BV475" i="1"/>
  <c r="BV647" i="1"/>
  <c r="BV526" i="1"/>
  <c r="BV472" i="1"/>
  <c r="BV397" i="1"/>
  <c r="BV301" i="1"/>
  <c r="BV203" i="1"/>
  <c r="L78" i="2"/>
  <c r="BV417" i="1"/>
  <c r="BV352" i="1"/>
  <c r="BV789" i="1"/>
  <c r="CE22" i="1"/>
  <c r="BV9" i="1"/>
  <c r="BV135" i="1"/>
  <c r="BV601" i="1"/>
  <c r="BV633" i="1"/>
  <c r="BV311" i="1"/>
  <c r="BV171" i="1"/>
  <c r="BV684" i="1"/>
  <c r="BV230" i="1"/>
  <c r="CE67" i="1"/>
  <c r="BV818" i="1"/>
  <c r="BV741" i="1"/>
  <c r="BV610" i="1"/>
  <c r="BV77" i="1"/>
  <c r="BV190" i="1"/>
  <c r="BV846" i="1"/>
  <c r="BV483" i="1"/>
  <c r="BV338" i="1"/>
  <c r="BV574" i="1"/>
  <c r="BV296" i="1"/>
  <c r="L40" i="2"/>
  <c r="BV666" i="1"/>
  <c r="BV650" i="1"/>
  <c r="BV793" i="1"/>
  <c r="BV784" i="1"/>
  <c r="BV335" i="1"/>
  <c r="CE23" i="1"/>
  <c r="BV348" i="1"/>
  <c r="BV816" i="1"/>
  <c r="BV534" i="1"/>
  <c r="L44" i="2"/>
  <c r="BV792" i="1"/>
  <c r="BV493" i="1"/>
  <c r="BV61" i="1"/>
  <c r="BV160" i="1"/>
  <c r="BV268" i="1"/>
  <c r="BV573" i="1"/>
  <c r="BV121" i="1"/>
  <c r="BV665" i="1"/>
  <c r="BV245" i="1"/>
  <c r="L49" i="2"/>
  <c r="BV570" i="1"/>
  <c r="BV731" i="1"/>
  <c r="BV511" i="1"/>
  <c r="L14" i="2"/>
  <c r="BV334" i="1"/>
  <c r="BV134" i="1"/>
  <c r="BV379" i="1"/>
  <c r="BV655" i="1"/>
  <c r="BV569" i="1"/>
  <c r="CE41" i="1"/>
  <c r="BV778" i="1"/>
  <c r="BV727" i="1"/>
  <c r="BV51" i="1"/>
  <c r="BV565" i="1"/>
  <c r="BV740" i="1"/>
  <c r="BV447" i="1"/>
  <c r="BV89" i="1"/>
  <c r="BV11" i="1"/>
  <c r="BV651" i="1"/>
  <c r="BV124" i="1"/>
  <c r="BV787" i="1"/>
  <c r="BV649" i="1"/>
  <c r="BV785" i="1"/>
  <c r="BV444" i="1"/>
  <c r="BV210" i="1"/>
  <c r="L20" i="2"/>
  <c r="BV843" i="1"/>
  <c r="BV332" i="1"/>
  <c r="BV762" i="1"/>
  <c r="BV272" i="1"/>
  <c r="BV631" i="1"/>
  <c r="BV630" i="1"/>
  <c r="BV809" i="1"/>
  <c r="BV292" i="1"/>
  <c r="BV509" i="1"/>
  <c r="BV147" i="1"/>
  <c r="BV196" i="1"/>
  <c r="BV537" i="1"/>
  <c r="BV87" i="1"/>
  <c r="BV817" i="1"/>
  <c r="BV595" i="1"/>
  <c r="BV756" i="1"/>
  <c r="BV418" i="1"/>
  <c r="BV154" i="1"/>
  <c r="BV96" i="1"/>
  <c r="BV42" i="1"/>
  <c r="L28" i="2"/>
  <c r="BV755" i="1"/>
  <c r="BV465" i="1"/>
  <c r="BV144" i="1"/>
  <c r="BV697" i="1"/>
  <c r="BV100" i="1"/>
  <c r="BV323" i="1"/>
  <c r="BV59" i="1"/>
  <c r="BV487" i="1"/>
  <c r="BV102" i="1"/>
  <c r="BV253" i="1"/>
  <c r="BV782" i="1"/>
  <c r="BV660" i="1"/>
  <c r="BV345" i="1"/>
  <c r="BV412" i="1"/>
  <c r="BV318" i="1"/>
  <c r="BV679" i="1"/>
  <c r="BV255" i="1"/>
  <c r="BV40" i="1"/>
  <c r="BV396" i="1"/>
  <c r="BV204" i="1"/>
  <c r="BV798" i="1"/>
  <c r="CE20" i="1"/>
  <c r="BV214" i="1"/>
  <c r="BV366" i="1"/>
  <c r="BV853" i="1"/>
  <c r="BV683" i="1"/>
  <c r="BV128" i="1"/>
  <c r="BV208" i="1"/>
  <c r="BV771" i="1"/>
  <c r="BV678" i="1"/>
  <c r="CE53" i="1"/>
  <c r="BV236" i="1"/>
  <c r="L56" i="2"/>
  <c r="BV653" i="1"/>
  <c r="L35" i="2"/>
  <c r="BV383" i="1"/>
  <c r="BV800" i="1"/>
  <c r="BV664" i="1"/>
  <c r="BV464" i="1"/>
  <c r="BV582" i="1"/>
  <c r="BV767" i="1"/>
  <c r="BV746" i="1"/>
  <c r="BV286" i="1"/>
  <c r="BV786" i="1"/>
  <c r="BV269" i="1"/>
  <c r="BV55" i="1"/>
  <c r="BV137" i="1"/>
  <c r="BV461" i="1"/>
  <c r="BV851" i="1"/>
  <c r="BV710" i="1"/>
  <c r="BV21" i="1"/>
  <c r="BV258" i="1"/>
  <c r="L12" i="2"/>
  <c r="BV76" i="1"/>
  <c r="BV430" i="1"/>
  <c r="BV367" i="1"/>
  <c r="BV636" i="1"/>
  <c r="BV88" i="1"/>
  <c r="BV305" i="1"/>
  <c r="BV812" i="1"/>
  <c r="BV315" i="1"/>
  <c r="BV535" i="1"/>
  <c r="BV575" i="1"/>
  <c r="BV35" i="1"/>
  <c r="CE31" i="1"/>
  <c r="BV644" i="1"/>
  <c r="BV839" i="1"/>
  <c r="BV300" i="1"/>
  <c r="BV360" i="1"/>
  <c r="BV503" i="1"/>
  <c r="BV227" i="1"/>
  <c r="BV249" i="1"/>
  <c r="BV201" i="1"/>
  <c r="BV142" i="1"/>
  <c r="BV580" i="1"/>
  <c r="BV307" i="1"/>
  <c r="BV548" i="1"/>
  <c r="BV4" i="1"/>
  <c r="BV687" i="1"/>
  <c r="L62" i="2"/>
  <c r="BV579" i="1"/>
  <c r="BV139" i="1"/>
  <c r="BV681" i="1"/>
  <c r="BV351" i="1"/>
  <c r="BV321" i="1"/>
  <c r="BV240" i="1"/>
  <c r="L41" i="2"/>
  <c r="BV474" i="1"/>
  <c r="BV611" i="1"/>
  <c r="BV385" i="1"/>
  <c r="BV329" i="1"/>
  <c r="BV74" i="1"/>
  <c r="BV90" i="1"/>
  <c r="BV319" i="1"/>
  <c r="BV623" i="1"/>
  <c r="BV26" i="1"/>
  <c r="BV141" i="1"/>
  <c r="BV275" i="1"/>
  <c r="BV327" i="1"/>
  <c r="BV211" i="1"/>
  <c r="L17" i="2"/>
  <c r="BV522" i="1"/>
  <c r="BV588" i="1"/>
  <c r="BV659" i="1"/>
  <c r="BV460" i="1"/>
  <c r="BV458" i="1"/>
  <c r="BV50" i="1"/>
  <c r="BV564" i="1"/>
  <c r="CE62" i="1"/>
  <c r="BV469" i="1"/>
  <c r="L38" i="2"/>
  <c r="BV123" i="1"/>
  <c r="L67" i="2"/>
  <c r="BV542" i="1"/>
  <c r="BV604" i="1"/>
  <c r="BV401" i="1"/>
  <c r="BV406" i="1"/>
  <c r="CE3" i="1"/>
  <c r="CE33" i="1"/>
  <c r="BV505" i="1"/>
  <c r="CE57" i="1"/>
  <c r="BV289" i="1"/>
  <c r="BV797" i="1"/>
  <c r="BV264" i="1"/>
  <c r="BV543" i="1"/>
  <c r="L58" i="2"/>
  <c r="L37" i="2"/>
  <c r="BV280" i="1"/>
  <c r="BV844" i="1"/>
  <c r="BV310" i="1"/>
  <c r="L15" i="2"/>
  <c r="BV686" i="1"/>
  <c r="BV10" i="1"/>
  <c r="BV41" i="1"/>
  <c r="BV639" i="1"/>
  <c r="CE68" i="1"/>
  <c r="CE21" i="1"/>
  <c r="BV820" i="1"/>
  <c r="BV614" i="1"/>
  <c r="BV65" i="1"/>
  <c r="BV415" i="1"/>
  <c r="BV15" i="1"/>
  <c r="BV663" i="1"/>
  <c r="BV744" i="1"/>
  <c r="BV105" i="1"/>
  <c r="CE35" i="1"/>
  <c r="BV393" i="1"/>
  <c r="BV220" i="1"/>
  <c r="BV29" i="1"/>
  <c r="BV299" i="1"/>
  <c r="BV116" i="1"/>
  <c r="BV107" i="1"/>
  <c r="BV512" i="1"/>
  <c r="BV619" i="1"/>
  <c r="L80" i="2"/>
  <c r="BV433" i="1"/>
  <c r="CE70" i="1"/>
  <c r="CE73" i="1"/>
  <c r="L36" i="2"/>
  <c r="BV303" i="1"/>
  <c r="BV283" i="1"/>
  <c r="BV130" i="1"/>
  <c r="L70" i="2"/>
  <c r="BV103" i="1"/>
  <c r="BV175" i="1"/>
  <c r="BV179" i="1"/>
  <c r="CE44" i="1"/>
  <c r="BV760" i="1"/>
  <c r="BV395" i="1"/>
  <c r="BV400" i="1"/>
  <c r="BV98" i="1"/>
  <c r="BV638" i="1"/>
  <c r="BV232" i="1"/>
  <c r="BV259" i="1"/>
  <c r="BV75" i="1"/>
  <c r="L65" i="2"/>
  <c r="BV808" i="1"/>
  <c r="BV717" i="1"/>
  <c r="BV532" i="1"/>
  <c r="BV622" i="1"/>
  <c r="BV238" i="1"/>
  <c r="BV32" i="1"/>
  <c r="BV52" i="1"/>
  <c r="BV117" i="1"/>
  <c r="BV93" i="1"/>
  <c r="BV810" i="1"/>
  <c r="BV479" i="1"/>
  <c r="BV560" i="1"/>
  <c r="BV706" i="1"/>
  <c r="BV281" i="1"/>
  <c r="BV531" i="1"/>
  <c r="BV716" i="1"/>
  <c r="BV571" i="1"/>
  <c r="BV658" i="1"/>
  <c r="BV627" i="1"/>
  <c r="BV158" i="1"/>
  <c r="BV613" i="1"/>
  <c r="BV97" i="1"/>
  <c r="BV402" i="1"/>
  <c r="L13" i="2"/>
  <c r="L33" i="2"/>
  <c r="BV527" i="1"/>
  <c r="BV169" i="1"/>
  <c r="BV497" i="1"/>
  <c r="BV813" i="1"/>
  <c r="L51" i="2"/>
  <c r="BV439" i="1"/>
  <c r="BV558" i="1"/>
  <c r="BV669" i="1"/>
  <c r="BV419" i="1"/>
  <c r="BV369" i="1"/>
  <c r="BV411" i="1"/>
  <c r="BV294" i="1"/>
  <c r="BV776" i="1"/>
  <c r="BV118" i="1"/>
  <c r="BV16" i="1"/>
  <c r="BV324" i="1"/>
  <c r="BV347" i="1"/>
  <c r="BV212" i="1"/>
  <c r="BV640" i="1"/>
  <c r="BV357" i="1"/>
  <c r="BV362" i="1"/>
  <c r="BV563" i="1"/>
  <c r="BV234" i="1"/>
  <c r="BV161" i="1"/>
  <c r="BV709" i="1"/>
  <c r="BV13" i="1"/>
  <c r="BV229" i="1"/>
  <c r="BV22" i="1"/>
  <c r="BV484" i="1"/>
  <c r="L24" i="2"/>
  <c r="BV454" i="1"/>
  <c r="BV466" i="1"/>
  <c r="CE30" i="1"/>
  <c r="BV361" i="1"/>
  <c r="BV46" i="1"/>
  <c r="BV163" i="1"/>
  <c r="BV80" i="1"/>
  <c r="BV520" i="1"/>
  <c r="BV481" i="1"/>
  <c r="BV155" i="1"/>
  <c r="BV592" i="1"/>
  <c r="CE48" i="1"/>
  <c r="CE29" i="1"/>
  <c r="CE72" i="1"/>
  <c r="CE25" i="1"/>
  <c r="BV410" i="1"/>
  <c r="BV424" i="1"/>
  <c r="BV312" i="1"/>
  <c r="BV78" i="1"/>
  <c r="BV453" i="1"/>
  <c r="BV646" i="1"/>
  <c r="BV173" i="1"/>
  <c r="BV668" i="1"/>
  <c r="BV67" i="1"/>
  <c r="BV606" i="1"/>
  <c r="BV45" i="1"/>
  <c r="BV463" i="1"/>
  <c r="BV806" i="1"/>
  <c r="BV129" i="1"/>
  <c r="CE36" i="1"/>
  <c r="BV157" i="1"/>
  <c r="BV205" i="1"/>
  <c r="BV403" i="1"/>
  <c r="BV689" i="1"/>
  <c r="BV184" i="1"/>
  <c r="BV615" i="1"/>
  <c r="BV309" i="1"/>
  <c r="BV657" i="1"/>
  <c r="BV553" i="1"/>
  <c r="CE74" i="1"/>
  <c r="BV718" i="1"/>
  <c r="BV122" i="1"/>
  <c r="BV241" i="1"/>
  <c r="BV44" i="1"/>
  <c r="BV774" i="1"/>
  <c r="BV221" i="1"/>
  <c r="BV832" i="1"/>
  <c r="BV60" i="1"/>
  <c r="BV672" i="1"/>
  <c r="BV199" i="1"/>
  <c r="CE38" i="1"/>
  <c r="CE9" i="1"/>
  <c r="BV707" i="1"/>
  <c r="BV714" i="1"/>
  <c r="L79" i="2"/>
  <c r="BV304" i="1"/>
  <c r="BV847" i="1"/>
  <c r="BV384" i="1"/>
  <c r="BV382" i="1"/>
  <c r="BV287" i="1"/>
  <c r="BV480" i="1"/>
  <c r="BV608" i="1"/>
  <c r="BV694" i="1"/>
  <c r="BV577" i="1"/>
  <c r="BV306" i="1"/>
  <c r="BV641" i="1"/>
  <c r="BV219" i="1"/>
  <c r="BV835" i="1"/>
  <c r="BV482" i="1"/>
  <c r="BV713" i="1"/>
  <c r="BV459" i="1"/>
  <c r="BV200" i="1"/>
  <c r="BV667" i="1"/>
  <c r="BV825" i="1"/>
  <c r="BV63" i="1"/>
  <c r="BV704" i="1"/>
  <c r="BV197" i="1"/>
  <c r="BV83" i="1"/>
  <c r="BV602" i="1"/>
  <c r="BV153" i="1"/>
  <c r="BV769" i="1"/>
  <c r="BV451" i="1"/>
  <c r="BV68" i="1"/>
  <c r="BV677" i="1"/>
  <c r="BV233" i="1"/>
  <c r="BV705" i="1"/>
  <c r="BV556" i="1"/>
  <c r="BV186" i="1"/>
  <c r="BV842" i="1"/>
  <c r="BV662" i="1"/>
  <c r="BV342" i="1"/>
  <c r="CE15" i="1"/>
  <c r="BV471" i="1"/>
  <c r="BV70" i="1"/>
  <c r="BV261" i="1"/>
  <c r="BV149" i="1"/>
  <c r="BV442" i="1"/>
  <c r="BV598" i="1"/>
  <c r="BV803" i="1"/>
  <c r="BV398" i="1"/>
  <c r="BV336" i="1"/>
  <c r="BV231" i="1"/>
  <c r="BV457" i="1"/>
  <c r="BV185" i="1"/>
  <c r="BV251" i="1"/>
  <c r="BV561" i="1"/>
  <c r="L54" i="2"/>
  <c r="L46" i="2"/>
  <c r="BV488" i="1"/>
  <c r="BV423" i="1"/>
  <c r="BV593" i="1"/>
  <c r="BV445" i="1"/>
  <c r="BV764" i="1"/>
  <c r="BV607" i="1"/>
  <c r="BV719" i="1"/>
  <c r="BV751" i="1"/>
  <c r="L48" i="2"/>
  <c r="BV643" i="1"/>
  <c r="L75" i="2"/>
  <c r="BV729" i="1"/>
  <c r="BV180" i="1"/>
  <c r="BV248" i="1"/>
  <c r="BV494" i="1"/>
  <c r="CE69" i="1"/>
  <c r="BV339" i="1"/>
  <c r="BV673" i="1"/>
  <c r="BV413" i="1"/>
  <c r="BV344" i="1"/>
  <c r="BV551" i="1"/>
  <c r="BV126" i="1"/>
  <c r="BV378" i="1"/>
  <c r="BV733" i="1"/>
  <c r="CE16" i="1"/>
  <c r="BV337" i="1"/>
  <c r="CE40" i="1"/>
  <c r="L72" i="2"/>
  <c r="BV525" i="1"/>
  <c r="BV330" i="1"/>
  <c r="BV701" i="1"/>
  <c r="BV28" i="1"/>
  <c r="L59" i="2"/>
  <c r="BV550" i="1"/>
  <c r="BV271" i="1"/>
  <c r="BV517" i="1"/>
  <c r="BV696" i="1"/>
  <c r="BV194" i="1"/>
  <c r="BV5" i="1"/>
  <c r="BV692" i="1"/>
  <c r="BV331" i="1"/>
  <c r="BV506" i="1"/>
  <c r="CE71" i="1"/>
  <c r="BV455" i="1"/>
  <c r="BV682" i="1"/>
  <c r="BV852" i="1"/>
  <c r="BV282" i="1"/>
  <c r="BV246" i="1"/>
  <c r="BV216" i="1"/>
  <c r="BV635" i="1"/>
  <c r="L45" i="2"/>
  <c r="L30" i="2"/>
  <c r="CE42" i="1"/>
  <c r="BV58" i="1"/>
  <c r="BV712" i="1"/>
  <c r="L26" i="2"/>
  <c r="L61" i="2"/>
  <c r="BV516" i="1"/>
  <c r="BV215" i="1"/>
  <c r="BV356" i="1"/>
  <c r="BV263" i="1"/>
  <c r="BV765" i="1"/>
  <c r="BV38" i="1"/>
  <c r="CE6" i="1"/>
  <c r="BV720" i="1"/>
  <c r="BV742" i="1"/>
  <c r="BV761" i="1"/>
  <c r="BV523" i="1"/>
  <c r="BV94" i="1"/>
  <c r="BV815" i="1"/>
  <c r="BV452" i="1"/>
  <c r="BV757" i="1"/>
  <c r="BV218" i="1"/>
  <c r="BV763" i="1"/>
  <c r="BV473" i="1"/>
  <c r="BV25" i="1"/>
  <c r="BV143" i="1"/>
  <c r="BV539" i="1"/>
  <c r="BV632" i="1"/>
  <c r="BV371" i="1"/>
  <c r="BV510" i="1"/>
  <c r="BV57" i="1"/>
  <c r="BV596" i="1"/>
  <c r="L69" i="2"/>
  <c r="BV448" i="1"/>
  <c r="BV513" i="1"/>
  <c r="L25" i="2"/>
  <c r="BV409" i="1"/>
  <c r="BV489" i="1"/>
  <c r="BV753" i="1"/>
  <c r="BV298" i="1"/>
  <c r="BV557" i="1"/>
  <c r="CE12" i="1"/>
  <c r="CE61" i="1"/>
  <c r="BV540" i="1"/>
  <c r="BV652" i="1"/>
  <c r="BV86" i="1"/>
  <c r="BV276" i="1"/>
  <c r="BV333" i="1"/>
  <c r="BV838" i="1"/>
  <c r="BV416" i="1"/>
  <c r="CE47" i="1"/>
  <c r="BV435" i="1"/>
  <c r="BV391" i="1"/>
  <c r="BV431" i="1"/>
  <c r="BV320" i="1"/>
  <c r="BV422" i="1"/>
  <c r="BV814" i="1"/>
  <c r="BV213" i="1"/>
  <c r="BV711" i="1"/>
  <c r="BV736" i="1"/>
  <c r="BV724" i="1"/>
  <c r="BV340" i="1"/>
  <c r="BV182" i="1"/>
  <c r="BV7" i="1"/>
  <c r="BV676" i="1"/>
  <c r="BV568" i="1"/>
  <c r="BV629" i="1"/>
  <c r="BV138" i="1"/>
  <c r="BV140" i="1"/>
  <c r="BV670" i="1"/>
  <c r="BV528" i="1"/>
  <c r="BV514" i="1"/>
  <c r="BV110" i="1"/>
  <c r="BV372" i="1"/>
  <c r="BV23" i="1"/>
  <c r="BV101" i="1"/>
  <c r="BV363" i="1"/>
  <c r="BV48" i="1"/>
  <c r="BV250" i="1"/>
  <c r="BV581" i="1"/>
  <c r="BV189" i="1"/>
  <c r="BV781" i="1"/>
  <c r="BV578" i="1"/>
  <c r="BV437" i="1"/>
  <c r="BV302" i="1"/>
  <c r="BV486" i="1"/>
  <c r="BV821" i="1"/>
  <c r="BV470" i="1"/>
  <c r="BV730" i="1"/>
  <c r="BV290" i="1"/>
  <c r="BV247" i="1"/>
  <c r="CE37" i="1"/>
  <c r="BV256" i="1"/>
  <c r="BV377" i="1"/>
  <c r="BV267" i="1"/>
  <c r="BV735" i="1"/>
  <c r="BV95" i="1"/>
  <c r="BV491" i="1"/>
  <c r="BV79" i="1"/>
  <c r="BV109" i="1"/>
  <c r="CE51" i="1"/>
  <c r="BV131" i="1"/>
  <c r="CE8" i="1"/>
  <c r="BV802" i="1"/>
  <c r="BV425" i="1"/>
  <c r="L42" i="2"/>
  <c r="BV456" i="1"/>
  <c r="BV576" i="1"/>
  <c r="BV167" i="1"/>
  <c r="BV381" i="1"/>
  <c r="BV737" i="1"/>
  <c r="BV326" i="1"/>
  <c r="BV47" i="1"/>
  <c r="L23" i="2"/>
  <c r="BV380" i="1"/>
  <c r="BV69" i="1"/>
  <c r="BV33" i="1"/>
  <c r="BV699" i="1"/>
  <c r="CE39" i="1"/>
  <c r="BV698" i="1"/>
  <c r="BV674" i="1"/>
  <c r="BV426" i="1"/>
  <c r="BV235" i="1"/>
  <c r="BV172" i="1"/>
  <c r="BV468" i="1"/>
  <c r="BV549" i="1"/>
  <c r="BV43" i="1"/>
  <c r="BV242" i="1"/>
  <c r="CE10" i="1"/>
  <c r="BV591" i="1"/>
  <c r="BV223" i="1"/>
  <c r="BV30" i="1"/>
  <c r="BV82" i="1"/>
  <c r="BV341" i="1"/>
  <c r="BV37" i="1"/>
  <c r="BV192" i="1"/>
  <c r="L34" i="2"/>
  <c r="BV833" i="1"/>
  <c r="BV308" i="1"/>
  <c r="CE45" i="1"/>
  <c r="BV759" i="1"/>
  <c r="BV427" i="1"/>
  <c r="BV754" i="1"/>
  <c r="BV544" i="1"/>
  <c r="BV273" i="1"/>
  <c r="L47" i="2"/>
  <c r="BV260" i="1"/>
  <c r="BV849" i="1"/>
  <c r="BV421" i="1"/>
  <c r="BV125" i="1"/>
  <c r="BV389" i="1"/>
  <c r="BV374" i="1"/>
  <c r="BV620" i="1"/>
  <c r="BV262" i="1"/>
  <c r="BV567" i="1"/>
  <c r="BV758" i="1"/>
  <c r="BV836" i="1"/>
  <c r="BV225" i="1"/>
  <c r="CE24" i="1"/>
  <c r="BV599" i="1"/>
  <c r="BV392" i="1"/>
  <c r="L27" i="2"/>
  <c r="BV693" i="1"/>
  <c r="BV770" i="1"/>
  <c r="BV24" i="1"/>
  <c r="BV734" i="1"/>
  <c r="BV732" i="1"/>
  <c r="BV252" i="1"/>
  <c r="BV434" i="1"/>
  <c r="BV270" i="1"/>
  <c r="BV39" i="1"/>
  <c r="BV748" i="1"/>
  <c r="BV780" i="1"/>
  <c r="BV19" i="1"/>
  <c r="BV478" i="1"/>
  <c r="BV626" i="1"/>
  <c r="BV538" i="1"/>
  <c r="CE56" i="1"/>
  <c r="BV151" i="1"/>
  <c r="BV66" i="1"/>
  <c r="BV222" i="1"/>
  <c r="BV177" i="1"/>
  <c r="BV495" i="1"/>
  <c r="BV106" i="1"/>
  <c r="BV198" i="1"/>
  <c r="BV518" i="1"/>
  <c r="BV316" i="1"/>
  <c r="BV508" i="1"/>
  <c r="BV738" i="1"/>
  <c r="L29" i="2"/>
  <c r="BV498" i="1"/>
  <c r="BV364" i="1"/>
  <c r="CE54" i="1"/>
  <c r="BV467" i="1"/>
  <c r="BV162" i="1"/>
  <c r="BV637" i="1"/>
  <c r="BV791" i="1"/>
  <c r="BV462" i="1"/>
  <c r="BV485" i="1"/>
  <c r="BV113" i="1"/>
  <c r="BV831" i="1"/>
  <c r="CE4" i="1"/>
  <c r="BV297" i="1"/>
  <c r="BV17" i="1"/>
  <c r="BV14" i="1"/>
  <c r="BV624" i="1"/>
  <c r="BV387" i="1"/>
  <c r="BV346" i="1"/>
  <c r="BV148" i="1"/>
  <c r="L71" i="2"/>
  <c r="BV178" i="1"/>
  <c r="BV449" i="1"/>
  <c r="BV322" i="1"/>
  <c r="L22" i="2"/>
  <c r="BV605" i="1"/>
  <c r="BV420" i="1"/>
  <c r="CE52" i="1"/>
  <c r="CE5" i="1"/>
  <c r="BV91" i="1"/>
  <c r="BV805" i="1"/>
  <c r="BV824" i="1"/>
  <c r="BV552" i="1"/>
  <c r="BV176" i="1"/>
  <c r="BV408" i="1"/>
  <c r="BV496" i="1"/>
  <c r="BV183" i="1"/>
  <c r="CE19" i="1"/>
  <c r="BV266" i="1"/>
  <c r="CE43" i="1"/>
  <c r="L76" i="2"/>
  <c r="BV207" i="1"/>
  <c r="BV555" i="1"/>
  <c r="BV446" i="1"/>
  <c r="BV414" i="1"/>
  <c r="BV850" i="1"/>
  <c r="BV399" i="1"/>
  <c r="BV244" i="1"/>
  <c r="BV428" i="1"/>
  <c r="BV562" i="1"/>
  <c r="L11" i="2"/>
  <c r="BV691" i="1"/>
  <c r="BV164" i="1"/>
  <c r="BV750" i="1"/>
  <c r="BV353" i="1"/>
  <c r="CE7" i="1"/>
  <c r="BV752" i="1"/>
  <c r="BV265" i="1"/>
  <c r="BV84" i="1"/>
  <c r="BV837" i="1"/>
  <c r="BV700" i="1"/>
  <c r="BV848" i="1"/>
  <c r="BV136" i="1"/>
  <c r="BV476" i="1"/>
  <c r="BV688" i="1"/>
  <c r="CE49" i="1"/>
  <c r="BV295" i="1"/>
  <c r="BV504" i="1"/>
  <c r="BV127" i="1"/>
  <c r="BV193" i="1"/>
  <c r="BV156" i="1"/>
  <c r="BV285" i="1"/>
  <c r="BV840" i="1"/>
  <c r="BV768" i="1"/>
  <c r="BV370" i="1"/>
  <c r="CE60" i="1"/>
  <c r="CE13" i="1"/>
  <c r="BV645" i="1"/>
  <c r="L73" i="2"/>
  <c r="BV195" i="1"/>
  <c r="BV152" i="1"/>
  <c r="BV801" i="1"/>
  <c r="CE58" i="1"/>
  <c r="BV828" i="1"/>
  <c r="CE11" i="1"/>
  <c r="BV165" i="1"/>
  <c r="BV132" i="1"/>
  <c r="BV845" i="1"/>
  <c r="BV166" i="1"/>
  <c r="BV54" i="1"/>
  <c r="BV12" i="1"/>
  <c r="BV841" i="1"/>
  <c r="BV721" i="1"/>
  <c r="BV146" i="1"/>
  <c r="BV206" i="1"/>
  <c r="BV325" i="1"/>
  <c r="L68" i="2"/>
  <c r="BV796" i="1"/>
  <c r="L43" i="2"/>
  <c r="BV354" i="1"/>
  <c r="CE46" i="1"/>
  <c r="BV6" i="1"/>
  <c r="BV790" i="1"/>
  <c r="BV181" i="1"/>
  <c r="BV279" i="1"/>
  <c r="BV376" i="1"/>
  <c r="BV775" i="1"/>
  <c r="BV703" i="1"/>
  <c r="L16" i="2"/>
  <c r="CE64" i="1"/>
  <c r="CE17" i="1"/>
  <c r="BV634" i="1"/>
  <c r="BV507" i="1"/>
  <c r="BV257" i="1"/>
  <c r="BV53" i="1"/>
  <c r="BV586" i="1"/>
  <c r="BV799" i="1"/>
  <c r="L60" i="2"/>
  <c r="BV191" i="1"/>
  <c r="BV254" i="1"/>
  <c r="CE28" i="1"/>
  <c r="CE59" i="1"/>
  <c r="BV545" i="1"/>
  <c r="BV722" i="1"/>
  <c r="BV811" i="1"/>
  <c r="BV661" i="1"/>
  <c r="BV745" i="1"/>
  <c r="BV766" i="1"/>
  <c r="BV62" i="1"/>
  <c r="BV747" i="1"/>
  <c r="BV584" i="1"/>
  <c r="BV589" i="1"/>
  <c r="BV795" i="1"/>
  <c r="BV656" i="1"/>
  <c r="BV31" i="1"/>
  <c r="BV559" i="1"/>
  <c r="BV112" i="1"/>
  <c r="BV583" i="1"/>
  <c r="BV788" i="1"/>
  <c r="BV388" i="1"/>
  <c r="BV830" i="1"/>
  <c r="BV3" i="1"/>
  <c r="BV99" i="1"/>
  <c r="L53" i="2"/>
  <c r="BV695" i="1"/>
  <c r="BV680" i="1"/>
  <c r="BV648" i="1"/>
  <c r="BV226" i="1"/>
  <c r="BV104" i="1"/>
  <c r="BV350" i="1"/>
  <c r="BV314" i="1"/>
  <c r="BV490" i="1"/>
  <c r="BV85" i="1"/>
  <c r="BV274" i="1"/>
  <c r="BV243" i="1"/>
  <c r="L31" i="2"/>
  <c r="BV159" i="1"/>
  <c r="BV541" i="1"/>
  <c r="BV546" i="1"/>
  <c r="BV654" i="1"/>
  <c r="L55" i="2"/>
  <c r="BV20" i="1"/>
  <c r="BV56" i="1"/>
  <c r="L50" i="2"/>
  <c r="BV438" i="1"/>
  <c r="L63" i="2"/>
  <c r="BV618" i="1"/>
  <c r="BV390" i="1"/>
  <c r="BV572" i="1"/>
  <c r="BV349" i="1"/>
  <c r="BV217" i="1"/>
  <c r="BV804" i="1"/>
  <c r="BV524" i="1"/>
  <c r="BV690" i="1"/>
  <c r="BV826" i="1"/>
  <c r="BV291" i="1"/>
  <c r="BV440" i="1"/>
  <c r="BV502" i="1"/>
  <c r="BV288" i="1"/>
  <c r="BV671" i="1"/>
  <c r="BV715" i="1"/>
  <c r="CE27" i="1"/>
  <c r="BV702" i="1"/>
  <c r="BV834" i="1"/>
  <c r="BV794" i="1"/>
  <c r="BV822" i="1"/>
  <c r="L9" i="2"/>
  <c r="BV71" i="1"/>
  <c r="BV725" i="1"/>
  <c r="L18" i="2"/>
  <c r="BV726" i="1"/>
  <c r="BV64" i="1"/>
  <c r="BV723" i="1"/>
  <c r="BV450" i="1"/>
  <c r="BV600" i="1"/>
  <c r="BV772" i="1"/>
  <c r="CE55" i="1"/>
  <c r="BV777" i="1"/>
  <c r="BV554" i="1"/>
  <c r="BV521" i="1"/>
  <c r="L19" i="2"/>
  <c r="BV590" i="1"/>
  <c r="BV829" i="1"/>
  <c r="BV515" i="1"/>
  <c r="BV343" i="1"/>
  <c r="BV209" i="1"/>
  <c r="CE26" i="1"/>
  <c r="L10" i="2"/>
  <c r="CE50" i="1"/>
  <c r="BV174" i="1"/>
  <c r="BV115" i="1"/>
  <c r="BV501" i="1"/>
  <c r="BV170" i="1"/>
  <c r="L74" i="2"/>
  <c r="BV436" i="1"/>
  <c r="BV617" i="1"/>
  <c r="BV202" i="1"/>
  <c r="BV394" i="1"/>
  <c r="BV827" i="1"/>
  <c r="BV819" i="1"/>
  <c r="BV36" i="1"/>
  <c r="BV609" i="1"/>
  <c r="BV150" i="1"/>
  <c r="BV603" i="1"/>
  <c r="CE14" i="1"/>
  <c r="BV612" i="1"/>
  <c r="BV120" i="1"/>
  <c r="BV441" i="1"/>
  <c r="BV500" i="1"/>
  <c r="BV358" i="1"/>
  <c r="BV111" i="1"/>
  <c r="BV625" i="1"/>
  <c r="BV405" i="1"/>
  <c r="CE32" i="1"/>
  <c r="BV313" i="1"/>
  <c r="BV224" i="1"/>
  <c r="BV432" i="1"/>
  <c r="BV685" i="1"/>
  <c r="BV108" i="1"/>
  <c r="BV168" i="1"/>
  <c r="BV616" i="1"/>
  <c r="L52" i="2"/>
  <c r="BV477" i="1"/>
  <c r="BV188" i="1"/>
  <c r="CE63" i="1"/>
  <c r="CE66" i="1"/>
  <c r="CE3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<sst xmlns="http://schemas.openxmlformats.org/spreadsheetml/2006/main" count="2093" uniqueCount="145">
  <si>
    <t>_date_</t>
  </si>
  <si>
    <t>qd_cgas_0</t>
  </si>
  <si>
    <t xml:space="preserve">      series QD_cgas = 1 * @elem(QD_cgas, 2015)</t>
  </si>
  <si>
    <t xml:space="preserve">      smpl 2020 2020</t>
  </si>
  <si>
    <t xml:space="preserve">      smpl 2015 2015</t>
  </si>
  <si>
    <t xml:space="preserve">      smpl 2016 2016</t>
  </si>
  <si>
    <t xml:space="preserve">      smpl 2017 2017</t>
  </si>
  <si>
    <t xml:space="preserve">      smpl 2018 2018</t>
  </si>
  <si>
    <t xml:space="preserve">      smpl 2019 2019</t>
  </si>
  <si>
    <t xml:space="preserve">      smpl 2021 2021</t>
  </si>
  <si>
    <t xml:space="preserve">      smpl 2022 2022</t>
  </si>
  <si>
    <t xml:space="preserve">      smpl 2023 2023</t>
  </si>
  <si>
    <t xml:space="preserve">      smpl 2024 2024</t>
  </si>
  <si>
    <t xml:space="preserve">      smpl 2025 2025</t>
  </si>
  <si>
    <t xml:space="preserve">      smpl 2026 2026</t>
  </si>
  <si>
    <t xml:space="preserve">      smpl 2027 2027</t>
  </si>
  <si>
    <t xml:space="preserve">      smpl 2028 2028</t>
  </si>
  <si>
    <t xml:space="preserve">      smpl 2029 2029</t>
  </si>
  <si>
    <t xml:space="preserve">      smpl 2030 2030</t>
  </si>
  <si>
    <t xml:space="preserve">      smpl 2031 2031</t>
  </si>
  <si>
    <t xml:space="preserve">      smpl 2032 2032</t>
  </si>
  <si>
    <t xml:space="preserve">      smpl 2033 2033</t>
  </si>
  <si>
    <t xml:space="preserve">      smpl 2034 2034</t>
  </si>
  <si>
    <t xml:space="preserve">      smpl 2035 2035</t>
  </si>
  <si>
    <t xml:space="preserve">      smpl 2036 2036</t>
  </si>
  <si>
    <t xml:space="preserve">      smpl 2037 2037</t>
  </si>
  <si>
    <t xml:space="preserve">      smpl 2038 2038</t>
  </si>
  <si>
    <t xml:space="preserve">      smpl 2039 2039</t>
  </si>
  <si>
    <t xml:space="preserve">      smpl 2040 2040</t>
  </si>
  <si>
    <t xml:space="preserve">      smpl 2041 2041</t>
  </si>
  <si>
    <t xml:space="preserve">      smpl 2042 2042</t>
  </si>
  <si>
    <t xml:space="preserve">      smpl 2043 2043</t>
  </si>
  <si>
    <t xml:space="preserve">      smpl 2044 2044</t>
  </si>
  <si>
    <t xml:space="preserve">      smpl 2045 2045</t>
  </si>
  <si>
    <t xml:space="preserve">      smpl 2046 2046</t>
  </si>
  <si>
    <t xml:space="preserve">      smpl 2047 2047</t>
  </si>
  <si>
    <t xml:space="preserve">      smpl 2048 2048</t>
  </si>
  <si>
    <t xml:space="preserve">      smpl 2049 2049</t>
  </si>
  <si>
    <t xml:space="preserve">      smpl 2050 2050</t>
  </si>
  <si>
    <t>C</t>
  </si>
  <si>
    <t>D</t>
  </si>
  <si>
    <t>R</t>
  </si>
  <si>
    <t>S</t>
  </si>
  <si>
    <t>qd_cagr_0</t>
  </si>
  <si>
    <t>qd_cmet_0</t>
  </si>
  <si>
    <t>qd_cchem_0</t>
  </si>
  <si>
    <t>qd_cpla_0</t>
  </si>
  <si>
    <t>qd_cgla_0</t>
  </si>
  <si>
    <t>qd_cpap_0</t>
  </si>
  <si>
    <t>qd_cfoo_0</t>
  </si>
  <si>
    <t>qd_cres_0</t>
  </si>
  <si>
    <t>qd_croa_0</t>
  </si>
  <si>
    <t>qd_cwat_0</t>
  </si>
  <si>
    <t>qd_cair_0</t>
  </si>
  <si>
    <t>qd_ccoa_0</t>
  </si>
  <si>
    <t>qd_coil_0</t>
  </si>
  <si>
    <t>qd_cfue_0</t>
  </si>
  <si>
    <t>qd_cpch_0</t>
  </si>
  <si>
    <t>qd_cele_0</t>
  </si>
  <si>
    <t>qd_cmga_0</t>
  </si>
  <si>
    <t>qd_cbiog_0</t>
  </si>
  <si>
    <t>qd_cbiom_0</t>
  </si>
  <si>
    <t>qd_cbiof_0</t>
  </si>
  <si>
    <t>qd_chea_0</t>
  </si>
  <si>
    <t xml:space="preserve"> </t>
  </si>
  <si>
    <t>AV</t>
  </si>
  <si>
    <t>AW</t>
  </si>
  <si>
    <t>AX</t>
  </si>
  <si>
    <t>AY</t>
  </si>
  <si>
    <t>AZ</t>
  </si>
  <si>
    <t>BA</t>
  </si>
  <si>
    <t>BB</t>
  </si>
  <si>
    <t>BC</t>
  </si>
  <si>
    <t>BD</t>
  </si>
  <si>
    <t>BE</t>
  </si>
  <si>
    <t>BF</t>
  </si>
  <si>
    <t>BH</t>
  </si>
  <si>
    <t>BI</t>
  </si>
  <si>
    <t>BJ</t>
  </si>
  <si>
    <t>BK</t>
  </si>
  <si>
    <t>BL</t>
  </si>
  <si>
    <t>BM</t>
  </si>
  <si>
    <t>BN</t>
  </si>
  <si>
    <t>BO</t>
  </si>
  <si>
    <t>BP</t>
  </si>
  <si>
    <t>BQ</t>
  </si>
  <si>
    <t>BG</t>
  </si>
  <si>
    <t>BR</t>
  </si>
  <si>
    <t>cagr</t>
  </si>
  <si>
    <t>cmet</t>
  </si>
  <si>
    <t>cchem</t>
  </si>
  <si>
    <t>cpla</t>
  </si>
  <si>
    <t>cgla</t>
  </si>
  <si>
    <t>cpap</t>
  </si>
  <si>
    <t>cfoo</t>
  </si>
  <si>
    <t>cres</t>
  </si>
  <si>
    <t>croa</t>
  </si>
  <si>
    <t>cwat</t>
  </si>
  <si>
    <t>cair</t>
  </si>
  <si>
    <t>ccoa</t>
  </si>
  <si>
    <t>coil</t>
  </si>
  <si>
    <t>cfue</t>
  </si>
  <si>
    <t>cpch</t>
  </si>
  <si>
    <t>cele</t>
  </si>
  <si>
    <t>cgas</t>
  </si>
  <si>
    <t>cmga</t>
  </si>
  <si>
    <t>cbiog</t>
  </si>
  <si>
    <t>cbiom</t>
  </si>
  <si>
    <t>cbiof</t>
  </si>
  <si>
    <t>chea</t>
  </si>
  <si>
    <t xml:space="preserve">      series QD_cgas = 0,965000041132576 * @elem(QD_cgas, 2015)</t>
  </si>
  <si>
    <t xml:space="preserve">      series QD_cgas = 0,827000081179193 * @elem(QD_cgas, 2015)</t>
  </si>
  <si>
    <t xml:space="preserve">      series QD_cgas = 0,708000694091766 * @elem(QD_cgas, 2015)</t>
  </si>
  <si>
    <t xml:space="preserve">      series QD_cgas = 0,604003510535198 * @elem(QD_cgas, 2015)</t>
  </si>
  <si>
    <t xml:space="preserve">      series QD_cgas = 0,438001522916892 * @elem(QD_cgas, 2015)</t>
  </si>
  <si>
    <t xml:space="preserve">      series QD_cgas = 0,393000205261224 * @elem(QD_cgas, 2015)</t>
  </si>
  <si>
    <t xml:space="preserve">      series QD_cgas = 0,32900288052992 * @elem(QD_cgas, 2015)</t>
  </si>
  <si>
    <t xml:space="preserve">      series QD_cgas = 0,100000343044197 * @elem(QD_cgas, 2015)</t>
  </si>
  <si>
    <t xml:space="preserve">      series QD_cgas = 0,0999998559987935 * @elem(QD_cgas, 2015)</t>
  </si>
  <si>
    <t xml:space="preserve">      series QD_cgas = 0,099999964817887 * @elem(QD_cgas, 2015)</t>
  </si>
  <si>
    <t xml:space="preserve">      series QD_cgas = 0,0999965025409444 * @elem(QD_cgas, 2015)</t>
  </si>
  <si>
    <t xml:space="preserve">      series QD_cgas = 0,0999987154437828 * @elem(QD_cgas, 2015)</t>
  </si>
  <si>
    <t xml:space="preserve">      series QD_cgas = 0,0999995444176705 * @elem(QD_cgas, 2015)</t>
  </si>
  <si>
    <t xml:space="preserve">      series QD_cgas = 0,099999842089586 * @elem(QD_cgas, 2015)</t>
  </si>
  <si>
    <t xml:space="preserve">      series QD_cgas = 0,0999999465945939 * @elem(QD_cgas, 2015)</t>
  </si>
  <si>
    <t xml:space="preserve">      series QD_cgas = 0,099999968685688 * @elem(QD_cgas, 2015)</t>
  </si>
  <si>
    <t xml:space="preserve">      series QD_cgas = 0,100005125282612 * @elem(QD_cgas, 2015)</t>
  </si>
  <si>
    <t xml:space="preserve">      series QD_cgas = 0,100002888131636 * @elem(QD_cgas, 2015)</t>
  </si>
  <si>
    <t xml:space="preserve">      series QD_cgas = 0,100001593682774 * @elem(QD_cgas, 2015)</t>
  </si>
  <si>
    <t xml:space="preserve">      series QD_cgas = 0,100000851511267 * @elem(QD_cgas, 2015)</t>
  </si>
  <si>
    <t xml:space="preserve">      series QD_cgas = 0,100000436392086 * @elem(QD_cgas, 2015)</t>
  </si>
  <si>
    <t xml:space="preserve">      series QD_cgas = 0,10000021228277 * @elem(QD_cgas, 2015)</t>
  </si>
  <si>
    <t xml:space="preserve">      series QD_cgas = 0,100000096843787 * @elem(QD_cgas, 2015)</t>
  </si>
  <si>
    <t xml:space="preserve">      series QD_cgas = 0,100000040835053 * @elem(QD_cgas, 2015)</t>
  </si>
  <si>
    <t xml:space="preserve">      series QD_cgas = 0,0999950332972294 * @elem(QD_cgas, 2015)</t>
  </si>
  <si>
    <t xml:space="preserve">      series QD_cgas = 0,0999974906897195 * @elem(QD_cgas, 2015)</t>
  </si>
  <si>
    <t xml:space="preserve">      series QD_cgas = 0,0999988909080628 * @elem(QD_cgas, 2015)</t>
  </si>
  <si>
    <t xml:space="preserve">      series QD_cgas = 0,099999565690576 * @elem(QD_cgas, 2015)</t>
  </si>
  <si>
    <t xml:space="preserve">      series QD_cgas = 0,0999998583789787 * @elem(QD_cgas, 2015)</t>
  </si>
  <si>
    <t xml:space="preserve">      series QD_cgas = 0,0999999653385526 * @elem(QD_cgas, 2015)</t>
  </si>
  <si>
    <t xml:space="preserve">      series QD_cgas = 0,0999962957623524 * @elem(QD_cgas, 2015)</t>
  </si>
  <si>
    <t xml:space="preserve">      series QD_cgas = 0,0999994155901448 * @elem(QD_cgas, 2015)</t>
  </si>
  <si>
    <t xml:space="preserve">      series QD_cgas = 0,100000753998053 * @elem(QD_cgas, 2015)</t>
  </si>
  <si>
    <t xml:space="preserve">      series QD_cgas = 0,100000170332006 * @elem(QD_cgas, 2015)</t>
  </si>
  <si>
    <t xml:space="preserve">      series QD_cgas = 0,100001863536275 * @elem(QD_cgas, 2015)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</si>
</sst>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80"/>
  <sheetViews>
    <sheetView tabSelected="1" topLeftCell="A8" workbookViewId="0">
      <selection activeCell="S28" sqref="S28"/>
    </sheetView>
  </sheetViews>
  <sheetFormatPr defaultRowHeight="15" x14ac:dyDescent="0.25"/>
  <cols>
    <col min="1" max="1" width="28.28515625" customWidth="1"/>
    <col min="2" max="2" width="16.42578125" customWidth="1"/>
    <col min="3" max="3" width="17.85546875" customWidth="1"/>
    <col min="4" max="7" width="9.5703125" bestFit="1" customWidth="1"/>
    <col min="8" max="8" width="9.7109375" bestFit="1" customWidth="1"/>
    <col min="9" max="11" width="9.5703125" bestFit="1" customWidth="1"/>
    <col min="12" max="12" width="50.28515625" customWidth="1"/>
    <col min="13" max="17" width="9.5703125" bestFit="1" customWidth="1"/>
    <col min="18" max="18" width="9.7109375" bestFit="1" customWidth="1"/>
    <col min="19" max="19" width="70.7109375" customWidth="1"/>
    <col min="20" max="27" width="9.5703125" bestFit="1" customWidth="1"/>
    <col min="28" max="28" width="9.7109375" bestFit="1" customWidth="1"/>
    <col min="29" max="37" width="9.5703125" bestFit="1" customWidth="1"/>
    <col min="38" max="38" width="11.28515625" customWidth="1"/>
  </cols>
  <sheetData>
    <row r="1" spans="1:38" x14ac:dyDescent="0.25">
      <c r="A1">
        <v>1</v>
      </c>
      <c r="B1" t="s">
        <v>0</v>
      </c>
      <c r="C1" s="1">
        <v>42005</v>
      </c>
      <c r="D1" s="1">
        <v>42370</v>
      </c>
      <c r="E1" s="1">
        <v>42736</v>
      </c>
      <c r="F1" s="1">
        <v>43101</v>
      </c>
      <c r="G1" s="1">
        <v>43466</v>
      </c>
      <c r="H1" s="1">
        <v>43831</v>
      </c>
      <c r="I1" s="1">
        <v>44197</v>
      </c>
      <c r="J1" s="1">
        <v>44562</v>
      </c>
      <c r="K1" s="1">
        <v>44927</v>
      </c>
      <c r="L1" s="1">
        <v>45292</v>
      </c>
      <c r="M1" s="1">
        <v>45658</v>
      </c>
      <c r="N1" s="1">
        <v>46023</v>
      </c>
      <c r="O1" s="1">
        <v>46388</v>
      </c>
      <c r="P1" s="1">
        <v>46753</v>
      </c>
      <c r="Q1" s="1">
        <v>47119</v>
      </c>
      <c r="R1" s="1">
        <v>47484</v>
      </c>
      <c r="S1" s="1">
        <v>47849</v>
      </c>
      <c r="T1" s="1">
        <v>48214</v>
      </c>
      <c r="U1" s="1">
        <v>48580</v>
      </c>
      <c r="V1" s="1">
        <v>48945</v>
      </c>
      <c r="W1" s="1">
        <v>49310</v>
      </c>
      <c r="X1" s="1">
        <v>49675</v>
      </c>
      <c r="Y1" s="1">
        <v>50041</v>
      </c>
      <c r="Z1" s="1">
        <v>50406</v>
      </c>
      <c r="AA1" s="1">
        <v>50771</v>
      </c>
      <c r="AB1" s="1">
        <v>51136</v>
      </c>
      <c r="AC1" s="1">
        <v>51502</v>
      </c>
      <c r="AD1" s="1">
        <v>51867</v>
      </c>
      <c r="AE1" s="1">
        <v>52232</v>
      </c>
      <c r="AF1" s="1">
        <v>52597</v>
      </c>
      <c r="AG1" s="1">
        <v>52963</v>
      </c>
      <c r="AH1" s="1">
        <v>53328</v>
      </c>
      <c r="AI1" s="1">
        <v>53693</v>
      </c>
      <c r="AJ1" s="1">
        <v>54058</v>
      </c>
      <c r="AK1" s="1">
        <v>54424</v>
      </c>
      <c r="AL1" s="1">
        <v>54789</v>
      </c>
    </row>
    <row r="2" spans="1:38" x14ac:dyDescent="0.25">
      <c r="A2">
        <v>1</v>
      </c>
      <c r="B2" t="s">
        <v>1</v>
      </c>
      <c r="C2">
        <v>13444.3318</v>
      </c>
      <c r="D2">
        <v>12973.78074</v>
      </c>
      <c r="E2">
        <v>11118.46349</v>
      </c>
      <c r="F2">
        <v>9518.5962459999992</v>
      </c>
      <c r="G2">
        <v>8120.4236039999996</v>
      </c>
      <c r="H2">
        <v>5888.6378029999996</v>
      </c>
      <c r="I2">
        <v>5283.6251570000004</v>
      </c>
      <c r="J2">
        <v>4423.2238889999999</v>
      </c>
      <c r="K2">
        <v>1344.4377919999999</v>
      </c>
      <c r="L2">
        <v>1344.4312440000001</v>
      </c>
      <c r="M2">
        <v>1344.4327069999999</v>
      </c>
      <c r="N2">
        <v>1344.3861589999999</v>
      </c>
      <c r="O2">
        <v>1344.4159099999999</v>
      </c>
      <c r="P2">
        <v>1344.4270550000001</v>
      </c>
      <c r="Q2">
        <v>1344.431057</v>
      </c>
      <c r="R2">
        <v>1344.432462</v>
      </c>
      <c r="S2">
        <v>1344.432759</v>
      </c>
      <c r="T2">
        <v>1344.502086</v>
      </c>
      <c r="U2">
        <v>1344.4720090000001</v>
      </c>
      <c r="V2">
        <v>1344.454606</v>
      </c>
      <c r="W2">
        <v>1344.444628</v>
      </c>
      <c r="X2">
        <v>1344.4390470000001</v>
      </c>
      <c r="Y2">
        <v>1344.4360340000001</v>
      </c>
      <c r="Z2">
        <v>1344.4344819999999</v>
      </c>
      <c r="AA2">
        <v>1344.4337290000001</v>
      </c>
      <c r="AB2">
        <v>1344.3664060000001</v>
      </c>
      <c r="AC2">
        <v>1344.3994439999999</v>
      </c>
      <c r="AD2">
        <v>1344.418269</v>
      </c>
      <c r="AE2">
        <v>1344.4273410000001</v>
      </c>
      <c r="AF2">
        <v>1344.431276</v>
      </c>
      <c r="AG2">
        <v>1344.432714</v>
      </c>
      <c r="AH2">
        <v>1344.3833790000001</v>
      </c>
      <c r="AI2">
        <v>1344.4253229999999</v>
      </c>
      <c r="AJ2">
        <v>1344.443317</v>
      </c>
      <c r="AK2">
        <v>1344.4354699999999</v>
      </c>
      <c r="AL2">
        <v>1344.4582339999999</v>
      </c>
    </row>
    <row r="4" spans="1:38" x14ac:dyDescent="0.25">
      <c r="C4" s="2">
        <f>C2/$C2</f>
        <v>1</v>
      </c>
      <c r="D4" s="2">
        <f>D2/$C2</f>
        <v>0.96500004113257609</v>
      </c>
      <c r="E4" s="2">
        <f t="shared" ref="E4:AL4" si="0">E2/$C2</f>
        <v>0.82700008117919255</v>
      </c>
      <c r="F4" s="2">
        <f t="shared" si="0"/>
        <v>0.7080006940917658</v>
      </c>
      <c r="G4" s="2">
        <f t="shared" si="0"/>
        <v>0.60400351053519818</v>
      </c>
      <c r="H4" s="2">
        <f t="shared" si="0"/>
        <v>0.43800152291689198</v>
      </c>
      <c r="I4" s="2">
        <f t="shared" si="0"/>
        <v>0.39300020526122392</v>
      </c>
      <c r="J4" s="2">
        <f t="shared" si="0"/>
        <v>0.32900288052991966</v>
      </c>
      <c r="K4" s="2">
        <f t="shared" si="0"/>
        <v>0.10000034304419651</v>
      </c>
      <c r="L4" s="2">
        <f t="shared" si="0"/>
        <v>9.9999855998793491E-2</v>
      </c>
      <c r="M4" s="2">
        <f t="shared" si="0"/>
        <v>9.9999964817887046E-2</v>
      </c>
      <c r="N4" s="2">
        <f t="shared" si="0"/>
        <v>9.9996502540944429E-2</v>
      </c>
      <c r="O4" s="2">
        <f t="shared" si="0"/>
        <v>9.9998715443782776E-2</v>
      </c>
      <c r="P4" s="2">
        <f t="shared" si="0"/>
        <v>9.9999544417670505E-2</v>
      </c>
      <c r="Q4" s="2">
        <f t="shared" si="0"/>
        <v>9.9999842089586038E-2</v>
      </c>
      <c r="R4" s="2">
        <f>R2/$C2</f>
        <v>9.9999946594593866E-2</v>
      </c>
      <c r="S4" s="2">
        <f t="shared" si="0"/>
        <v>9.9999968685688043E-2</v>
      </c>
      <c r="T4" s="2">
        <f t="shared" si="0"/>
        <v>0.10000512528261166</v>
      </c>
      <c r="U4" s="2">
        <f t="shared" si="0"/>
        <v>0.10000288813163627</v>
      </c>
      <c r="V4" s="2">
        <f t="shared" si="0"/>
        <v>0.10000159368277418</v>
      </c>
      <c r="W4" s="2">
        <f t="shared" si="0"/>
        <v>0.10000085151126663</v>
      </c>
      <c r="X4" s="2">
        <f t="shared" si="0"/>
        <v>0.10000043639208607</v>
      </c>
      <c r="Y4" s="2">
        <f t="shared" si="0"/>
        <v>0.10000021228277035</v>
      </c>
      <c r="Z4" s="2">
        <f t="shared" si="0"/>
        <v>0.10000009684378661</v>
      </c>
      <c r="AA4" s="2">
        <f t="shared" si="0"/>
        <v>0.10000004083505289</v>
      </c>
      <c r="AB4" s="2">
        <f t="shared" si="0"/>
        <v>9.9995033297229405E-2</v>
      </c>
      <c r="AC4" s="2">
        <f t="shared" si="0"/>
        <v>9.9997490689719512E-2</v>
      </c>
      <c r="AD4" s="2">
        <f t="shared" si="0"/>
        <v>9.9998890908062826E-2</v>
      </c>
      <c r="AE4" s="2">
        <f t="shared" si="0"/>
        <v>9.9999565690576012E-2</v>
      </c>
      <c r="AF4" s="2">
        <f t="shared" si="0"/>
        <v>9.999985837897872E-2</v>
      </c>
      <c r="AG4" s="2">
        <f t="shared" si="0"/>
        <v>9.9999965338552571E-2</v>
      </c>
      <c r="AH4" s="2">
        <f t="shared" si="0"/>
        <v>9.999629576235243E-2</v>
      </c>
      <c r="AI4" s="2">
        <f t="shared" si="0"/>
        <v>9.999941559014483E-2</v>
      </c>
      <c r="AJ4" s="2">
        <f t="shared" si="0"/>
        <v>0.10000075399805292</v>
      </c>
      <c r="AK4" s="2">
        <f t="shared" si="0"/>
        <v>0.10000017033200563</v>
      </c>
      <c r="AL4" s="2">
        <f t="shared" si="0"/>
        <v>0.10000186353627481</v>
      </c>
    </row>
    <row r="5" spans="1:38" x14ac:dyDescent="0.25">
      <c r="C5" t="str">
        <f>"      series QD_cgas = "&amp;C4&amp;" * @elem(QD_cgas, 2015)"</f>
        <v xml:space="preserve">      series QD_cgas = 1 * @elem(QD_cgas, 2015)</v>
      </c>
      <c r="D5" t="str">
        <f t="shared" ref="D5:AL5" si="1">"      series QD_cgas = "&amp;D4&amp;" * @elem(QD_cgas, 2015)"</f>
        <v xml:space="preserve">      series QD_cgas = 0,965000041132576 * @elem(QD_cgas, 2015)</v>
      </c>
      <c r="E5" t="str">
        <f t="shared" si="1"/>
        <v xml:space="preserve">      series QD_cgas = 0,827000081179193 * @elem(QD_cgas, 2015)</v>
      </c>
      <c r="F5" t="str">
        <f t="shared" si="1"/>
        <v xml:space="preserve">      series QD_cgas = 0,708000694091766 * @elem(QD_cgas, 2015)</v>
      </c>
      <c r="G5" t="str">
        <f t="shared" si="1"/>
        <v xml:space="preserve">      series QD_cgas = 0,604003510535198 * @elem(QD_cgas, 2015)</v>
      </c>
      <c r="H5" t="str">
        <f t="shared" si="1"/>
        <v xml:space="preserve">      series QD_cgas = 0,438001522916892 * @elem(QD_cgas, 2015)</v>
      </c>
      <c r="I5" t="str">
        <f t="shared" si="1"/>
        <v xml:space="preserve">      series QD_cgas = 0,393000205261224 * @elem(QD_cgas, 2015)</v>
      </c>
      <c r="J5" t="str">
        <f t="shared" si="1"/>
        <v xml:space="preserve">      series QD_cgas = 0,32900288052992 * @elem(QD_cgas, 2015)</v>
      </c>
      <c r="K5" t="str">
        <f t="shared" si="1"/>
        <v xml:space="preserve">      series QD_cgas = 0,100000343044197 * @elem(QD_cgas, 2015)</v>
      </c>
      <c r="L5" t="str">
        <f t="shared" si="1"/>
        <v xml:space="preserve">      series QD_cgas = 0,0999998559987935 * @elem(QD_cgas, 2015)</v>
      </c>
      <c r="M5" t="str">
        <f t="shared" si="1"/>
        <v xml:space="preserve">      series QD_cgas = 0,099999964817887 * @elem(QD_cgas, 2015)</v>
      </c>
      <c r="N5" t="str">
        <f t="shared" si="1"/>
        <v xml:space="preserve">      series QD_cgas = 0,0999965025409444 * @elem(QD_cgas, 2015)</v>
      </c>
      <c r="O5" t="str">
        <f t="shared" si="1"/>
        <v xml:space="preserve">      series QD_cgas = 0,0999987154437828 * @elem(QD_cgas, 2015)</v>
      </c>
      <c r="P5" t="str">
        <f t="shared" si="1"/>
        <v xml:space="preserve">      series QD_cgas = 0,0999995444176705 * @elem(QD_cgas, 2015)</v>
      </c>
      <c r="Q5" t="str">
        <f t="shared" si="1"/>
        <v xml:space="preserve">      series QD_cgas = 0,099999842089586 * @elem(QD_cgas, 2015)</v>
      </c>
      <c r="R5" t="str">
        <f t="shared" si="1"/>
        <v xml:space="preserve">      series QD_cgas = 0,0999999465945939 * @elem(QD_cgas, 2015)</v>
      </c>
      <c r="S5" t="str">
        <f t="shared" si="1"/>
        <v xml:space="preserve">      series QD_cgas = 0,099999968685688 * @elem(QD_cgas, 2015)</v>
      </c>
      <c r="T5" t="str">
        <f t="shared" si="1"/>
        <v xml:space="preserve">      series QD_cgas = 0,100005125282612 * @elem(QD_cgas, 2015)</v>
      </c>
      <c r="U5" t="str">
        <f t="shared" si="1"/>
        <v xml:space="preserve">      series QD_cgas = 0,100002888131636 * @elem(QD_cgas, 2015)</v>
      </c>
      <c r="V5" t="str">
        <f t="shared" si="1"/>
        <v xml:space="preserve">      series QD_cgas = 0,100001593682774 * @elem(QD_cgas, 2015)</v>
      </c>
      <c r="W5" t="str">
        <f t="shared" si="1"/>
        <v xml:space="preserve">      series QD_cgas = 0,100000851511267 * @elem(QD_cgas, 2015)</v>
      </c>
      <c r="X5" t="str">
        <f t="shared" si="1"/>
        <v xml:space="preserve">      series QD_cgas = 0,100000436392086 * @elem(QD_cgas, 2015)</v>
      </c>
      <c r="Y5" t="str">
        <f t="shared" si="1"/>
        <v xml:space="preserve">      series QD_cgas = 0,10000021228277 * @elem(QD_cgas, 2015)</v>
      </c>
      <c r="Z5" t="str">
        <f t="shared" si="1"/>
        <v xml:space="preserve">      series QD_cgas = 0,100000096843787 * @elem(QD_cgas, 2015)</v>
      </c>
      <c r="AA5" t="str">
        <f t="shared" si="1"/>
        <v xml:space="preserve">      series QD_cgas = 0,100000040835053 * @elem(QD_cgas, 2015)</v>
      </c>
      <c r="AB5" t="str">
        <f t="shared" si="1"/>
        <v xml:space="preserve">      series QD_cgas = 0,0999950332972294 * @elem(QD_cgas, 2015)</v>
      </c>
      <c r="AC5" t="str">
        <f t="shared" si="1"/>
        <v xml:space="preserve">      series QD_cgas = 0,0999974906897195 * @elem(QD_cgas, 2015)</v>
      </c>
      <c r="AD5" t="str">
        <f t="shared" si="1"/>
        <v xml:space="preserve">      series QD_cgas = 0,0999988909080628 * @elem(QD_cgas, 2015)</v>
      </c>
      <c r="AE5" t="str">
        <f t="shared" si="1"/>
        <v xml:space="preserve">      series QD_cgas = 0,099999565690576 * @elem(QD_cgas, 2015)</v>
      </c>
      <c r="AF5" t="str">
        <f t="shared" si="1"/>
        <v xml:space="preserve">      series QD_cgas = 0,0999998583789787 * @elem(QD_cgas, 2015)</v>
      </c>
      <c r="AG5" t="str">
        <f t="shared" si="1"/>
        <v xml:space="preserve">      series QD_cgas = 0,0999999653385526 * @elem(QD_cgas, 2015)</v>
      </c>
      <c r="AH5" t="str">
        <f t="shared" si="1"/>
        <v xml:space="preserve">      series QD_cgas = 0,0999962957623524 * @elem(QD_cgas, 2015)</v>
      </c>
      <c r="AI5" t="str">
        <f t="shared" si="1"/>
        <v xml:space="preserve">      series QD_cgas = 0,0999994155901448 * @elem(QD_cgas, 2015)</v>
      </c>
      <c r="AJ5" t="str">
        <f t="shared" si="1"/>
        <v xml:space="preserve">      series QD_cgas = 0,100000753998053 * @elem(QD_cgas, 2015)</v>
      </c>
      <c r="AK5" t="str">
        <f t="shared" si="1"/>
        <v xml:space="preserve">      series QD_cgas = 0,100000170332006 * @elem(QD_cgas, 2015)</v>
      </c>
      <c r="AL5" t="str">
        <f t="shared" si="1"/>
        <v xml:space="preserve">      series QD_cgas = 0,100001863536275 * @elem(QD_cgas, 2015)</v>
      </c>
    </row>
    <row r="9" spans="1:38" x14ac:dyDescent="0.25">
      <c r="A9">
        <v>2015</v>
      </c>
      <c r="B9">
        <v>9</v>
      </c>
      <c r="C9" t="s">
        <v>4</v>
      </c>
      <c r="D9" t="s">
        <v>2</v>
      </c>
      <c r="J9" t="s">
        <v>39</v>
      </c>
      <c r="K9">
        <v>9</v>
      </c>
      <c r="L9" t="str" cm="1">
        <f t="array" aca="1" ref="L9" ca="1">INDIRECT(J9&amp;K9)</f>
        <v xml:space="preserve">      smpl 2015 2015</v>
      </c>
      <c r="Q9" t="s">
        <v>42</v>
      </c>
    </row>
    <row r="10" spans="1:38" x14ac:dyDescent="0.25">
      <c r="A10">
        <v>2016</v>
      </c>
      <c r="B10">
        <v>10</v>
      </c>
      <c r="C10" t="s">
        <v>5</v>
      </c>
      <c r="D10" t="s">
        <v>110</v>
      </c>
      <c r="J10" t="s">
        <v>40</v>
      </c>
      <c r="K10">
        <v>9</v>
      </c>
      <c r="L10" t="str" cm="1">
        <f t="array" aca="1" ref="L10" ca="1">INDIRECT(J10&amp;K10)</f>
        <v xml:space="preserve">      series QD_cgas = 1 * @elem(QD_cgas, 2015)</v>
      </c>
      <c r="Q10" t="s">
        <v>41</v>
      </c>
    </row>
    <row r="11" spans="1:38" x14ac:dyDescent="0.25">
      <c r="A11">
        <v>2017</v>
      </c>
      <c r="B11">
        <v>11</v>
      </c>
      <c r="C11" t="s">
        <v>6</v>
      </c>
      <c r="D11" t="s">
        <v>111</v>
      </c>
      <c r="J11" t="s">
        <v>39</v>
      </c>
      <c r="K11">
        <v>10</v>
      </c>
      <c r="L11" t="str" cm="1">
        <f t="array" aca="1" ref="L11" ca="1">INDIRECT(J11&amp;K11)</f>
        <v xml:space="preserve">      smpl 2016 2016</v>
      </c>
      <c r="Q11" t="s">
        <v>42</v>
      </c>
    </row>
    <row r="12" spans="1:38" x14ac:dyDescent="0.25">
      <c r="A12">
        <v>2018</v>
      </c>
      <c r="B12">
        <v>12</v>
      </c>
      <c r="C12" t="s">
        <v>7</v>
      </c>
      <c r="D12" t="s">
        <v>112</v>
      </c>
      <c r="J12" t="s">
        <v>40</v>
      </c>
      <c r="K12">
        <v>10</v>
      </c>
      <c r="L12" t="str" cm="1">
        <f t="array" aca="1" ref="L12" ca="1">INDIRECT(J12&amp;K12)</f>
        <v xml:space="preserve">      series QD_cgas = 0,965000041132576 * @elem(QD_cgas, 2015)</v>
      </c>
      <c r="Q12" t="s">
        <v>41</v>
      </c>
    </row>
    <row r="13" spans="1:38" x14ac:dyDescent="0.25">
      <c r="A13">
        <v>2019</v>
      </c>
      <c r="B13">
        <v>13</v>
      </c>
      <c r="C13" t="s">
        <v>8</v>
      </c>
      <c r="D13" t="s">
        <v>113</v>
      </c>
      <c r="J13" t="s">
        <v>39</v>
      </c>
      <c r="K13">
        <v>11</v>
      </c>
      <c r="L13" t="str" cm="1">
        <f t="array" aca="1" ref="L13" ca="1">INDIRECT(J13&amp;K13)</f>
        <v xml:space="preserve">      smpl 2017 2017</v>
      </c>
      <c r="Q13" t="s">
        <v>42</v>
      </c>
    </row>
    <row r="14" spans="1:38" x14ac:dyDescent="0.25">
      <c r="A14">
        <v>2020</v>
      </c>
      <c r="B14">
        <v>14</v>
      </c>
      <c r="C14" t="s">
        <v>3</v>
      </c>
      <c r="D14" t="s">
        <v>114</v>
      </c>
      <c r="J14" t="s">
        <v>40</v>
      </c>
      <c r="K14">
        <v>11</v>
      </c>
      <c r="L14" t="str" cm="1">
        <f t="array" aca="1" ref="L14" ca="1">INDIRECT(J14&amp;K14)</f>
        <v xml:space="preserve">      series QD_cgas = 0,827000081179193 * @elem(QD_cgas, 2015)</v>
      </c>
      <c r="Q14" t="s">
        <v>41</v>
      </c>
    </row>
    <row r="15" spans="1:38" x14ac:dyDescent="0.25">
      <c r="A15">
        <v>2021</v>
      </c>
      <c r="B15">
        <v>15</v>
      </c>
      <c r="C15" t="s">
        <v>9</v>
      </c>
      <c r="D15" t="s">
        <v>115</v>
      </c>
      <c r="J15" t="s">
        <v>39</v>
      </c>
      <c r="K15">
        <v>12</v>
      </c>
      <c r="L15" t="str" cm="1">
        <f t="array" aca="1" ref="L15" ca="1">INDIRECT(J15&amp;K15)</f>
        <v xml:space="preserve">      smpl 2018 2018</v>
      </c>
      <c r="Q15" t="s">
        <v>42</v>
      </c>
    </row>
    <row r="16" spans="1:38" x14ac:dyDescent="0.25">
      <c r="A16">
        <v>2022</v>
      </c>
      <c r="B16">
        <v>16</v>
      </c>
      <c r="C16" t="s">
        <v>10</v>
      </c>
      <c r="D16" t="s">
        <v>116</v>
      </c>
      <c r="J16" t="s">
        <v>40</v>
      </c>
      <c r="K16">
        <v>12</v>
      </c>
      <c r="L16" t="str" cm="1">
        <f t="array" aca="1" ref="L16" ca="1">INDIRECT(J16&amp;K16)</f>
        <v xml:space="preserve">      series QD_cgas = 0,708000694091766 * @elem(QD_cgas, 2015)</v>
      </c>
      <c r="Q16" t="s">
        <v>41</v>
      </c>
    </row>
    <row r="17" spans="1:17" x14ac:dyDescent="0.25">
      <c r="A17">
        <v>2023</v>
      </c>
      <c r="B17">
        <v>17</v>
      </c>
      <c r="C17" t="s">
        <v>11</v>
      </c>
      <c r="D17" t="s">
        <v>117</v>
      </c>
      <c r="J17" t="s">
        <v>39</v>
      </c>
      <c r="K17">
        <v>13</v>
      </c>
      <c r="L17" t="str" cm="1">
        <f t="array" aca="1" ref="L17" ca="1">INDIRECT(J17&amp;K17)</f>
        <v xml:space="preserve">      smpl 2019 2019</v>
      </c>
      <c r="Q17" t="s">
        <v>42</v>
      </c>
    </row>
    <row r="18" spans="1:17" x14ac:dyDescent="0.25">
      <c r="A18">
        <v>2024</v>
      </c>
      <c r="B18">
        <v>18</v>
      </c>
      <c r="C18" t="s">
        <v>12</v>
      </c>
      <c r="D18" t="s">
        <v>118</v>
      </c>
      <c r="J18" t="s">
        <v>40</v>
      </c>
      <c r="K18">
        <v>13</v>
      </c>
      <c r="L18" t="str" cm="1">
        <f t="array" aca="1" ref="L18" ca="1">INDIRECT(J18&amp;K18)</f>
        <v xml:space="preserve">      series QD_cgas = 0,604003510535198 * @elem(QD_cgas, 2015)</v>
      </c>
      <c r="Q18" t="s">
        <v>41</v>
      </c>
    </row>
    <row r="19" spans="1:17" x14ac:dyDescent="0.25">
      <c r="A19">
        <v>2025</v>
      </c>
      <c r="B19">
        <v>19</v>
      </c>
      <c r="C19" t="s">
        <v>13</v>
      </c>
      <c r="D19" t="s">
        <v>119</v>
      </c>
      <c r="J19" t="s">
        <v>39</v>
      </c>
      <c r="K19">
        <v>14</v>
      </c>
      <c r="L19" t="str" cm="1">
        <f t="array" aca="1" ref="L19" ca="1">INDIRECT(J19&amp;K19)</f>
        <v xml:space="preserve">      smpl 2020 2020</v>
      </c>
      <c r="Q19" t="s">
        <v>42</v>
      </c>
    </row>
    <row r="20" spans="1:17" x14ac:dyDescent="0.25">
      <c r="A20">
        <v>2026</v>
      </c>
      <c r="B20">
        <v>20</v>
      </c>
      <c r="C20" t="s">
        <v>14</v>
      </c>
      <c r="D20" t="s">
        <v>120</v>
      </c>
      <c r="J20" t="s">
        <v>40</v>
      </c>
      <c r="K20">
        <v>14</v>
      </c>
      <c r="L20" t="str" cm="1">
        <f t="array" aca="1" ref="L20" ca="1">INDIRECT(J20&amp;K20)</f>
        <v xml:space="preserve">      series QD_cgas = 0,438001522916892 * @elem(QD_cgas, 2015)</v>
      </c>
      <c r="Q20" t="s">
        <v>41</v>
      </c>
    </row>
    <row r="21" spans="1:17" x14ac:dyDescent="0.25">
      <c r="A21">
        <v>2027</v>
      </c>
      <c r="B21">
        <v>21</v>
      </c>
      <c r="C21" t="s">
        <v>15</v>
      </c>
      <c r="D21" t="s">
        <v>121</v>
      </c>
      <c r="J21" t="s">
        <v>39</v>
      </c>
      <c r="K21">
        <v>15</v>
      </c>
      <c r="L21" t="str" cm="1">
        <f t="array" aca="1" ref="L21" ca="1">INDIRECT(J21&amp;K21)</f>
        <v xml:space="preserve">      smpl 2021 2021</v>
      </c>
      <c r="Q21" t="s">
        <v>42</v>
      </c>
    </row>
    <row r="22" spans="1:17" x14ac:dyDescent="0.25">
      <c r="A22">
        <v>2028</v>
      </c>
      <c r="B22">
        <v>22</v>
      </c>
      <c r="C22" t="s">
        <v>16</v>
      </c>
      <c r="D22" t="s">
        <v>122</v>
      </c>
      <c r="J22" t="s">
        <v>40</v>
      </c>
      <c r="K22">
        <v>15</v>
      </c>
      <c r="L22" t="str" cm="1">
        <f t="array" aca="1" ref="L22" ca="1">INDIRECT(J22&amp;K22)</f>
        <v xml:space="preserve">      series QD_cgas = 0,393000205261224 * @elem(QD_cgas, 2015)</v>
      </c>
      <c r="Q22" t="s">
        <v>41</v>
      </c>
    </row>
    <row r="23" spans="1:17" x14ac:dyDescent="0.25">
      <c r="A23">
        <v>2029</v>
      </c>
      <c r="B23">
        <v>23</v>
      </c>
      <c r="C23" t="s">
        <v>17</v>
      </c>
      <c r="D23" t="s">
        <v>123</v>
      </c>
      <c r="J23" t="s">
        <v>39</v>
      </c>
      <c r="K23">
        <v>16</v>
      </c>
      <c r="L23" t="str" cm="1">
        <f t="array" aca="1" ref="L23" ca="1">INDIRECT(J23&amp;K23)</f>
        <v xml:space="preserve">      smpl 2022 2022</v>
      </c>
      <c r="Q23" t="s">
        <v>42</v>
      </c>
    </row>
    <row r="24" spans="1:17" x14ac:dyDescent="0.25">
      <c r="A24">
        <v>2030</v>
      </c>
      <c r="B24">
        <v>24</v>
      </c>
      <c r="C24" t="s">
        <v>18</v>
      </c>
      <c r="D24" t="s">
        <v>124</v>
      </c>
      <c r="J24" t="s">
        <v>40</v>
      </c>
      <c r="K24">
        <v>16</v>
      </c>
      <c r="L24" t="str" cm="1">
        <f t="array" aca="1" ref="L24" ca="1">INDIRECT(J24&amp;K24)</f>
        <v xml:space="preserve">      series QD_cgas = 0,32900288052992 * @elem(QD_cgas, 2015)</v>
      </c>
      <c r="Q24" t="s">
        <v>41</v>
      </c>
    </row>
    <row r="25" spans="1:17" x14ac:dyDescent="0.25">
      <c r="A25">
        <v>2031</v>
      </c>
      <c r="B25">
        <v>25</v>
      </c>
      <c r="C25" t="s">
        <v>19</v>
      </c>
      <c r="D25" t="s">
        <v>125</v>
      </c>
      <c r="J25" t="s">
        <v>39</v>
      </c>
      <c r="K25">
        <v>17</v>
      </c>
      <c r="L25" t="str" cm="1">
        <f t="array" aca="1" ref="L25" ca="1">INDIRECT(J25&amp;K25)</f>
        <v xml:space="preserve">      smpl 2023 2023</v>
      </c>
      <c r="Q25" t="s">
        <v>42</v>
      </c>
    </row>
    <row r="26" spans="1:17" x14ac:dyDescent="0.25">
      <c r="A26">
        <v>2032</v>
      </c>
      <c r="B26">
        <v>26</v>
      </c>
      <c r="C26" t="s">
        <v>20</v>
      </c>
      <c r="D26" t="s">
        <v>126</v>
      </c>
      <c r="J26" t="s">
        <v>40</v>
      </c>
      <c r="K26">
        <v>17</v>
      </c>
      <c r="L26" t="str" cm="1">
        <f t="array" aca="1" ref="L26" ca="1">INDIRECT(J26&amp;K26)</f>
        <v xml:space="preserve">      series QD_cgas = 0,100000343044197 * @elem(QD_cgas, 2015)</v>
      </c>
      <c r="Q26" t="s">
        <v>41</v>
      </c>
    </row>
    <row r="27" spans="1:17" x14ac:dyDescent="0.25">
      <c r="A27">
        <v>2033</v>
      </c>
      <c r="B27">
        <v>27</v>
      </c>
      <c r="C27" t="s">
        <v>21</v>
      </c>
      <c r="D27" t="s">
        <v>127</v>
      </c>
      <c r="J27" t="s">
        <v>39</v>
      </c>
      <c r="K27">
        <v>18</v>
      </c>
      <c r="L27" t="str" cm="1">
        <f t="array" aca="1" ref="L27" ca="1">INDIRECT(J27&amp;K27)</f>
        <v xml:space="preserve">      smpl 2024 2024</v>
      </c>
      <c r="Q27" t="s">
        <v>42</v>
      </c>
    </row>
    <row r="28" spans="1:17" x14ac:dyDescent="0.25">
      <c r="A28">
        <v>2034</v>
      </c>
      <c r="B28">
        <v>28</v>
      </c>
      <c r="C28" t="s">
        <v>22</v>
      </c>
      <c r="D28" t="s">
        <v>128</v>
      </c>
      <c r="J28" t="s">
        <v>40</v>
      </c>
      <c r="K28">
        <v>18</v>
      </c>
      <c r="L28" t="str" cm="1">
        <f t="array" aca="1" ref="L28" ca="1">INDIRECT(J28&amp;K28)</f>
        <v xml:space="preserve">      series QD_cgas = 0,0999998559987935 * @elem(QD_cgas, 2015)</v>
      </c>
      <c r="Q28" t="s">
        <v>41</v>
      </c>
    </row>
    <row r="29" spans="1:17" x14ac:dyDescent="0.25">
      <c r="A29">
        <v>2035</v>
      </c>
      <c r="B29">
        <v>29</v>
      </c>
      <c r="C29" t="s">
        <v>23</v>
      </c>
      <c r="D29" t="s">
        <v>129</v>
      </c>
      <c r="J29" t="s">
        <v>39</v>
      </c>
      <c r="K29">
        <v>19</v>
      </c>
      <c r="L29" t="str" cm="1">
        <f t="array" aca="1" ref="L29" ca="1">INDIRECT(J29&amp;K29)</f>
        <v xml:space="preserve">      smpl 2025 2025</v>
      </c>
      <c r="Q29" t="s">
        <v>42</v>
      </c>
    </row>
    <row r="30" spans="1:17" x14ac:dyDescent="0.25">
      <c r="A30">
        <v>2036</v>
      </c>
      <c r="B30">
        <v>30</v>
      </c>
      <c r="C30" t="s">
        <v>24</v>
      </c>
      <c r="D30" t="s">
        <v>130</v>
      </c>
      <c r="J30" t="s">
        <v>40</v>
      </c>
      <c r="K30">
        <v>19</v>
      </c>
      <c r="L30" t="str" cm="1">
        <f t="array" aca="1" ref="L30" ca="1">INDIRECT(J30&amp;K30)</f>
        <v xml:space="preserve">      series QD_cgas = 0,099999964817887 * @elem(QD_cgas, 2015)</v>
      </c>
      <c r="Q30" t="s">
        <v>41</v>
      </c>
    </row>
    <row r="31" spans="1:17" x14ac:dyDescent="0.25">
      <c r="A31">
        <v>2037</v>
      </c>
      <c r="B31">
        <v>31</v>
      </c>
      <c r="C31" t="s">
        <v>25</v>
      </c>
      <c r="D31" t="s">
        <v>131</v>
      </c>
      <c r="J31" t="s">
        <v>39</v>
      </c>
      <c r="K31">
        <v>20</v>
      </c>
      <c r="L31" t="str" cm="1">
        <f t="array" aca="1" ref="L31" ca="1">INDIRECT(J31&amp;K31)</f>
        <v xml:space="preserve">      smpl 2026 2026</v>
      </c>
      <c r="Q31" t="s">
        <v>42</v>
      </c>
    </row>
    <row r="32" spans="1:17" x14ac:dyDescent="0.25">
      <c r="A32">
        <v>2038</v>
      </c>
      <c r="B32">
        <v>32</v>
      </c>
      <c r="C32" t="s">
        <v>26</v>
      </c>
      <c r="D32" t="s">
        <v>132</v>
      </c>
      <c r="J32" t="s">
        <v>40</v>
      </c>
      <c r="K32">
        <v>20</v>
      </c>
      <c r="L32" t="str" cm="1">
        <f t="array" aca="1" ref="L32" ca="1">INDIRECT(J32&amp;K32)</f>
        <v xml:space="preserve">      series QD_cgas = 0,0999965025409444 * @elem(QD_cgas, 2015)</v>
      </c>
      <c r="Q32" t="s">
        <v>41</v>
      </c>
    </row>
    <row r="33" spans="1:17" x14ac:dyDescent="0.25">
      <c r="A33">
        <v>2039</v>
      </c>
      <c r="B33">
        <v>33</v>
      </c>
      <c r="C33" t="s">
        <v>27</v>
      </c>
      <c r="D33" t="s">
        <v>133</v>
      </c>
      <c r="J33" t="s">
        <v>39</v>
      </c>
      <c r="K33">
        <v>21</v>
      </c>
      <c r="L33" t="str" cm="1">
        <f t="array" aca="1" ref="L33" ca="1">INDIRECT(J33&amp;K33)</f>
        <v xml:space="preserve">      smpl 2027 2027</v>
      </c>
      <c r="Q33" t="s">
        <v>42</v>
      </c>
    </row>
    <row r="34" spans="1:17" x14ac:dyDescent="0.25">
      <c r="A34">
        <v>2040</v>
      </c>
      <c r="B34">
        <v>34</v>
      </c>
      <c r="C34" t="s">
        <v>28</v>
      </c>
      <c r="D34" t="s">
        <v>134</v>
      </c>
      <c r="J34" t="s">
        <v>40</v>
      </c>
      <c r="K34">
        <v>21</v>
      </c>
      <c r="L34" t="str" cm="1">
        <f t="array" aca="1" ref="L34" ca="1">INDIRECT(J34&amp;K34)</f>
        <v xml:space="preserve">      series QD_cgas = 0,0999987154437828 * @elem(QD_cgas, 2015)</v>
      </c>
      <c r="Q34" t="s">
        <v>41</v>
      </c>
    </row>
    <row r="35" spans="1:17" x14ac:dyDescent="0.25">
      <c r="A35">
        <v>2041</v>
      </c>
      <c r="B35">
        <v>35</v>
      </c>
      <c r="C35" t="s">
        <v>29</v>
      </c>
      <c r="D35" t="s">
        <v>135</v>
      </c>
      <c r="J35" t="s">
        <v>39</v>
      </c>
      <c r="K35">
        <v>22</v>
      </c>
      <c r="L35" t="str" cm="1">
        <f t="array" aca="1" ref="L35" ca="1">INDIRECT(J35&amp;K35)</f>
        <v xml:space="preserve">      smpl 2028 2028</v>
      </c>
      <c r="Q35" t="s">
        <v>42</v>
      </c>
    </row>
    <row r="36" spans="1:17" x14ac:dyDescent="0.25">
      <c r="A36">
        <v>2042</v>
      </c>
      <c r="B36">
        <v>36</v>
      </c>
      <c r="C36" t="s">
        <v>30</v>
      </c>
      <c r="D36" t="s">
        <v>136</v>
      </c>
      <c r="J36" t="s">
        <v>40</v>
      </c>
      <c r="K36">
        <v>22</v>
      </c>
      <c r="L36" t="str" cm="1">
        <f t="array" aca="1" ref="L36" ca="1">INDIRECT(J36&amp;K36)</f>
        <v xml:space="preserve">      series QD_cgas = 0,0999995444176705 * @elem(QD_cgas, 2015)</v>
      </c>
      <c r="Q36" t="s">
        <v>41</v>
      </c>
    </row>
    <row r="37" spans="1:17" x14ac:dyDescent="0.25">
      <c r="A37">
        <v>2043</v>
      </c>
      <c r="B37">
        <v>37</v>
      </c>
      <c r="C37" t="s">
        <v>31</v>
      </c>
      <c r="D37" t="s">
        <v>137</v>
      </c>
      <c r="J37" t="s">
        <v>39</v>
      </c>
      <c r="K37">
        <v>23</v>
      </c>
      <c r="L37" t="str" cm="1">
        <f t="array" aca="1" ref="L37" ca="1">INDIRECT(J37&amp;K37)</f>
        <v xml:space="preserve">      smpl 2029 2029</v>
      </c>
      <c r="Q37" t="s">
        <v>42</v>
      </c>
    </row>
    <row r="38" spans="1:17" x14ac:dyDescent="0.25">
      <c r="A38">
        <v>2044</v>
      </c>
      <c r="B38">
        <v>38</v>
      </c>
      <c r="C38" t="s">
        <v>32</v>
      </c>
      <c r="D38" t="s">
        <v>138</v>
      </c>
      <c r="J38" t="s">
        <v>40</v>
      </c>
      <c r="K38">
        <v>23</v>
      </c>
      <c r="L38" t="str" cm="1">
        <f t="array" aca="1" ref="L38" ca="1">INDIRECT(J38&amp;K38)</f>
        <v xml:space="preserve">      series QD_cgas = 0,099999842089586 * @elem(QD_cgas, 2015)</v>
      </c>
      <c r="Q38" t="s">
        <v>41</v>
      </c>
    </row>
    <row r="39" spans="1:17" x14ac:dyDescent="0.25">
      <c r="A39">
        <v>2045</v>
      </c>
      <c r="B39">
        <v>39</v>
      </c>
      <c r="C39" t="s">
        <v>33</v>
      </c>
      <c r="D39" t="s">
        <v>139</v>
      </c>
      <c r="J39" t="s">
        <v>39</v>
      </c>
      <c r="K39">
        <v>24</v>
      </c>
      <c r="L39" t="str" cm="1">
        <f t="array" aca="1" ref="L39" ca="1">INDIRECT(J39&amp;K39)</f>
        <v xml:space="preserve">      smpl 2030 2030</v>
      </c>
      <c r="Q39" t="s">
        <v>42</v>
      </c>
    </row>
    <row r="40" spans="1:17" x14ac:dyDescent="0.25">
      <c r="A40">
        <v>2046</v>
      </c>
      <c r="B40">
        <v>40</v>
      </c>
      <c r="C40" t="s">
        <v>34</v>
      </c>
      <c r="D40" t="s">
        <v>140</v>
      </c>
      <c r="J40" t="s">
        <v>40</v>
      </c>
      <c r="K40">
        <v>24</v>
      </c>
      <c r="L40" t="str" cm="1">
        <f t="array" aca="1" ref="L40" ca="1">INDIRECT(J40&amp;K40)</f>
        <v xml:space="preserve">      series QD_cgas = 0,0999999465945939 * @elem(QD_cgas, 2015)</v>
      </c>
      <c r="Q40" t="s">
        <v>41</v>
      </c>
    </row>
    <row r="41" spans="1:17" x14ac:dyDescent="0.25">
      <c r="A41">
        <v>2047</v>
      </c>
      <c r="B41">
        <v>41</v>
      </c>
      <c r="C41" t="s">
        <v>35</v>
      </c>
      <c r="D41" t="s">
        <v>141</v>
      </c>
      <c r="J41" t="s">
        <v>39</v>
      </c>
      <c r="K41">
        <v>25</v>
      </c>
      <c r="L41" t="str" cm="1">
        <f t="array" aca="1" ref="L41" ca="1">INDIRECT(J41&amp;K41)</f>
        <v xml:space="preserve">      smpl 2031 2031</v>
      </c>
      <c r="Q41" t="s">
        <v>42</v>
      </c>
    </row>
    <row r="42" spans="1:17" x14ac:dyDescent="0.25">
      <c r="A42">
        <v>2048</v>
      </c>
      <c r="B42">
        <v>42</v>
      </c>
      <c r="C42" t="s">
        <v>36</v>
      </c>
      <c r="D42" t="s">
        <v>142</v>
      </c>
      <c r="J42" t="s">
        <v>40</v>
      </c>
      <c r="K42">
        <v>25</v>
      </c>
      <c r="L42" t="str" cm="1">
        <f t="array" aca="1" ref="L42" ca="1">INDIRECT(J42&amp;K42)</f>
        <v xml:space="preserve">      series QD_cgas = 0,099999968685688 * @elem(QD_cgas, 2015)</v>
      </c>
      <c r="Q42" t="s">
        <v>41</v>
      </c>
    </row>
    <row r="43" spans="1:17" x14ac:dyDescent="0.25">
      <c r="A43">
        <v>2049</v>
      </c>
      <c r="B43">
        <v>43</v>
      </c>
      <c r="C43" t="s">
        <v>37</v>
      </c>
      <c r="D43" t="s">
        <v>143</v>
      </c>
      <c r="J43" t="s">
        <v>39</v>
      </c>
      <c r="K43">
        <v>26</v>
      </c>
      <c r="L43" t="str" cm="1">
        <f t="array" aca="1" ref="L43" ca="1">INDIRECT(J43&amp;K43)</f>
        <v xml:space="preserve">      smpl 2032 2032</v>
      </c>
      <c r="Q43" t="s">
        <v>42</v>
      </c>
    </row>
    <row r="44" spans="1:17" x14ac:dyDescent="0.25">
      <c r="A44">
        <v>2050</v>
      </c>
      <c r="B44">
        <v>44</v>
      </c>
      <c r="C44" t="s">
        <v>38</v>
      </c>
      <c r="D44" t="s">
        <v>144</v>
      </c>
      <c r="J44" t="s">
        <v>40</v>
      </c>
      <c r="K44">
        <v>26</v>
      </c>
      <c r="L44" t="str" cm="1">
        <f t="array" aca="1" ref="L44" ca="1">INDIRECT(J44&amp;K44)</f>
        <v xml:space="preserve">      series QD_cgas = 0,100005125282612 * @elem(QD_cgas, 2015)</v>
      </c>
      <c r="Q44" t="s">
        <v>41</v>
      </c>
    </row>
    <row r="45" spans="1:17" x14ac:dyDescent="0.25">
      <c r="J45" t="s">
        <v>39</v>
      </c>
      <c r="K45">
        <v>27</v>
      </c>
      <c r="L45" t="str" cm="1">
        <f t="array" aca="1" ref="L45" ca="1">INDIRECT(J45&amp;K45)</f>
        <v xml:space="preserve">      smpl 2033 2033</v>
      </c>
      <c r="Q45" t="s">
        <v>42</v>
      </c>
    </row>
    <row r="46" spans="1:17" x14ac:dyDescent="0.25">
      <c r="J46" t="s">
        <v>40</v>
      </c>
      <c r="K46">
        <v>27</v>
      </c>
      <c r="L46" t="str" cm="1">
        <f t="array" aca="1" ref="L46" ca="1">INDIRECT(J46&amp;K46)</f>
        <v xml:space="preserve">      series QD_cgas = 0,100002888131636 * @elem(QD_cgas, 2015)</v>
      </c>
      <c r="Q46" t="s">
        <v>41</v>
      </c>
    </row>
    <row r="47" spans="1:17" x14ac:dyDescent="0.25">
      <c r="J47" t="s">
        <v>39</v>
      </c>
      <c r="K47">
        <v>28</v>
      </c>
      <c r="L47" t="str" cm="1">
        <f t="array" aca="1" ref="L47" ca="1">INDIRECT(J47&amp;K47)</f>
        <v xml:space="preserve">      smpl 2034 2034</v>
      </c>
      <c r="Q47" t="s">
        <v>42</v>
      </c>
    </row>
    <row r="48" spans="1:17" x14ac:dyDescent="0.25">
      <c r="J48" t="s">
        <v>40</v>
      </c>
      <c r="K48">
        <v>28</v>
      </c>
      <c r="L48" t="str" cm="1">
        <f t="array" aca="1" ref="L48" ca="1">INDIRECT(J48&amp;K48)</f>
        <v xml:space="preserve">      series QD_cgas = 0,100001593682774 * @elem(QD_cgas, 2015)</v>
      </c>
      <c r="Q48" t="s">
        <v>41</v>
      </c>
    </row>
    <row r="49" spans="10:17" x14ac:dyDescent="0.25">
      <c r="J49" t="s">
        <v>39</v>
      </c>
      <c r="K49">
        <v>29</v>
      </c>
      <c r="L49" t="str" cm="1">
        <f t="array" aca="1" ref="L49" ca="1">INDIRECT(J49&amp;K49)</f>
        <v xml:space="preserve">      smpl 2035 2035</v>
      </c>
      <c r="Q49" t="s">
        <v>42</v>
      </c>
    </row>
    <row r="50" spans="10:17" x14ac:dyDescent="0.25">
      <c r="J50" t="s">
        <v>40</v>
      </c>
      <c r="K50">
        <v>29</v>
      </c>
      <c r="L50" t="str" cm="1">
        <f t="array" aca="1" ref="L50" ca="1">INDIRECT(J50&amp;K50)</f>
        <v xml:space="preserve">      series QD_cgas = 0,100000851511267 * @elem(QD_cgas, 2015)</v>
      </c>
      <c r="Q50" t="s">
        <v>41</v>
      </c>
    </row>
    <row r="51" spans="10:17" x14ac:dyDescent="0.25">
      <c r="J51" t="s">
        <v>39</v>
      </c>
      <c r="K51">
        <v>30</v>
      </c>
      <c r="L51" t="str" cm="1">
        <f t="array" aca="1" ref="L51" ca="1">INDIRECT(J51&amp;K51)</f>
        <v xml:space="preserve">      smpl 2036 2036</v>
      </c>
      <c r="Q51" t="s">
        <v>42</v>
      </c>
    </row>
    <row r="52" spans="10:17" x14ac:dyDescent="0.25">
      <c r="J52" t="s">
        <v>40</v>
      </c>
      <c r="K52">
        <v>30</v>
      </c>
      <c r="L52" t="str" cm="1">
        <f t="array" aca="1" ref="L52" ca="1">INDIRECT(J52&amp;K52)</f>
        <v xml:space="preserve">      series QD_cgas = 0,100000436392086 * @elem(QD_cgas, 2015)</v>
      </c>
      <c r="Q52" t="s">
        <v>41</v>
      </c>
    </row>
    <row r="53" spans="10:17" x14ac:dyDescent="0.25">
      <c r="J53" t="s">
        <v>39</v>
      </c>
      <c r="K53">
        <v>31</v>
      </c>
      <c r="L53" t="str" cm="1">
        <f t="array" aca="1" ref="L53" ca="1">INDIRECT(J53&amp;K53)</f>
        <v xml:space="preserve">      smpl 2037 2037</v>
      </c>
      <c r="Q53" t="s">
        <v>42</v>
      </c>
    </row>
    <row r="54" spans="10:17" x14ac:dyDescent="0.25">
      <c r="J54" t="s">
        <v>40</v>
      </c>
      <c r="K54">
        <v>31</v>
      </c>
      <c r="L54" t="str" cm="1">
        <f t="array" aca="1" ref="L54" ca="1">INDIRECT(J54&amp;K54)</f>
        <v xml:space="preserve">      series QD_cgas = 0,10000021228277 * @elem(QD_cgas, 2015)</v>
      </c>
      <c r="Q54" t="s">
        <v>41</v>
      </c>
    </row>
    <row r="55" spans="10:17" x14ac:dyDescent="0.25">
      <c r="J55" t="s">
        <v>39</v>
      </c>
      <c r="K55">
        <v>32</v>
      </c>
      <c r="L55" t="str" cm="1">
        <f t="array" aca="1" ref="L55" ca="1">INDIRECT(J55&amp;K55)</f>
        <v xml:space="preserve">      smpl 2038 2038</v>
      </c>
      <c r="Q55" t="s">
        <v>42</v>
      </c>
    </row>
    <row r="56" spans="10:17" x14ac:dyDescent="0.25">
      <c r="J56" t="s">
        <v>40</v>
      </c>
      <c r="K56">
        <v>32</v>
      </c>
      <c r="L56" t="str" cm="1">
        <f t="array" aca="1" ref="L56" ca="1">INDIRECT(J56&amp;K56)</f>
        <v xml:space="preserve">      series QD_cgas = 0,100000096843787 * @elem(QD_cgas, 2015)</v>
      </c>
      <c r="Q56" t="s">
        <v>41</v>
      </c>
    </row>
    <row r="57" spans="10:17" x14ac:dyDescent="0.25">
      <c r="J57" t="s">
        <v>39</v>
      </c>
      <c r="K57">
        <v>33</v>
      </c>
      <c r="L57" t="str" cm="1">
        <f t="array" aca="1" ref="L57" ca="1">INDIRECT(J57&amp;K57)</f>
        <v xml:space="preserve">      smpl 2039 2039</v>
      </c>
      <c r="Q57" t="s">
        <v>42</v>
      </c>
    </row>
    <row r="58" spans="10:17" x14ac:dyDescent="0.25">
      <c r="J58" t="s">
        <v>40</v>
      </c>
      <c r="K58">
        <v>33</v>
      </c>
      <c r="L58" t="str" cm="1">
        <f t="array" aca="1" ref="L58" ca="1">INDIRECT(J58&amp;K58)</f>
        <v xml:space="preserve">      series QD_cgas = 0,100000040835053 * @elem(QD_cgas, 2015)</v>
      </c>
      <c r="Q58" t="s">
        <v>41</v>
      </c>
    </row>
    <row r="59" spans="10:17" x14ac:dyDescent="0.25">
      <c r="J59" t="s">
        <v>39</v>
      </c>
      <c r="K59">
        <v>34</v>
      </c>
      <c r="L59" t="str" cm="1">
        <f t="array" aca="1" ref="L59" ca="1">INDIRECT(J59&amp;K59)</f>
        <v xml:space="preserve">      smpl 2040 2040</v>
      </c>
      <c r="Q59" t="s">
        <v>42</v>
      </c>
    </row>
    <row r="60" spans="10:17" x14ac:dyDescent="0.25">
      <c r="J60" t="s">
        <v>40</v>
      </c>
      <c r="K60">
        <v>34</v>
      </c>
      <c r="L60" t="str" cm="1">
        <f t="array" aca="1" ref="L60" ca="1">INDIRECT(J60&amp;K60)</f>
        <v xml:space="preserve">      series QD_cgas = 0,0999950332972294 * @elem(QD_cgas, 2015)</v>
      </c>
      <c r="Q60" t="s">
        <v>41</v>
      </c>
    </row>
    <row r="61" spans="10:17" x14ac:dyDescent="0.25">
      <c r="J61" t="s">
        <v>39</v>
      </c>
      <c r="K61">
        <v>35</v>
      </c>
      <c r="L61" t="str" cm="1">
        <f t="array" aca="1" ref="L61" ca="1">INDIRECT(J61&amp;K61)</f>
        <v xml:space="preserve">      smpl 2041 2041</v>
      </c>
      <c r="Q61" t="s">
        <v>42</v>
      </c>
    </row>
    <row r="62" spans="10:17" x14ac:dyDescent="0.25">
      <c r="J62" t="s">
        <v>40</v>
      </c>
      <c r="K62">
        <v>35</v>
      </c>
      <c r="L62" t="str" cm="1">
        <f t="array" aca="1" ref="L62" ca="1">INDIRECT(J62&amp;K62)</f>
        <v xml:space="preserve">      series QD_cgas = 0,0999974906897195 * @elem(QD_cgas, 2015)</v>
      </c>
      <c r="Q62" t="s">
        <v>41</v>
      </c>
    </row>
    <row r="63" spans="10:17" x14ac:dyDescent="0.25">
      <c r="J63" t="s">
        <v>39</v>
      </c>
      <c r="K63">
        <v>36</v>
      </c>
      <c r="L63" t="str" cm="1">
        <f t="array" aca="1" ref="L63" ca="1">INDIRECT(J63&amp;K63)</f>
        <v xml:space="preserve">      smpl 2042 2042</v>
      </c>
      <c r="Q63" t="s">
        <v>42</v>
      </c>
    </row>
    <row r="64" spans="10:17" x14ac:dyDescent="0.25">
      <c r="J64" t="s">
        <v>40</v>
      </c>
      <c r="K64">
        <v>36</v>
      </c>
      <c r="L64" t="str" cm="1">
        <f t="array" aca="1" ref="L64" ca="1">INDIRECT(J64&amp;K64)</f>
        <v xml:space="preserve">      series QD_cgas = 0,0999988909080628 * @elem(QD_cgas, 2015)</v>
      </c>
      <c r="Q64" t="s">
        <v>41</v>
      </c>
    </row>
    <row r="65" spans="10:17" x14ac:dyDescent="0.25">
      <c r="J65" t="s">
        <v>39</v>
      </c>
      <c r="K65">
        <v>37</v>
      </c>
      <c r="L65" t="str" cm="1">
        <f t="array" aca="1" ref="L65" ca="1">INDIRECT(J65&amp;K65)</f>
        <v xml:space="preserve">      smpl 2043 2043</v>
      </c>
      <c r="Q65" t="s">
        <v>42</v>
      </c>
    </row>
    <row r="66" spans="10:17" x14ac:dyDescent="0.25">
      <c r="J66" t="s">
        <v>40</v>
      </c>
      <c r="K66">
        <v>37</v>
      </c>
      <c r="L66" t="str" cm="1">
        <f t="array" aca="1" ref="L66" ca="1">INDIRECT(J66&amp;K66)</f>
        <v xml:space="preserve">      series QD_cgas = 0,099999565690576 * @elem(QD_cgas, 2015)</v>
      </c>
      <c r="Q66" t="s">
        <v>41</v>
      </c>
    </row>
    <row r="67" spans="10:17" x14ac:dyDescent="0.25">
      <c r="J67" t="s">
        <v>39</v>
      </c>
      <c r="K67">
        <v>38</v>
      </c>
      <c r="L67" t="str" cm="1">
        <f t="array" aca="1" ref="L67" ca="1">INDIRECT(J67&amp;K67)</f>
        <v xml:space="preserve">      smpl 2044 2044</v>
      </c>
      <c r="Q67" t="s">
        <v>42</v>
      </c>
    </row>
    <row r="68" spans="10:17" x14ac:dyDescent="0.25">
      <c r="J68" t="s">
        <v>40</v>
      </c>
      <c r="K68">
        <v>38</v>
      </c>
      <c r="L68" t="str" cm="1">
        <f t="array" aca="1" ref="L68" ca="1">INDIRECT(J68&amp;K68)</f>
        <v xml:space="preserve">      series QD_cgas = 0,0999998583789787 * @elem(QD_cgas, 2015)</v>
      </c>
      <c r="Q68" t="s">
        <v>41</v>
      </c>
    </row>
    <row r="69" spans="10:17" x14ac:dyDescent="0.25">
      <c r="J69" t="s">
        <v>39</v>
      </c>
      <c r="K69">
        <v>39</v>
      </c>
      <c r="L69" t="str" cm="1">
        <f t="array" aca="1" ref="L69" ca="1">INDIRECT(J69&amp;K69)</f>
        <v xml:space="preserve">      smpl 2045 2045</v>
      </c>
      <c r="Q69" t="s">
        <v>42</v>
      </c>
    </row>
    <row r="70" spans="10:17" x14ac:dyDescent="0.25">
      <c r="J70" t="s">
        <v>40</v>
      </c>
      <c r="K70">
        <v>39</v>
      </c>
      <c r="L70" t="str" cm="1">
        <f t="array" aca="1" ref="L70" ca="1">INDIRECT(J70&amp;K70)</f>
        <v xml:space="preserve">      series QD_cgas = 0,0999999653385526 * @elem(QD_cgas, 2015)</v>
      </c>
      <c r="Q70" t="s">
        <v>41</v>
      </c>
    </row>
    <row r="71" spans="10:17" x14ac:dyDescent="0.25">
      <c r="J71" t="s">
        <v>39</v>
      </c>
      <c r="K71">
        <v>40</v>
      </c>
      <c r="L71" t="str" cm="1">
        <f t="array" aca="1" ref="L71" ca="1">INDIRECT(J71&amp;K71)</f>
        <v xml:space="preserve">      smpl 2046 2046</v>
      </c>
      <c r="Q71" t="s">
        <v>42</v>
      </c>
    </row>
    <row r="72" spans="10:17" x14ac:dyDescent="0.25">
      <c r="J72" t="s">
        <v>40</v>
      </c>
      <c r="K72">
        <v>40</v>
      </c>
      <c r="L72" t="str" cm="1">
        <f t="array" aca="1" ref="L72" ca="1">INDIRECT(J72&amp;K72)</f>
        <v xml:space="preserve">      series QD_cgas = 0,0999962957623524 * @elem(QD_cgas, 2015)</v>
      </c>
      <c r="Q72" t="s">
        <v>41</v>
      </c>
    </row>
    <row r="73" spans="10:17" x14ac:dyDescent="0.25">
      <c r="J73" t="s">
        <v>39</v>
      </c>
      <c r="K73">
        <v>41</v>
      </c>
      <c r="L73" t="str" cm="1">
        <f t="array" aca="1" ref="L73" ca="1">INDIRECT(J73&amp;K73)</f>
        <v xml:space="preserve">      smpl 2047 2047</v>
      </c>
      <c r="Q73" t="s">
        <v>42</v>
      </c>
    </row>
    <row r="74" spans="10:17" x14ac:dyDescent="0.25">
      <c r="J74" t="s">
        <v>40</v>
      </c>
      <c r="K74">
        <v>41</v>
      </c>
      <c r="L74" t="str" cm="1">
        <f t="array" aca="1" ref="L74" ca="1">INDIRECT(J74&amp;K74)</f>
        <v xml:space="preserve">      series QD_cgas = 0,0999994155901448 * @elem(QD_cgas, 2015)</v>
      </c>
      <c r="Q74" t="s">
        <v>41</v>
      </c>
    </row>
    <row r="75" spans="10:17" x14ac:dyDescent="0.25">
      <c r="J75" t="s">
        <v>39</v>
      </c>
      <c r="K75">
        <v>42</v>
      </c>
      <c r="L75" t="str" cm="1">
        <f t="array" aca="1" ref="L75" ca="1">INDIRECT(J75&amp;K75)</f>
        <v xml:space="preserve">      smpl 2048 2048</v>
      </c>
      <c r="Q75" t="s">
        <v>42</v>
      </c>
    </row>
    <row r="76" spans="10:17" x14ac:dyDescent="0.25">
      <c r="J76" t="s">
        <v>40</v>
      </c>
      <c r="K76">
        <v>42</v>
      </c>
      <c r="L76" t="str" cm="1">
        <f t="array" aca="1" ref="L76" ca="1">INDIRECT(J76&amp;K76)</f>
        <v xml:space="preserve">      series QD_cgas = 0,100000753998053 * @elem(QD_cgas, 2015)</v>
      </c>
      <c r="Q76" t="s">
        <v>41</v>
      </c>
    </row>
    <row r="77" spans="10:17" x14ac:dyDescent="0.25">
      <c r="J77" t="s">
        <v>39</v>
      </c>
      <c r="K77">
        <v>43</v>
      </c>
      <c r="L77" t="str" cm="1">
        <f t="array" aca="1" ref="L77" ca="1">INDIRECT(J77&amp;K77)</f>
        <v xml:space="preserve">      smpl 2049 2049</v>
      </c>
      <c r="Q77" t="s">
        <v>42</v>
      </c>
    </row>
    <row r="78" spans="10:17" x14ac:dyDescent="0.25">
      <c r="J78" t="s">
        <v>40</v>
      </c>
      <c r="K78">
        <v>43</v>
      </c>
      <c r="L78" t="str" cm="1">
        <f t="array" aca="1" ref="L78" ca="1">INDIRECT(J78&amp;K78)</f>
        <v xml:space="preserve">      series QD_cgas = 0,100000170332006 * @elem(QD_cgas, 2015)</v>
      </c>
      <c r="Q78" t="s">
        <v>41</v>
      </c>
    </row>
    <row r="79" spans="10:17" x14ac:dyDescent="0.25">
      <c r="J79" t="s">
        <v>39</v>
      </c>
      <c r="K79">
        <v>44</v>
      </c>
      <c r="L79" t="str" cm="1">
        <f t="array" aca="1" ref="L79" ca="1">INDIRECT(J79&amp;K79)</f>
        <v xml:space="preserve">      smpl 2050 2050</v>
      </c>
      <c r="Q79" t="s">
        <v>42</v>
      </c>
    </row>
    <row r="80" spans="10:17" x14ac:dyDescent="0.25">
      <c r="J80" t="s">
        <v>40</v>
      </c>
      <c r="K80">
        <v>44</v>
      </c>
      <c r="L80" t="str" cm="1">
        <f t="array" aca="1" ref="L80" ca="1">INDIRECT(J80&amp;K80)</f>
        <v xml:space="preserve">      series QD_cgas = 0,100001863536275 * @elem(QD_cgas, 2015)</v>
      </c>
      <c r="Q80" t="s">
        <v>41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E853"/>
  <sheetViews>
    <sheetView topLeftCell="BQ46" workbookViewId="0">
      <selection activeCell="CE3" sqref="CE3:CE74"/>
    </sheetView>
  </sheetViews>
  <sheetFormatPr defaultRowHeight="15" x14ac:dyDescent="0.25"/>
  <cols>
    <col min="2" max="23" width="12.42578125" customWidth="1"/>
    <col min="49" max="50" width="7.7109375" customWidth="1"/>
  </cols>
  <sheetData>
    <row r="1" spans="1:83" x14ac:dyDescent="0.25">
      <c r="AW1" t="s">
        <v>88</v>
      </c>
      <c r="AX1" t="s">
        <v>89</v>
      </c>
      <c r="AY1" t="s">
        <v>90</v>
      </c>
      <c r="AZ1" t="s">
        <v>91</v>
      </c>
      <c r="BA1" t="s">
        <v>92</v>
      </c>
      <c r="BB1" t="s">
        <v>93</v>
      </c>
      <c r="BC1" t="s">
        <v>94</v>
      </c>
      <c r="BD1" t="s">
        <v>95</v>
      </c>
      <c r="BE1" t="s">
        <v>96</v>
      </c>
      <c r="BF1" t="s">
        <v>97</v>
      </c>
      <c r="BG1" t="s">
        <v>98</v>
      </c>
      <c r="BH1" t="s">
        <v>99</v>
      </c>
      <c r="BI1" t="s">
        <v>100</v>
      </c>
      <c r="BJ1" t="s">
        <v>101</v>
      </c>
      <c r="BK1" t="s">
        <v>102</v>
      </c>
      <c r="BL1" t="s">
        <v>103</v>
      </c>
      <c r="BM1" t="s">
        <v>104</v>
      </c>
      <c r="BN1" t="s">
        <v>105</v>
      </c>
      <c r="BO1" t="s">
        <v>106</v>
      </c>
      <c r="BP1" t="s">
        <v>107</v>
      </c>
      <c r="BQ1" t="s">
        <v>108</v>
      </c>
      <c r="BR1" t="s">
        <v>109</v>
      </c>
    </row>
    <row r="2" spans="1:83" x14ac:dyDescent="0.25"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1</v>
      </c>
      <c r="S2" t="s">
        <v>59</v>
      </c>
      <c r="T2" t="s">
        <v>60</v>
      </c>
      <c r="U2" t="s">
        <v>61</v>
      </c>
      <c r="V2" t="s">
        <v>62</v>
      </c>
      <c r="W2" t="s">
        <v>63</v>
      </c>
      <c r="Y2" t="s">
        <v>43</v>
      </c>
      <c r="Z2" t="s">
        <v>44</v>
      </c>
      <c r="AA2" t="s">
        <v>45</v>
      </c>
      <c r="AB2" t="s">
        <v>46</v>
      </c>
      <c r="AC2" t="s">
        <v>47</v>
      </c>
      <c r="AD2" t="s">
        <v>48</v>
      </c>
      <c r="AE2" t="s">
        <v>49</v>
      </c>
      <c r="AF2" t="s">
        <v>50</v>
      </c>
      <c r="AG2" t="s">
        <v>51</v>
      </c>
      <c r="AH2" t="s">
        <v>52</v>
      </c>
      <c r="AI2" t="s">
        <v>53</v>
      </c>
      <c r="AJ2" t="s">
        <v>54</v>
      </c>
      <c r="AK2" t="s">
        <v>55</v>
      </c>
      <c r="AL2" t="s">
        <v>56</v>
      </c>
      <c r="AM2" t="s">
        <v>57</v>
      </c>
      <c r="AN2" t="s">
        <v>58</v>
      </c>
      <c r="AO2" t="s">
        <v>1</v>
      </c>
      <c r="AP2" t="s">
        <v>59</v>
      </c>
      <c r="AQ2" t="s">
        <v>60</v>
      </c>
      <c r="AR2" t="s">
        <v>61</v>
      </c>
      <c r="AS2" t="s">
        <v>62</v>
      </c>
      <c r="AT2" t="s">
        <v>63</v>
      </c>
      <c r="AW2" t="s">
        <v>43</v>
      </c>
      <c r="AX2" t="s">
        <v>44</v>
      </c>
      <c r="AY2" t="s">
        <v>45</v>
      </c>
      <c r="AZ2" t="s">
        <v>46</v>
      </c>
      <c r="BA2" t="s">
        <v>47</v>
      </c>
      <c r="BB2" t="s">
        <v>48</v>
      </c>
      <c r="BC2" t="s">
        <v>49</v>
      </c>
      <c r="BD2" t="s">
        <v>50</v>
      </c>
      <c r="BE2" t="s">
        <v>51</v>
      </c>
      <c r="BF2" t="s">
        <v>52</v>
      </c>
      <c r="BG2" t="s">
        <v>53</v>
      </c>
      <c r="BH2" t="s">
        <v>54</v>
      </c>
      <c r="BI2" t="s">
        <v>55</v>
      </c>
      <c r="BJ2" t="s">
        <v>56</v>
      </c>
      <c r="BK2" t="s">
        <v>57</v>
      </c>
      <c r="BL2" t="s">
        <v>58</v>
      </c>
      <c r="BM2" t="s">
        <v>1</v>
      </c>
      <c r="BN2" t="s">
        <v>59</v>
      </c>
      <c r="BO2" t="s">
        <v>60</v>
      </c>
      <c r="BP2" t="s">
        <v>61</v>
      </c>
      <c r="BQ2" t="s">
        <v>62</v>
      </c>
      <c r="BR2" t="s">
        <v>63</v>
      </c>
    </row>
    <row r="3" spans="1:83" x14ac:dyDescent="0.25">
      <c r="A3">
        <v>2015</v>
      </c>
      <c r="B3">
        <v>33302.819909999998</v>
      </c>
      <c r="C3">
        <v>8019.2394830000003</v>
      </c>
      <c r="D3">
        <v>38899.427649999998</v>
      </c>
      <c r="E3">
        <v>9823.6197769999999</v>
      </c>
      <c r="F3">
        <v>7380.4103359999999</v>
      </c>
      <c r="G3">
        <v>8431.8779560000003</v>
      </c>
      <c r="H3">
        <v>89351.19137</v>
      </c>
      <c r="I3">
        <v>1155978.264</v>
      </c>
      <c r="J3">
        <v>54619.332569999999</v>
      </c>
      <c r="K3">
        <v>8494.9375810000001</v>
      </c>
      <c r="L3">
        <v>10105</v>
      </c>
      <c r="M3">
        <v>486.85864420000001</v>
      </c>
      <c r="N3">
        <v>2450.2889989999999</v>
      </c>
      <c r="O3">
        <v>43195.494930000001</v>
      </c>
      <c r="P3">
        <v>11718.023730000001</v>
      </c>
      <c r="Q3">
        <v>7419.7669320000005</v>
      </c>
      <c r="R3">
        <v>13444.3318</v>
      </c>
      <c r="S3">
        <v>406.00652359999998</v>
      </c>
      <c r="T3">
        <v>105.3299708</v>
      </c>
      <c r="U3">
        <v>518.85038080000004</v>
      </c>
      <c r="V3">
        <v>1072.5738779999999</v>
      </c>
      <c r="W3">
        <v>1019.445035</v>
      </c>
      <c r="Y3">
        <f>B3/B$3</f>
        <v>1</v>
      </c>
      <c r="Z3">
        <f t="shared" ref="Z3:AT15" si="0">C3/C$3</f>
        <v>1</v>
      </c>
      <c r="AA3">
        <f t="shared" si="0"/>
        <v>1</v>
      </c>
      <c r="AB3">
        <f t="shared" si="0"/>
        <v>1</v>
      </c>
      <c r="AC3">
        <f t="shared" si="0"/>
        <v>1</v>
      </c>
      <c r="AD3">
        <f t="shared" si="0"/>
        <v>1</v>
      </c>
      <c r="AE3">
        <f t="shared" si="0"/>
        <v>1</v>
      </c>
      <c r="AF3">
        <f t="shared" si="0"/>
        <v>1</v>
      </c>
      <c r="AG3">
        <f t="shared" si="0"/>
        <v>1</v>
      </c>
      <c r="AH3">
        <f t="shared" si="0"/>
        <v>1</v>
      </c>
      <c r="AI3">
        <f t="shared" si="0"/>
        <v>1</v>
      </c>
      <c r="AJ3">
        <f t="shared" si="0"/>
        <v>1</v>
      </c>
      <c r="AK3">
        <f t="shared" si="0"/>
        <v>1</v>
      </c>
      <c r="AL3">
        <f t="shared" si="0"/>
        <v>1</v>
      </c>
      <c r="AM3">
        <f t="shared" si="0"/>
        <v>1</v>
      </c>
      <c r="AN3">
        <f t="shared" si="0"/>
        <v>1</v>
      </c>
      <c r="AO3">
        <f t="shared" si="0"/>
        <v>1</v>
      </c>
      <c r="AP3">
        <f t="shared" si="0"/>
        <v>1</v>
      </c>
      <c r="AQ3">
        <f t="shared" si="0"/>
        <v>1</v>
      </c>
      <c r="AR3">
        <f t="shared" si="0"/>
        <v>1</v>
      </c>
      <c r="AS3">
        <f t="shared" si="0"/>
        <v>1</v>
      </c>
      <c r="AT3">
        <f t="shared" si="0"/>
        <v>1</v>
      </c>
      <c r="AV3" t="s">
        <v>4</v>
      </c>
      <c r="AW3" t="str">
        <f>"      series QD_"&amp;AW$1&amp;" = "&amp;Y3&amp;" * @elem(QD_"&amp;AW$1&amp;", 2015)"</f>
        <v xml:space="preserve">      series QD_cagr = 1 * @elem(QD_cagr, 2015)</v>
      </c>
      <c r="AX3" t="str">
        <f t="shared" ref="AX3:BR15" si="1">"      series QD_"&amp;AX$1&amp;" = "&amp;Z3&amp;" * @elem(QD_"&amp;AX$1&amp;", 2015)"</f>
        <v xml:space="preserve">      series QD_cmet = 1 * @elem(QD_cmet, 2015)</v>
      </c>
      <c r="AY3" t="str">
        <f t="shared" si="1"/>
        <v xml:space="preserve">      series QD_cchem = 1 * @elem(QD_cchem, 2015)</v>
      </c>
      <c r="AZ3" t="str">
        <f t="shared" si="1"/>
        <v xml:space="preserve">      series QD_cpla = 1 * @elem(QD_cpla, 2015)</v>
      </c>
      <c r="BA3" t="str">
        <f t="shared" si="1"/>
        <v xml:space="preserve">      series QD_cgla = 1 * @elem(QD_cgla, 2015)</v>
      </c>
      <c r="BB3" t="str">
        <f t="shared" si="1"/>
        <v xml:space="preserve">      series QD_cpap = 1 * @elem(QD_cpap, 2015)</v>
      </c>
      <c r="BC3" t="str">
        <f t="shared" si="1"/>
        <v xml:space="preserve">      series QD_cfoo = 1 * @elem(QD_cfoo, 2015)</v>
      </c>
      <c r="BD3" t="str">
        <f t="shared" si="1"/>
        <v xml:space="preserve">      series QD_cres = 1 * @elem(QD_cres, 2015)</v>
      </c>
      <c r="BE3" t="str">
        <f t="shared" si="1"/>
        <v xml:space="preserve">      series QD_croa = 1 * @elem(QD_croa, 2015)</v>
      </c>
      <c r="BF3" t="str">
        <f t="shared" si="1"/>
        <v xml:space="preserve">      series QD_cwat = 1 * @elem(QD_cwat, 2015)</v>
      </c>
      <c r="BG3" t="str">
        <f t="shared" si="1"/>
        <v xml:space="preserve">      series QD_cair = 1 * @elem(QD_cair, 2015)</v>
      </c>
      <c r="BH3" t="str">
        <f t="shared" si="1"/>
        <v xml:space="preserve">      series QD_ccoa = 1 * @elem(QD_ccoa, 2015)</v>
      </c>
      <c r="BI3" t="str">
        <f t="shared" si="1"/>
        <v xml:space="preserve">      series QD_coil = 1 * @elem(QD_coil, 2015)</v>
      </c>
      <c r="BJ3" t="str">
        <f t="shared" si="1"/>
        <v xml:space="preserve">      series QD_cfue = 1 * @elem(QD_cfue, 2015)</v>
      </c>
      <c r="BK3" t="str">
        <f t="shared" si="1"/>
        <v xml:space="preserve">      series QD_cpch = 1 * @elem(QD_cpch, 2015)</v>
      </c>
      <c r="BL3" t="str">
        <f t="shared" si="1"/>
        <v xml:space="preserve">      series QD_cele = 1 * @elem(QD_cele, 2015)</v>
      </c>
      <c r="BM3" t="str">
        <f t="shared" si="1"/>
        <v xml:space="preserve">      series QD_cgas = 1 * @elem(QD_cgas, 2015)</v>
      </c>
      <c r="BN3" t="str">
        <f t="shared" si="1"/>
        <v xml:space="preserve">      series QD_cmga = 1 * @elem(QD_cmga, 2015)</v>
      </c>
      <c r="BO3" t="str">
        <f t="shared" si="1"/>
        <v xml:space="preserve">      series QD_cbiog = 1 * @elem(QD_cbiog, 2015)</v>
      </c>
      <c r="BP3" t="str">
        <f t="shared" si="1"/>
        <v xml:space="preserve">      series QD_cbiom = 1 * @elem(QD_cbiom, 2015)</v>
      </c>
      <c r="BQ3" t="str">
        <f t="shared" si="1"/>
        <v xml:space="preserve">      series QD_cbiof = 1 * @elem(QD_cbiof, 2015)</v>
      </c>
      <c r="BR3" t="str">
        <f t="shared" si="1"/>
        <v xml:space="preserve">      series QD_chea = 1 * @elem(QD_chea, 2015)</v>
      </c>
      <c r="BS3" t="s">
        <v>64</v>
      </c>
      <c r="BT3">
        <v>3</v>
      </c>
      <c r="BU3" t="s">
        <v>65</v>
      </c>
      <c r="BV3" t="str" cm="1">
        <f t="array" aca="1" ref="BV3" ca="1">INDIRECT(BU3&amp;BT3)</f>
        <v xml:space="preserve">      smpl 2015 2015</v>
      </c>
      <c r="CC3">
        <v>3</v>
      </c>
      <c r="CD3" t="s">
        <v>65</v>
      </c>
      <c r="CE3" t="str" cm="1">
        <f t="array" aca="1" ref="CE3" ca="1">INDIRECT(CD3&amp;CC3)</f>
        <v xml:space="preserve">      smpl 2015 2015</v>
      </c>
    </row>
    <row r="4" spans="1:83" x14ac:dyDescent="0.25">
      <c r="A4">
        <v>2016</v>
      </c>
      <c r="B4">
        <v>33937.06349</v>
      </c>
      <c r="C4">
        <v>8293.5602309999995</v>
      </c>
      <c r="D4">
        <v>39223.33034</v>
      </c>
      <c r="E4">
        <v>10045.854579999999</v>
      </c>
      <c r="F4">
        <v>7533.8701460000002</v>
      </c>
      <c r="G4">
        <v>8593.4822690000001</v>
      </c>
      <c r="H4">
        <v>90870.478390000004</v>
      </c>
      <c r="I4">
        <v>1186735.4950000001</v>
      </c>
      <c r="J4">
        <v>55727.02304</v>
      </c>
      <c r="K4">
        <v>8709.1928349999998</v>
      </c>
      <c r="L4">
        <v>10354.272580000001</v>
      </c>
      <c r="M4">
        <v>395.49665329999999</v>
      </c>
      <c r="N4">
        <v>2019.6251890000001</v>
      </c>
      <c r="O4">
        <v>46405.563580000002</v>
      </c>
      <c r="P4">
        <v>12592.12479</v>
      </c>
      <c r="Q4">
        <v>7523.4636680000003</v>
      </c>
      <c r="R4">
        <v>14010.98497</v>
      </c>
      <c r="S4">
        <v>418.33426939999998</v>
      </c>
      <c r="T4">
        <v>105.85725600000001</v>
      </c>
      <c r="U4">
        <v>515.97960460000002</v>
      </c>
      <c r="V4">
        <v>1083.8178829999999</v>
      </c>
      <c r="W4">
        <v>1047.5617139999999</v>
      </c>
      <c r="Y4">
        <f t="shared" ref="Y4:Y38" si="2">B4/B$3</f>
        <v>1.0190447410073389</v>
      </c>
      <c r="Z4">
        <f t="shared" si="0"/>
        <v>1.0342078258894165</v>
      </c>
      <c r="AA4">
        <f t="shared" si="0"/>
        <v>1.0083266698141251</v>
      </c>
      <c r="AB4">
        <f t="shared" si="0"/>
        <v>1.0226224963959127</v>
      </c>
      <c r="AC4">
        <f t="shared" si="0"/>
        <v>1.0207928560897837</v>
      </c>
      <c r="AD4">
        <f t="shared" si="0"/>
        <v>1.0191658742979084</v>
      </c>
      <c r="AE4">
        <f t="shared" si="0"/>
        <v>1.0170035451873125</v>
      </c>
      <c r="AF4">
        <f t="shared" si="0"/>
        <v>1.0266071014982339</v>
      </c>
      <c r="AG4">
        <f t="shared" si="0"/>
        <v>1.0202801905091095</v>
      </c>
      <c r="AH4">
        <f t="shared" si="0"/>
        <v>1.0252215218719452</v>
      </c>
      <c r="AI4">
        <f t="shared" si="0"/>
        <v>1.0246682414646215</v>
      </c>
      <c r="AJ4">
        <f t="shared" si="0"/>
        <v>0.8123439072338442</v>
      </c>
      <c r="AK4">
        <f t="shared" si="0"/>
        <v>0.82423958554449694</v>
      </c>
      <c r="AL4">
        <f t="shared" si="0"/>
        <v>1.0743148945324517</v>
      </c>
      <c r="AM4">
        <f t="shared" si="0"/>
        <v>1.0745945801220869</v>
      </c>
      <c r="AN4">
        <f t="shared" si="0"/>
        <v>1.0139757403366372</v>
      </c>
      <c r="AO4">
        <f t="shared" si="0"/>
        <v>1.0421481095847396</v>
      </c>
      <c r="AP4">
        <f t="shared" si="0"/>
        <v>1.0303634180325274</v>
      </c>
      <c r="AQ4">
        <f t="shared" si="0"/>
        <v>1.0050060319583798</v>
      </c>
      <c r="AR4">
        <f t="shared" si="0"/>
        <v>0.99446704424583121</v>
      </c>
      <c r="AS4">
        <f t="shared" si="0"/>
        <v>1.0104831986221465</v>
      </c>
      <c r="AT4">
        <f t="shared" si="0"/>
        <v>1.0275803775924024</v>
      </c>
      <c r="AV4" t="s">
        <v>5</v>
      </c>
      <c r="AW4" t="str">
        <f t="shared" ref="AW4:AW38" si="3">"      series QD_"&amp;AW$1&amp;" = "&amp;Y4&amp;" * @elem(QD_"&amp;AW$1&amp;", 2015)"</f>
        <v xml:space="preserve">      series QD_cagr = 1.01904474100734 * @elem(QD_cagr, 2015)</v>
      </c>
      <c r="AX4" t="str">
        <f t="shared" si="1"/>
        <v xml:space="preserve">      series QD_cmet = 1.03420782588942 * @elem(QD_cmet, 2015)</v>
      </c>
      <c r="AY4" t="str">
        <f t="shared" si="1"/>
        <v xml:space="preserve">      series QD_cchem = 1.00832666981413 * @elem(QD_cchem, 2015)</v>
      </c>
      <c r="AZ4" t="str">
        <f t="shared" si="1"/>
        <v xml:space="preserve">      series QD_cpla = 1.02262249639591 * @elem(QD_cpla, 2015)</v>
      </c>
      <c r="BA4" t="str">
        <f t="shared" si="1"/>
        <v xml:space="preserve">      series QD_cgla = 1.02079285608978 * @elem(QD_cgla, 2015)</v>
      </c>
      <c r="BB4" t="str">
        <f t="shared" si="1"/>
        <v xml:space="preserve">      series QD_cpap = 1.01916587429791 * @elem(QD_cpap, 2015)</v>
      </c>
      <c r="BC4" t="str">
        <f t="shared" si="1"/>
        <v xml:space="preserve">      series QD_cfoo = 1.01700354518731 * @elem(QD_cfoo, 2015)</v>
      </c>
      <c r="BD4" t="str">
        <f t="shared" si="1"/>
        <v xml:space="preserve">      series QD_cres = 1.02660710149823 * @elem(QD_cres, 2015)</v>
      </c>
      <c r="BE4" t="str">
        <f t="shared" si="1"/>
        <v xml:space="preserve">      series QD_croa = 1.02028019050911 * @elem(QD_croa, 2015)</v>
      </c>
      <c r="BF4" t="str">
        <f t="shared" si="1"/>
        <v xml:space="preserve">      series QD_cwat = 1.02522152187195 * @elem(QD_cwat, 2015)</v>
      </c>
      <c r="BG4" t="str">
        <f t="shared" si="1"/>
        <v xml:space="preserve">      series QD_cair = 1.02466824146462 * @elem(QD_cair, 2015)</v>
      </c>
      <c r="BH4" t="str">
        <f t="shared" si="1"/>
        <v xml:space="preserve">      series QD_ccoa = 0.812343907233844 * @elem(QD_ccoa, 2015)</v>
      </c>
      <c r="BI4" t="str">
        <f t="shared" si="1"/>
        <v xml:space="preserve">      series QD_coil = 0.824239585544497 * @elem(QD_coil, 2015)</v>
      </c>
      <c r="BJ4" t="str">
        <f t="shared" si="1"/>
        <v xml:space="preserve">      series QD_cfue = 1.07431489453245 * @elem(QD_cfue, 2015)</v>
      </c>
      <c r="BK4" t="str">
        <f t="shared" si="1"/>
        <v xml:space="preserve">      series QD_cpch = 1.07459458012209 * @elem(QD_cpch, 2015)</v>
      </c>
      <c r="BL4" t="str">
        <f t="shared" si="1"/>
        <v xml:space="preserve">      series QD_cele = 1.01397574033664 * @elem(QD_cele, 2015)</v>
      </c>
      <c r="BM4" t="str">
        <f t="shared" si="1"/>
        <v xml:space="preserve">      series QD_cgas = 1.04214810958474 * @elem(QD_cgas, 2015)</v>
      </c>
      <c r="BN4" t="str">
        <f t="shared" si="1"/>
        <v xml:space="preserve">      series QD_cmga = 1.03036341803253 * @elem(QD_cmga, 2015)</v>
      </c>
      <c r="BO4" t="str">
        <f t="shared" si="1"/>
        <v xml:space="preserve">      series QD_cbiog = 1.00500603195838 * @elem(QD_cbiog, 2015)</v>
      </c>
      <c r="BP4" t="str">
        <f t="shared" si="1"/>
        <v xml:space="preserve">      series QD_cbiom = 0.994467044245831 * @elem(QD_cbiom, 2015)</v>
      </c>
      <c r="BQ4" t="str">
        <f t="shared" si="1"/>
        <v xml:space="preserve">      series QD_cbiof = 1.01048319862215 * @elem(QD_cbiof, 2015)</v>
      </c>
      <c r="BR4" t="str">
        <f t="shared" si="1"/>
        <v xml:space="preserve">      series QD_chea = 1.0275803775924 * @elem(QD_chea, 2015)</v>
      </c>
      <c r="BS4" t="s">
        <v>64</v>
      </c>
      <c r="BT4">
        <v>3</v>
      </c>
      <c r="BU4" t="s">
        <v>66</v>
      </c>
      <c r="BV4" t="str" cm="1">
        <f t="array" aca="1" ref="BV4" ca="1">INDIRECT(BU4&amp;BT4)</f>
        <v xml:space="preserve">      series QD_cagr = 1 * @elem(QD_cagr, 2015)</v>
      </c>
      <c r="CC4">
        <f>IF(CD4="BM",CC3,CC3+1)</f>
        <v>3</v>
      </c>
      <c r="CD4" t="s">
        <v>81</v>
      </c>
      <c r="CE4" t="str" cm="1">
        <f t="array" aca="1" ref="CE4" ca="1">INDIRECT(CD4&amp;CC4)</f>
        <v xml:space="preserve">      series QD_cgas = 1 * @elem(QD_cgas, 2015)</v>
      </c>
    </row>
    <row r="5" spans="1:83" x14ac:dyDescent="0.25">
      <c r="A5">
        <v>2017</v>
      </c>
      <c r="B5">
        <v>34666.118459999998</v>
      </c>
      <c r="C5">
        <v>8568.5506559999994</v>
      </c>
      <c r="D5">
        <v>39698.150600000001</v>
      </c>
      <c r="E5">
        <v>10291.54038</v>
      </c>
      <c r="F5">
        <v>7714.6800009999997</v>
      </c>
      <c r="G5">
        <v>8780.1893619999992</v>
      </c>
      <c r="H5">
        <v>92721.527390000003</v>
      </c>
      <c r="I5">
        <v>1220383.5079999999</v>
      </c>
      <c r="J5">
        <v>56998.76296</v>
      </c>
      <c r="K5">
        <v>8927.0907829999996</v>
      </c>
      <c r="L5">
        <v>10617.580019999999</v>
      </c>
      <c r="M5">
        <v>322.5741764</v>
      </c>
      <c r="N5">
        <v>1677.1067459999999</v>
      </c>
      <c r="O5">
        <v>49122.076509999999</v>
      </c>
      <c r="P5">
        <v>13390.010270000001</v>
      </c>
      <c r="Q5">
        <v>7622.7257250000002</v>
      </c>
      <c r="R5">
        <v>14470.93507</v>
      </c>
      <c r="S5">
        <v>429.98298039999997</v>
      </c>
      <c r="T5">
        <v>106.93733539999999</v>
      </c>
      <c r="U5">
        <v>516.24382000000003</v>
      </c>
      <c r="V5">
        <v>1095.467791</v>
      </c>
      <c r="W5">
        <v>1076.1253979999999</v>
      </c>
      <c r="Y5">
        <f t="shared" si="2"/>
        <v>1.0409364298183841</v>
      </c>
      <c r="Z5">
        <f t="shared" si="0"/>
        <v>1.0684991605705858</v>
      </c>
      <c r="AA5">
        <f t="shared" si="0"/>
        <v>1.0205330257603418</v>
      </c>
      <c r="AB5">
        <f t="shared" si="0"/>
        <v>1.0476321980717882</v>
      </c>
      <c r="AC5">
        <f t="shared" si="0"/>
        <v>1.0452914742923582</v>
      </c>
      <c r="AD5">
        <f t="shared" si="0"/>
        <v>1.0413088766011072</v>
      </c>
      <c r="AE5">
        <f t="shared" si="0"/>
        <v>1.0377201016385285</v>
      </c>
      <c r="AF5">
        <f t="shared" si="0"/>
        <v>1.0557149264875796</v>
      </c>
      <c r="AG5">
        <f t="shared" si="0"/>
        <v>1.043563886229304</v>
      </c>
      <c r="AH5">
        <f t="shared" si="0"/>
        <v>1.0508718513678741</v>
      </c>
      <c r="AI5">
        <f t="shared" si="0"/>
        <v>1.0507253854527461</v>
      </c>
      <c r="AJ5">
        <f t="shared" si="0"/>
        <v>0.66256228628753178</v>
      </c>
      <c r="AK5">
        <f t="shared" si="0"/>
        <v>0.68445262852033073</v>
      </c>
      <c r="AL5">
        <f t="shared" si="0"/>
        <v>1.1372036965800312</v>
      </c>
      <c r="AM5">
        <f t="shared" si="0"/>
        <v>1.1426850276569631</v>
      </c>
      <c r="AN5">
        <f t="shared" si="0"/>
        <v>1.027353796266117</v>
      </c>
      <c r="AO5">
        <f t="shared" si="0"/>
        <v>1.0763595606886167</v>
      </c>
      <c r="AP5">
        <f t="shared" si="0"/>
        <v>1.0590543634309229</v>
      </c>
      <c r="AQ5">
        <f t="shared" si="0"/>
        <v>1.0152602776568889</v>
      </c>
      <c r="AR5">
        <f t="shared" si="0"/>
        <v>0.99497627659831134</v>
      </c>
      <c r="AS5">
        <f t="shared" si="0"/>
        <v>1.0213448355116477</v>
      </c>
      <c r="AT5">
        <f t="shared" si="0"/>
        <v>1.0555992339498714</v>
      </c>
      <c r="AV5" t="s">
        <v>6</v>
      </c>
      <c r="AW5" t="str">
        <f t="shared" si="3"/>
        <v xml:space="preserve">      series QD_cagr = 1.04093642981838 * @elem(QD_cagr, 2015)</v>
      </c>
      <c r="AX5" t="str">
        <f t="shared" si="1"/>
        <v xml:space="preserve">      series QD_cmet = 1.06849916057059 * @elem(QD_cmet, 2015)</v>
      </c>
      <c r="AY5" t="str">
        <f t="shared" si="1"/>
        <v xml:space="preserve">      series QD_cchem = 1.02053302576034 * @elem(QD_cchem, 2015)</v>
      </c>
      <c r="AZ5" t="str">
        <f t="shared" si="1"/>
        <v xml:space="preserve">      series QD_cpla = 1.04763219807179 * @elem(QD_cpla, 2015)</v>
      </c>
      <c r="BA5" t="str">
        <f t="shared" si="1"/>
        <v xml:space="preserve">      series QD_cgla = 1.04529147429236 * @elem(QD_cgla, 2015)</v>
      </c>
      <c r="BB5" t="str">
        <f t="shared" si="1"/>
        <v xml:space="preserve">      series QD_cpap = 1.04130887660111 * @elem(QD_cpap, 2015)</v>
      </c>
      <c r="BC5" t="str">
        <f t="shared" si="1"/>
        <v xml:space="preserve">      series QD_cfoo = 1.03772010163853 * @elem(QD_cfoo, 2015)</v>
      </c>
      <c r="BD5" t="str">
        <f t="shared" si="1"/>
        <v xml:space="preserve">      series QD_cres = 1.05571492648758 * @elem(QD_cres, 2015)</v>
      </c>
      <c r="BE5" t="str">
        <f t="shared" si="1"/>
        <v xml:space="preserve">      series QD_croa = 1.0435638862293 * @elem(QD_croa, 2015)</v>
      </c>
      <c r="BF5" t="str">
        <f t="shared" si="1"/>
        <v xml:space="preserve">      series QD_cwat = 1.05087185136787 * @elem(QD_cwat, 2015)</v>
      </c>
      <c r="BG5" t="str">
        <f t="shared" si="1"/>
        <v xml:space="preserve">      series QD_cair = 1.05072538545275 * @elem(QD_cair, 2015)</v>
      </c>
      <c r="BH5" t="str">
        <f t="shared" si="1"/>
        <v xml:space="preserve">      series QD_ccoa = 0.662562286287532 * @elem(QD_ccoa, 2015)</v>
      </c>
      <c r="BI5" t="str">
        <f t="shared" si="1"/>
        <v xml:space="preserve">      series QD_coil = 0.684452628520331 * @elem(QD_coil, 2015)</v>
      </c>
      <c r="BJ5" t="str">
        <f t="shared" si="1"/>
        <v xml:space="preserve">      series QD_cfue = 1.13720369658003 * @elem(QD_cfue, 2015)</v>
      </c>
      <c r="BK5" t="str">
        <f t="shared" si="1"/>
        <v xml:space="preserve">      series QD_cpch = 1.14268502765696 * @elem(QD_cpch, 2015)</v>
      </c>
      <c r="BL5" t="str">
        <f t="shared" si="1"/>
        <v xml:space="preserve">      series QD_cele = 1.02735379626612 * @elem(QD_cele, 2015)</v>
      </c>
      <c r="BM5" t="str">
        <f t="shared" si="1"/>
        <v xml:space="preserve">      series QD_cgas = 1.07635956068862 * @elem(QD_cgas, 2015)</v>
      </c>
      <c r="BN5" t="str">
        <f t="shared" si="1"/>
        <v xml:space="preserve">      series QD_cmga = 1.05905436343092 * @elem(QD_cmga, 2015)</v>
      </c>
      <c r="BO5" t="str">
        <f t="shared" si="1"/>
        <v xml:space="preserve">      series QD_cbiog = 1.01526027765689 * @elem(QD_cbiog, 2015)</v>
      </c>
      <c r="BP5" t="str">
        <f t="shared" si="1"/>
        <v xml:space="preserve">      series QD_cbiom = 0.994976276598311 * @elem(QD_cbiom, 2015)</v>
      </c>
      <c r="BQ5" t="str">
        <f t="shared" si="1"/>
        <v xml:space="preserve">      series QD_cbiof = 1.02134483551165 * @elem(QD_cbiof, 2015)</v>
      </c>
      <c r="BR5" t="str">
        <f t="shared" si="1"/>
        <v xml:space="preserve">      series QD_chea = 1.05559923394987 * @elem(QD_chea, 2015)</v>
      </c>
      <c r="BS5" t="s">
        <v>64</v>
      </c>
      <c r="BT5">
        <v>3</v>
      </c>
      <c r="BU5" t="s">
        <v>67</v>
      </c>
      <c r="BV5" t="str" cm="1">
        <f t="array" aca="1" ref="BV5" ca="1">INDIRECT(BU5&amp;BT5)</f>
        <v xml:space="preserve">      series QD_cmet = 1 * @elem(QD_cmet, 2015)</v>
      </c>
      <c r="CC5">
        <f t="shared" ref="CC5:CC68" si="4">IF(CD5="BM",CC4,CC4+1)</f>
        <v>4</v>
      </c>
      <c r="CD5" t="s">
        <v>65</v>
      </c>
      <c r="CE5" t="str" cm="1">
        <f t="array" aca="1" ref="CE5" ca="1">INDIRECT(CD5&amp;CC5)</f>
        <v xml:space="preserve">      smpl 2016 2016</v>
      </c>
    </row>
    <row r="6" spans="1:83" x14ac:dyDescent="0.25">
      <c r="A6">
        <v>2018</v>
      </c>
      <c r="B6">
        <v>35453.991190000001</v>
      </c>
      <c r="C6">
        <v>8837.0444420000003</v>
      </c>
      <c r="D6">
        <v>40274.134489999997</v>
      </c>
      <c r="E6">
        <v>10548.65179</v>
      </c>
      <c r="F6">
        <v>7907.6168509999998</v>
      </c>
      <c r="G6">
        <v>8981.3780129999996</v>
      </c>
      <c r="H6">
        <v>94790.082519999996</v>
      </c>
      <c r="I6">
        <v>1255290.845</v>
      </c>
      <c r="J6">
        <v>58352.621939999997</v>
      </c>
      <c r="K6">
        <v>9145.7528170000005</v>
      </c>
      <c r="L6">
        <v>10888.33835</v>
      </c>
      <c r="M6">
        <v>264.36250000000001</v>
      </c>
      <c r="N6">
        <v>1404.224199</v>
      </c>
      <c r="O6">
        <v>51477.717040000003</v>
      </c>
      <c r="P6">
        <v>14094.35082</v>
      </c>
      <c r="Q6">
        <v>7712.0528420000001</v>
      </c>
      <c r="R6">
        <v>14860.86433</v>
      </c>
      <c r="S6">
        <v>432.51260339999999</v>
      </c>
      <c r="T6">
        <v>109.23074080000001</v>
      </c>
      <c r="U6">
        <v>523.7341467</v>
      </c>
      <c r="V6">
        <v>1108.256171</v>
      </c>
      <c r="W6">
        <v>1106.86897</v>
      </c>
      <c r="Y6">
        <f t="shared" si="2"/>
        <v>1.0645942681674851</v>
      </c>
      <c r="Z6">
        <f t="shared" si="0"/>
        <v>1.1019803636908045</v>
      </c>
      <c r="AA6">
        <f t="shared" si="0"/>
        <v>1.0353400274258278</v>
      </c>
      <c r="AB6">
        <f t="shared" si="0"/>
        <v>1.0738049750966048</v>
      </c>
      <c r="AC6">
        <f t="shared" si="0"/>
        <v>1.0714332253897054</v>
      </c>
      <c r="AD6">
        <f t="shared" si="0"/>
        <v>1.0651693560873925</v>
      </c>
      <c r="AE6">
        <f t="shared" si="0"/>
        <v>1.0608709415801492</v>
      </c>
      <c r="AF6">
        <f t="shared" si="0"/>
        <v>1.0859121525835196</v>
      </c>
      <c r="AG6">
        <f t="shared" si="0"/>
        <v>1.0683510616907561</v>
      </c>
      <c r="AH6">
        <f t="shared" si="0"/>
        <v>1.0766121269043378</v>
      </c>
      <c r="AI6">
        <f t="shared" si="0"/>
        <v>1.077519876298862</v>
      </c>
      <c r="AJ6">
        <f t="shared" si="0"/>
        <v>0.54299641826098644</v>
      </c>
      <c r="AK6">
        <f t="shared" si="0"/>
        <v>0.57308513386506044</v>
      </c>
      <c r="AL6">
        <f t="shared" si="0"/>
        <v>1.1917380996194549</v>
      </c>
      <c r="AM6">
        <f t="shared" si="0"/>
        <v>1.2027924797520442</v>
      </c>
      <c r="AN6">
        <f t="shared" si="0"/>
        <v>1.0393928694362928</v>
      </c>
      <c r="AO6">
        <f t="shared" si="0"/>
        <v>1.1053628065025887</v>
      </c>
      <c r="AP6">
        <f t="shared" si="0"/>
        <v>1.0652848618415647</v>
      </c>
      <c r="AQ6">
        <f t="shared" si="0"/>
        <v>1.0370338088045876</v>
      </c>
      <c r="AR6">
        <f t="shared" si="0"/>
        <v>1.0094126670823096</v>
      </c>
      <c r="AS6">
        <f t="shared" si="0"/>
        <v>1.0332679116393697</v>
      </c>
      <c r="AT6">
        <f t="shared" si="0"/>
        <v>1.0857563988234049</v>
      </c>
      <c r="AV6" t="s">
        <v>7</v>
      </c>
      <c r="AW6" t="str">
        <f t="shared" si="3"/>
        <v xml:space="preserve">      series QD_cagr = 1.06459426816749 * @elem(QD_cagr, 2015)</v>
      </c>
      <c r="AX6" t="str">
        <f t="shared" si="1"/>
        <v xml:space="preserve">      series QD_cmet = 1.1019803636908 * @elem(QD_cmet, 2015)</v>
      </c>
      <c r="AY6" t="str">
        <f t="shared" si="1"/>
        <v xml:space="preserve">      series QD_cchem = 1.03534002742583 * @elem(QD_cchem, 2015)</v>
      </c>
      <c r="AZ6" t="str">
        <f t="shared" si="1"/>
        <v xml:space="preserve">      series QD_cpla = 1.0738049750966 * @elem(QD_cpla, 2015)</v>
      </c>
      <c r="BA6" t="str">
        <f t="shared" si="1"/>
        <v xml:space="preserve">      series QD_cgla = 1.07143322538971 * @elem(QD_cgla, 2015)</v>
      </c>
      <c r="BB6" t="str">
        <f t="shared" si="1"/>
        <v xml:space="preserve">      series QD_cpap = 1.06516935608739 * @elem(QD_cpap, 2015)</v>
      </c>
      <c r="BC6" t="str">
        <f t="shared" si="1"/>
        <v xml:space="preserve">      series QD_cfoo = 1.06087094158015 * @elem(QD_cfoo, 2015)</v>
      </c>
      <c r="BD6" t="str">
        <f t="shared" si="1"/>
        <v xml:space="preserve">      series QD_cres = 1.08591215258352 * @elem(QD_cres, 2015)</v>
      </c>
      <c r="BE6" t="str">
        <f t="shared" si="1"/>
        <v xml:space="preserve">      series QD_croa = 1.06835106169076 * @elem(QD_croa, 2015)</v>
      </c>
      <c r="BF6" t="str">
        <f t="shared" si="1"/>
        <v xml:space="preserve">      series QD_cwat = 1.07661212690434 * @elem(QD_cwat, 2015)</v>
      </c>
      <c r="BG6" t="str">
        <f t="shared" si="1"/>
        <v xml:space="preserve">      series QD_cair = 1.07751987629886 * @elem(QD_cair, 2015)</v>
      </c>
      <c r="BH6" t="str">
        <f t="shared" si="1"/>
        <v xml:space="preserve">      series QD_ccoa = 0.542996418260986 * @elem(QD_ccoa, 2015)</v>
      </c>
      <c r="BI6" t="str">
        <f t="shared" si="1"/>
        <v xml:space="preserve">      series QD_coil = 0.57308513386506 * @elem(QD_coil, 2015)</v>
      </c>
      <c r="BJ6" t="str">
        <f t="shared" si="1"/>
        <v xml:space="preserve">      series QD_cfue = 1.19173809961945 * @elem(QD_cfue, 2015)</v>
      </c>
      <c r="BK6" t="str">
        <f t="shared" si="1"/>
        <v xml:space="preserve">      series QD_cpch = 1.20279247975204 * @elem(QD_cpch, 2015)</v>
      </c>
      <c r="BL6" t="str">
        <f t="shared" si="1"/>
        <v xml:space="preserve">      series QD_cele = 1.03939286943629 * @elem(QD_cele, 2015)</v>
      </c>
      <c r="BM6" t="str">
        <f t="shared" si="1"/>
        <v xml:space="preserve">      series QD_cgas = 1.10536280650259 * @elem(QD_cgas, 2015)</v>
      </c>
      <c r="BN6" t="str">
        <f t="shared" si="1"/>
        <v xml:space="preserve">      series QD_cmga = 1.06528486184156 * @elem(QD_cmga, 2015)</v>
      </c>
      <c r="BO6" t="str">
        <f t="shared" si="1"/>
        <v xml:space="preserve">      series QD_cbiog = 1.03703380880459 * @elem(QD_cbiog, 2015)</v>
      </c>
      <c r="BP6" t="str">
        <f t="shared" si="1"/>
        <v xml:space="preserve">      series QD_cbiom = 1.00941266708231 * @elem(QD_cbiom, 2015)</v>
      </c>
      <c r="BQ6" t="str">
        <f t="shared" si="1"/>
        <v xml:space="preserve">      series QD_cbiof = 1.03326791163937 * @elem(QD_cbiof, 2015)</v>
      </c>
      <c r="BR6" t="str">
        <f t="shared" si="1"/>
        <v xml:space="preserve">      series QD_chea = 1.0857563988234 * @elem(QD_chea, 2015)</v>
      </c>
      <c r="BS6" t="s">
        <v>64</v>
      </c>
      <c r="BT6">
        <v>3</v>
      </c>
      <c r="BU6" t="s">
        <v>68</v>
      </c>
      <c r="BV6" t="str" cm="1">
        <f t="array" aca="1" ref="BV6" ca="1">INDIRECT(BU6&amp;BT6)</f>
        <v xml:space="preserve">      series QD_cchem = 1 * @elem(QD_cchem, 2015)</v>
      </c>
      <c r="CC6">
        <f t="shared" si="4"/>
        <v>4</v>
      </c>
      <c r="CD6" t="s">
        <v>81</v>
      </c>
      <c r="CE6" t="str" cm="1">
        <f t="array" aca="1" ref="CE6" ca="1">INDIRECT(CD6&amp;CC6)</f>
        <v xml:space="preserve">      series QD_cgas = 1.04214810958474 * @elem(QD_cgas, 2015)</v>
      </c>
    </row>
    <row r="7" spans="1:83" x14ac:dyDescent="0.25">
      <c r="A7">
        <v>2019</v>
      </c>
      <c r="B7">
        <v>36062.11462</v>
      </c>
      <c r="C7">
        <v>9038.8991700000006</v>
      </c>
      <c r="D7">
        <v>40662.219440000001</v>
      </c>
      <c r="E7">
        <v>10747.40575</v>
      </c>
      <c r="F7">
        <v>8061.9902419999999</v>
      </c>
      <c r="G7">
        <v>9135.7478919999994</v>
      </c>
      <c r="H7">
        <v>96431.952309999993</v>
      </c>
      <c r="I7">
        <v>1283446.5619999999</v>
      </c>
      <c r="J7">
        <v>59402.218110000002</v>
      </c>
      <c r="K7">
        <v>9299.4101350000001</v>
      </c>
      <c r="L7">
        <v>11091.180759999999</v>
      </c>
      <c r="M7">
        <v>217.71132259999999</v>
      </c>
      <c r="N7">
        <v>1185.0342129999999</v>
      </c>
      <c r="O7">
        <v>53153.293850000002</v>
      </c>
      <c r="P7">
        <v>14613.44535</v>
      </c>
      <c r="Q7">
        <v>7747.3521389999996</v>
      </c>
      <c r="R7">
        <v>15113.650610000001</v>
      </c>
      <c r="S7">
        <v>456.37317259999998</v>
      </c>
      <c r="T7">
        <v>109.0863116</v>
      </c>
      <c r="U7">
        <v>526.97274030000005</v>
      </c>
      <c r="V7">
        <v>1114.827403</v>
      </c>
      <c r="W7">
        <v>1124.623151</v>
      </c>
      <c r="Y7">
        <f t="shared" si="2"/>
        <v>1.0828546867039164</v>
      </c>
      <c r="Z7">
        <f t="shared" si="0"/>
        <v>1.1271516693274442</v>
      </c>
      <c r="AA7">
        <f t="shared" si="0"/>
        <v>1.0453166510793124</v>
      </c>
      <c r="AB7">
        <f t="shared" si="0"/>
        <v>1.094037228024934</v>
      </c>
      <c r="AC7">
        <f t="shared" si="0"/>
        <v>1.092349866060347</v>
      </c>
      <c r="AD7">
        <f t="shared" si="0"/>
        <v>1.0834772442951615</v>
      </c>
      <c r="AE7">
        <f t="shared" si="0"/>
        <v>1.0792464077023756</v>
      </c>
      <c r="AF7">
        <f t="shared" si="0"/>
        <v>1.1102687671296905</v>
      </c>
      <c r="AG7">
        <f t="shared" si="0"/>
        <v>1.0875676306346342</v>
      </c>
      <c r="AH7">
        <f t="shared" si="0"/>
        <v>1.0947002313235714</v>
      </c>
      <c r="AI7">
        <f t="shared" si="0"/>
        <v>1.097593345868382</v>
      </c>
      <c r="AJ7">
        <f t="shared" si="0"/>
        <v>0.4471756334073938</v>
      </c>
      <c r="AK7">
        <f t="shared" si="0"/>
        <v>0.48363038542948622</v>
      </c>
      <c r="AL7">
        <f t="shared" si="0"/>
        <v>1.2305286450852573</v>
      </c>
      <c r="AM7">
        <f t="shared" si="0"/>
        <v>1.2470912917326886</v>
      </c>
      <c r="AN7">
        <f t="shared" si="0"/>
        <v>1.0441503365270395</v>
      </c>
      <c r="AO7">
        <f t="shared" si="0"/>
        <v>1.1241652493283452</v>
      </c>
      <c r="AP7">
        <f t="shared" si="0"/>
        <v>1.1240537924203935</v>
      </c>
      <c r="AQ7">
        <f t="shared" si="0"/>
        <v>1.0356626017407005</v>
      </c>
      <c r="AR7">
        <f t="shared" si="0"/>
        <v>1.0156545312494063</v>
      </c>
      <c r="AS7">
        <f t="shared" si="0"/>
        <v>1.0393945124589359</v>
      </c>
      <c r="AT7">
        <f t="shared" si="0"/>
        <v>1.1031719341298278</v>
      </c>
      <c r="AV7" t="s">
        <v>8</v>
      </c>
      <c r="AW7" t="str">
        <f t="shared" si="3"/>
        <v xml:space="preserve">      series QD_cagr = 1.08285468670392 * @elem(QD_cagr, 2015)</v>
      </c>
      <c r="AX7" t="str">
        <f t="shared" si="1"/>
        <v xml:space="preserve">      series QD_cmet = 1.12715166932744 * @elem(QD_cmet, 2015)</v>
      </c>
      <c r="AY7" t="str">
        <f t="shared" si="1"/>
        <v xml:space="preserve">      series QD_cchem = 1.04531665107931 * @elem(QD_cchem, 2015)</v>
      </c>
      <c r="AZ7" t="str">
        <f t="shared" si="1"/>
        <v xml:space="preserve">      series QD_cpla = 1.09403722802493 * @elem(QD_cpla, 2015)</v>
      </c>
      <c r="BA7" t="str">
        <f t="shared" si="1"/>
        <v xml:space="preserve">      series QD_cgla = 1.09234986606035 * @elem(QD_cgla, 2015)</v>
      </c>
      <c r="BB7" t="str">
        <f t="shared" si="1"/>
        <v xml:space="preserve">      series QD_cpap = 1.08347724429516 * @elem(QD_cpap, 2015)</v>
      </c>
      <c r="BC7" t="str">
        <f t="shared" si="1"/>
        <v xml:space="preserve">      series QD_cfoo = 1.07924640770238 * @elem(QD_cfoo, 2015)</v>
      </c>
      <c r="BD7" t="str">
        <f t="shared" si="1"/>
        <v xml:space="preserve">      series QD_cres = 1.11026876712969 * @elem(QD_cres, 2015)</v>
      </c>
      <c r="BE7" t="str">
        <f t="shared" si="1"/>
        <v xml:space="preserve">      series QD_croa = 1.08756763063463 * @elem(QD_croa, 2015)</v>
      </c>
      <c r="BF7" t="str">
        <f t="shared" si="1"/>
        <v xml:space="preserve">      series QD_cwat = 1.09470023132357 * @elem(QD_cwat, 2015)</v>
      </c>
      <c r="BG7" t="str">
        <f t="shared" si="1"/>
        <v xml:space="preserve">      series QD_cair = 1.09759334586838 * @elem(QD_cair, 2015)</v>
      </c>
      <c r="BH7" t="str">
        <f t="shared" si="1"/>
        <v xml:space="preserve">      series QD_ccoa = 0.447175633407394 * @elem(QD_ccoa, 2015)</v>
      </c>
      <c r="BI7" t="str">
        <f t="shared" si="1"/>
        <v xml:space="preserve">      series QD_coil = 0.483630385429486 * @elem(QD_coil, 2015)</v>
      </c>
      <c r="BJ7" t="str">
        <f t="shared" si="1"/>
        <v xml:space="preserve">      series QD_cfue = 1.23052864508526 * @elem(QD_cfue, 2015)</v>
      </c>
      <c r="BK7" t="str">
        <f t="shared" si="1"/>
        <v xml:space="preserve">      series QD_cpch = 1.24709129173269 * @elem(QD_cpch, 2015)</v>
      </c>
      <c r="BL7" t="str">
        <f t="shared" si="1"/>
        <v xml:space="preserve">      series QD_cele = 1.04415033652704 * @elem(QD_cele, 2015)</v>
      </c>
      <c r="BM7" t="str">
        <f t="shared" si="1"/>
        <v xml:space="preserve">      series QD_cgas = 1.12416524932835 * @elem(QD_cgas, 2015)</v>
      </c>
      <c r="BN7" t="str">
        <f t="shared" si="1"/>
        <v xml:space="preserve">      series QD_cmga = 1.12405379242039 * @elem(QD_cmga, 2015)</v>
      </c>
      <c r="BO7" t="str">
        <f t="shared" si="1"/>
        <v xml:space="preserve">      series QD_cbiog = 1.0356626017407 * @elem(QD_cbiog, 2015)</v>
      </c>
      <c r="BP7" t="str">
        <f t="shared" si="1"/>
        <v xml:space="preserve">      series QD_cbiom = 1.01565453124941 * @elem(QD_cbiom, 2015)</v>
      </c>
      <c r="BQ7" t="str">
        <f t="shared" si="1"/>
        <v xml:space="preserve">      series QD_cbiof = 1.03939451245894 * @elem(QD_cbiof, 2015)</v>
      </c>
      <c r="BR7" t="str">
        <f t="shared" si="1"/>
        <v xml:space="preserve">      series QD_chea = 1.10317193412983 * @elem(QD_chea, 2015)</v>
      </c>
      <c r="BS7" t="s">
        <v>64</v>
      </c>
      <c r="BT7">
        <v>3</v>
      </c>
      <c r="BU7" t="s">
        <v>69</v>
      </c>
      <c r="BV7" t="str" cm="1">
        <f t="array" aca="1" ref="BV7" ca="1">INDIRECT(BU7&amp;BT7)</f>
        <v xml:space="preserve">      series QD_cpla = 1 * @elem(QD_cpla, 2015)</v>
      </c>
      <c r="CC7">
        <f t="shared" si="4"/>
        <v>5</v>
      </c>
      <c r="CD7" t="s">
        <v>65</v>
      </c>
      <c r="CE7" t="str" cm="1">
        <f t="array" aca="1" ref="CE7" ca="1">INDIRECT(CD7&amp;CC7)</f>
        <v xml:space="preserve">      smpl 2017 2017</v>
      </c>
    </row>
    <row r="8" spans="1:83" x14ac:dyDescent="0.25">
      <c r="A8">
        <v>2020</v>
      </c>
      <c r="B8">
        <v>36635.545339999997</v>
      </c>
      <c r="C8">
        <v>9221.2151400000002</v>
      </c>
      <c r="D8">
        <v>41055.576820000002</v>
      </c>
      <c r="E8">
        <v>10931.864530000001</v>
      </c>
      <c r="F8">
        <v>8204.299497</v>
      </c>
      <c r="G8">
        <v>9281.6200119999994</v>
      </c>
      <c r="H8">
        <v>98006.054959999994</v>
      </c>
      <c r="I8">
        <v>1309403.122</v>
      </c>
      <c r="J8">
        <v>60379.735869999997</v>
      </c>
      <c r="K8">
        <v>9444.0304120000001</v>
      </c>
      <c r="L8">
        <v>11281.82026</v>
      </c>
      <c r="M8">
        <v>180.4320189</v>
      </c>
      <c r="N8">
        <v>1009.8033820000001</v>
      </c>
      <c r="O8">
        <v>54537.920720000002</v>
      </c>
      <c r="P8">
        <v>15048.553459999999</v>
      </c>
      <c r="Q8">
        <v>7781.1297119999999</v>
      </c>
      <c r="R8">
        <v>15301.869360000001</v>
      </c>
      <c r="S8">
        <v>457.63467659999998</v>
      </c>
      <c r="T8">
        <v>109.7972693</v>
      </c>
      <c r="U8">
        <v>537.11026159999994</v>
      </c>
      <c r="V8">
        <v>1121.083122</v>
      </c>
      <c r="W8">
        <v>1143.5205209999999</v>
      </c>
      <c r="Y8">
        <f t="shared" si="2"/>
        <v>1.1000733703334014</v>
      </c>
      <c r="Z8">
        <f t="shared" si="0"/>
        <v>1.1498864898034371</v>
      </c>
      <c r="AA8">
        <f t="shared" si="0"/>
        <v>1.0554288147733197</v>
      </c>
      <c r="AB8">
        <f t="shared" si="0"/>
        <v>1.1128142963752252</v>
      </c>
      <c r="AC8">
        <f t="shared" si="0"/>
        <v>1.1116318908423359</v>
      </c>
      <c r="AD8">
        <f t="shared" si="0"/>
        <v>1.1007773191730479</v>
      </c>
      <c r="AE8">
        <f t="shared" si="0"/>
        <v>1.0968634380504287</v>
      </c>
      <c r="AF8">
        <f t="shared" si="0"/>
        <v>1.1327229609569891</v>
      </c>
      <c r="AG8">
        <f t="shared" si="0"/>
        <v>1.1054645494361814</v>
      </c>
      <c r="AH8">
        <f t="shared" si="0"/>
        <v>1.1117245208631981</v>
      </c>
      <c r="AI8">
        <f t="shared" si="0"/>
        <v>1.11645920435428</v>
      </c>
      <c r="AJ8">
        <f t="shared" si="0"/>
        <v>0.37060452977369562</v>
      </c>
      <c r="AK8">
        <f t="shared" si="0"/>
        <v>0.41211603301166355</v>
      </c>
      <c r="AL8">
        <f t="shared" si="0"/>
        <v>1.2625835358150392</v>
      </c>
      <c r="AM8">
        <f t="shared" si="0"/>
        <v>1.2842228183472024</v>
      </c>
      <c r="AN8">
        <f t="shared" si="0"/>
        <v>1.048702713078697</v>
      </c>
      <c r="AO8">
        <f t="shared" si="0"/>
        <v>1.1381651083618749</v>
      </c>
      <c r="AP8">
        <f t="shared" si="0"/>
        <v>1.1271608952048868</v>
      </c>
      <c r="AQ8">
        <f t="shared" si="0"/>
        <v>1.0424124156312782</v>
      </c>
      <c r="AR8">
        <f t="shared" si="0"/>
        <v>1.035192960197592</v>
      </c>
      <c r="AS8">
        <f t="shared" si="0"/>
        <v>1.0452269489263097</v>
      </c>
      <c r="AT8">
        <f t="shared" si="0"/>
        <v>1.1217088530918196</v>
      </c>
      <c r="AV8" t="s">
        <v>3</v>
      </c>
      <c r="AW8" t="str">
        <f t="shared" si="3"/>
        <v xml:space="preserve">      series QD_cagr = 1.1000733703334 * @elem(QD_cagr, 2015)</v>
      </c>
      <c r="AX8" t="str">
        <f t="shared" si="1"/>
        <v xml:space="preserve">      series QD_cmet = 1.14988648980344 * @elem(QD_cmet, 2015)</v>
      </c>
      <c r="AY8" t="str">
        <f t="shared" si="1"/>
        <v xml:space="preserve">      series QD_cchem = 1.05542881477332 * @elem(QD_cchem, 2015)</v>
      </c>
      <c r="AZ8" t="str">
        <f t="shared" si="1"/>
        <v xml:space="preserve">      series QD_cpla = 1.11281429637523 * @elem(QD_cpla, 2015)</v>
      </c>
      <c r="BA8" t="str">
        <f t="shared" si="1"/>
        <v xml:space="preserve">      series QD_cgla = 1.11163189084234 * @elem(QD_cgla, 2015)</v>
      </c>
      <c r="BB8" t="str">
        <f t="shared" si="1"/>
        <v xml:space="preserve">      series QD_cpap = 1.10077731917305 * @elem(QD_cpap, 2015)</v>
      </c>
      <c r="BC8" t="str">
        <f t="shared" si="1"/>
        <v xml:space="preserve">      series QD_cfoo = 1.09686343805043 * @elem(QD_cfoo, 2015)</v>
      </c>
      <c r="BD8" t="str">
        <f t="shared" si="1"/>
        <v xml:space="preserve">      series QD_cres = 1.13272296095699 * @elem(QD_cres, 2015)</v>
      </c>
      <c r="BE8" t="str">
        <f t="shared" si="1"/>
        <v xml:space="preserve">      series QD_croa = 1.10546454943618 * @elem(QD_croa, 2015)</v>
      </c>
      <c r="BF8" t="str">
        <f t="shared" si="1"/>
        <v xml:space="preserve">      series QD_cwat = 1.1117245208632 * @elem(QD_cwat, 2015)</v>
      </c>
      <c r="BG8" t="str">
        <f t="shared" si="1"/>
        <v xml:space="preserve">      series QD_cair = 1.11645920435428 * @elem(QD_cair, 2015)</v>
      </c>
      <c r="BH8" t="str">
        <f t="shared" si="1"/>
        <v xml:space="preserve">      series QD_ccoa = 0.370604529773696 * @elem(QD_ccoa, 2015)</v>
      </c>
      <c r="BI8" t="str">
        <f t="shared" si="1"/>
        <v xml:space="preserve">      series QD_coil = 0.412116033011664 * @elem(QD_coil, 2015)</v>
      </c>
      <c r="BJ8" t="str">
        <f t="shared" si="1"/>
        <v xml:space="preserve">      series QD_cfue = 1.26258353581504 * @elem(QD_cfue, 2015)</v>
      </c>
      <c r="BK8" t="str">
        <f t="shared" si="1"/>
        <v xml:space="preserve">      series QD_cpch = 1.2842228183472 * @elem(QD_cpch, 2015)</v>
      </c>
      <c r="BL8" t="str">
        <f t="shared" si="1"/>
        <v xml:space="preserve">      series QD_cele = 1.0487027130787 * @elem(QD_cele, 2015)</v>
      </c>
      <c r="BM8" t="str">
        <f t="shared" si="1"/>
        <v xml:space="preserve">      series QD_cgas = 1.13816510836187 * @elem(QD_cgas, 2015)</v>
      </c>
      <c r="BN8" t="str">
        <f t="shared" si="1"/>
        <v xml:space="preserve">      series QD_cmga = 1.12716089520489 * @elem(QD_cmga, 2015)</v>
      </c>
      <c r="BO8" t="str">
        <f t="shared" si="1"/>
        <v xml:space="preserve">      series QD_cbiog = 1.04241241563128 * @elem(QD_cbiog, 2015)</v>
      </c>
      <c r="BP8" t="str">
        <f t="shared" si="1"/>
        <v xml:space="preserve">      series QD_cbiom = 1.03519296019759 * @elem(QD_cbiom, 2015)</v>
      </c>
      <c r="BQ8" t="str">
        <f t="shared" si="1"/>
        <v xml:space="preserve">      series QD_cbiof = 1.04522694892631 * @elem(QD_cbiof, 2015)</v>
      </c>
      <c r="BR8" t="str">
        <f t="shared" si="1"/>
        <v xml:space="preserve">      series QD_chea = 1.12170885309182 * @elem(QD_chea, 2015)</v>
      </c>
      <c r="BS8" t="s">
        <v>64</v>
      </c>
      <c r="BT8">
        <v>3</v>
      </c>
      <c r="BU8" t="s">
        <v>70</v>
      </c>
      <c r="BV8" t="str" cm="1">
        <f t="array" aca="1" ref="BV8" ca="1">INDIRECT(BU8&amp;BT8)</f>
        <v xml:space="preserve">      series QD_cgla = 1 * @elem(QD_cgla, 2015)</v>
      </c>
      <c r="CC8">
        <f t="shared" si="4"/>
        <v>5</v>
      </c>
      <c r="CD8" t="s">
        <v>81</v>
      </c>
      <c r="CE8" t="str" cm="1">
        <f t="array" aca="1" ref="CE8" ca="1">INDIRECT(CD8&amp;CC8)</f>
        <v xml:space="preserve">      series QD_cgas = 1.07635956068862 * @elem(QD_cgas, 2015)</v>
      </c>
    </row>
    <row r="9" spans="1:83" x14ac:dyDescent="0.25">
      <c r="A9">
        <v>2021</v>
      </c>
      <c r="B9">
        <v>37198.2817</v>
      </c>
      <c r="C9">
        <v>9390.8219950000002</v>
      </c>
      <c r="D9">
        <v>41481.477440000002</v>
      </c>
      <c r="E9">
        <v>11111.719940000001</v>
      </c>
      <c r="F9">
        <v>8341.6395400000001</v>
      </c>
      <c r="G9">
        <v>9424.4599699999999</v>
      </c>
      <c r="H9">
        <v>99565.374410000004</v>
      </c>
      <c r="I9">
        <v>1334142.152</v>
      </c>
      <c r="J9">
        <v>61333.325599999996</v>
      </c>
      <c r="K9">
        <v>9587.0945250000004</v>
      </c>
      <c r="L9">
        <v>11473.396640000001</v>
      </c>
      <c r="M9">
        <v>150.7013211</v>
      </c>
      <c r="N9">
        <v>870.90607399999999</v>
      </c>
      <c r="O9">
        <v>55797.22971</v>
      </c>
      <c r="P9">
        <v>15444.1518</v>
      </c>
      <c r="Q9">
        <v>7900.7333479999998</v>
      </c>
      <c r="R9">
        <v>15426.29062</v>
      </c>
      <c r="S9">
        <v>437.65270609999999</v>
      </c>
      <c r="T9">
        <v>109.380624</v>
      </c>
      <c r="U9">
        <v>526.1979159</v>
      </c>
      <c r="V9">
        <v>1127.276987</v>
      </c>
      <c r="W9">
        <v>1140.5512020000001</v>
      </c>
      <c r="Y9">
        <f t="shared" si="2"/>
        <v>1.1169709292044152</v>
      </c>
      <c r="Z9">
        <f t="shared" si="0"/>
        <v>1.1710364823132693</v>
      </c>
      <c r="AA9">
        <f t="shared" si="0"/>
        <v>1.0663775779230522</v>
      </c>
      <c r="AB9">
        <f t="shared" si="0"/>
        <v>1.1311227625091744</v>
      </c>
      <c r="AC9">
        <f t="shared" si="0"/>
        <v>1.1302406181010476</v>
      </c>
      <c r="AD9">
        <f t="shared" si="0"/>
        <v>1.1177177870907977</v>
      </c>
      <c r="AE9">
        <f t="shared" si="0"/>
        <v>1.1143150178905108</v>
      </c>
      <c r="AF9">
        <f t="shared" si="0"/>
        <v>1.1541239083367403</v>
      </c>
      <c r="AG9">
        <f t="shared" si="0"/>
        <v>1.1229233810463606</v>
      </c>
      <c r="AH9">
        <f t="shared" si="0"/>
        <v>1.1285656231827703</v>
      </c>
      <c r="AI9">
        <f t="shared" si="0"/>
        <v>1.1354177773379517</v>
      </c>
      <c r="AJ9">
        <f t="shared" si="0"/>
        <v>0.30953814396708618</v>
      </c>
      <c r="AK9">
        <f t="shared" si="0"/>
        <v>0.35542994085817226</v>
      </c>
      <c r="AL9">
        <f t="shared" si="0"/>
        <v>1.2917372471462962</v>
      </c>
      <c r="AM9">
        <f t="shared" si="0"/>
        <v>1.317982635626562</v>
      </c>
      <c r="AN9">
        <f t="shared" si="0"/>
        <v>1.0648223078174714</v>
      </c>
      <c r="AO9">
        <f t="shared" si="0"/>
        <v>1.1474196597855462</v>
      </c>
      <c r="AP9">
        <f t="shared" si="0"/>
        <v>1.0779450098963879</v>
      </c>
      <c r="AQ9">
        <f t="shared" si="0"/>
        <v>1.0384567960024536</v>
      </c>
      <c r="AR9">
        <f t="shared" si="0"/>
        <v>1.0141611828224373</v>
      </c>
      <c r="AS9">
        <f t="shared" si="0"/>
        <v>1.0510017166388608</v>
      </c>
      <c r="AT9">
        <f t="shared" si="0"/>
        <v>1.1187961712913734</v>
      </c>
      <c r="AV9" t="s">
        <v>9</v>
      </c>
      <c r="AW9" t="str">
        <f t="shared" si="3"/>
        <v xml:space="preserve">      series QD_cagr = 1.11697092920442 * @elem(QD_cagr, 2015)</v>
      </c>
      <c r="AX9" t="str">
        <f t="shared" si="1"/>
        <v xml:space="preserve">      series QD_cmet = 1.17103648231327 * @elem(QD_cmet, 2015)</v>
      </c>
      <c r="AY9" t="str">
        <f t="shared" si="1"/>
        <v xml:space="preserve">      series QD_cchem = 1.06637757792305 * @elem(QD_cchem, 2015)</v>
      </c>
      <c r="AZ9" t="str">
        <f t="shared" si="1"/>
        <v xml:space="preserve">      series QD_cpla = 1.13112276250917 * @elem(QD_cpla, 2015)</v>
      </c>
      <c r="BA9" t="str">
        <f t="shared" si="1"/>
        <v xml:space="preserve">      series QD_cgla = 1.13024061810105 * @elem(QD_cgla, 2015)</v>
      </c>
      <c r="BB9" t="str">
        <f t="shared" si="1"/>
        <v xml:space="preserve">      series QD_cpap = 1.1177177870908 * @elem(QD_cpap, 2015)</v>
      </c>
      <c r="BC9" t="str">
        <f t="shared" si="1"/>
        <v xml:space="preserve">      series QD_cfoo = 1.11431501789051 * @elem(QD_cfoo, 2015)</v>
      </c>
      <c r="BD9" t="str">
        <f t="shared" si="1"/>
        <v xml:space="preserve">      series QD_cres = 1.15412390833674 * @elem(QD_cres, 2015)</v>
      </c>
      <c r="BE9" t="str">
        <f t="shared" si="1"/>
        <v xml:space="preserve">      series QD_croa = 1.12292338104636 * @elem(QD_croa, 2015)</v>
      </c>
      <c r="BF9" t="str">
        <f t="shared" si="1"/>
        <v xml:space="preserve">      series QD_cwat = 1.12856562318277 * @elem(QD_cwat, 2015)</v>
      </c>
      <c r="BG9" t="str">
        <f t="shared" si="1"/>
        <v xml:space="preserve">      series QD_cair = 1.13541777733795 * @elem(QD_cair, 2015)</v>
      </c>
      <c r="BH9" t="str">
        <f t="shared" si="1"/>
        <v xml:space="preserve">      series QD_ccoa = 0.309538143967086 * @elem(QD_ccoa, 2015)</v>
      </c>
      <c r="BI9" t="str">
        <f t="shared" si="1"/>
        <v xml:space="preserve">      series QD_coil = 0.355429940858172 * @elem(QD_coil, 2015)</v>
      </c>
      <c r="BJ9" t="str">
        <f t="shared" si="1"/>
        <v xml:space="preserve">      series QD_cfue = 1.2917372471463 * @elem(QD_cfue, 2015)</v>
      </c>
      <c r="BK9" t="str">
        <f t="shared" si="1"/>
        <v xml:space="preserve">      series QD_cpch = 1.31798263562656 * @elem(QD_cpch, 2015)</v>
      </c>
      <c r="BL9" t="str">
        <f t="shared" si="1"/>
        <v xml:space="preserve">      series QD_cele = 1.06482230781747 * @elem(QD_cele, 2015)</v>
      </c>
      <c r="BM9" t="str">
        <f t="shared" si="1"/>
        <v xml:space="preserve">      series QD_cgas = 1.14741965978555 * @elem(QD_cgas, 2015)</v>
      </c>
      <c r="BN9" t="str">
        <f t="shared" si="1"/>
        <v xml:space="preserve">      series QD_cmga = 1.07794500989639 * @elem(QD_cmga, 2015)</v>
      </c>
      <c r="BO9" t="str">
        <f t="shared" si="1"/>
        <v xml:space="preserve">      series QD_cbiog = 1.03845679600245 * @elem(QD_cbiog, 2015)</v>
      </c>
      <c r="BP9" t="str">
        <f t="shared" si="1"/>
        <v xml:space="preserve">      series QD_cbiom = 1.01416118282244 * @elem(QD_cbiom, 2015)</v>
      </c>
      <c r="BQ9" t="str">
        <f t="shared" si="1"/>
        <v xml:space="preserve">      series QD_cbiof = 1.05100171663886 * @elem(QD_cbiof, 2015)</v>
      </c>
      <c r="BR9" t="str">
        <f t="shared" si="1"/>
        <v xml:space="preserve">      series QD_chea = 1.11879617129137 * @elem(QD_chea, 2015)</v>
      </c>
      <c r="BS9" t="s">
        <v>64</v>
      </c>
      <c r="BT9">
        <v>3</v>
      </c>
      <c r="BU9" t="s">
        <v>71</v>
      </c>
      <c r="BV9" t="str" cm="1">
        <f t="array" aca="1" ref="BV9" ca="1">INDIRECT(BU9&amp;BT9)</f>
        <v xml:space="preserve">      series QD_cpap = 1 * @elem(QD_cpap, 2015)</v>
      </c>
      <c r="CC9">
        <f t="shared" si="4"/>
        <v>6</v>
      </c>
      <c r="CD9" t="s">
        <v>65</v>
      </c>
      <c r="CE9" t="str" cm="1">
        <f t="array" aca="1" ref="CE9" ca="1">INDIRECT(CD9&amp;CC9)</f>
        <v xml:space="preserve">      smpl 2018 2018</v>
      </c>
    </row>
    <row r="10" spans="1:83" x14ac:dyDescent="0.25">
      <c r="A10">
        <v>2022</v>
      </c>
      <c r="B10">
        <v>37749.752009999997</v>
      </c>
      <c r="C10">
        <v>9549.7613170000004</v>
      </c>
      <c r="D10">
        <v>41931.57574</v>
      </c>
      <c r="E10">
        <v>11288.580679999999</v>
      </c>
      <c r="F10">
        <v>8474.9677329999995</v>
      </c>
      <c r="G10">
        <v>9563.7634949999992</v>
      </c>
      <c r="H10">
        <v>101102.673</v>
      </c>
      <c r="I10">
        <v>1357820.81</v>
      </c>
      <c r="J10">
        <v>62263.847589999998</v>
      </c>
      <c r="K10">
        <v>9728.7348320000001</v>
      </c>
      <c r="L10">
        <v>11665.262989999999</v>
      </c>
      <c r="M10">
        <v>126.97943669999999</v>
      </c>
      <c r="N10">
        <v>760.22297430000003</v>
      </c>
      <c r="O10">
        <v>56866.040970000002</v>
      </c>
      <c r="P10">
        <v>15792.603859999999</v>
      </c>
      <c r="Q10">
        <v>7971.7083579999999</v>
      </c>
      <c r="R10">
        <v>15516.262269999999</v>
      </c>
      <c r="S10">
        <v>415.56774189999999</v>
      </c>
      <c r="T10">
        <v>108.537153</v>
      </c>
      <c r="U10">
        <v>514.2127577</v>
      </c>
      <c r="V10">
        <v>1133.502035</v>
      </c>
      <c r="W10">
        <v>1136.885534</v>
      </c>
      <c r="Y10">
        <f t="shared" si="2"/>
        <v>1.1335301969027762</v>
      </c>
      <c r="Z10">
        <f t="shared" si="0"/>
        <v>1.1908562323452936</v>
      </c>
      <c r="AA10">
        <f t="shared" si="0"/>
        <v>1.0779483985543936</v>
      </c>
      <c r="AB10">
        <f t="shared" si="0"/>
        <v>1.1491263848006319</v>
      </c>
      <c r="AC10">
        <f t="shared" si="0"/>
        <v>1.1483057644723345</v>
      </c>
      <c r="AD10">
        <f t="shared" si="0"/>
        <v>1.1342388427473107</v>
      </c>
      <c r="AE10">
        <f t="shared" si="0"/>
        <v>1.1315201448331846</v>
      </c>
      <c r="AF10">
        <f t="shared" si="0"/>
        <v>1.1746075616522147</v>
      </c>
      <c r="AG10">
        <f t="shared" si="0"/>
        <v>1.1399598761153444</v>
      </c>
      <c r="AH10">
        <f t="shared" si="0"/>
        <v>1.1452391190912978</v>
      </c>
      <c r="AI10">
        <f t="shared" si="0"/>
        <v>1.1544050460168234</v>
      </c>
      <c r="AJ10">
        <f t="shared" si="0"/>
        <v>0.26081376640369813</v>
      </c>
      <c r="AK10">
        <f t="shared" si="0"/>
        <v>0.31025849383899556</v>
      </c>
      <c r="AL10">
        <f t="shared" si="0"/>
        <v>1.3164808288955516</v>
      </c>
      <c r="AM10">
        <f t="shared" si="0"/>
        <v>1.3477190543289672</v>
      </c>
      <c r="AN10">
        <f t="shared" si="0"/>
        <v>1.0743879735116186</v>
      </c>
      <c r="AO10">
        <f t="shared" si="0"/>
        <v>1.1541118220542579</v>
      </c>
      <c r="AP10">
        <f t="shared" si="0"/>
        <v>1.0235494203768503</v>
      </c>
      <c r="AQ10">
        <f t="shared" si="0"/>
        <v>1.0304489042923004</v>
      </c>
      <c r="AR10">
        <f t="shared" si="0"/>
        <v>0.99106173326335534</v>
      </c>
      <c r="AS10">
        <f t="shared" si="0"/>
        <v>1.056805557407021</v>
      </c>
      <c r="AT10">
        <f t="shared" si="0"/>
        <v>1.1152004227476571</v>
      </c>
      <c r="AV10" t="s">
        <v>10</v>
      </c>
      <c r="AW10" t="str">
        <f t="shared" si="3"/>
        <v xml:space="preserve">      series QD_cagr = 1.13353019690278 * @elem(QD_cagr, 2015)</v>
      </c>
      <c r="AX10" t="str">
        <f t="shared" si="1"/>
        <v xml:space="preserve">      series QD_cmet = 1.19085623234529 * @elem(QD_cmet, 2015)</v>
      </c>
      <c r="AY10" t="str">
        <f t="shared" si="1"/>
        <v xml:space="preserve">      series QD_cchem = 1.07794839855439 * @elem(QD_cchem, 2015)</v>
      </c>
      <c r="AZ10" t="str">
        <f t="shared" si="1"/>
        <v xml:space="preserve">      series QD_cpla = 1.14912638480063 * @elem(QD_cpla, 2015)</v>
      </c>
      <c r="BA10" t="str">
        <f t="shared" si="1"/>
        <v xml:space="preserve">      series QD_cgla = 1.14830576447233 * @elem(QD_cgla, 2015)</v>
      </c>
      <c r="BB10" t="str">
        <f t="shared" si="1"/>
        <v xml:space="preserve">      series QD_cpap = 1.13423884274731 * @elem(QD_cpap, 2015)</v>
      </c>
      <c r="BC10" t="str">
        <f t="shared" si="1"/>
        <v xml:space="preserve">      series QD_cfoo = 1.13152014483318 * @elem(QD_cfoo, 2015)</v>
      </c>
      <c r="BD10" t="str">
        <f t="shared" si="1"/>
        <v xml:space="preserve">      series QD_cres = 1.17460756165221 * @elem(QD_cres, 2015)</v>
      </c>
      <c r="BE10" t="str">
        <f t="shared" si="1"/>
        <v xml:space="preserve">      series QD_croa = 1.13995987611534 * @elem(QD_croa, 2015)</v>
      </c>
      <c r="BF10" t="str">
        <f t="shared" si="1"/>
        <v xml:space="preserve">      series QD_cwat = 1.1452391190913 * @elem(QD_cwat, 2015)</v>
      </c>
      <c r="BG10" t="str">
        <f t="shared" si="1"/>
        <v xml:space="preserve">      series QD_cair = 1.15440504601682 * @elem(QD_cair, 2015)</v>
      </c>
      <c r="BH10" t="str">
        <f t="shared" si="1"/>
        <v xml:space="preserve">      series QD_ccoa = 0.260813766403698 * @elem(QD_ccoa, 2015)</v>
      </c>
      <c r="BI10" t="str">
        <f t="shared" si="1"/>
        <v xml:space="preserve">      series QD_coil = 0.310258493838996 * @elem(QD_coil, 2015)</v>
      </c>
      <c r="BJ10" t="str">
        <f t="shared" si="1"/>
        <v xml:space="preserve">      series QD_cfue = 1.31648082889555 * @elem(QD_cfue, 2015)</v>
      </c>
      <c r="BK10" t="str">
        <f t="shared" si="1"/>
        <v xml:space="preserve">      series QD_cpch = 1.34771905432897 * @elem(QD_cpch, 2015)</v>
      </c>
      <c r="BL10" t="str">
        <f t="shared" si="1"/>
        <v xml:space="preserve">      series QD_cele = 1.07438797351162 * @elem(QD_cele, 2015)</v>
      </c>
      <c r="BM10" t="str">
        <f t="shared" si="1"/>
        <v xml:space="preserve">      series QD_cgas = 1.15411182205426 * @elem(QD_cgas, 2015)</v>
      </c>
      <c r="BN10" t="str">
        <f t="shared" si="1"/>
        <v xml:space="preserve">      series QD_cmga = 1.02354942037685 * @elem(QD_cmga, 2015)</v>
      </c>
      <c r="BO10" t="str">
        <f t="shared" si="1"/>
        <v xml:space="preserve">      series QD_cbiog = 1.0304489042923 * @elem(QD_cbiog, 2015)</v>
      </c>
      <c r="BP10" t="str">
        <f t="shared" si="1"/>
        <v xml:space="preserve">      series QD_cbiom = 0.991061733263355 * @elem(QD_cbiom, 2015)</v>
      </c>
      <c r="BQ10" t="str">
        <f t="shared" si="1"/>
        <v xml:space="preserve">      series QD_cbiof = 1.05680555740702 * @elem(QD_cbiof, 2015)</v>
      </c>
      <c r="BR10" t="str">
        <f t="shared" si="1"/>
        <v xml:space="preserve">      series QD_chea = 1.11520042274766 * @elem(QD_chea, 2015)</v>
      </c>
      <c r="BS10" t="s">
        <v>64</v>
      </c>
      <c r="BT10">
        <v>3</v>
      </c>
      <c r="BU10" t="s">
        <v>72</v>
      </c>
      <c r="BV10" t="str" cm="1">
        <f t="array" aca="1" ref="BV10" ca="1">INDIRECT(BU10&amp;BT10)</f>
        <v xml:space="preserve">      series QD_cfoo = 1 * @elem(QD_cfoo, 2015)</v>
      </c>
      <c r="CC10">
        <f t="shared" si="4"/>
        <v>6</v>
      </c>
      <c r="CD10" t="s">
        <v>81</v>
      </c>
      <c r="CE10" t="str" cm="1">
        <f t="array" aca="1" ref="CE10" ca="1">INDIRECT(CD10&amp;CC10)</f>
        <v xml:space="preserve">      series QD_cgas = 1.10536280650259 * @elem(QD_cgas, 2015)</v>
      </c>
    </row>
    <row r="11" spans="1:83" x14ac:dyDescent="0.25">
      <c r="A11">
        <v>2023</v>
      </c>
      <c r="B11">
        <v>38290.719279999998</v>
      </c>
      <c r="C11">
        <v>9700.3876319999999</v>
      </c>
      <c r="D11">
        <v>42399.790079999999</v>
      </c>
      <c r="E11">
        <v>11462.593720000001</v>
      </c>
      <c r="F11">
        <v>8604.8383809999996</v>
      </c>
      <c r="G11">
        <v>9699.5148420000005</v>
      </c>
      <c r="H11">
        <v>102617.44040000001</v>
      </c>
      <c r="I11">
        <v>1380612.78</v>
      </c>
      <c r="J11">
        <v>63174.804199999999</v>
      </c>
      <c r="K11">
        <v>9869.2051850000007</v>
      </c>
      <c r="L11">
        <v>11855.985210000001</v>
      </c>
      <c r="M11">
        <v>108.0602447</v>
      </c>
      <c r="N11">
        <v>672.05240730000003</v>
      </c>
      <c r="O11">
        <v>57788.46473</v>
      </c>
      <c r="P11">
        <v>16102.20379</v>
      </c>
      <c r="Q11">
        <v>7996.0537999999997</v>
      </c>
      <c r="R11">
        <v>15583.657800000001</v>
      </c>
      <c r="S11">
        <v>393.63898469999998</v>
      </c>
      <c r="T11">
        <v>107.4032127</v>
      </c>
      <c r="U11">
        <v>501.69881509999999</v>
      </c>
      <c r="V11">
        <v>1139.8831150000001</v>
      </c>
      <c r="W11">
        <v>1132.9817129999999</v>
      </c>
      <c r="Y11">
        <f t="shared" si="2"/>
        <v>1.1497740847015259</v>
      </c>
      <c r="Z11">
        <f t="shared" si="0"/>
        <v>1.2096393495373057</v>
      </c>
      <c r="AA11">
        <f t="shared" si="0"/>
        <v>1.0899849340071204</v>
      </c>
      <c r="AB11">
        <f t="shared" si="0"/>
        <v>1.1668401241299386</v>
      </c>
      <c r="AC11">
        <f t="shared" si="0"/>
        <v>1.165902434858874</v>
      </c>
      <c r="AD11">
        <f t="shared" si="0"/>
        <v>1.1503386188242879</v>
      </c>
      <c r="AE11">
        <f t="shared" si="0"/>
        <v>1.1484731073709467</v>
      </c>
      <c r="AF11">
        <f t="shared" si="0"/>
        <v>1.1943241694032407</v>
      </c>
      <c r="AG11">
        <f t="shared" si="0"/>
        <v>1.1566381577262104</v>
      </c>
      <c r="AH11">
        <f t="shared" si="0"/>
        <v>1.1617748913274799</v>
      </c>
      <c r="AI11">
        <f t="shared" si="0"/>
        <v>1.1732790905492332</v>
      </c>
      <c r="AJ11">
        <f t="shared" si="0"/>
        <v>0.22195404351413586</v>
      </c>
      <c r="AK11">
        <f t="shared" si="0"/>
        <v>0.27427475190651995</v>
      </c>
      <c r="AL11">
        <f t="shared" si="0"/>
        <v>1.3378354576941063</v>
      </c>
      <c r="AM11">
        <f t="shared" si="0"/>
        <v>1.3741398857877205</v>
      </c>
      <c r="AN11">
        <f t="shared" si="0"/>
        <v>1.0776691334487323</v>
      </c>
      <c r="AO11">
        <f t="shared" si="0"/>
        <v>1.1591247547163335</v>
      </c>
      <c r="AP11">
        <f t="shared" si="0"/>
        <v>0.96953857098073482</v>
      </c>
      <c r="AQ11">
        <f t="shared" si="0"/>
        <v>1.0196833046117202</v>
      </c>
      <c r="AR11">
        <f t="shared" si="0"/>
        <v>0.96694313749263405</v>
      </c>
      <c r="AS11">
        <f t="shared" si="0"/>
        <v>1.0627548725366218</v>
      </c>
      <c r="AT11">
        <f t="shared" si="0"/>
        <v>1.1113710637670622</v>
      </c>
      <c r="AV11" t="s">
        <v>11</v>
      </c>
      <c r="AW11" t="str">
        <f t="shared" si="3"/>
        <v xml:space="preserve">      series QD_cagr = 1.14977408470153 * @elem(QD_cagr, 2015)</v>
      </c>
      <c r="AX11" t="str">
        <f t="shared" si="1"/>
        <v xml:space="preserve">      series QD_cmet = 1.20963934953731 * @elem(QD_cmet, 2015)</v>
      </c>
      <c r="AY11" t="str">
        <f t="shared" si="1"/>
        <v xml:space="preserve">      series QD_cchem = 1.08998493400712 * @elem(QD_cchem, 2015)</v>
      </c>
      <c r="AZ11" t="str">
        <f t="shared" si="1"/>
        <v xml:space="preserve">      series QD_cpla = 1.16684012412994 * @elem(QD_cpla, 2015)</v>
      </c>
      <c r="BA11" t="str">
        <f t="shared" si="1"/>
        <v xml:space="preserve">      series QD_cgla = 1.16590243485887 * @elem(QD_cgla, 2015)</v>
      </c>
      <c r="BB11" t="str">
        <f t="shared" si="1"/>
        <v xml:space="preserve">      series QD_cpap = 1.15033861882429 * @elem(QD_cpap, 2015)</v>
      </c>
      <c r="BC11" t="str">
        <f t="shared" si="1"/>
        <v xml:space="preserve">      series QD_cfoo = 1.14847310737095 * @elem(QD_cfoo, 2015)</v>
      </c>
      <c r="BD11" t="str">
        <f t="shared" si="1"/>
        <v xml:space="preserve">      series QD_cres = 1.19432416940324 * @elem(QD_cres, 2015)</v>
      </c>
      <c r="BE11" t="str">
        <f t="shared" si="1"/>
        <v xml:space="preserve">      series QD_croa = 1.15663815772621 * @elem(QD_croa, 2015)</v>
      </c>
      <c r="BF11" t="str">
        <f t="shared" si="1"/>
        <v xml:space="preserve">      series QD_cwat = 1.16177489132748 * @elem(QD_cwat, 2015)</v>
      </c>
      <c r="BG11" t="str">
        <f t="shared" si="1"/>
        <v xml:space="preserve">      series QD_cair = 1.17327909054923 * @elem(QD_cair, 2015)</v>
      </c>
      <c r="BH11" t="str">
        <f t="shared" si="1"/>
        <v xml:space="preserve">      series QD_ccoa = 0.221954043514136 * @elem(QD_ccoa, 2015)</v>
      </c>
      <c r="BI11" t="str">
        <f t="shared" si="1"/>
        <v xml:space="preserve">      series QD_coil = 0.27427475190652 * @elem(QD_coil, 2015)</v>
      </c>
      <c r="BJ11" t="str">
        <f t="shared" si="1"/>
        <v xml:space="preserve">      series QD_cfue = 1.33783545769411 * @elem(QD_cfue, 2015)</v>
      </c>
      <c r="BK11" t="str">
        <f t="shared" si="1"/>
        <v xml:space="preserve">      series QD_cpch = 1.37413988578772 * @elem(QD_cpch, 2015)</v>
      </c>
      <c r="BL11" t="str">
        <f t="shared" si="1"/>
        <v xml:space="preserve">      series QD_cele = 1.07766913344873 * @elem(QD_cele, 2015)</v>
      </c>
      <c r="BM11" t="str">
        <f t="shared" si="1"/>
        <v xml:space="preserve">      series QD_cgas = 1.15912475471633 * @elem(QD_cgas, 2015)</v>
      </c>
      <c r="BN11" t="str">
        <f t="shared" si="1"/>
        <v xml:space="preserve">      series QD_cmga = 0.969538570980735 * @elem(QD_cmga, 2015)</v>
      </c>
      <c r="BO11" t="str">
        <f t="shared" si="1"/>
        <v xml:space="preserve">      series QD_cbiog = 1.01968330461172 * @elem(QD_cbiog, 2015)</v>
      </c>
      <c r="BP11" t="str">
        <f t="shared" si="1"/>
        <v xml:space="preserve">      series QD_cbiom = 0.966943137492634 * @elem(QD_cbiom, 2015)</v>
      </c>
      <c r="BQ11" t="str">
        <f t="shared" si="1"/>
        <v xml:space="preserve">      series QD_cbiof = 1.06275487253662 * @elem(QD_cbiof, 2015)</v>
      </c>
      <c r="BR11" t="str">
        <f t="shared" si="1"/>
        <v xml:space="preserve">      series QD_chea = 1.11137106376706 * @elem(QD_chea, 2015)</v>
      </c>
      <c r="BS11" t="s">
        <v>64</v>
      </c>
      <c r="BT11">
        <v>3</v>
      </c>
      <c r="BU11" t="s">
        <v>73</v>
      </c>
      <c r="BV11" t="str" cm="1">
        <f t="array" aca="1" ref="BV11" ca="1">INDIRECT(BU11&amp;BT11)</f>
        <v xml:space="preserve">      series QD_cres = 1 * @elem(QD_cres, 2015)</v>
      </c>
      <c r="CC11">
        <f t="shared" si="4"/>
        <v>7</v>
      </c>
      <c r="CD11" t="s">
        <v>65</v>
      </c>
      <c r="CE11" t="str" cm="1">
        <f t="array" aca="1" ref="CE11" ca="1">INDIRECT(CD11&amp;CC11)</f>
        <v xml:space="preserve">      smpl 2019 2019</v>
      </c>
    </row>
    <row r="12" spans="1:83" x14ac:dyDescent="0.25">
      <c r="A12">
        <v>2024</v>
      </c>
      <c r="B12">
        <v>38823.725839999999</v>
      </c>
      <c r="C12">
        <v>9845.0677300000007</v>
      </c>
      <c r="D12">
        <v>42882.454870000001</v>
      </c>
      <c r="E12">
        <v>11634.074259999999</v>
      </c>
      <c r="F12">
        <v>8732.0795760000001</v>
      </c>
      <c r="G12">
        <v>9832.2815140000002</v>
      </c>
      <c r="H12">
        <v>104114.1363</v>
      </c>
      <c r="I12">
        <v>1402727.527</v>
      </c>
      <c r="J12">
        <v>64071.830499999996</v>
      </c>
      <c r="K12">
        <v>10008.857019999999</v>
      </c>
      <c r="L12">
        <v>12044.79278</v>
      </c>
      <c r="M12">
        <v>92.984386430000001</v>
      </c>
      <c r="N12">
        <v>601.89673660000005</v>
      </c>
      <c r="O12">
        <v>58600.525329999997</v>
      </c>
      <c r="P12">
        <v>16381.53044</v>
      </c>
      <c r="Q12">
        <v>7995.0850270000001</v>
      </c>
      <c r="R12">
        <v>15636.96984</v>
      </c>
      <c r="S12">
        <v>372.65499890000001</v>
      </c>
      <c r="T12">
        <v>106.14114309999999</v>
      </c>
      <c r="U12">
        <v>489.20822520000002</v>
      </c>
      <c r="V12">
        <v>1146.5056039999999</v>
      </c>
      <c r="W12">
        <v>1129.4428210000001</v>
      </c>
      <c r="Y12">
        <f t="shared" si="2"/>
        <v>1.165778932382306</v>
      </c>
      <c r="Z12">
        <f t="shared" si="0"/>
        <v>1.2276809728491807</v>
      </c>
      <c r="AA12">
        <f t="shared" si="0"/>
        <v>1.1023929517893563</v>
      </c>
      <c r="AB12">
        <f t="shared" si="0"/>
        <v>1.1842960664294855</v>
      </c>
      <c r="AC12">
        <f t="shared" si="0"/>
        <v>1.1831428306102247</v>
      </c>
      <c r="AD12">
        <f t="shared" si="0"/>
        <v>1.1660844197826052</v>
      </c>
      <c r="AE12">
        <f t="shared" si="0"/>
        <v>1.165223817429218</v>
      </c>
      <c r="AF12">
        <f t="shared" si="0"/>
        <v>1.2134549330937938</v>
      </c>
      <c r="AG12">
        <f t="shared" si="0"/>
        <v>1.1730613957591975</v>
      </c>
      <c r="AH12">
        <f t="shared" si="0"/>
        <v>1.1782143099422027</v>
      </c>
      <c r="AI12">
        <f t="shared" si="0"/>
        <v>1.191963659574468</v>
      </c>
      <c r="AJ12">
        <f t="shared" si="0"/>
        <v>0.1909884676748233</v>
      </c>
      <c r="AK12">
        <f t="shared" si="0"/>
        <v>0.24564316162119784</v>
      </c>
      <c r="AL12">
        <f t="shared" si="0"/>
        <v>1.356635117272402</v>
      </c>
      <c r="AM12">
        <f t="shared" si="0"/>
        <v>1.3979772372418637</v>
      </c>
      <c r="AN12">
        <f t="shared" si="0"/>
        <v>1.0775385669486146</v>
      </c>
      <c r="AO12">
        <f t="shared" si="0"/>
        <v>1.1630901462875232</v>
      </c>
      <c r="AP12">
        <f t="shared" si="0"/>
        <v>0.9178547073473674</v>
      </c>
      <c r="AQ12">
        <f t="shared" si="0"/>
        <v>1.007701248693406</v>
      </c>
      <c r="AR12">
        <f t="shared" si="0"/>
        <v>0.94286955026553965</v>
      </c>
      <c r="AS12">
        <f t="shared" si="0"/>
        <v>1.0689292621389015</v>
      </c>
      <c r="AT12">
        <f t="shared" si="0"/>
        <v>1.107899673080462</v>
      </c>
      <c r="AV12" t="s">
        <v>12</v>
      </c>
      <c r="AW12" t="str">
        <f t="shared" si="3"/>
        <v xml:space="preserve">      series QD_cagr = 1.16577893238231 * @elem(QD_cagr, 2015)</v>
      </c>
      <c r="AX12" t="str">
        <f t="shared" si="1"/>
        <v xml:space="preserve">      series QD_cmet = 1.22768097284918 * @elem(QD_cmet, 2015)</v>
      </c>
      <c r="AY12" t="str">
        <f t="shared" si="1"/>
        <v xml:space="preserve">      series QD_cchem = 1.10239295178936 * @elem(QD_cchem, 2015)</v>
      </c>
      <c r="AZ12" t="str">
        <f t="shared" si="1"/>
        <v xml:space="preserve">      series QD_cpla = 1.18429606642949 * @elem(QD_cpla, 2015)</v>
      </c>
      <c r="BA12" t="str">
        <f t="shared" si="1"/>
        <v xml:space="preserve">      series QD_cgla = 1.18314283061022 * @elem(QD_cgla, 2015)</v>
      </c>
      <c r="BB12" t="str">
        <f t="shared" si="1"/>
        <v xml:space="preserve">      series QD_cpap = 1.16608441978261 * @elem(QD_cpap, 2015)</v>
      </c>
      <c r="BC12" t="str">
        <f t="shared" si="1"/>
        <v xml:space="preserve">      series QD_cfoo = 1.16522381742922 * @elem(QD_cfoo, 2015)</v>
      </c>
      <c r="BD12" t="str">
        <f t="shared" si="1"/>
        <v xml:space="preserve">      series QD_cres = 1.21345493309379 * @elem(QD_cres, 2015)</v>
      </c>
      <c r="BE12" t="str">
        <f t="shared" si="1"/>
        <v xml:space="preserve">      series QD_croa = 1.1730613957592 * @elem(QD_croa, 2015)</v>
      </c>
      <c r="BF12" t="str">
        <f t="shared" si="1"/>
        <v xml:space="preserve">      series QD_cwat = 1.1782143099422 * @elem(QD_cwat, 2015)</v>
      </c>
      <c r="BG12" t="str">
        <f t="shared" si="1"/>
        <v xml:space="preserve">      series QD_cair = 1.19196365957447 * @elem(QD_cair, 2015)</v>
      </c>
      <c r="BH12" t="str">
        <f t="shared" si="1"/>
        <v xml:space="preserve">      series QD_ccoa = 0.190988467674823 * @elem(QD_ccoa, 2015)</v>
      </c>
      <c r="BI12" t="str">
        <f t="shared" si="1"/>
        <v xml:space="preserve">      series QD_coil = 0.245643161621198 * @elem(QD_coil, 2015)</v>
      </c>
      <c r="BJ12" t="str">
        <f t="shared" si="1"/>
        <v xml:space="preserve">      series QD_cfue = 1.3566351172724 * @elem(QD_cfue, 2015)</v>
      </c>
      <c r="BK12" t="str">
        <f t="shared" si="1"/>
        <v xml:space="preserve">      series QD_cpch = 1.39797723724186 * @elem(QD_cpch, 2015)</v>
      </c>
      <c r="BL12" t="str">
        <f t="shared" si="1"/>
        <v xml:space="preserve">      series QD_cele = 1.07753856694861 * @elem(QD_cele, 2015)</v>
      </c>
      <c r="BM12" t="str">
        <f t="shared" si="1"/>
        <v xml:space="preserve">      series QD_cgas = 1.16309014628752 * @elem(QD_cgas, 2015)</v>
      </c>
      <c r="BN12" t="str">
        <f t="shared" si="1"/>
        <v xml:space="preserve">      series QD_cmga = 0.917854707347367 * @elem(QD_cmga, 2015)</v>
      </c>
      <c r="BO12" t="str">
        <f t="shared" si="1"/>
        <v xml:space="preserve">      series QD_cbiog = 1.00770124869341 * @elem(QD_cbiog, 2015)</v>
      </c>
      <c r="BP12" t="str">
        <f t="shared" si="1"/>
        <v xml:space="preserve">      series QD_cbiom = 0.94286955026554 * @elem(QD_cbiom, 2015)</v>
      </c>
      <c r="BQ12" t="str">
        <f t="shared" si="1"/>
        <v xml:space="preserve">      series QD_cbiof = 1.0689292621389 * @elem(QD_cbiof, 2015)</v>
      </c>
      <c r="BR12" t="str">
        <f t="shared" si="1"/>
        <v xml:space="preserve">      series QD_chea = 1.10789967308046 * @elem(QD_chea, 2015)</v>
      </c>
      <c r="BS12" t="s">
        <v>64</v>
      </c>
      <c r="BT12">
        <v>3</v>
      </c>
      <c r="BU12" t="s">
        <v>74</v>
      </c>
      <c r="BV12" t="str" cm="1">
        <f t="array" aca="1" ref="BV12" ca="1">INDIRECT(BU12&amp;BT12)</f>
        <v xml:space="preserve">      series QD_croa = 1 * @elem(QD_croa, 2015)</v>
      </c>
      <c r="CC12">
        <f t="shared" si="4"/>
        <v>7</v>
      </c>
      <c r="CD12" t="s">
        <v>81</v>
      </c>
      <c r="CE12" t="str" cm="1">
        <f t="array" aca="1" ref="CE12" ca="1">INDIRECT(CD12&amp;CC12)</f>
        <v xml:space="preserve">      series QD_cgas = 1.12416524932835 * @elem(QD_cgas, 2015)</v>
      </c>
    </row>
    <row r="13" spans="1:83" x14ac:dyDescent="0.25">
      <c r="A13">
        <v>2025</v>
      </c>
      <c r="B13">
        <v>39352.117109999999</v>
      </c>
      <c r="C13">
        <v>9985.9087080000008</v>
      </c>
      <c r="D13">
        <v>43377.583830000003</v>
      </c>
      <c r="E13">
        <v>11803.739240000001</v>
      </c>
      <c r="F13">
        <v>8857.6471239999992</v>
      </c>
      <c r="G13">
        <v>9962.9259160000001</v>
      </c>
      <c r="H13">
        <v>105599.28079999999</v>
      </c>
      <c r="I13">
        <v>1424369.1259999999</v>
      </c>
      <c r="J13">
        <v>64960.906889999998</v>
      </c>
      <c r="K13">
        <v>10148.06194</v>
      </c>
      <c r="L13">
        <v>12231.62457</v>
      </c>
      <c r="M13">
        <v>80.98535837</v>
      </c>
      <c r="N13">
        <v>546.17649449999999</v>
      </c>
      <c r="O13">
        <v>59330.948680000001</v>
      </c>
      <c r="P13">
        <v>16637.849620000001</v>
      </c>
      <c r="Q13">
        <v>7989.1651169999996</v>
      </c>
      <c r="R13">
        <v>15682.377119999999</v>
      </c>
      <c r="S13">
        <v>353.05007569999998</v>
      </c>
      <c r="T13">
        <v>104.8943414</v>
      </c>
      <c r="U13">
        <v>477.16893490000001</v>
      </c>
      <c r="V13">
        <v>1153.421118</v>
      </c>
      <c r="W13">
        <v>1126.7829589999999</v>
      </c>
      <c r="Y13">
        <f t="shared" si="2"/>
        <v>1.1816451945014887</v>
      </c>
      <c r="Z13">
        <f t="shared" si="0"/>
        <v>1.2452438574966049</v>
      </c>
      <c r="AA13">
        <f t="shared" si="0"/>
        <v>1.1151213899672894</v>
      </c>
      <c r="AB13">
        <f t="shared" si="0"/>
        <v>1.2015671929440965</v>
      </c>
      <c r="AC13">
        <f t="shared" si="0"/>
        <v>1.2001564575338537</v>
      </c>
      <c r="AD13">
        <f t="shared" si="0"/>
        <v>1.1815785247354689</v>
      </c>
      <c r="AE13">
        <f t="shared" si="0"/>
        <v>1.1818452466147569</v>
      </c>
      <c r="AF13">
        <f t="shared" si="0"/>
        <v>1.2321763915104202</v>
      </c>
      <c r="AG13">
        <f t="shared" si="0"/>
        <v>1.1893390825811769</v>
      </c>
      <c r="AH13">
        <f t="shared" si="0"/>
        <v>1.1946011189884926</v>
      </c>
      <c r="AI13">
        <f t="shared" si="0"/>
        <v>1.2104527036120731</v>
      </c>
      <c r="AJ13">
        <f t="shared" si="0"/>
        <v>0.16634265270790072</v>
      </c>
      <c r="AK13">
        <f t="shared" si="0"/>
        <v>0.2229028880768362</v>
      </c>
      <c r="AL13">
        <f t="shared" si="0"/>
        <v>1.3735448286018748</v>
      </c>
      <c r="AM13">
        <f t="shared" si="0"/>
        <v>1.4198511629059485</v>
      </c>
      <c r="AN13">
        <f t="shared" si="0"/>
        <v>1.076740710350927</v>
      </c>
      <c r="AO13">
        <f t="shared" si="0"/>
        <v>1.1664675755770919</v>
      </c>
      <c r="AP13">
        <f t="shared" si="0"/>
        <v>0.86956749504800324</v>
      </c>
      <c r="AQ13">
        <f t="shared" si="0"/>
        <v>0.99586414582011829</v>
      </c>
      <c r="AR13">
        <f t="shared" si="0"/>
        <v>0.91966576985887016</v>
      </c>
      <c r="AS13">
        <f t="shared" si="0"/>
        <v>1.0753768497054523</v>
      </c>
      <c r="AT13">
        <f t="shared" si="0"/>
        <v>1.1052905456545776</v>
      </c>
      <c r="AV13" t="s">
        <v>13</v>
      </c>
      <c r="AW13" t="str">
        <f t="shared" si="3"/>
        <v xml:space="preserve">      series QD_cagr = 1.18164519450149 * @elem(QD_cagr, 2015)</v>
      </c>
      <c r="AX13" t="str">
        <f t="shared" si="1"/>
        <v xml:space="preserve">      series QD_cmet = 1.2452438574966 * @elem(QD_cmet, 2015)</v>
      </c>
      <c r="AY13" t="str">
        <f t="shared" si="1"/>
        <v xml:space="preserve">      series QD_cchem = 1.11512138996729 * @elem(QD_cchem, 2015)</v>
      </c>
      <c r="AZ13" t="str">
        <f t="shared" si="1"/>
        <v xml:space="preserve">      series QD_cpla = 1.2015671929441 * @elem(QD_cpla, 2015)</v>
      </c>
      <c r="BA13" t="str">
        <f t="shared" si="1"/>
        <v xml:space="preserve">      series QD_cgla = 1.20015645753385 * @elem(QD_cgla, 2015)</v>
      </c>
      <c r="BB13" t="str">
        <f t="shared" si="1"/>
        <v xml:space="preserve">      series QD_cpap = 1.18157852473547 * @elem(QD_cpap, 2015)</v>
      </c>
      <c r="BC13" t="str">
        <f t="shared" si="1"/>
        <v xml:space="preserve">      series QD_cfoo = 1.18184524661476 * @elem(QD_cfoo, 2015)</v>
      </c>
      <c r="BD13" t="str">
        <f t="shared" si="1"/>
        <v xml:space="preserve">      series QD_cres = 1.23217639151042 * @elem(QD_cres, 2015)</v>
      </c>
      <c r="BE13" t="str">
        <f t="shared" si="1"/>
        <v xml:space="preserve">      series QD_croa = 1.18933908258118 * @elem(QD_croa, 2015)</v>
      </c>
      <c r="BF13" t="str">
        <f t="shared" si="1"/>
        <v xml:space="preserve">      series QD_cwat = 1.19460111898849 * @elem(QD_cwat, 2015)</v>
      </c>
      <c r="BG13" t="str">
        <f t="shared" si="1"/>
        <v xml:space="preserve">      series QD_cair = 1.21045270361207 * @elem(QD_cair, 2015)</v>
      </c>
      <c r="BH13" t="str">
        <f t="shared" si="1"/>
        <v xml:space="preserve">      series QD_ccoa = 0.166342652707901 * @elem(QD_ccoa, 2015)</v>
      </c>
      <c r="BI13" t="str">
        <f t="shared" si="1"/>
        <v xml:space="preserve">      series QD_coil = 0.222902888076836 * @elem(QD_coil, 2015)</v>
      </c>
      <c r="BJ13" t="str">
        <f t="shared" si="1"/>
        <v xml:space="preserve">      series QD_cfue = 1.37354482860187 * @elem(QD_cfue, 2015)</v>
      </c>
      <c r="BK13" t="str">
        <f t="shared" si="1"/>
        <v xml:space="preserve">      series QD_cpch = 1.41985116290595 * @elem(QD_cpch, 2015)</v>
      </c>
      <c r="BL13" t="str">
        <f t="shared" si="1"/>
        <v xml:space="preserve">      series QD_cele = 1.07674071035093 * @elem(QD_cele, 2015)</v>
      </c>
      <c r="BM13" t="str">
        <f t="shared" si="1"/>
        <v xml:space="preserve">      series QD_cgas = 1.16646757557709 * @elem(QD_cgas, 2015)</v>
      </c>
      <c r="BN13" t="str">
        <f t="shared" si="1"/>
        <v xml:space="preserve">      series QD_cmga = 0.869567495048003 * @elem(QD_cmga, 2015)</v>
      </c>
      <c r="BO13" t="str">
        <f t="shared" si="1"/>
        <v xml:space="preserve">      series QD_cbiog = 0.995864145820118 * @elem(QD_cbiog, 2015)</v>
      </c>
      <c r="BP13" t="str">
        <f t="shared" si="1"/>
        <v xml:space="preserve">      series QD_cbiom = 0.91966576985887 * @elem(QD_cbiom, 2015)</v>
      </c>
      <c r="BQ13" t="str">
        <f t="shared" si="1"/>
        <v xml:space="preserve">      series QD_cbiof = 1.07537684970545 * @elem(QD_cbiof, 2015)</v>
      </c>
      <c r="BR13" t="str">
        <f t="shared" si="1"/>
        <v xml:space="preserve">      series QD_chea = 1.10529054565458 * @elem(QD_chea, 2015)</v>
      </c>
      <c r="BS13" t="s">
        <v>64</v>
      </c>
      <c r="BT13">
        <v>3</v>
      </c>
      <c r="BU13" t="s">
        <v>75</v>
      </c>
      <c r="BV13" t="str" cm="1">
        <f t="array" aca="1" ref="BV13" ca="1">INDIRECT(BU13&amp;BT13)</f>
        <v xml:space="preserve">      series QD_cwat = 1 * @elem(QD_cwat, 2015)</v>
      </c>
      <c r="CC13">
        <f t="shared" si="4"/>
        <v>8</v>
      </c>
      <c r="CD13" t="s">
        <v>65</v>
      </c>
      <c r="CE13" t="str" cm="1">
        <f t="array" aca="1" ref="CE13" ca="1">INDIRECT(CD13&amp;CC13)</f>
        <v xml:space="preserve">      smpl 2020 2020</v>
      </c>
    </row>
    <row r="14" spans="1:83" x14ac:dyDescent="0.25">
      <c r="A14">
        <v>2026</v>
      </c>
      <c r="B14">
        <v>39935.657030000002</v>
      </c>
      <c r="C14">
        <v>10141.086730000001</v>
      </c>
      <c r="D14">
        <v>43955.730609999999</v>
      </c>
      <c r="E14">
        <v>11989.46674</v>
      </c>
      <c r="F14">
        <v>8994.0235799999991</v>
      </c>
      <c r="G14">
        <v>10106.88322</v>
      </c>
      <c r="H14">
        <v>107214.4317</v>
      </c>
      <c r="I14">
        <v>1447496.2620000001</v>
      </c>
      <c r="J14">
        <v>65937.69</v>
      </c>
      <c r="K14">
        <v>10305.42259</v>
      </c>
      <c r="L14">
        <v>12435.6757</v>
      </c>
      <c r="M14">
        <v>71.502688759999998</v>
      </c>
      <c r="N14">
        <v>502.49963550000001</v>
      </c>
      <c r="O14">
        <v>60098.38147</v>
      </c>
      <c r="P14">
        <v>16904.951089999999</v>
      </c>
      <c r="Q14">
        <v>7999.7238429999998</v>
      </c>
      <c r="R14">
        <v>15748.011329999999</v>
      </c>
      <c r="S14">
        <v>335.34243600000002</v>
      </c>
      <c r="T14">
        <v>103.8686684</v>
      </c>
      <c r="U14">
        <v>466.27764150000002</v>
      </c>
      <c r="V14">
        <v>1162.52979</v>
      </c>
      <c r="W14">
        <v>1126.6143199999999</v>
      </c>
      <c r="Y14">
        <f t="shared" si="2"/>
        <v>1.1991674320050096</v>
      </c>
      <c r="Z14">
        <f t="shared" si="0"/>
        <v>1.2645945730262962</v>
      </c>
      <c r="AA14">
        <f t="shared" si="0"/>
        <v>1.1299839937362164</v>
      </c>
      <c r="AB14">
        <f t="shared" si="0"/>
        <v>1.2204734112440803</v>
      </c>
      <c r="AC14">
        <f t="shared" si="0"/>
        <v>1.2186346247076743</v>
      </c>
      <c r="AD14">
        <f t="shared" si="0"/>
        <v>1.1986515071423787</v>
      </c>
      <c r="AE14">
        <f t="shared" si="0"/>
        <v>1.1999216804623116</v>
      </c>
      <c r="AF14">
        <f t="shared" si="0"/>
        <v>1.2521829406993072</v>
      </c>
      <c r="AG14">
        <f t="shared" si="0"/>
        <v>1.2072225510169761</v>
      </c>
      <c r="AH14">
        <f t="shared" si="0"/>
        <v>1.2131251691653837</v>
      </c>
      <c r="AI14">
        <f t="shared" si="0"/>
        <v>1.2306457892132607</v>
      </c>
      <c r="AJ14">
        <f t="shared" si="0"/>
        <v>0.14686539843098054</v>
      </c>
      <c r="AK14">
        <f t="shared" si="0"/>
        <v>0.20507770132628345</v>
      </c>
      <c r="AL14">
        <f t="shared" si="0"/>
        <v>1.3913113292807917</v>
      </c>
      <c r="AM14">
        <f t="shared" si="0"/>
        <v>1.4426452343427707</v>
      </c>
      <c r="AN14">
        <f t="shared" si="0"/>
        <v>1.0781637639450317</v>
      </c>
      <c r="AO14">
        <f t="shared" si="0"/>
        <v>1.1713494998687848</v>
      </c>
      <c r="AP14">
        <f t="shared" si="0"/>
        <v>0.82595331973133856</v>
      </c>
      <c r="AQ14">
        <f t="shared" si="0"/>
        <v>0.98612643306647541</v>
      </c>
      <c r="AR14">
        <f t="shared" si="0"/>
        <v>0.89867456737925167</v>
      </c>
      <c r="AS14">
        <f t="shared" si="0"/>
        <v>1.0838691989849114</v>
      </c>
      <c r="AT14">
        <f t="shared" si="0"/>
        <v>1.1051251232980892</v>
      </c>
      <c r="AV14" t="s">
        <v>14</v>
      </c>
      <c r="AW14" t="str">
        <f t="shared" si="3"/>
        <v xml:space="preserve">      series QD_cagr = 1.19916743200501 * @elem(QD_cagr, 2015)</v>
      </c>
      <c r="AX14" t="str">
        <f t="shared" si="1"/>
        <v xml:space="preserve">      series QD_cmet = 1.2645945730263 * @elem(QD_cmet, 2015)</v>
      </c>
      <c r="AY14" t="str">
        <f t="shared" si="1"/>
        <v xml:space="preserve">      series QD_cchem = 1.12998399373622 * @elem(QD_cchem, 2015)</v>
      </c>
      <c r="AZ14" t="str">
        <f t="shared" si="1"/>
        <v xml:space="preserve">      series QD_cpla = 1.22047341124408 * @elem(QD_cpla, 2015)</v>
      </c>
      <c r="BA14" t="str">
        <f t="shared" si="1"/>
        <v xml:space="preserve">      series QD_cgla = 1.21863462470767 * @elem(QD_cgla, 2015)</v>
      </c>
      <c r="BB14" t="str">
        <f t="shared" si="1"/>
        <v xml:space="preserve">      series QD_cpap = 1.19865150714238 * @elem(QD_cpap, 2015)</v>
      </c>
      <c r="BC14" t="str">
        <f t="shared" si="1"/>
        <v xml:space="preserve">      series QD_cfoo = 1.19992168046231 * @elem(QD_cfoo, 2015)</v>
      </c>
      <c r="BD14" t="str">
        <f t="shared" si="1"/>
        <v xml:space="preserve">      series QD_cres = 1.25218294069931 * @elem(QD_cres, 2015)</v>
      </c>
      <c r="BE14" t="str">
        <f t="shared" si="1"/>
        <v xml:space="preserve">      series QD_croa = 1.20722255101698 * @elem(QD_croa, 2015)</v>
      </c>
      <c r="BF14" t="str">
        <f t="shared" si="1"/>
        <v xml:space="preserve">      series QD_cwat = 1.21312516916538 * @elem(QD_cwat, 2015)</v>
      </c>
      <c r="BG14" t="str">
        <f t="shared" si="1"/>
        <v xml:space="preserve">      series QD_cair = 1.23064578921326 * @elem(QD_cair, 2015)</v>
      </c>
      <c r="BH14" t="str">
        <f t="shared" si="1"/>
        <v xml:space="preserve">      series QD_ccoa = 0.146865398430981 * @elem(QD_ccoa, 2015)</v>
      </c>
      <c r="BI14" t="str">
        <f t="shared" si="1"/>
        <v xml:space="preserve">      series QD_coil = 0.205077701326283 * @elem(QD_coil, 2015)</v>
      </c>
      <c r="BJ14" t="str">
        <f t="shared" si="1"/>
        <v xml:space="preserve">      series QD_cfue = 1.39131132928079 * @elem(QD_cfue, 2015)</v>
      </c>
      <c r="BK14" t="str">
        <f t="shared" si="1"/>
        <v xml:space="preserve">      series QD_cpch = 1.44264523434277 * @elem(QD_cpch, 2015)</v>
      </c>
      <c r="BL14" t="str">
        <f t="shared" si="1"/>
        <v xml:space="preserve">      series QD_cele = 1.07816376394503 * @elem(QD_cele, 2015)</v>
      </c>
      <c r="BM14" t="str">
        <f t="shared" si="1"/>
        <v xml:space="preserve">      series QD_cgas = 1.17134949986878 * @elem(QD_cgas, 2015)</v>
      </c>
      <c r="BN14" t="str">
        <f t="shared" si="1"/>
        <v xml:space="preserve">      series QD_cmga = 0.825953319731339 * @elem(QD_cmga, 2015)</v>
      </c>
      <c r="BO14" t="str">
        <f t="shared" si="1"/>
        <v xml:space="preserve">      series QD_cbiog = 0.986126433066475 * @elem(QD_cbiog, 2015)</v>
      </c>
      <c r="BP14" t="str">
        <f t="shared" si="1"/>
        <v xml:space="preserve">      series QD_cbiom = 0.898674567379252 * @elem(QD_cbiom, 2015)</v>
      </c>
      <c r="BQ14" t="str">
        <f t="shared" si="1"/>
        <v xml:space="preserve">      series QD_cbiof = 1.08386919898491 * @elem(QD_cbiof, 2015)</v>
      </c>
      <c r="BR14" t="str">
        <f t="shared" si="1"/>
        <v xml:space="preserve">      series QD_chea = 1.10512512329809 * @elem(QD_chea, 2015)</v>
      </c>
      <c r="BS14" t="s">
        <v>64</v>
      </c>
      <c r="BT14">
        <v>3</v>
      </c>
      <c r="BU14" t="s">
        <v>86</v>
      </c>
      <c r="BV14" t="str" cm="1">
        <f t="array" aca="1" ref="BV14" ca="1">INDIRECT(BU14&amp;BT14)</f>
        <v xml:space="preserve">      series QD_cair = 1 * @elem(QD_cair, 2015)</v>
      </c>
      <c r="CC14">
        <f t="shared" si="4"/>
        <v>8</v>
      </c>
      <c r="CD14" t="s">
        <v>81</v>
      </c>
      <c r="CE14" t="str" cm="1">
        <f t="array" aca="1" ref="CE14" ca="1">INDIRECT(CD14&amp;CC14)</f>
        <v xml:space="preserve">      series QD_cgas = 1.13816510836187 * @elem(QD_cgas, 2015)</v>
      </c>
    </row>
    <row r="15" spans="1:83" x14ac:dyDescent="0.25">
      <c r="A15">
        <v>2027</v>
      </c>
      <c r="B15">
        <v>40529.919439999998</v>
      </c>
      <c r="C15">
        <v>10297.37356</v>
      </c>
      <c r="D15">
        <v>44551.377970000001</v>
      </c>
      <c r="E15">
        <v>12177.70616</v>
      </c>
      <c r="F15">
        <v>9133.1804690000008</v>
      </c>
      <c r="G15">
        <v>10252.529119999999</v>
      </c>
      <c r="H15">
        <v>108851.9648</v>
      </c>
      <c r="I15">
        <v>1470845.2339999999</v>
      </c>
      <c r="J15">
        <v>66932.181379999995</v>
      </c>
      <c r="K15">
        <v>10463.7246</v>
      </c>
      <c r="L15">
        <v>12640.35974</v>
      </c>
      <c r="M15">
        <v>63.99575179</v>
      </c>
      <c r="N15">
        <v>468.16574179999998</v>
      </c>
      <c r="O15">
        <v>60825.836210000001</v>
      </c>
      <c r="P15">
        <v>17161.37198</v>
      </c>
      <c r="Q15">
        <v>8025.8979010000003</v>
      </c>
      <c r="R15">
        <v>15814.3627</v>
      </c>
      <c r="S15">
        <v>319.12138099999999</v>
      </c>
      <c r="T15">
        <v>103.0144591</v>
      </c>
      <c r="U15">
        <v>456.28037569999998</v>
      </c>
      <c r="V15">
        <v>1172.0606720000001</v>
      </c>
      <c r="W15">
        <v>1128.056556</v>
      </c>
      <c r="Y15">
        <f t="shared" si="2"/>
        <v>1.2170116389402172</v>
      </c>
      <c r="Z15">
        <f t="shared" si="0"/>
        <v>1.2840835570292446</v>
      </c>
      <c r="AA15">
        <f t="shared" si="0"/>
        <v>1.1452964904999059</v>
      </c>
      <c r="AB15">
        <f t="shared" si="0"/>
        <v>1.2396353316230351</v>
      </c>
      <c r="AC15">
        <f t="shared" ref="AC15:AC38" si="5">F15/F$3</f>
        <v>1.2374895233738399</v>
      </c>
      <c r="AD15">
        <f t="shared" ref="AD15:AD38" si="6">G15/G$3</f>
        <v>1.2159247528843145</v>
      </c>
      <c r="AE15">
        <f t="shared" ref="AE15:AE38" si="7">H15/H$3</f>
        <v>1.2182486112496029</v>
      </c>
      <c r="AF15">
        <f t="shared" ref="AF15:AF38" si="8">I15/I$3</f>
        <v>1.2723813931504857</v>
      </c>
      <c r="AG15">
        <f t="shared" ref="AG15:AG38" si="9">J15/J$3</f>
        <v>1.2254302319461681</v>
      </c>
      <c r="AH15">
        <f t="shared" ref="AH15:AH38" si="10">K15/K$3</f>
        <v>1.2317600335761665</v>
      </c>
      <c r="AI15">
        <f t="shared" ref="AI15:AI38" si="11">L15/L$3</f>
        <v>1.2509015081642751</v>
      </c>
      <c r="AJ15">
        <f t="shared" ref="AJ15:AJ38" si="12">M15/M$3</f>
        <v>0.13144626793092481</v>
      </c>
      <c r="AK15">
        <f t="shared" ref="AK15:AK38" si="13">N15/N$3</f>
        <v>0.19106552002276692</v>
      </c>
      <c r="AL15">
        <f t="shared" ref="AL15:AL38" si="14">O15/O$3</f>
        <v>1.4081523156192715</v>
      </c>
      <c r="AM15">
        <f t="shared" ref="AM15:AM38" si="15">P15/P$3</f>
        <v>1.4645278397981192</v>
      </c>
      <c r="AN15">
        <f t="shared" ref="AN15:AN38" si="16">Q15/Q$3</f>
        <v>1.0816913758282454</v>
      </c>
      <c r="AO15">
        <f t="shared" ref="AO15:AO38" si="17">R15/R$3</f>
        <v>1.1762847670867509</v>
      </c>
      <c r="AP15">
        <f t="shared" ref="AP15:AP38" si="18">S15/S$3</f>
        <v>0.78600062425203854</v>
      </c>
      <c r="AQ15">
        <f t="shared" ref="AQ15:AQ38" si="19">T15/T$3</f>
        <v>0.97801659221574566</v>
      </c>
      <c r="AR15">
        <f t="shared" ref="AR15:AR38" si="20">U15/U$3</f>
        <v>0.87940645817099483</v>
      </c>
      <c r="AS15">
        <f t="shared" ref="AS15:AS38" si="21">V15/V$3</f>
        <v>1.0927551901464452</v>
      </c>
      <c r="AT15">
        <f t="shared" ref="AT15:AT38" si="22">W15/W$3</f>
        <v>1.1065398498899943</v>
      </c>
      <c r="AV15" t="s">
        <v>15</v>
      </c>
      <c r="AW15" t="str">
        <f t="shared" si="3"/>
        <v xml:space="preserve">      series QD_cagr = 1.21701163894022 * @elem(QD_cagr, 2015)</v>
      </c>
      <c r="AX15" t="str">
        <f t="shared" si="1"/>
        <v xml:space="preserve">      series QD_cmet = 1.28408355702924 * @elem(QD_cmet, 2015)</v>
      </c>
      <c r="AY15" t="str">
        <f t="shared" si="1"/>
        <v xml:space="preserve">      series QD_cchem = 1.14529649049991 * @elem(QD_cchem, 2015)</v>
      </c>
      <c r="AZ15" t="str">
        <f t="shared" si="1"/>
        <v xml:space="preserve">      series QD_cpla = 1.23963533162304 * @elem(QD_cpla, 2015)</v>
      </c>
      <c r="BA15" t="str">
        <f t="shared" ref="BA15:BA38" si="23">"      series QD_"&amp;BA$1&amp;" = "&amp;AC15&amp;" * @elem(QD_"&amp;BA$1&amp;", 2015)"</f>
        <v xml:space="preserve">      series QD_cgla = 1.23748952337384 * @elem(QD_cgla, 2015)</v>
      </c>
      <c r="BB15" t="str">
        <f t="shared" ref="BB15:BB38" si="24">"      series QD_"&amp;BB$1&amp;" = "&amp;AD15&amp;" * @elem(QD_"&amp;BB$1&amp;", 2015)"</f>
        <v xml:space="preserve">      series QD_cpap = 1.21592475288431 * @elem(QD_cpap, 2015)</v>
      </c>
      <c r="BC15" t="str">
        <f t="shared" ref="BC15:BC38" si="25">"      series QD_"&amp;BC$1&amp;" = "&amp;AE15&amp;" * @elem(QD_"&amp;BC$1&amp;", 2015)"</f>
        <v xml:space="preserve">      series QD_cfoo = 1.2182486112496 * @elem(QD_cfoo, 2015)</v>
      </c>
      <c r="BD15" t="str">
        <f t="shared" ref="BD15:BD38" si="26">"      series QD_"&amp;BD$1&amp;" = "&amp;AF15&amp;" * @elem(QD_"&amp;BD$1&amp;", 2015)"</f>
        <v xml:space="preserve">      series QD_cres = 1.27238139315049 * @elem(QD_cres, 2015)</v>
      </c>
      <c r="BE15" t="str">
        <f t="shared" ref="BE15:BE38" si="27">"      series QD_"&amp;BE$1&amp;" = "&amp;AG15&amp;" * @elem(QD_"&amp;BE$1&amp;", 2015)"</f>
        <v xml:space="preserve">      series QD_croa = 1.22543023194617 * @elem(QD_croa, 2015)</v>
      </c>
      <c r="BF15" t="str">
        <f t="shared" ref="BF15:BF38" si="28">"      series QD_"&amp;BF$1&amp;" = "&amp;AH15&amp;" * @elem(QD_"&amp;BF$1&amp;", 2015)"</f>
        <v xml:space="preserve">      series QD_cwat = 1.23176003357617 * @elem(QD_cwat, 2015)</v>
      </c>
      <c r="BG15" t="str">
        <f t="shared" ref="BG15:BG38" si="29">"      series QD_"&amp;BG$1&amp;" = "&amp;AI15&amp;" * @elem(QD_"&amp;BG$1&amp;", 2015)"</f>
        <v xml:space="preserve">      series QD_cair = 1.25090150816428 * @elem(QD_cair, 2015)</v>
      </c>
      <c r="BH15" t="str">
        <f t="shared" ref="BH15:BH38" si="30">"      series QD_"&amp;BH$1&amp;" = "&amp;AJ15&amp;" * @elem(QD_"&amp;BH$1&amp;", 2015)"</f>
        <v xml:space="preserve">      series QD_ccoa = 0.131446267930925 * @elem(QD_ccoa, 2015)</v>
      </c>
      <c r="BI15" t="str">
        <f t="shared" ref="BI15:BI38" si="31">"      series QD_"&amp;BI$1&amp;" = "&amp;AK15&amp;" * @elem(QD_"&amp;BI$1&amp;", 2015)"</f>
        <v xml:space="preserve">      series QD_coil = 0.191065520022767 * @elem(QD_coil, 2015)</v>
      </c>
      <c r="BJ15" t="str">
        <f t="shared" ref="BJ15:BJ38" si="32">"      series QD_"&amp;BJ$1&amp;" = "&amp;AL15&amp;" * @elem(QD_"&amp;BJ$1&amp;", 2015)"</f>
        <v xml:space="preserve">      series QD_cfue = 1.40815231561927 * @elem(QD_cfue, 2015)</v>
      </c>
      <c r="BK15" t="str">
        <f t="shared" ref="BK15:BK38" si="33">"      series QD_"&amp;BK$1&amp;" = "&amp;AM15&amp;" * @elem(QD_"&amp;BK$1&amp;", 2015)"</f>
        <v xml:space="preserve">      series QD_cpch = 1.46452783979812 * @elem(QD_cpch, 2015)</v>
      </c>
      <c r="BL15" t="str">
        <f t="shared" ref="BL15:BL38" si="34">"      series QD_"&amp;BL$1&amp;" = "&amp;AN15&amp;" * @elem(QD_"&amp;BL$1&amp;", 2015)"</f>
        <v xml:space="preserve">      series QD_cele = 1.08169137582825 * @elem(QD_cele, 2015)</v>
      </c>
      <c r="BM15" t="str">
        <f t="shared" ref="BM15:BM38" si="35">"      series QD_"&amp;BM$1&amp;" = "&amp;AO15&amp;" * @elem(QD_"&amp;BM$1&amp;", 2015)"</f>
        <v xml:space="preserve">      series QD_cgas = 1.17628476708675 * @elem(QD_cgas, 2015)</v>
      </c>
      <c r="BN15" t="str">
        <f t="shared" ref="BN15:BN38" si="36">"      series QD_"&amp;BN$1&amp;" = "&amp;AP15&amp;" * @elem(QD_"&amp;BN$1&amp;", 2015)"</f>
        <v xml:space="preserve">      series QD_cmga = 0.786000624252039 * @elem(QD_cmga, 2015)</v>
      </c>
      <c r="BO15" t="str">
        <f t="shared" ref="BO15:BO38" si="37">"      series QD_"&amp;BO$1&amp;" = "&amp;AQ15&amp;" * @elem(QD_"&amp;BO$1&amp;", 2015)"</f>
        <v xml:space="preserve">      series QD_cbiog = 0.978016592215746 * @elem(QD_cbiog, 2015)</v>
      </c>
      <c r="BP15" t="str">
        <f t="shared" ref="BP15:BP38" si="38">"      series QD_"&amp;BP$1&amp;" = "&amp;AR15&amp;" * @elem(QD_"&amp;BP$1&amp;", 2015)"</f>
        <v xml:space="preserve">      series QD_cbiom = 0.879406458170995 * @elem(QD_cbiom, 2015)</v>
      </c>
      <c r="BQ15" t="str">
        <f t="shared" ref="BQ15:BQ38" si="39">"      series QD_"&amp;BQ$1&amp;" = "&amp;AS15&amp;" * @elem(QD_"&amp;BQ$1&amp;", 2015)"</f>
        <v xml:space="preserve">      series QD_cbiof = 1.09275519014645 * @elem(QD_cbiof, 2015)</v>
      </c>
      <c r="BR15" t="str">
        <f t="shared" ref="BR15:BR38" si="40">"      series QD_"&amp;BR$1&amp;" = "&amp;AT15&amp;" * @elem(QD_"&amp;BR$1&amp;", 2015)"</f>
        <v xml:space="preserve">      series QD_chea = 1.10653984988999 * @elem(QD_chea, 2015)</v>
      </c>
      <c r="BS15" t="s">
        <v>64</v>
      </c>
      <c r="BT15">
        <v>3</v>
      </c>
      <c r="BU15" t="s">
        <v>76</v>
      </c>
      <c r="BV15" t="str" cm="1">
        <f t="array" aca="1" ref="BV15" ca="1">INDIRECT(BU15&amp;BT15)</f>
        <v xml:space="preserve">      series QD_ccoa = 1 * @elem(QD_ccoa, 2015)</v>
      </c>
      <c r="CC15">
        <f t="shared" si="4"/>
        <v>9</v>
      </c>
      <c r="CD15" t="s">
        <v>65</v>
      </c>
      <c r="CE15" t="str" cm="1">
        <f t="array" aca="1" ref="CE15" ca="1">INDIRECT(CD15&amp;CC15)</f>
        <v xml:space="preserve">      smpl 2021 2021</v>
      </c>
    </row>
    <row r="16" spans="1:83" x14ac:dyDescent="0.25">
      <c r="A16">
        <v>2028</v>
      </c>
      <c r="B16">
        <v>41132.35125</v>
      </c>
      <c r="C16">
        <v>10454.605240000001</v>
      </c>
      <c r="D16">
        <v>45160.222110000002</v>
      </c>
      <c r="E16">
        <v>12367.70549</v>
      </c>
      <c r="F16">
        <v>9274.1112859999994</v>
      </c>
      <c r="G16">
        <v>10399.43096</v>
      </c>
      <c r="H16">
        <v>110508.6213</v>
      </c>
      <c r="I16">
        <v>1494340.169</v>
      </c>
      <c r="J16">
        <v>67938.931540000005</v>
      </c>
      <c r="K16">
        <v>10622.781510000001</v>
      </c>
      <c r="L16">
        <v>12845.63078</v>
      </c>
      <c r="M16">
        <v>58.06877325</v>
      </c>
      <c r="N16">
        <v>441.2864361</v>
      </c>
      <c r="O16">
        <v>61523.892169999999</v>
      </c>
      <c r="P16">
        <v>17408.725320000001</v>
      </c>
      <c r="Q16">
        <v>8067.3659889999999</v>
      </c>
      <c r="R16">
        <v>15882.18678</v>
      </c>
      <c r="S16">
        <v>304.14324809999999</v>
      </c>
      <c r="T16">
        <v>102.3154634</v>
      </c>
      <c r="U16">
        <v>447.10930459999997</v>
      </c>
      <c r="V16">
        <v>1181.9679269999999</v>
      </c>
      <c r="W16">
        <v>1130.9690270000001</v>
      </c>
      <c r="Y16">
        <f t="shared" si="2"/>
        <v>1.2351011524297073</v>
      </c>
      <c r="Z16">
        <f t="shared" ref="Z16:Z38" si="41">C16/C$3</f>
        <v>1.3036903639257484</v>
      </c>
      <c r="AA16">
        <f t="shared" ref="AA16:AA38" si="42">D16/D$3</f>
        <v>1.1609482410983496</v>
      </c>
      <c r="AB16">
        <f t="shared" ref="AB16:AB38" si="43">E16/E$3</f>
        <v>1.2589764028689769</v>
      </c>
      <c r="AC16">
        <f t="shared" si="5"/>
        <v>1.2565847783236317</v>
      </c>
      <c r="AD16">
        <f t="shared" si="6"/>
        <v>1.2333469500231462</v>
      </c>
      <c r="AE16">
        <f t="shared" si="7"/>
        <v>1.2367895671629923</v>
      </c>
      <c r="AF16">
        <f t="shared" si="8"/>
        <v>1.2927061135467854</v>
      </c>
      <c r="AG16">
        <f t="shared" si="9"/>
        <v>1.2438623531865689</v>
      </c>
      <c r="AH16">
        <f t="shared" si="10"/>
        <v>1.2504837626775731</v>
      </c>
      <c r="AI16">
        <f t="shared" si="11"/>
        <v>1.2712153171697178</v>
      </c>
      <c r="AJ16">
        <f t="shared" si="12"/>
        <v>0.11927234720340207</v>
      </c>
      <c r="AK16">
        <f t="shared" si="13"/>
        <v>0.18009566882930778</v>
      </c>
      <c r="AL16">
        <f t="shared" si="14"/>
        <v>1.4243127036674053</v>
      </c>
      <c r="AM16">
        <f t="shared" si="15"/>
        <v>1.4856366330297575</v>
      </c>
      <c r="AN16">
        <f t="shared" si="16"/>
        <v>1.0872802424840371</v>
      </c>
      <c r="AO16">
        <f t="shared" si="17"/>
        <v>1.1813295756357338</v>
      </c>
      <c r="AP16">
        <f t="shared" si="18"/>
        <v>0.74910926406602207</v>
      </c>
      <c r="AQ16">
        <f t="shared" si="19"/>
        <v>0.97138034524167927</v>
      </c>
      <c r="AR16">
        <f t="shared" si="20"/>
        <v>0.86173070531550033</v>
      </c>
      <c r="AS16">
        <f t="shared" si="21"/>
        <v>1.1019920876723048</v>
      </c>
      <c r="AT16">
        <f t="shared" si="22"/>
        <v>1.1093967680170223</v>
      </c>
      <c r="AV16" t="s">
        <v>16</v>
      </c>
      <c r="AW16" t="str">
        <f t="shared" si="3"/>
        <v xml:space="preserve">      series QD_cagr = 1.23510115242971 * @elem(QD_cagr, 2015)</v>
      </c>
      <c r="AX16" t="str">
        <f t="shared" ref="AX16:AX38" si="44">"      series QD_"&amp;AX$1&amp;" = "&amp;Z16&amp;" * @elem(QD_"&amp;AX$1&amp;", 2015)"</f>
        <v xml:space="preserve">      series QD_cmet = 1.30369036392575 * @elem(QD_cmet, 2015)</v>
      </c>
      <c r="AY16" t="str">
        <f t="shared" ref="AY16:AY38" si="45">"      series QD_"&amp;AY$1&amp;" = "&amp;AA16&amp;" * @elem(QD_"&amp;AY$1&amp;", 2015)"</f>
        <v xml:space="preserve">      series QD_cchem = 1.16094824109835 * @elem(QD_cchem, 2015)</v>
      </c>
      <c r="AZ16" t="str">
        <f t="shared" ref="AZ16:AZ38" si="46">"      series QD_"&amp;AZ$1&amp;" = "&amp;AB16&amp;" * @elem(QD_"&amp;AZ$1&amp;", 2015)"</f>
        <v xml:space="preserve">      series QD_cpla = 1.25897640286898 * @elem(QD_cpla, 2015)</v>
      </c>
      <c r="BA16" t="str">
        <f t="shared" si="23"/>
        <v xml:space="preserve">      series QD_cgla = 1.25658477832363 * @elem(QD_cgla, 2015)</v>
      </c>
      <c r="BB16" t="str">
        <f t="shared" si="24"/>
        <v xml:space="preserve">      series QD_cpap = 1.23334695002315 * @elem(QD_cpap, 2015)</v>
      </c>
      <c r="BC16" t="str">
        <f t="shared" si="25"/>
        <v xml:space="preserve">      series QD_cfoo = 1.23678956716299 * @elem(QD_cfoo, 2015)</v>
      </c>
      <c r="BD16" t="str">
        <f t="shared" si="26"/>
        <v xml:space="preserve">      series QD_cres = 1.29270611354679 * @elem(QD_cres, 2015)</v>
      </c>
      <c r="BE16" t="str">
        <f t="shared" si="27"/>
        <v xml:space="preserve">      series QD_croa = 1.24386235318657 * @elem(QD_croa, 2015)</v>
      </c>
      <c r="BF16" t="str">
        <f t="shared" si="28"/>
        <v xml:space="preserve">      series QD_cwat = 1.25048376267757 * @elem(QD_cwat, 2015)</v>
      </c>
      <c r="BG16" t="str">
        <f t="shared" si="29"/>
        <v xml:space="preserve">      series QD_cair = 1.27121531716972 * @elem(QD_cair, 2015)</v>
      </c>
      <c r="BH16" t="str">
        <f t="shared" si="30"/>
        <v xml:space="preserve">      series QD_ccoa = 0.119272347203402 * @elem(QD_ccoa, 2015)</v>
      </c>
      <c r="BI16" t="str">
        <f t="shared" si="31"/>
        <v xml:space="preserve">      series QD_coil = 0.180095668829308 * @elem(QD_coil, 2015)</v>
      </c>
      <c r="BJ16" t="str">
        <f t="shared" si="32"/>
        <v xml:space="preserve">      series QD_cfue = 1.42431270366741 * @elem(QD_cfue, 2015)</v>
      </c>
      <c r="BK16" t="str">
        <f t="shared" si="33"/>
        <v xml:space="preserve">      series QD_cpch = 1.48563663302976 * @elem(QD_cpch, 2015)</v>
      </c>
      <c r="BL16" t="str">
        <f t="shared" si="34"/>
        <v xml:space="preserve">      series QD_cele = 1.08728024248404 * @elem(QD_cele, 2015)</v>
      </c>
      <c r="BM16" t="str">
        <f t="shared" si="35"/>
        <v xml:space="preserve">      series QD_cgas = 1.18132957563573 * @elem(QD_cgas, 2015)</v>
      </c>
      <c r="BN16" t="str">
        <f t="shared" si="36"/>
        <v xml:space="preserve">      series QD_cmga = 0.749109264066022 * @elem(QD_cmga, 2015)</v>
      </c>
      <c r="BO16" t="str">
        <f t="shared" si="37"/>
        <v xml:space="preserve">      series QD_cbiog = 0.971380345241679 * @elem(QD_cbiog, 2015)</v>
      </c>
      <c r="BP16" t="str">
        <f t="shared" si="38"/>
        <v xml:space="preserve">      series QD_cbiom = 0.8617307053155 * @elem(QD_cbiom, 2015)</v>
      </c>
      <c r="BQ16" t="str">
        <f t="shared" si="39"/>
        <v xml:space="preserve">      series QD_cbiof = 1.1019920876723 * @elem(QD_cbiof, 2015)</v>
      </c>
      <c r="BR16" t="str">
        <f t="shared" si="40"/>
        <v xml:space="preserve">      series QD_chea = 1.10939676801702 * @elem(QD_chea, 2015)</v>
      </c>
      <c r="BS16" t="s">
        <v>64</v>
      </c>
      <c r="BT16">
        <v>3</v>
      </c>
      <c r="BU16" t="s">
        <v>77</v>
      </c>
      <c r="BV16" t="str" cm="1">
        <f t="array" aca="1" ref="BV16" ca="1">INDIRECT(BU16&amp;BT16)</f>
        <v xml:space="preserve">      series QD_coil = 1 * @elem(QD_coil, 2015)</v>
      </c>
      <c r="CC16">
        <f t="shared" si="4"/>
        <v>9</v>
      </c>
      <c r="CD16" t="s">
        <v>81</v>
      </c>
      <c r="CE16" t="str" cm="1">
        <f t="array" aca="1" ref="CE16" ca="1">INDIRECT(CD16&amp;CC16)</f>
        <v xml:space="preserve">      series QD_cgas = 1.14741965978555 * @elem(QD_cgas, 2015)</v>
      </c>
    </row>
    <row r="17" spans="1:83" x14ac:dyDescent="0.25">
      <c r="A17">
        <v>2029</v>
      </c>
      <c r="B17">
        <v>41741.625039999999</v>
      </c>
      <c r="C17">
        <v>10612.748380000001</v>
      </c>
      <c r="D17">
        <v>45779.854599999999</v>
      </c>
      <c r="E17">
        <v>12559.06229</v>
      </c>
      <c r="F17">
        <v>9416.3880800000006</v>
      </c>
      <c r="G17">
        <v>10547.366959999999</v>
      </c>
      <c r="H17">
        <v>112181.1063</v>
      </c>
      <c r="I17">
        <v>1517939.44</v>
      </c>
      <c r="J17">
        <v>68955.144849999997</v>
      </c>
      <c r="K17">
        <v>10782.50237</v>
      </c>
      <c r="L17">
        <v>13051.4447</v>
      </c>
      <c r="M17">
        <v>53.406120549999997</v>
      </c>
      <c r="N17">
        <v>420.37271349999997</v>
      </c>
      <c r="O17">
        <v>62200.190139999999</v>
      </c>
      <c r="P17">
        <v>17649.05255</v>
      </c>
      <c r="Q17">
        <v>8121.284251</v>
      </c>
      <c r="R17">
        <v>15951.63013</v>
      </c>
      <c r="S17">
        <v>290.1972088</v>
      </c>
      <c r="T17">
        <v>101.7467125</v>
      </c>
      <c r="U17">
        <v>438.66551720000001</v>
      </c>
      <c r="V17">
        <v>1192.205281</v>
      </c>
      <c r="W17">
        <v>1135.2746480000001</v>
      </c>
      <c r="Y17">
        <f t="shared" si="2"/>
        <v>1.2533961133863634</v>
      </c>
      <c r="Z17">
        <f t="shared" si="41"/>
        <v>1.3234108299793246</v>
      </c>
      <c r="AA17">
        <f t="shared" si="42"/>
        <v>1.1768773312529703</v>
      </c>
      <c r="AB17">
        <f t="shared" si="43"/>
        <v>1.2784556584126434</v>
      </c>
      <c r="AC17">
        <f t="shared" si="5"/>
        <v>1.2758624048406839</v>
      </c>
      <c r="AD17">
        <f t="shared" si="6"/>
        <v>1.2508917959960093</v>
      </c>
      <c r="AE17">
        <f t="shared" si="7"/>
        <v>1.2555076723651302</v>
      </c>
      <c r="AF17">
        <f t="shared" si="8"/>
        <v>1.3131210916955443</v>
      </c>
      <c r="AG17">
        <f t="shared" si="9"/>
        <v>1.2624677308465324</v>
      </c>
      <c r="AH17">
        <f t="shared" si="10"/>
        <v>1.2692856500931129</v>
      </c>
      <c r="AI17">
        <f t="shared" si="11"/>
        <v>1.2915828500742206</v>
      </c>
      <c r="AJ17">
        <f t="shared" si="12"/>
        <v>0.10969533187144342</v>
      </c>
      <c r="AK17">
        <f t="shared" si="13"/>
        <v>0.17156046232569319</v>
      </c>
      <c r="AL17">
        <f t="shared" si="14"/>
        <v>1.4399693820107364</v>
      </c>
      <c r="AM17">
        <f t="shared" si="15"/>
        <v>1.5061458277145849</v>
      </c>
      <c r="AN17">
        <f t="shared" si="16"/>
        <v>1.0945470828705539</v>
      </c>
      <c r="AO17">
        <f t="shared" si="17"/>
        <v>1.186494826764094</v>
      </c>
      <c r="AP17">
        <f t="shared" si="18"/>
        <v>0.71475996549726373</v>
      </c>
      <c r="AQ17">
        <f t="shared" si="19"/>
        <v>0.96598063900725972</v>
      </c>
      <c r="AR17">
        <f t="shared" si="20"/>
        <v>0.84545667389437906</v>
      </c>
      <c r="AS17">
        <f t="shared" si="21"/>
        <v>1.1115367486136001</v>
      </c>
      <c r="AT17">
        <f t="shared" si="22"/>
        <v>1.1136202630090795</v>
      </c>
      <c r="AV17" t="s">
        <v>17</v>
      </c>
      <c r="AW17" t="str">
        <f t="shared" si="3"/>
        <v xml:space="preserve">      series QD_cagr = 1.25339611338636 * @elem(QD_cagr, 2015)</v>
      </c>
      <c r="AX17" t="str">
        <f t="shared" si="44"/>
        <v xml:space="preserve">      series QD_cmet = 1.32341082997932 * @elem(QD_cmet, 2015)</v>
      </c>
      <c r="AY17" t="str">
        <f t="shared" si="45"/>
        <v xml:space="preserve">      series QD_cchem = 1.17687733125297 * @elem(QD_cchem, 2015)</v>
      </c>
      <c r="AZ17" t="str">
        <f t="shared" si="46"/>
        <v xml:space="preserve">      series QD_cpla = 1.27845565841264 * @elem(QD_cpla, 2015)</v>
      </c>
      <c r="BA17" t="str">
        <f t="shared" si="23"/>
        <v xml:space="preserve">      series QD_cgla = 1.27586240484068 * @elem(QD_cgla, 2015)</v>
      </c>
      <c r="BB17" t="str">
        <f t="shared" si="24"/>
        <v xml:space="preserve">      series QD_cpap = 1.25089179599601 * @elem(QD_cpap, 2015)</v>
      </c>
      <c r="BC17" t="str">
        <f t="shared" si="25"/>
        <v xml:space="preserve">      series QD_cfoo = 1.25550767236513 * @elem(QD_cfoo, 2015)</v>
      </c>
      <c r="BD17" t="str">
        <f t="shared" si="26"/>
        <v xml:space="preserve">      series QD_cres = 1.31312109169554 * @elem(QD_cres, 2015)</v>
      </c>
      <c r="BE17" t="str">
        <f t="shared" si="27"/>
        <v xml:space="preserve">      series QD_croa = 1.26246773084653 * @elem(QD_croa, 2015)</v>
      </c>
      <c r="BF17" t="str">
        <f t="shared" si="28"/>
        <v xml:space="preserve">      series QD_cwat = 1.26928565009311 * @elem(QD_cwat, 2015)</v>
      </c>
      <c r="BG17" t="str">
        <f t="shared" si="29"/>
        <v xml:space="preserve">      series QD_cair = 1.29158285007422 * @elem(QD_cair, 2015)</v>
      </c>
      <c r="BH17" t="str">
        <f t="shared" si="30"/>
        <v xml:space="preserve">      series QD_ccoa = 0.109695331871443 * @elem(QD_ccoa, 2015)</v>
      </c>
      <c r="BI17" t="str">
        <f t="shared" si="31"/>
        <v xml:space="preserve">      series QD_coil = 0.171560462325693 * @elem(QD_coil, 2015)</v>
      </c>
      <c r="BJ17" t="str">
        <f t="shared" si="32"/>
        <v xml:space="preserve">      series QD_cfue = 1.43996938201074 * @elem(QD_cfue, 2015)</v>
      </c>
      <c r="BK17" t="str">
        <f t="shared" si="33"/>
        <v xml:space="preserve">      series QD_cpch = 1.50614582771458 * @elem(QD_cpch, 2015)</v>
      </c>
      <c r="BL17" t="str">
        <f t="shared" si="34"/>
        <v xml:space="preserve">      series QD_cele = 1.09454708287055 * @elem(QD_cele, 2015)</v>
      </c>
      <c r="BM17" t="str">
        <f t="shared" si="35"/>
        <v xml:space="preserve">      series QD_cgas = 1.18649482676409 * @elem(QD_cgas, 2015)</v>
      </c>
      <c r="BN17" t="str">
        <f t="shared" si="36"/>
        <v xml:space="preserve">      series QD_cmga = 0.714759965497264 * @elem(QD_cmga, 2015)</v>
      </c>
      <c r="BO17" t="str">
        <f t="shared" si="37"/>
        <v xml:space="preserve">      series QD_cbiog = 0.96598063900726 * @elem(QD_cbiog, 2015)</v>
      </c>
      <c r="BP17" t="str">
        <f t="shared" si="38"/>
        <v xml:space="preserve">      series QD_cbiom = 0.845456673894379 * @elem(QD_cbiom, 2015)</v>
      </c>
      <c r="BQ17" t="str">
        <f t="shared" si="39"/>
        <v xml:space="preserve">      series QD_cbiof = 1.1115367486136 * @elem(QD_cbiof, 2015)</v>
      </c>
      <c r="BR17" t="str">
        <f t="shared" si="40"/>
        <v xml:space="preserve">      series QD_chea = 1.11362026300908 * @elem(QD_chea, 2015)</v>
      </c>
      <c r="BS17" t="s">
        <v>64</v>
      </c>
      <c r="BT17">
        <v>3</v>
      </c>
      <c r="BU17" t="s">
        <v>78</v>
      </c>
      <c r="BV17" t="str" cm="1">
        <f t="array" aca="1" ref="BV17" ca="1">INDIRECT(BU17&amp;BT17)</f>
        <v xml:space="preserve">      series QD_cfue = 1 * @elem(QD_cfue, 2015)</v>
      </c>
      <c r="CC17">
        <f t="shared" si="4"/>
        <v>10</v>
      </c>
      <c r="CD17" t="s">
        <v>65</v>
      </c>
      <c r="CE17" t="str" cm="1">
        <f t="array" aca="1" ref="CE17" ca="1">INDIRECT(CD17&amp;CC17)</f>
        <v xml:space="preserve">      smpl 2022 2022</v>
      </c>
    </row>
    <row r="18" spans="1:83" x14ac:dyDescent="0.25">
      <c r="A18">
        <v>2030</v>
      </c>
      <c r="B18">
        <v>42356.58973</v>
      </c>
      <c r="C18">
        <v>10771.719080000001</v>
      </c>
      <c r="D18">
        <v>46408.336320000002</v>
      </c>
      <c r="E18">
        <v>12751.4979</v>
      </c>
      <c r="F18">
        <v>9559.7066809999997</v>
      </c>
      <c r="G18">
        <v>10696.11614</v>
      </c>
      <c r="H18">
        <v>113866.18399999999</v>
      </c>
      <c r="I18">
        <v>1541613.794</v>
      </c>
      <c r="J18">
        <v>69978.896640000006</v>
      </c>
      <c r="K18">
        <v>10942.81256</v>
      </c>
      <c r="L18">
        <v>13257.76987</v>
      </c>
      <c r="M18">
        <v>49.755180529999997</v>
      </c>
      <c r="N18">
        <v>404.232461</v>
      </c>
      <c r="O18">
        <v>62860.125370000002</v>
      </c>
      <c r="P18">
        <v>17883.93894</v>
      </c>
      <c r="Q18">
        <v>8183.5412450000003</v>
      </c>
      <c r="R18">
        <v>16022.47328</v>
      </c>
      <c r="S18">
        <v>277.00446110000001</v>
      </c>
      <c r="T18">
        <v>101.4219344</v>
      </c>
      <c r="U18">
        <v>435.31754769999998</v>
      </c>
      <c r="V18">
        <v>1202.7278240000001</v>
      </c>
      <c r="W18">
        <v>1140.793596</v>
      </c>
      <c r="Y18">
        <f t="shared" si="2"/>
        <v>1.2718619577701702</v>
      </c>
      <c r="Z18">
        <f t="shared" si="41"/>
        <v>1.3432344928512219</v>
      </c>
      <c r="AA18">
        <f t="shared" si="42"/>
        <v>1.1930339113871256</v>
      </c>
      <c r="AB18">
        <f t="shared" si="43"/>
        <v>1.2980447319281463</v>
      </c>
      <c r="AC18">
        <f t="shared" si="5"/>
        <v>1.2952811897693379</v>
      </c>
      <c r="AD18">
        <f t="shared" si="6"/>
        <v>1.2685330831180734</v>
      </c>
      <c r="AE18">
        <f t="shared" si="7"/>
        <v>1.2743667124536069</v>
      </c>
      <c r="AF18">
        <f t="shared" si="8"/>
        <v>1.3336010217576202</v>
      </c>
      <c r="AG18">
        <f t="shared" si="9"/>
        <v>1.2812111270366628</v>
      </c>
      <c r="AH18">
        <f t="shared" si="10"/>
        <v>1.2881569117676606</v>
      </c>
      <c r="AI18">
        <f t="shared" si="11"/>
        <v>1.312000976744186</v>
      </c>
      <c r="AJ18">
        <f t="shared" si="12"/>
        <v>0.10219635847640557</v>
      </c>
      <c r="AK18">
        <f t="shared" si="13"/>
        <v>0.16497338116645563</v>
      </c>
      <c r="AL18">
        <f t="shared" si="14"/>
        <v>1.4552472537209564</v>
      </c>
      <c r="AM18">
        <f t="shared" si="15"/>
        <v>1.5261907086102136</v>
      </c>
      <c r="AN18">
        <f t="shared" si="16"/>
        <v>1.1029377768870328</v>
      </c>
      <c r="AO18">
        <f t="shared" si="17"/>
        <v>1.1917641961201821</v>
      </c>
      <c r="AP18">
        <f t="shared" si="18"/>
        <v>0.68226603514604223</v>
      </c>
      <c r="AQ18">
        <f t="shared" si="19"/>
        <v>0.96289720418302827</v>
      </c>
      <c r="AR18">
        <f t="shared" si="20"/>
        <v>0.83900400541057085</v>
      </c>
      <c r="AS18">
        <f t="shared" si="21"/>
        <v>1.1213473017287114</v>
      </c>
      <c r="AT18">
        <f t="shared" si="22"/>
        <v>1.1190339418348336</v>
      </c>
      <c r="AV18" t="s">
        <v>18</v>
      </c>
      <c r="AW18" t="str">
        <f t="shared" si="3"/>
        <v xml:space="preserve">      series QD_cagr = 1.27186195777017 * @elem(QD_cagr, 2015)</v>
      </c>
      <c r="AX18" t="str">
        <f t="shared" si="44"/>
        <v xml:space="preserve">      series QD_cmet = 1.34323449285122 * @elem(QD_cmet, 2015)</v>
      </c>
      <c r="AY18" t="str">
        <f t="shared" si="45"/>
        <v xml:space="preserve">      series QD_cchem = 1.19303391138713 * @elem(QD_cchem, 2015)</v>
      </c>
      <c r="AZ18" t="str">
        <f t="shared" si="46"/>
        <v xml:space="preserve">      series QD_cpla = 1.29804473192815 * @elem(QD_cpla, 2015)</v>
      </c>
      <c r="BA18" t="str">
        <f t="shared" si="23"/>
        <v xml:space="preserve">      series QD_cgla = 1.29528118976934 * @elem(QD_cgla, 2015)</v>
      </c>
      <c r="BB18" t="str">
        <f t="shared" si="24"/>
        <v xml:space="preserve">      series QD_cpap = 1.26853308311807 * @elem(QD_cpap, 2015)</v>
      </c>
      <c r="BC18" t="str">
        <f t="shared" si="25"/>
        <v xml:space="preserve">      series QD_cfoo = 1.27436671245361 * @elem(QD_cfoo, 2015)</v>
      </c>
      <c r="BD18" t="str">
        <f t="shared" si="26"/>
        <v xml:space="preserve">      series QD_cres = 1.33360102175762 * @elem(QD_cres, 2015)</v>
      </c>
      <c r="BE18" t="str">
        <f t="shared" si="27"/>
        <v xml:space="preserve">      series QD_croa = 1.28121112703666 * @elem(QD_croa, 2015)</v>
      </c>
      <c r="BF18" t="str">
        <f t="shared" si="28"/>
        <v xml:space="preserve">      series QD_cwat = 1.28815691176766 * @elem(QD_cwat, 2015)</v>
      </c>
      <c r="BG18" t="str">
        <f t="shared" si="29"/>
        <v xml:space="preserve">      series QD_cair = 1.31200097674419 * @elem(QD_cair, 2015)</v>
      </c>
      <c r="BH18" t="str">
        <f t="shared" si="30"/>
        <v xml:space="preserve">      series QD_ccoa = 0.102196358476406 * @elem(QD_ccoa, 2015)</v>
      </c>
      <c r="BI18" t="str">
        <f t="shared" si="31"/>
        <v xml:space="preserve">      series QD_coil = 0.164973381166456 * @elem(QD_coil, 2015)</v>
      </c>
      <c r="BJ18" t="str">
        <f t="shared" si="32"/>
        <v xml:space="preserve">      series QD_cfue = 1.45524725372096 * @elem(QD_cfue, 2015)</v>
      </c>
      <c r="BK18" t="str">
        <f t="shared" si="33"/>
        <v xml:space="preserve">      series QD_cpch = 1.52619070861021 * @elem(QD_cpch, 2015)</v>
      </c>
      <c r="BL18" t="str">
        <f t="shared" si="34"/>
        <v xml:space="preserve">      series QD_cele = 1.10293777688703 * @elem(QD_cele, 2015)</v>
      </c>
      <c r="BM18" t="str">
        <f t="shared" si="35"/>
        <v xml:space="preserve">      series QD_cgas = 1.19176419612018 * @elem(QD_cgas, 2015)</v>
      </c>
      <c r="BN18" t="str">
        <f t="shared" si="36"/>
        <v xml:space="preserve">      series QD_cmga = 0.682266035146042 * @elem(QD_cmga, 2015)</v>
      </c>
      <c r="BO18" t="str">
        <f t="shared" si="37"/>
        <v xml:space="preserve">      series QD_cbiog = 0.962897204183028 * @elem(QD_cbiog, 2015)</v>
      </c>
      <c r="BP18" t="str">
        <f t="shared" si="38"/>
        <v xml:space="preserve">      series QD_cbiom = 0.839004005410571 * @elem(QD_cbiom, 2015)</v>
      </c>
      <c r="BQ18" t="str">
        <f t="shared" si="39"/>
        <v xml:space="preserve">      series QD_cbiof = 1.12134730172871 * @elem(QD_cbiof, 2015)</v>
      </c>
      <c r="BR18" t="str">
        <f t="shared" si="40"/>
        <v xml:space="preserve">      series QD_chea = 1.11903394183483 * @elem(QD_chea, 2015)</v>
      </c>
      <c r="BS18" t="s">
        <v>64</v>
      </c>
      <c r="BT18">
        <v>3</v>
      </c>
      <c r="BU18" t="s">
        <v>79</v>
      </c>
      <c r="BV18" t="str" cm="1">
        <f t="array" aca="1" ref="BV18" ca="1">INDIRECT(BU18&amp;BT18)</f>
        <v xml:space="preserve">      series QD_cpch = 1 * @elem(QD_cpch, 2015)</v>
      </c>
      <c r="CC18">
        <f t="shared" si="4"/>
        <v>10</v>
      </c>
      <c r="CD18" t="s">
        <v>81</v>
      </c>
      <c r="CE18" t="str" cm="1">
        <f t="array" aca="1" ref="CE18" ca="1">INDIRECT(CD18&amp;CC18)</f>
        <v xml:space="preserve">      series QD_cgas = 1.15411182205426 * @elem(QD_cgas, 2015)</v>
      </c>
    </row>
    <row r="19" spans="1:83" x14ac:dyDescent="0.25">
      <c r="A19">
        <v>2031</v>
      </c>
      <c r="B19">
        <v>42748.61868</v>
      </c>
      <c r="C19">
        <v>10869.74826</v>
      </c>
      <c r="D19">
        <v>46780.195269999997</v>
      </c>
      <c r="E19">
        <v>12880.66324</v>
      </c>
      <c r="F19">
        <v>9657.8168519999999</v>
      </c>
      <c r="G19">
        <v>10787.19447</v>
      </c>
      <c r="H19">
        <v>114973.0116</v>
      </c>
      <c r="I19">
        <v>1557940.3149999999</v>
      </c>
      <c r="J19">
        <v>70685.188769999993</v>
      </c>
      <c r="K19">
        <v>11033.27067</v>
      </c>
      <c r="L19">
        <v>13309.44067</v>
      </c>
      <c r="M19">
        <v>46.951370099999998</v>
      </c>
      <c r="N19">
        <v>394.03517049999999</v>
      </c>
      <c r="O19">
        <v>63680.438020000001</v>
      </c>
      <c r="P19">
        <v>18110.982940000002</v>
      </c>
      <c r="Q19">
        <v>8413.0262070000008</v>
      </c>
      <c r="R19">
        <v>16003.24171</v>
      </c>
      <c r="S19">
        <v>273.93037609999999</v>
      </c>
      <c r="T19">
        <v>101.965745</v>
      </c>
      <c r="U19">
        <v>443.86929329999998</v>
      </c>
      <c r="V19">
        <v>1206.7117619999999</v>
      </c>
      <c r="W19">
        <v>1160.079142</v>
      </c>
      <c r="Y19">
        <f t="shared" si="2"/>
        <v>1.2836336020651411</v>
      </c>
      <c r="Z19">
        <f t="shared" si="41"/>
        <v>1.3554587418224382</v>
      </c>
      <c r="AA19">
        <f t="shared" si="42"/>
        <v>1.2025934080806455</v>
      </c>
      <c r="AB19">
        <f t="shared" si="43"/>
        <v>1.3111931785223858</v>
      </c>
      <c r="AC19">
        <f t="shared" si="5"/>
        <v>1.3085745117573366</v>
      </c>
      <c r="AD19">
        <f t="shared" si="6"/>
        <v>1.279334749185262</v>
      </c>
      <c r="AE19">
        <f t="shared" si="7"/>
        <v>1.2867540973673308</v>
      </c>
      <c r="AF19">
        <f t="shared" si="8"/>
        <v>1.3477245753818083</v>
      </c>
      <c r="AG19">
        <f t="shared" si="9"/>
        <v>1.2941423017099309</v>
      </c>
      <c r="AH19">
        <f t="shared" si="10"/>
        <v>1.2988053843594216</v>
      </c>
      <c r="AI19">
        <f t="shared" si="11"/>
        <v>1.3171143661553686</v>
      </c>
      <c r="AJ19">
        <f t="shared" si="12"/>
        <v>9.6437375939272679E-2</v>
      </c>
      <c r="AK19">
        <f t="shared" si="13"/>
        <v>0.16081171268401878</v>
      </c>
      <c r="AL19">
        <f t="shared" si="14"/>
        <v>1.4742379528975569</v>
      </c>
      <c r="AM19">
        <f t="shared" si="15"/>
        <v>1.5455663307485041</v>
      </c>
      <c r="AN19">
        <f t="shared" si="16"/>
        <v>1.133866640839656</v>
      </c>
      <c r="AO19">
        <f t="shared" si="17"/>
        <v>1.1903337367796889</v>
      </c>
      <c r="AP19">
        <f t="shared" si="18"/>
        <v>0.67469451887398191</v>
      </c>
      <c r="AQ19">
        <f t="shared" si="19"/>
        <v>0.96806012785868922</v>
      </c>
      <c r="AR19">
        <f t="shared" si="20"/>
        <v>0.85548610876147202</v>
      </c>
      <c r="AS19">
        <f t="shared" si="21"/>
        <v>1.1250616733740741</v>
      </c>
      <c r="AT19">
        <f t="shared" si="22"/>
        <v>1.1379516326743404</v>
      </c>
      <c r="AV19" t="s">
        <v>19</v>
      </c>
      <c r="AW19" t="str">
        <f t="shared" si="3"/>
        <v xml:space="preserve">      series QD_cagr = 1.28363360206514 * @elem(QD_cagr, 2015)</v>
      </c>
      <c r="AX19" t="str">
        <f t="shared" si="44"/>
        <v xml:space="preserve">      series QD_cmet = 1.35545874182244 * @elem(QD_cmet, 2015)</v>
      </c>
      <c r="AY19" t="str">
        <f t="shared" si="45"/>
        <v xml:space="preserve">      series QD_cchem = 1.20259340808065 * @elem(QD_cchem, 2015)</v>
      </c>
      <c r="AZ19" t="str">
        <f t="shared" si="46"/>
        <v xml:space="preserve">      series QD_cpla = 1.31119317852239 * @elem(QD_cpla, 2015)</v>
      </c>
      <c r="BA19" t="str">
        <f t="shared" si="23"/>
        <v xml:space="preserve">      series QD_cgla = 1.30857451175734 * @elem(QD_cgla, 2015)</v>
      </c>
      <c r="BB19" t="str">
        <f t="shared" si="24"/>
        <v xml:space="preserve">      series QD_cpap = 1.27933474918526 * @elem(QD_cpap, 2015)</v>
      </c>
      <c r="BC19" t="str">
        <f t="shared" si="25"/>
        <v xml:space="preserve">      series QD_cfoo = 1.28675409736733 * @elem(QD_cfoo, 2015)</v>
      </c>
      <c r="BD19" t="str">
        <f t="shared" si="26"/>
        <v xml:space="preserve">      series QD_cres = 1.34772457538181 * @elem(QD_cres, 2015)</v>
      </c>
      <c r="BE19" t="str">
        <f t="shared" si="27"/>
        <v xml:space="preserve">      series QD_croa = 1.29414230170993 * @elem(QD_croa, 2015)</v>
      </c>
      <c r="BF19" t="str">
        <f t="shared" si="28"/>
        <v xml:space="preserve">      series QD_cwat = 1.29880538435942 * @elem(QD_cwat, 2015)</v>
      </c>
      <c r="BG19" t="str">
        <f t="shared" si="29"/>
        <v xml:space="preserve">      series QD_cair = 1.31711436615537 * @elem(QD_cair, 2015)</v>
      </c>
      <c r="BH19" t="str">
        <f t="shared" si="30"/>
        <v xml:space="preserve">      series QD_ccoa = 0.0964373759392727 * @elem(QD_ccoa, 2015)</v>
      </c>
      <c r="BI19" t="str">
        <f t="shared" si="31"/>
        <v xml:space="preserve">      series QD_coil = 0.160811712684019 * @elem(QD_coil, 2015)</v>
      </c>
      <c r="BJ19" t="str">
        <f t="shared" si="32"/>
        <v xml:space="preserve">      series QD_cfue = 1.47423795289756 * @elem(QD_cfue, 2015)</v>
      </c>
      <c r="BK19" t="str">
        <f t="shared" si="33"/>
        <v xml:space="preserve">      series QD_cpch = 1.5455663307485 * @elem(QD_cpch, 2015)</v>
      </c>
      <c r="BL19" t="str">
        <f t="shared" si="34"/>
        <v xml:space="preserve">      series QD_cele = 1.13386664083966 * @elem(QD_cele, 2015)</v>
      </c>
      <c r="BM19" t="str">
        <f t="shared" si="35"/>
        <v xml:space="preserve">      series QD_cgas = 1.19033373677969 * @elem(QD_cgas, 2015)</v>
      </c>
      <c r="BN19" t="str">
        <f t="shared" si="36"/>
        <v xml:space="preserve">      series QD_cmga = 0.674694518873982 * @elem(QD_cmga, 2015)</v>
      </c>
      <c r="BO19" t="str">
        <f t="shared" si="37"/>
        <v xml:space="preserve">      series QD_cbiog = 0.968060127858689 * @elem(QD_cbiog, 2015)</v>
      </c>
      <c r="BP19" t="str">
        <f t="shared" si="38"/>
        <v xml:space="preserve">      series QD_cbiom = 0.855486108761472 * @elem(QD_cbiom, 2015)</v>
      </c>
      <c r="BQ19" t="str">
        <f t="shared" si="39"/>
        <v xml:space="preserve">      series QD_cbiof = 1.12506167337407 * @elem(QD_cbiof, 2015)</v>
      </c>
      <c r="BR19" t="str">
        <f t="shared" si="40"/>
        <v xml:space="preserve">      series QD_chea = 1.13795163267434 * @elem(QD_chea, 2015)</v>
      </c>
      <c r="BS19" t="s">
        <v>64</v>
      </c>
      <c r="BT19">
        <v>3</v>
      </c>
      <c r="BU19" t="s">
        <v>80</v>
      </c>
      <c r="BV19" t="str" cm="1">
        <f t="array" aca="1" ref="BV19" ca="1">INDIRECT(BU19&amp;BT19)</f>
        <v xml:space="preserve">      series QD_cele = 1 * @elem(QD_cele, 2015)</v>
      </c>
      <c r="CC19">
        <f t="shared" si="4"/>
        <v>11</v>
      </c>
      <c r="CD19" t="s">
        <v>65</v>
      </c>
      <c r="CE19" t="str" cm="1">
        <f t="array" aca="1" ref="CE19" ca="1">INDIRECT(CD19&amp;CC19)</f>
        <v xml:space="preserve">      smpl 2023 2023</v>
      </c>
    </row>
    <row r="20" spans="1:83" x14ac:dyDescent="0.25">
      <c r="A20">
        <v>2032</v>
      </c>
      <c r="B20">
        <v>43104.954210000004</v>
      </c>
      <c r="C20">
        <v>10961.346369999999</v>
      </c>
      <c r="D20">
        <v>47133.712240000001</v>
      </c>
      <c r="E20">
        <v>12998.831560000001</v>
      </c>
      <c r="F20">
        <v>9743.3367340000004</v>
      </c>
      <c r="G20">
        <v>10869.24583</v>
      </c>
      <c r="H20">
        <v>115970.6026</v>
      </c>
      <c r="I20">
        <v>1572337.557</v>
      </c>
      <c r="J20">
        <v>71345.502280000001</v>
      </c>
      <c r="K20">
        <v>11121.27534</v>
      </c>
      <c r="L20">
        <v>13253.25748</v>
      </c>
      <c r="M20">
        <v>44.75900875</v>
      </c>
      <c r="N20">
        <v>386.23354030000002</v>
      </c>
      <c r="O20">
        <v>64490.102030000002</v>
      </c>
      <c r="P20">
        <v>18321.999759999999</v>
      </c>
      <c r="Q20">
        <v>8558.9774500000003</v>
      </c>
      <c r="R20">
        <v>15981.093409999999</v>
      </c>
      <c r="S20">
        <v>271.18007449999999</v>
      </c>
      <c r="T20">
        <v>101.6419322</v>
      </c>
      <c r="U20">
        <v>447.98959289999999</v>
      </c>
      <c r="V20">
        <v>1211.0936039999999</v>
      </c>
      <c r="W20">
        <v>1174.4774809999999</v>
      </c>
      <c r="Y20">
        <f t="shared" si="2"/>
        <v>1.2943334626464071</v>
      </c>
      <c r="Z20">
        <f t="shared" si="41"/>
        <v>1.366881035693843</v>
      </c>
      <c r="AA20">
        <f t="shared" si="42"/>
        <v>1.2116813816410998</v>
      </c>
      <c r="AB20">
        <f t="shared" si="43"/>
        <v>1.3232221782885074</v>
      </c>
      <c r="AC20">
        <f t="shared" si="5"/>
        <v>1.3201619273760663</v>
      </c>
      <c r="AD20">
        <f t="shared" si="6"/>
        <v>1.2890658387987701</v>
      </c>
      <c r="AE20">
        <f t="shared" si="7"/>
        <v>1.2979189289124304</v>
      </c>
      <c r="AF20">
        <f t="shared" si="8"/>
        <v>1.3601791711543809</v>
      </c>
      <c r="AG20">
        <f t="shared" si="9"/>
        <v>1.3062316751777181</v>
      </c>
      <c r="AH20">
        <f t="shared" si="10"/>
        <v>1.3091650449408994</v>
      </c>
      <c r="AI20">
        <f t="shared" si="11"/>
        <v>1.311554426521524</v>
      </c>
      <c r="AJ20">
        <f t="shared" si="12"/>
        <v>9.1934300198258656E-2</v>
      </c>
      <c r="AK20">
        <f t="shared" si="13"/>
        <v>0.15762774940328581</v>
      </c>
      <c r="AL20">
        <f t="shared" si="14"/>
        <v>1.4929821300695536</v>
      </c>
      <c r="AM20">
        <f t="shared" si="15"/>
        <v>1.5635742154278773</v>
      </c>
      <c r="AN20">
        <f t="shared" si="16"/>
        <v>1.1535372375494448</v>
      </c>
      <c r="AO20">
        <f t="shared" si="17"/>
        <v>1.1886863287619842</v>
      </c>
      <c r="AP20">
        <f t="shared" si="18"/>
        <v>0.66792048584708996</v>
      </c>
      <c r="AQ20">
        <f t="shared" si="19"/>
        <v>0.96498585756752153</v>
      </c>
      <c r="AR20">
        <f t="shared" si="20"/>
        <v>0.8634273183133413</v>
      </c>
      <c r="AS20">
        <f t="shared" si="21"/>
        <v>1.129147025525453</v>
      </c>
      <c r="AT20">
        <f t="shared" si="22"/>
        <v>1.1520753357732523</v>
      </c>
      <c r="AV20" t="s">
        <v>20</v>
      </c>
      <c r="AW20" t="str">
        <f t="shared" si="3"/>
        <v xml:space="preserve">      series QD_cagr = 1.29433346264641 * @elem(QD_cagr, 2015)</v>
      </c>
      <c r="AX20" t="str">
        <f t="shared" si="44"/>
        <v xml:space="preserve">      series QD_cmet = 1.36688103569384 * @elem(QD_cmet, 2015)</v>
      </c>
      <c r="AY20" t="str">
        <f t="shared" si="45"/>
        <v xml:space="preserve">      series QD_cchem = 1.2116813816411 * @elem(QD_cchem, 2015)</v>
      </c>
      <c r="AZ20" t="str">
        <f t="shared" si="46"/>
        <v xml:space="preserve">      series QD_cpla = 1.32322217828851 * @elem(QD_cpla, 2015)</v>
      </c>
      <c r="BA20" t="str">
        <f t="shared" si="23"/>
        <v xml:space="preserve">      series QD_cgla = 1.32016192737607 * @elem(QD_cgla, 2015)</v>
      </c>
      <c r="BB20" t="str">
        <f t="shared" si="24"/>
        <v xml:space="preserve">      series QD_cpap = 1.28906583879877 * @elem(QD_cpap, 2015)</v>
      </c>
      <c r="BC20" t="str">
        <f t="shared" si="25"/>
        <v xml:space="preserve">      series QD_cfoo = 1.29791892891243 * @elem(QD_cfoo, 2015)</v>
      </c>
      <c r="BD20" t="str">
        <f t="shared" si="26"/>
        <v xml:space="preserve">      series QD_cres = 1.36017917115438 * @elem(QD_cres, 2015)</v>
      </c>
      <c r="BE20" t="str">
        <f t="shared" si="27"/>
        <v xml:space="preserve">      series QD_croa = 1.30623167517772 * @elem(QD_croa, 2015)</v>
      </c>
      <c r="BF20" t="str">
        <f t="shared" si="28"/>
        <v xml:space="preserve">      series QD_cwat = 1.3091650449409 * @elem(QD_cwat, 2015)</v>
      </c>
      <c r="BG20" t="str">
        <f t="shared" si="29"/>
        <v xml:space="preserve">      series QD_cair = 1.31155442652152 * @elem(QD_cair, 2015)</v>
      </c>
      <c r="BH20" t="str">
        <f t="shared" si="30"/>
        <v xml:space="preserve">      series QD_ccoa = 0.0919343001982587 * @elem(QD_ccoa, 2015)</v>
      </c>
      <c r="BI20" t="str">
        <f t="shared" si="31"/>
        <v xml:space="preserve">      series QD_coil = 0.157627749403286 * @elem(QD_coil, 2015)</v>
      </c>
      <c r="BJ20" t="str">
        <f t="shared" si="32"/>
        <v xml:space="preserve">      series QD_cfue = 1.49298213006955 * @elem(QD_cfue, 2015)</v>
      </c>
      <c r="BK20" t="str">
        <f t="shared" si="33"/>
        <v xml:space="preserve">      series QD_cpch = 1.56357421542788 * @elem(QD_cpch, 2015)</v>
      </c>
      <c r="BL20" t="str">
        <f t="shared" si="34"/>
        <v xml:space="preserve">      series QD_cele = 1.15353723754944 * @elem(QD_cele, 2015)</v>
      </c>
      <c r="BM20" t="str">
        <f t="shared" si="35"/>
        <v xml:space="preserve">      series QD_cgas = 1.18868632876198 * @elem(QD_cgas, 2015)</v>
      </c>
      <c r="BN20" t="str">
        <f t="shared" si="36"/>
        <v xml:space="preserve">      series QD_cmga = 0.66792048584709 * @elem(QD_cmga, 2015)</v>
      </c>
      <c r="BO20" t="str">
        <f t="shared" si="37"/>
        <v xml:space="preserve">      series QD_cbiog = 0.964985857567522 * @elem(QD_cbiog, 2015)</v>
      </c>
      <c r="BP20" t="str">
        <f t="shared" si="38"/>
        <v xml:space="preserve">      series QD_cbiom = 0.863427318313341 * @elem(QD_cbiom, 2015)</v>
      </c>
      <c r="BQ20" t="str">
        <f t="shared" si="39"/>
        <v xml:space="preserve">      series QD_cbiof = 1.12914702552545 * @elem(QD_cbiof, 2015)</v>
      </c>
      <c r="BR20" t="str">
        <f t="shared" si="40"/>
        <v xml:space="preserve">      series QD_chea = 1.15207533577325 * @elem(QD_chea, 2015)</v>
      </c>
      <c r="BS20" t="s">
        <v>64</v>
      </c>
      <c r="BT20">
        <v>3</v>
      </c>
      <c r="BU20" t="s">
        <v>81</v>
      </c>
      <c r="BV20" t="str" cm="1">
        <f t="array" aca="1" ref="BV20" ca="1">INDIRECT(BU20&amp;BT20)</f>
        <v xml:space="preserve">      series QD_cgas = 1 * @elem(QD_cgas, 2015)</v>
      </c>
      <c r="CC20">
        <f t="shared" si="4"/>
        <v>11</v>
      </c>
      <c r="CD20" t="s">
        <v>81</v>
      </c>
      <c r="CE20" t="str" cm="1">
        <f t="array" aca="1" ref="CE20" ca="1">INDIRECT(CD20&amp;CC20)</f>
        <v xml:space="preserve">      series QD_cgas = 1.15912475471633 * @elem(QD_cgas, 2015)</v>
      </c>
    </row>
    <row r="21" spans="1:83" x14ac:dyDescent="0.25">
      <c r="A21">
        <v>2033</v>
      </c>
      <c r="B21">
        <v>43442.527069999996</v>
      </c>
      <c r="C21">
        <v>11048.818010000001</v>
      </c>
      <c r="D21">
        <v>47478.45895</v>
      </c>
      <c r="E21">
        <v>13109.602720000001</v>
      </c>
      <c r="F21">
        <v>9821.3732230000005</v>
      </c>
      <c r="G21">
        <v>10946.207410000001</v>
      </c>
      <c r="H21">
        <v>116897.4694</v>
      </c>
      <c r="I21">
        <v>1585510.2150000001</v>
      </c>
      <c r="J21">
        <v>71986.189450000005</v>
      </c>
      <c r="K21">
        <v>11208.205610000001</v>
      </c>
      <c r="L21">
        <v>13096.20796</v>
      </c>
      <c r="M21">
        <v>43.049136070000003</v>
      </c>
      <c r="N21">
        <v>380.25379090000001</v>
      </c>
      <c r="O21">
        <v>65273.309509999999</v>
      </c>
      <c r="P21">
        <v>18516.243890000002</v>
      </c>
      <c r="Q21">
        <v>8639.3216680000005</v>
      </c>
      <c r="R21">
        <v>15958.70054</v>
      </c>
      <c r="S21">
        <v>268.15339340000003</v>
      </c>
      <c r="T21">
        <v>100.7116611</v>
      </c>
      <c r="U21">
        <v>448.27515779999999</v>
      </c>
      <c r="V21">
        <v>1215.60887</v>
      </c>
      <c r="W21">
        <v>1184.6770409999999</v>
      </c>
      <c r="Y21">
        <f t="shared" si="2"/>
        <v>1.3044699273936049</v>
      </c>
      <c r="Z21">
        <f t="shared" si="41"/>
        <v>1.377788758325825</v>
      </c>
      <c r="AA21">
        <f t="shared" si="42"/>
        <v>1.2205438953290102</v>
      </c>
      <c r="AB21">
        <f t="shared" si="43"/>
        <v>1.3344981806699663</v>
      </c>
      <c r="AC21">
        <f t="shared" si="5"/>
        <v>1.3307353894801115</v>
      </c>
      <c r="AD21">
        <f t="shared" si="6"/>
        <v>1.2981932930149731</v>
      </c>
      <c r="AE21">
        <f t="shared" si="7"/>
        <v>1.3082922298812096</v>
      </c>
      <c r="AF21">
        <f t="shared" si="8"/>
        <v>1.3715744182885432</v>
      </c>
      <c r="AG21">
        <f t="shared" si="9"/>
        <v>1.3179617190990514</v>
      </c>
      <c r="AH21">
        <f t="shared" si="10"/>
        <v>1.3193982301963663</v>
      </c>
      <c r="AI21">
        <f t="shared" si="11"/>
        <v>1.2960126630380999</v>
      </c>
      <c r="AJ21">
        <f t="shared" si="12"/>
        <v>8.8422248598949704E-2</v>
      </c>
      <c r="AK21">
        <f t="shared" si="13"/>
        <v>0.15518732323215234</v>
      </c>
      <c r="AL21">
        <f t="shared" si="14"/>
        <v>1.5111138236933728</v>
      </c>
      <c r="AM21">
        <f t="shared" si="15"/>
        <v>1.580150741852099</v>
      </c>
      <c r="AN21">
        <f t="shared" si="16"/>
        <v>1.1643656394030788</v>
      </c>
      <c r="AO21">
        <f t="shared" si="17"/>
        <v>1.1870207294348389</v>
      </c>
      <c r="AP21">
        <f t="shared" si="18"/>
        <v>0.66046572607337295</v>
      </c>
      <c r="AQ21">
        <f t="shared" si="19"/>
        <v>0.95615388796822876</v>
      </c>
      <c r="AR21">
        <f t="shared" si="20"/>
        <v>0.86397769836617988</v>
      </c>
      <c r="AS21">
        <f t="shared" si="21"/>
        <v>1.1333567737699464</v>
      </c>
      <c r="AT21">
        <f t="shared" si="22"/>
        <v>1.1620803479610844</v>
      </c>
      <c r="AV21" t="s">
        <v>21</v>
      </c>
      <c r="AW21" t="str">
        <f t="shared" si="3"/>
        <v xml:space="preserve">      series QD_cagr = 1.3044699273936 * @elem(QD_cagr, 2015)</v>
      </c>
      <c r="AX21" t="str">
        <f t="shared" si="44"/>
        <v xml:space="preserve">      series QD_cmet = 1.37778875832583 * @elem(QD_cmet, 2015)</v>
      </c>
      <c r="AY21" t="str">
        <f t="shared" si="45"/>
        <v xml:space="preserve">      series QD_cchem = 1.22054389532901 * @elem(QD_cchem, 2015)</v>
      </c>
      <c r="AZ21" t="str">
        <f t="shared" si="46"/>
        <v xml:space="preserve">      series QD_cpla = 1.33449818066997 * @elem(QD_cpla, 2015)</v>
      </c>
      <c r="BA21" t="str">
        <f t="shared" si="23"/>
        <v xml:space="preserve">      series QD_cgla = 1.33073538948011 * @elem(QD_cgla, 2015)</v>
      </c>
      <c r="BB21" t="str">
        <f t="shared" si="24"/>
        <v xml:space="preserve">      series QD_cpap = 1.29819329301497 * @elem(QD_cpap, 2015)</v>
      </c>
      <c r="BC21" t="str">
        <f t="shared" si="25"/>
        <v xml:space="preserve">      series QD_cfoo = 1.30829222988121 * @elem(QD_cfoo, 2015)</v>
      </c>
      <c r="BD21" t="str">
        <f t="shared" si="26"/>
        <v xml:space="preserve">      series QD_cres = 1.37157441828854 * @elem(QD_cres, 2015)</v>
      </c>
      <c r="BE21" t="str">
        <f t="shared" si="27"/>
        <v xml:space="preserve">      series QD_croa = 1.31796171909905 * @elem(QD_croa, 2015)</v>
      </c>
      <c r="BF21" t="str">
        <f t="shared" si="28"/>
        <v xml:space="preserve">      series QD_cwat = 1.31939823019637 * @elem(QD_cwat, 2015)</v>
      </c>
      <c r="BG21" t="str">
        <f t="shared" si="29"/>
        <v xml:space="preserve">      series QD_cair = 1.2960126630381 * @elem(QD_cair, 2015)</v>
      </c>
      <c r="BH21" t="str">
        <f t="shared" si="30"/>
        <v xml:space="preserve">      series QD_ccoa = 0.0884222485989497 * @elem(QD_ccoa, 2015)</v>
      </c>
      <c r="BI21" t="str">
        <f t="shared" si="31"/>
        <v xml:space="preserve">      series QD_coil = 0.155187323232152 * @elem(QD_coil, 2015)</v>
      </c>
      <c r="BJ21" t="str">
        <f t="shared" si="32"/>
        <v xml:space="preserve">      series QD_cfue = 1.51111382369337 * @elem(QD_cfue, 2015)</v>
      </c>
      <c r="BK21" t="str">
        <f t="shared" si="33"/>
        <v xml:space="preserve">      series QD_cpch = 1.5801507418521 * @elem(QD_cpch, 2015)</v>
      </c>
      <c r="BL21" t="str">
        <f t="shared" si="34"/>
        <v xml:space="preserve">      series QD_cele = 1.16436563940308 * @elem(QD_cele, 2015)</v>
      </c>
      <c r="BM21" t="str">
        <f t="shared" si="35"/>
        <v xml:space="preserve">      series QD_cgas = 1.18702072943484 * @elem(QD_cgas, 2015)</v>
      </c>
      <c r="BN21" t="str">
        <f t="shared" si="36"/>
        <v xml:space="preserve">      series QD_cmga = 0.660465726073373 * @elem(QD_cmga, 2015)</v>
      </c>
      <c r="BO21" t="str">
        <f t="shared" si="37"/>
        <v xml:space="preserve">      series QD_cbiog = 0.956153887968229 * @elem(QD_cbiog, 2015)</v>
      </c>
      <c r="BP21" t="str">
        <f t="shared" si="38"/>
        <v xml:space="preserve">      series QD_cbiom = 0.86397769836618 * @elem(QD_cbiom, 2015)</v>
      </c>
      <c r="BQ21" t="str">
        <f t="shared" si="39"/>
        <v xml:space="preserve">      series QD_cbiof = 1.13335677376995 * @elem(QD_cbiof, 2015)</v>
      </c>
      <c r="BR21" t="str">
        <f t="shared" si="40"/>
        <v xml:space="preserve">      series QD_chea = 1.16208034796108 * @elem(QD_chea, 2015)</v>
      </c>
      <c r="BS21" t="s">
        <v>64</v>
      </c>
      <c r="BT21">
        <v>3</v>
      </c>
      <c r="BU21" t="s">
        <v>82</v>
      </c>
      <c r="BV21" t="str" cm="1">
        <f t="array" aca="1" ref="BV21" ca="1">INDIRECT(BU21&amp;BT21)</f>
        <v xml:space="preserve">      series QD_cmga = 1 * @elem(QD_cmga, 2015)</v>
      </c>
      <c r="CC21">
        <f t="shared" si="4"/>
        <v>12</v>
      </c>
      <c r="CD21" t="s">
        <v>65</v>
      </c>
      <c r="CE21" t="str" cm="1">
        <f t="array" aca="1" ref="CE21" ca="1">INDIRECT(CD21&amp;CC21)</f>
        <v xml:space="preserve">      smpl 2024 2024</v>
      </c>
    </row>
    <row r="22" spans="1:83" x14ac:dyDescent="0.25">
      <c r="A22">
        <v>2034</v>
      </c>
      <c r="B22">
        <v>43768.384850000002</v>
      </c>
      <c r="C22">
        <v>11132.667799999999</v>
      </c>
      <c r="D22">
        <v>47817.172709999999</v>
      </c>
      <c r="E22">
        <v>13214.952859999999</v>
      </c>
      <c r="F22">
        <v>9894.1703170000001</v>
      </c>
      <c r="G22">
        <v>11019.85427</v>
      </c>
      <c r="H22">
        <v>117778.5759</v>
      </c>
      <c r="I22">
        <v>1597886.7509999999</v>
      </c>
      <c r="J22">
        <v>72618.05128</v>
      </c>
      <c r="K22">
        <v>11294.597019999999</v>
      </c>
      <c r="L22">
        <v>12853.961090000001</v>
      </c>
      <c r="M22">
        <v>41.722161810000003</v>
      </c>
      <c r="N22">
        <v>375.68593859999999</v>
      </c>
      <c r="O22">
        <v>66028.401029999994</v>
      </c>
      <c r="P22">
        <v>18695.78959</v>
      </c>
      <c r="Q22">
        <v>8673.0617669999992</v>
      </c>
      <c r="R22">
        <v>15938.746440000001</v>
      </c>
      <c r="S22">
        <v>264.93022680000001</v>
      </c>
      <c r="T22">
        <v>99.345529630000001</v>
      </c>
      <c r="U22">
        <v>445.49835789999997</v>
      </c>
      <c r="V22">
        <v>1220.1512909999999</v>
      </c>
      <c r="W22">
        <v>1191.5235090000001</v>
      </c>
      <c r="Y22">
        <f t="shared" si="2"/>
        <v>1.3142546177255536</v>
      </c>
      <c r="Z22">
        <f t="shared" si="41"/>
        <v>1.388244835885019</v>
      </c>
      <c r="AA22">
        <f t="shared" si="42"/>
        <v>1.2292513180460638</v>
      </c>
      <c r="AB22">
        <f t="shared" si="43"/>
        <v>1.3452223477683973</v>
      </c>
      <c r="AC22">
        <f t="shared" si="5"/>
        <v>1.3405989459337293</v>
      </c>
      <c r="AD22">
        <f t="shared" si="6"/>
        <v>1.3069276295867676</v>
      </c>
      <c r="AE22">
        <f t="shared" si="7"/>
        <v>1.318153391064292</v>
      </c>
      <c r="AF22">
        <f t="shared" si="8"/>
        <v>1.3822809656220318</v>
      </c>
      <c r="AG22">
        <f t="shared" si="9"/>
        <v>1.329530183967973</v>
      </c>
      <c r="AH22">
        <f t="shared" si="10"/>
        <v>1.3295679823783273</v>
      </c>
      <c r="AI22">
        <f t="shared" si="11"/>
        <v>1.2720396922315687</v>
      </c>
      <c r="AJ22">
        <f t="shared" si="12"/>
        <v>8.5696664333766395E-2</v>
      </c>
      <c r="AK22">
        <f t="shared" si="13"/>
        <v>0.15332311362183118</v>
      </c>
      <c r="AL22">
        <f t="shared" si="14"/>
        <v>1.528594617031281</v>
      </c>
      <c r="AM22">
        <f t="shared" si="15"/>
        <v>1.5954729245116488</v>
      </c>
      <c r="AN22">
        <f t="shared" si="16"/>
        <v>1.1689129653917811</v>
      </c>
      <c r="AO22">
        <f t="shared" si="17"/>
        <v>1.1855365277432384</v>
      </c>
      <c r="AP22">
        <f t="shared" si="18"/>
        <v>0.65252701964220372</v>
      </c>
      <c r="AQ22">
        <f t="shared" si="19"/>
        <v>0.94318387136588866</v>
      </c>
      <c r="AR22">
        <f t="shared" si="20"/>
        <v>0.85862586669609697</v>
      </c>
      <c r="AS22">
        <f t="shared" si="21"/>
        <v>1.1375918396177833</v>
      </c>
      <c r="AT22">
        <f t="shared" si="22"/>
        <v>1.1687962254875273</v>
      </c>
      <c r="AV22" t="s">
        <v>22</v>
      </c>
      <c r="AW22" t="str">
        <f t="shared" si="3"/>
        <v xml:space="preserve">      series QD_cagr = 1.31425461772555 * @elem(QD_cagr, 2015)</v>
      </c>
      <c r="AX22" t="str">
        <f t="shared" si="44"/>
        <v xml:space="preserve">      series QD_cmet = 1.38824483588502 * @elem(QD_cmet, 2015)</v>
      </c>
      <c r="AY22" t="str">
        <f t="shared" si="45"/>
        <v xml:space="preserve">      series QD_cchem = 1.22925131804606 * @elem(QD_cchem, 2015)</v>
      </c>
      <c r="AZ22" t="str">
        <f t="shared" si="46"/>
        <v xml:space="preserve">      series QD_cpla = 1.3452223477684 * @elem(QD_cpla, 2015)</v>
      </c>
      <c r="BA22" t="str">
        <f t="shared" si="23"/>
        <v xml:space="preserve">      series QD_cgla = 1.34059894593373 * @elem(QD_cgla, 2015)</v>
      </c>
      <c r="BB22" t="str">
        <f t="shared" si="24"/>
        <v xml:space="preserve">      series QD_cpap = 1.30692762958677 * @elem(QD_cpap, 2015)</v>
      </c>
      <c r="BC22" t="str">
        <f t="shared" si="25"/>
        <v xml:space="preserve">      series QD_cfoo = 1.31815339106429 * @elem(QD_cfoo, 2015)</v>
      </c>
      <c r="BD22" t="str">
        <f t="shared" si="26"/>
        <v xml:space="preserve">      series QD_cres = 1.38228096562203 * @elem(QD_cres, 2015)</v>
      </c>
      <c r="BE22" t="str">
        <f t="shared" si="27"/>
        <v xml:space="preserve">      series QD_croa = 1.32953018396797 * @elem(QD_croa, 2015)</v>
      </c>
      <c r="BF22" t="str">
        <f t="shared" si="28"/>
        <v xml:space="preserve">      series QD_cwat = 1.32956798237833 * @elem(QD_cwat, 2015)</v>
      </c>
      <c r="BG22" t="str">
        <f t="shared" si="29"/>
        <v xml:space="preserve">      series QD_cair = 1.27203969223157 * @elem(QD_cair, 2015)</v>
      </c>
      <c r="BH22" t="str">
        <f t="shared" si="30"/>
        <v xml:space="preserve">      series QD_ccoa = 0.0856966643337664 * @elem(QD_ccoa, 2015)</v>
      </c>
      <c r="BI22" t="str">
        <f t="shared" si="31"/>
        <v xml:space="preserve">      series QD_coil = 0.153323113621831 * @elem(QD_coil, 2015)</v>
      </c>
      <c r="BJ22" t="str">
        <f t="shared" si="32"/>
        <v xml:space="preserve">      series QD_cfue = 1.52859461703128 * @elem(QD_cfue, 2015)</v>
      </c>
      <c r="BK22" t="str">
        <f t="shared" si="33"/>
        <v xml:space="preserve">      series QD_cpch = 1.59547292451165 * @elem(QD_cpch, 2015)</v>
      </c>
      <c r="BL22" t="str">
        <f t="shared" si="34"/>
        <v xml:space="preserve">      series QD_cele = 1.16891296539178 * @elem(QD_cele, 2015)</v>
      </c>
      <c r="BM22" t="str">
        <f t="shared" si="35"/>
        <v xml:space="preserve">      series QD_cgas = 1.18553652774324 * @elem(QD_cgas, 2015)</v>
      </c>
      <c r="BN22" t="str">
        <f t="shared" si="36"/>
        <v xml:space="preserve">      series QD_cmga = 0.652527019642204 * @elem(QD_cmga, 2015)</v>
      </c>
      <c r="BO22" t="str">
        <f t="shared" si="37"/>
        <v xml:space="preserve">      series QD_cbiog = 0.943183871365889 * @elem(QD_cbiog, 2015)</v>
      </c>
      <c r="BP22" t="str">
        <f t="shared" si="38"/>
        <v xml:space="preserve">      series QD_cbiom = 0.858625866696097 * @elem(QD_cbiom, 2015)</v>
      </c>
      <c r="BQ22" t="str">
        <f t="shared" si="39"/>
        <v xml:space="preserve">      series QD_cbiof = 1.13759183961778 * @elem(QD_cbiof, 2015)</v>
      </c>
      <c r="BR22" t="str">
        <f t="shared" si="40"/>
        <v xml:space="preserve">      series QD_chea = 1.16879622548753 * @elem(QD_chea, 2015)</v>
      </c>
      <c r="BS22" t="s">
        <v>64</v>
      </c>
      <c r="BT22">
        <v>3</v>
      </c>
      <c r="BU22" t="s">
        <v>83</v>
      </c>
      <c r="BV22" t="str" cm="1">
        <f t="array" aca="1" ref="BV22" ca="1">INDIRECT(BU22&amp;BT22)</f>
        <v xml:space="preserve">      series QD_cbiog = 1 * @elem(QD_cbiog, 2015)</v>
      </c>
      <c r="CC22">
        <f t="shared" si="4"/>
        <v>12</v>
      </c>
      <c r="CD22" t="s">
        <v>81</v>
      </c>
      <c r="CE22" t="str" cm="1">
        <f t="array" aca="1" ref="CE22" ca="1">INDIRECT(CD22&amp;CC22)</f>
        <v xml:space="preserve">      series QD_cgas = 1.16309014628752 * @elem(QD_cgas, 2015)</v>
      </c>
    </row>
    <row r="23" spans="1:83" x14ac:dyDescent="0.25">
      <c r="A23">
        <v>2035</v>
      </c>
      <c r="B23">
        <v>44086.628250000002</v>
      </c>
      <c r="C23">
        <v>11213.085650000001</v>
      </c>
      <c r="D23">
        <v>48151.07963</v>
      </c>
      <c r="E23">
        <v>13316.33027</v>
      </c>
      <c r="F23">
        <v>9963.1508950000007</v>
      </c>
      <c r="G23">
        <v>11091.21063</v>
      </c>
      <c r="H23">
        <v>118631.9987</v>
      </c>
      <c r="I23">
        <v>1609763.7919999999</v>
      </c>
      <c r="J23">
        <v>73246.651079999996</v>
      </c>
      <c r="K23">
        <v>11380.667160000001</v>
      </c>
      <c r="L23">
        <v>12543.43382</v>
      </c>
      <c r="M23">
        <v>40.700192399999999</v>
      </c>
      <c r="N23">
        <v>372.23111790000002</v>
      </c>
      <c r="O23">
        <v>66759.063959999999</v>
      </c>
      <c r="P23">
        <v>18863.30085</v>
      </c>
      <c r="Q23">
        <v>8676.5218939999995</v>
      </c>
      <c r="R23">
        <v>15923.35456</v>
      </c>
      <c r="S23">
        <v>261.62061779999999</v>
      </c>
      <c r="T23">
        <v>97.674757380000003</v>
      </c>
      <c r="U23">
        <v>440.37860540000003</v>
      </c>
      <c r="V23">
        <v>1224.6906080000001</v>
      </c>
      <c r="W23">
        <v>1195.857945</v>
      </c>
      <c r="Y23">
        <f t="shared" si="2"/>
        <v>1.3238106673591896</v>
      </c>
      <c r="Z23">
        <f t="shared" si="41"/>
        <v>1.3982729501682349</v>
      </c>
      <c r="AA23">
        <f t="shared" si="42"/>
        <v>1.2378351697933017</v>
      </c>
      <c r="AB23">
        <f t="shared" si="43"/>
        <v>1.3555421089461819</v>
      </c>
      <c r="AC23">
        <f t="shared" si="5"/>
        <v>1.3499453880500338</v>
      </c>
      <c r="AD23">
        <f t="shared" si="6"/>
        <v>1.3153903184886182</v>
      </c>
      <c r="AE23">
        <f t="shared" si="7"/>
        <v>1.3277047220193097</v>
      </c>
      <c r="AF23">
        <f t="shared" si="8"/>
        <v>1.3925554157305504</v>
      </c>
      <c r="AG23">
        <f t="shared" si="9"/>
        <v>1.3410389258442013</v>
      </c>
      <c r="AH23">
        <f t="shared" si="10"/>
        <v>1.3396999155655127</v>
      </c>
      <c r="AI23">
        <f t="shared" si="11"/>
        <v>1.241309630875804</v>
      </c>
      <c r="AJ23">
        <f t="shared" si="12"/>
        <v>8.3597555234698653E-2</v>
      </c>
      <c r="AK23">
        <f t="shared" si="13"/>
        <v>0.15191314904156741</v>
      </c>
      <c r="AL23">
        <f t="shared" si="14"/>
        <v>1.5455098747724894</v>
      </c>
      <c r="AM23">
        <f t="shared" si="15"/>
        <v>1.6097681046426757</v>
      </c>
      <c r="AN23">
        <f t="shared" si="16"/>
        <v>1.169379304433386</v>
      </c>
      <c r="AO23">
        <f t="shared" si="17"/>
        <v>1.1843916675725006</v>
      </c>
      <c r="AP23">
        <f t="shared" si="18"/>
        <v>0.64437540431677931</v>
      </c>
      <c r="AQ23">
        <f t="shared" si="19"/>
        <v>0.92732160313102452</v>
      </c>
      <c r="AR23">
        <f t="shared" si="20"/>
        <v>0.84875837369723672</v>
      </c>
      <c r="AS23">
        <f t="shared" si="21"/>
        <v>1.1418240114924747</v>
      </c>
      <c r="AT23">
        <f t="shared" si="22"/>
        <v>1.1730479858583058</v>
      </c>
      <c r="AV23" t="s">
        <v>23</v>
      </c>
      <c r="AW23" t="str">
        <f t="shared" si="3"/>
        <v xml:space="preserve">      series QD_cagr = 1.32381066735919 * @elem(QD_cagr, 2015)</v>
      </c>
      <c r="AX23" t="str">
        <f t="shared" si="44"/>
        <v xml:space="preserve">      series QD_cmet = 1.39827295016823 * @elem(QD_cmet, 2015)</v>
      </c>
      <c r="AY23" t="str">
        <f t="shared" si="45"/>
        <v xml:space="preserve">      series QD_cchem = 1.2378351697933 * @elem(QD_cchem, 2015)</v>
      </c>
      <c r="AZ23" t="str">
        <f t="shared" si="46"/>
        <v xml:space="preserve">      series QD_cpla = 1.35554210894618 * @elem(QD_cpla, 2015)</v>
      </c>
      <c r="BA23" t="str">
        <f t="shared" si="23"/>
        <v xml:space="preserve">      series QD_cgla = 1.34994538805003 * @elem(QD_cgla, 2015)</v>
      </c>
      <c r="BB23" t="str">
        <f t="shared" si="24"/>
        <v xml:space="preserve">      series QD_cpap = 1.31539031848862 * @elem(QD_cpap, 2015)</v>
      </c>
      <c r="BC23" t="str">
        <f t="shared" si="25"/>
        <v xml:space="preserve">      series QD_cfoo = 1.32770472201931 * @elem(QD_cfoo, 2015)</v>
      </c>
      <c r="BD23" t="str">
        <f t="shared" si="26"/>
        <v xml:space="preserve">      series QD_cres = 1.39255541573055 * @elem(QD_cres, 2015)</v>
      </c>
      <c r="BE23" t="str">
        <f t="shared" si="27"/>
        <v xml:space="preserve">      series QD_croa = 1.3410389258442 * @elem(QD_croa, 2015)</v>
      </c>
      <c r="BF23" t="str">
        <f t="shared" si="28"/>
        <v xml:space="preserve">      series QD_cwat = 1.33969991556551 * @elem(QD_cwat, 2015)</v>
      </c>
      <c r="BG23" t="str">
        <f t="shared" si="29"/>
        <v xml:space="preserve">      series QD_cair = 1.2413096308758 * @elem(QD_cair, 2015)</v>
      </c>
      <c r="BH23" t="str">
        <f t="shared" si="30"/>
        <v xml:space="preserve">      series QD_ccoa = 0.0835975552346987 * @elem(QD_ccoa, 2015)</v>
      </c>
      <c r="BI23" t="str">
        <f t="shared" si="31"/>
        <v xml:space="preserve">      series QD_coil = 0.151913149041567 * @elem(QD_coil, 2015)</v>
      </c>
      <c r="BJ23" t="str">
        <f t="shared" si="32"/>
        <v xml:space="preserve">      series QD_cfue = 1.54550987477249 * @elem(QD_cfue, 2015)</v>
      </c>
      <c r="BK23" t="str">
        <f t="shared" si="33"/>
        <v xml:space="preserve">      series QD_cpch = 1.60976810464268 * @elem(QD_cpch, 2015)</v>
      </c>
      <c r="BL23" t="str">
        <f t="shared" si="34"/>
        <v xml:space="preserve">      series QD_cele = 1.16937930443339 * @elem(QD_cele, 2015)</v>
      </c>
      <c r="BM23" t="str">
        <f t="shared" si="35"/>
        <v xml:space="preserve">      series QD_cgas = 1.1843916675725 * @elem(QD_cgas, 2015)</v>
      </c>
      <c r="BN23" t="str">
        <f t="shared" si="36"/>
        <v xml:space="preserve">      series QD_cmga = 0.644375404316779 * @elem(QD_cmga, 2015)</v>
      </c>
      <c r="BO23" t="str">
        <f t="shared" si="37"/>
        <v xml:space="preserve">      series QD_cbiog = 0.927321603131025 * @elem(QD_cbiog, 2015)</v>
      </c>
      <c r="BP23" t="str">
        <f t="shared" si="38"/>
        <v xml:space="preserve">      series QD_cbiom = 0.848758373697237 * @elem(QD_cbiom, 2015)</v>
      </c>
      <c r="BQ23" t="str">
        <f t="shared" si="39"/>
        <v xml:space="preserve">      series QD_cbiof = 1.14182401149247 * @elem(QD_cbiof, 2015)</v>
      </c>
      <c r="BR23" t="str">
        <f t="shared" si="40"/>
        <v xml:space="preserve">      series QD_chea = 1.17304798585831 * @elem(QD_chea, 2015)</v>
      </c>
      <c r="BS23" t="s">
        <v>64</v>
      </c>
      <c r="BT23">
        <v>3</v>
      </c>
      <c r="BU23" t="s">
        <v>84</v>
      </c>
      <c r="BV23" t="str" cm="1">
        <f t="array" aca="1" ref="BV23" ca="1">INDIRECT(BU23&amp;BT23)</f>
        <v xml:space="preserve">      series QD_cbiom = 1 * @elem(QD_cbiom, 2015)</v>
      </c>
      <c r="CC23">
        <f t="shared" si="4"/>
        <v>13</v>
      </c>
      <c r="CD23" t="s">
        <v>65</v>
      </c>
      <c r="CE23" t="str" cm="1">
        <f t="array" aca="1" ref="CE23" ca="1">INDIRECT(CD23&amp;CC23)</f>
        <v xml:space="preserve">      smpl 2025 2025</v>
      </c>
    </row>
    <row r="24" spans="1:83" x14ac:dyDescent="0.25">
      <c r="A24">
        <v>2036</v>
      </c>
      <c r="B24">
        <v>44399.667309999997</v>
      </c>
      <c r="C24">
        <v>11290.18749</v>
      </c>
      <c r="D24">
        <v>48480.681669999998</v>
      </c>
      <c r="E24">
        <v>13414.77464</v>
      </c>
      <c r="F24">
        <v>10029.28167</v>
      </c>
      <c r="G24">
        <v>11160.8464</v>
      </c>
      <c r="H24">
        <v>119470.17720000001</v>
      </c>
      <c r="I24">
        <v>1621341.943</v>
      </c>
      <c r="J24">
        <v>73874.678679999997</v>
      </c>
      <c r="K24">
        <v>11466.445040000001</v>
      </c>
      <c r="L24">
        <v>12179.690189999999</v>
      </c>
      <c r="M24">
        <v>39.92168633</v>
      </c>
      <c r="N24">
        <v>369.66371839999999</v>
      </c>
      <c r="O24">
        <v>67470.282550000004</v>
      </c>
      <c r="P24">
        <v>19021.276949999999</v>
      </c>
      <c r="Q24">
        <v>8662.3082620000005</v>
      </c>
      <c r="R24">
        <v>15913.84107</v>
      </c>
      <c r="S24">
        <v>258.30106649999999</v>
      </c>
      <c r="T24">
        <v>95.796528640000005</v>
      </c>
      <c r="U24">
        <v>433.51116409999997</v>
      </c>
      <c r="V24">
        <v>1229.2191339999999</v>
      </c>
      <c r="W24">
        <v>1198.4011049999999</v>
      </c>
      <c r="Y24">
        <f t="shared" si="2"/>
        <v>1.3332104437398677</v>
      </c>
      <c r="Z24">
        <f t="shared" si="41"/>
        <v>1.4078875576585645</v>
      </c>
      <c r="AA24">
        <f t="shared" si="42"/>
        <v>1.2463083546166263</v>
      </c>
      <c r="AB24">
        <f t="shared" si="43"/>
        <v>1.3655632999363387</v>
      </c>
      <c r="AC24">
        <f t="shared" si="5"/>
        <v>1.3589056994676021</v>
      </c>
      <c r="AD24">
        <f t="shared" si="6"/>
        <v>1.3236489496456845</v>
      </c>
      <c r="AE24">
        <f t="shared" si="7"/>
        <v>1.3370854419308007</v>
      </c>
      <c r="AF24">
        <f t="shared" si="8"/>
        <v>1.4025713056140994</v>
      </c>
      <c r="AG24">
        <f t="shared" si="9"/>
        <v>1.3525371915763049</v>
      </c>
      <c r="AH24">
        <f t="shared" si="10"/>
        <v>1.3497974447329846</v>
      </c>
      <c r="AI24">
        <f t="shared" si="11"/>
        <v>1.2053132300841167</v>
      </c>
      <c r="AJ24">
        <f t="shared" si="12"/>
        <v>8.1998516007862635E-2</v>
      </c>
      <c r="AK24">
        <f t="shared" si="13"/>
        <v>0.15086535447486618</v>
      </c>
      <c r="AL24">
        <f t="shared" si="14"/>
        <v>1.56197498510755</v>
      </c>
      <c r="AM24">
        <f t="shared" si="15"/>
        <v>1.6232495673568668</v>
      </c>
      <c r="AN24">
        <f t="shared" si="16"/>
        <v>1.1674636604340176</v>
      </c>
      <c r="AO24">
        <f t="shared" si="17"/>
        <v>1.1836840466850127</v>
      </c>
      <c r="AP24">
        <f t="shared" si="18"/>
        <v>0.63619930096118293</v>
      </c>
      <c r="AQ24">
        <f t="shared" si="19"/>
        <v>0.90948974838223351</v>
      </c>
      <c r="AR24">
        <f t="shared" si="20"/>
        <v>0.83552249384799904</v>
      </c>
      <c r="AS24">
        <f t="shared" si="21"/>
        <v>1.1460461225217347</v>
      </c>
      <c r="AT24">
        <f t="shared" si="22"/>
        <v>1.1755426372742106</v>
      </c>
      <c r="AV24" t="s">
        <v>24</v>
      </c>
      <c r="AW24" t="str">
        <f t="shared" si="3"/>
        <v xml:space="preserve">      series QD_cagr = 1.33321044373987 * @elem(QD_cagr, 2015)</v>
      </c>
      <c r="AX24" t="str">
        <f t="shared" si="44"/>
        <v xml:space="preserve">      series QD_cmet = 1.40788755765856 * @elem(QD_cmet, 2015)</v>
      </c>
      <c r="AY24" t="str">
        <f t="shared" si="45"/>
        <v xml:space="preserve">      series QD_cchem = 1.24630835461663 * @elem(QD_cchem, 2015)</v>
      </c>
      <c r="AZ24" t="str">
        <f t="shared" si="46"/>
        <v xml:space="preserve">      series QD_cpla = 1.36556329993634 * @elem(QD_cpla, 2015)</v>
      </c>
      <c r="BA24" t="str">
        <f t="shared" si="23"/>
        <v xml:space="preserve">      series QD_cgla = 1.3589056994676 * @elem(QD_cgla, 2015)</v>
      </c>
      <c r="BB24" t="str">
        <f t="shared" si="24"/>
        <v xml:space="preserve">      series QD_cpap = 1.32364894964568 * @elem(QD_cpap, 2015)</v>
      </c>
      <c r="BC24" t="str">
        <f t="shared" si="25"/>
        <v xml:space="preserve">      series QD_cfoo = 1.3370854419308 * @elem(QD_cfoo, 2015)</v>
      </c>
      <c r="BD24" t="str">
        <f t="shared" si="26"/>
        <v xml:space="preserve">      series QD_cres = 1.4025713056141 * @elem(QD_cres, 2015)</v>
      </c>
      <c r="BE24" t="str">
        <f t="shared" si="27"/>
        <v xml:space="preserve">      series QD_croa = 1.3525371915763 * @elem(QD_croa, 2015)</v>
      </c>
      <c r="BF24" t="str">
        <f t="shared" si="28"/>
        <v xml:space="preserve">      series QD_cwat = 1.34979744473298 * @elem(QD_cwat, 2015)</v>
      </c>
      <c r="BG24" t="str">
        <f t="shared" si="29"/>
        <v xml:space="preserve">      series QD_cair = 1.20531323008412 * @elem(QD_cair, 2015)</v>
      </c>
      <c r="BH24" t="str">
        <f t="shared" si="30"/>
        <v xml:space="preserve">      series QD_ccoa = 0.0819985160078626 * @elem(QD_ccoa, 2015)</v>
      </c>
      <c r="BI24" t="str">
        <f t="shared" si="31"/>
        <v xml:space="preserve">      series QD_coil = 0.150865354474866 * @elem(QD_coil, 2015)</v>
      </c>
      <c r="BJ24" t="str">
        <f t="shared" si="32"/>
        <v xml:space="preserve">      series QD_cfue = 1.56197498510755 * @elem(QD_cfue, 2015)</v>
      </c>
      <c r="BK24" t="str">
        <f t="shared" si="33"/>
        <v xml:space="preserve">      series QD_cpch = 1.62324956735687 * @elem(QD_cpch, 2015)</v>
      </c>
      <c r="BL24" t="str">
        <f t="shared" si="34"/>
        <v xml:space="preserve">      series QD_cele = 1.16746366043402 * @elem(QD_cele, 2015)</v>
      </c>
      <c r="BM24" t="str">
        <f t="shared" si="35"/>
        <v xml:space="preserve">      series QD_cgas = 1.18368404668501 * @elem(QD_cgas, 2015)</v>
      </c>
      <c r="BN24" t="str">
        <f t="shared" si="36"/>
        <v xml:space="preserve">      series QD_cmga = 0.636199300961183 * @elem(QD_cmga, 2015)</v>
      </c>
      <c r="BO24" t="str">
        <f t="shared" si="37"/>
        <v xml:space="preserve">      series QD_cbiog = 0.909489748382234 * @elem(QD_cbiog, 2015)</v>
      </c>
      <c r="BP24" t="str">
        <f t="shared" si="38"/>
        <v xml:space="preserve">      series QD_cbiom = 0.835522493847999 * @elem(QD_cbiom, 2015)</v>
      </c>
      <c r="BQ24" t="str">
        <f t="shared" si="39"/>
        <v xml:space="preserve">      series QD_cbiof = 1.14604612252173 * @elem(QD_cbiof, 2015)</v>
      </c>
      <c r="BR24" t="str">
        <f t="shared" si="40"/>
        <v xml:space="preserve">      series QD_chea = 1.17554263727421 * @elem(QD_chea, 2015)</v>
      </c>
      <c r="BS24" t="s">
        <v>64</v>
      </c>
      <c r="BT24">
        <v>3</v>
      </c>
      <c r="BU24" t="s">
        <v>85</v>
      </c>
      <c r="BV24" t="str" cm="1">
        <f t="array" aca="1" ref="BV24" ca="1">INDIRECT(BU24&amp;BT24)</f>
        <v xml:space="preserve">      series QD_cbiof = 1 * @elem(QD_cbiof, 2015)</v>
      </c>
      <c r="CC24">
        <f t="shared" si="4"/>
        <v>13</v>
      </c>
      <c r="CD24" t="s">
        <v>81</v>
      </c>
      <c r="CE24" t="str" cm="1">
        <f t="array" aca="1" ref="CE24" ca="1">INDIRECT(CD24&amp;CC24)</f>
        <v xml:space="preserve">      series QD_cgas = 1.16646757557709 * @elem(QD_cgas, 2015)</v>
      </c>
    </row>
    <row r="25" spans="1:83" x14ac:dyDescent="0.25">
      <c r="A25">
        <v>2037</v>
      </c>
      <c r="B25">
        <v>44708.668709999998</v>
      </c>
      <c r="C25">
        <v>11364.04473</v>
      </c>
      <c r="D25">
        <v>48805.951119999998</v>
      </c>
      <c r="E25">
        <v>13510.964910000001</v>
      </c>
      <c r="F25">
        <v>10093.18525</v>
      </c>
      <c r="G25">
        <v>11229.009760000001</v>
      </c>
      <c r="H25">
        <v>120300.8548</v>
      </c>
      <c r="I25">
        <v>1632747.3470000001</v>
      </c>
      <c r="J25">
        <v>74502.934959999999</v>
      </c>
      <c r="K25">
        <v>11551.842839999999</v>
      </c>
      <c r="L25">
        <v>11775.13186</v>
      </c>
      <c r="M25">
        <v>39.337745830000003</v>
      </c>
      <c r="N25">
        <v>367.80915490000001</v>
      </c>
      <c r="O25">
        <v>68166.738939999996</v>
      </c>
      <c r="P25">
        <v>19171.831409999999</v>
      </c>
      <c r="Q25">
        <v>8639.6274369999992</v>
      </c>
      <c r="R25">
        <v>15910.862090000001</v>
      </c>
      <c r="S25">
        <v>255.01764879999999</v>
      </c>
      <c r="T25">
        <v>93.780654479999995</v>
      </c>
      <c r="U25">
        <v>425.36903230000001</v>
      </c>
      <c r="V25">
        <v>1233.728574</v>
      </c>
      <c r="W25">
        <v>1199.7296429999999</v>
      </c>
      <c r="Y25">
        <f t="shared" si="2"/>
        <v>1.3424889793364048</v>
      </c>
      <c r="Z25">
        <f t="shared" si="41"/>
        <v>1.4170975631904568</v>
      </c>
      <c r="AA25">
        <f t="shared" si="42"/>
        <v>1.2546701601662256</v>
      </c>
      <c r="AB25">
        <f t="shared" si="43"/>
        <v>1.3753550337558023</v>
      </c>
      <c r="AC25">
        <f t="shared" si="5"/>
        <v>1.3675642397235948</v>
      </c>
      <c r="AD25">
        <f t="shared" si="6"/>
        <v>1.3317329565959388</v>
      </c>
      <c r="AE25">
        <f t="shared" si="7"/>
        <v>1.3463822133253778</v>
      </c>
      <c r="AF25">
        <f t="shared" si="8"/>
        <v>1.4124377575666942</v>
      </c>
      <c r="AG25">
        <f t="shared" si="9"/>
        <v>1.3640396441043512</v>
      </c>
      <c r="AH25">
        <f t="shared" si="10"/>
        <v>1.3598502319589909</v>
      </c>
      <c r="AI25">
        <f t="shared" si="11"/>
        <v>1.1652777694210785</v>
      </c>
      <c r="AJ25">
        <f t="shared" si="12"/>
        <v>8.0799111402528948E-2</v>
      </c>
      <c r="AK25">
        <f t="shared" si="13"/>
        <v>0.15010847906108565</v>
      </c>
      <c r="AL25">
        <f t="shared" si="14"/>
        <v>1.5780983422106143</v>
      </c>
      <c r="AM25">
        <f t="shared" si="15"/>
        <v>1.6360976775390093</v>
      </c>
      <c r="AN25">
        <f t="shared" si="16"/>
        <v>1.1644068494576265</v>
      </c>
      <c r="AO25">
        <f t="shared" si="17"/>
        <v>1.183462467803718</v>
      </c>
      <c r="AP25">
        <f t="shared" si="18"/>
        <v>0.62811219519035333</v>
      </c>
      <c r="AQ25">
        <f t="shared" si="19"/>
        <v>0.89035109160022663</v>
      </c>
      <c r="AR25">
        <f t="shared" si="20"/>
        <v>0.81982985469556002</v>
      </c>
      <c r="AS25">
        <f t="shared" si="21"/>
        <v>1.1502504389725592</v>
      </c>
      <c r="AT25">
        <f t="shared" si="22"/>
        <v>1.1768458345574266</v>
      </c>
      <c r="AV25" t="s">
        <v>25</v>
      </c>
      <c r="AW25" t="str">
        <f t="shared" si="3"/>
        <v xml:space="preserve">      series QD_cagr = 1.3424889793364 * @elem(QD_cagr, 2015)</v>
      </c>
      <c r="AX25" t="str">
        <f t="shared" si="44"/>
        <v xml:space="preserve">      series QD_cmet = 1.41709756319046 * @elem(QD_cmet, 2015)</v>
      </c>
      <c r="AY25" t="str">
        <f t="shared" si="45"/>
        <v xml:space="preserve">      series QD_cchem = 1.25467016016623 * @elem(QD_cchem, 2015)</v>
      </c>
      <c r="AZ25" t="str">
        <f t="shared" si="46"/>
        <v xml:space="preserve">      series QD_cpla = 1.3753550337558 * @elem(QD_cpla, 2015)</v>
      </c>
      <c r="BA25" t="str">
        <f t="shared" si="23"/>
        <v xml:space="preserve">      series QD_cgla = 1.36756423972359 * @elem(QD_cgla, 2015)</v>
      </c>
      <c r="BB25" t="str">
        <f t="shared" si="24"/>
        <v xml:space="preserve">      series QD_cpap = 1.33173295659594 * @elem(QD_cpap, 2015)</v>
      </c>
      <c r="BC25" t="str">
        <f t="shared" si="25"/>
        <v xml:space="preserve">      series QD_cfoo = 1.34638221332538 * @elem(QD_cfoo, 2015)</v>
      </c>
      <c r="BD25" t="str">
        <f t="shared" si="26"/>
        <v xml:space="preserve">      series QD_cres = 1.41243775756669 * @elem(QD_cres, 2015)</v>
      </c>
      <c r="BE25" t="str">
        <f t="shared" si="27"/>
        <v xml:space="preserve">      series QD_croa = 1.36403964410435 * @elem(QD_croa, 2015)</v>
      </c>
      <c r="BF25" t="str">
        <f t="shared" si="28"/>
        <v xml:space="preserve">      series QD_cwat = 1.35985023195899 * @elem(QD_cwat, 2015)</v>
      </c>
      <c r="BG25" t="str">
        <f t="shared" si="29"/>
        <v xml:space="preserve">      series QD_cair = 1.16527776942108 * @elem(QD_cair, 2015)</v>
      </c>
      <c r="BH25" t="str">
        <f t="shared" si="30"/>
        <v xml:space="preserve">      series QD_ccoa = 0.0807991114025289 * @elem(QD_ccoa, 2015)</v>
      </c>
      <c r="BI25" t="str">
        <f t="shared" si="31"/>
        <v xml:space="preserve">      series QD_coil = 0.150108479061086 * @elem(QD_coil, 2015)</v>
      </c>
      <c r="BJ25" t="str">
        <f t="shared" si="32"/>
        <v xml:space="preserve">      series QD_cfue = 1.57809834221061 * @elem(QD_cfue, 2015)</v>
      </c>
      <c r="BK25" t="str">
        <f t="shared" si="33"/>
        <v xml:space="preserve">      series QD_cpch = 1.63609767753901 * @elem(QD_cpch, 2015)</v>
      </c>
      <c r="BL25" t="str">
        <f t="shared" si="34"/>
        <v xml:space="preserve">      series QD_cele = 1.16440684945763 * @elem(QD_cele, 2015)</v>
      </c>
      <c r="BM25" t="str">
        <f t="shared" si="35"/>
        <v xml:space="preserve">      series QD_cgas = 1.18346246780372 * @elem(QD_cgas, 2015)</v>
      </c>
      <c r="BN25" t="str">
        <f t="shared" si="36"/>
        <v xml:space="preserve">      series QD_cmga = 0.628112195190353 * @elem(QD_cmga, 2015)</v>
      </c>
      <c r="BO25" t="str">
        <f t="shared" si="37"/>
        <v xml:space="preserve">      series QD_cbiog = 0.890351091600227 * @elem(QD_cbiog, 2015)</v>
      </c>
      <c r="BP25" t="str">
        <f t="shared" si="38"/>
        <v xml:space="preserve">      series QD_cbiom = 0.81982985469556 * @elem(QD_cbiom, 2015)</v>
      </c>
      <c r="BQ25" t="str">
        <f t="shared" si="39"/>
        <v xml:space="preserve">      series QD_cbiof = 1.15025043897256 * @elem(QD_cbiof, 2015)</v>
      </c>
      <c r="BR25" t="str">
        <f t="shared" si="40"/>
        <v xml:space="preserve">      series QD_chea = 1.17684583455743 * @elem(QD_chea, 2015)</v>
      </c>
      <c r="BS25" t="s">
        <v>64</v>
      </c>
      <c r="BT25">
        <v>3</v>
      </c>
      <c r="BU25" t="s">
        <v>87</v>
      </c>
      <c r="BV25" t="str" cm="1">
        <f t="array" aca="1" ref="BV25" ca="1">INDIRECT(BU25&amp;BT25)</f>
        <v xml:space="preserve">      series QD_chea = 1 * @elem(QD_chea, 2015)</v>
      </c>
      <c r="CC25">
        <f t="shared" si="4"/>
        <v>14</v>
      </c>
      <c r="CD25" t="s">
        <v>65</v>
      </c>
      <c r="CE25" t="str" cm="1">
        <f t="array" aca="1" ref="CE25" ca="1">INDIRECT(CD25&amp;CC25)</f>
        <v xml:space="preserve">      smpl 2026 2026</v>
      </c>
    </row>
    <row r="26" spans="1:83" x14ac:dyDescent="0.25">
      <c r="A26">
        <v>2038</v>
      </c>
      <c r="B26">
        <v>45013.89198</v>
      </c>
      <c r="C26">
        <v>11434.685649999999</v>
      </c>
      <c r="D26">
        <v>49126.47883</v>
      </c>
      <c r="E26">
        <v>13605.28939</v>
      </c>
      <c r="F26">
        <v>10155.221659999999</v>
      </c>
      <c r="G26">
        <v>11295.727209999999</v>
      </c>
      <c r="H26">
        <v>121128.122</v>
      </c>
      <c r="I26">
        <v>1644050.6769999999</v>
      </c>
      <c r="J26">
        <v>75130.974050000004</v>
      </c>
      <c r="K26">
        <v>11636.708269999999</v>
      </c>
      <c r="L26">
        <v>11339.692359999999</v>
      </c>
      <c r="M26">
        <v>38.909419759999999</v>
      </c>
      <c r="N26">
        <v>366.53088819999999</v>
      </c>
      <c r="O26">
        <v>68852.390419999996</v>
      </c>
      <c r="P26">
        <v>19316.68795</v>
      </c>
      <c r="Q26">
        <v>8615.022019</v>
      </c>
      <c r="R26">
        <v>15914.670239999999</v>
      </c>
      <c r="S26">
        <v>251.79549170000001</v>
      </c>
      <c r="T26">
        <v>91.677391580000005</v>
      </c>
      <c r="U26">
        <v>416.32655990000001</v>
      </c>
      <c r="V26">
        <v>1238.202442</v>
      </c>
      <c r="W26">
        <v>1200.2943210000001</v>
      </c>
      <c r="Y26">
        <f t="shared" si="2"/>
        <v>1.351654067182565</v>
      </c>
      <c r="Z26">
        <f t="shared" si="41"/>
        <v>1.4259064932828618</v>
      </c>
      <c r="AA26">
        <f t="shared" si="42"/>
        <v>1.262910068292483</v>
      </c>
      <c r="AB26">
        <f t="shared" si="43"/>
        <v>1.3849568386038318</v>
      </c>
      <c r="AC26">
        <f t="shared" si="5"/>
        <v>1.3759697899810648</v>
      </c>
      <c r="AD26">
        <f t="shared" si="6"/>
        <v>1.3396454821742441</v>
      </c>
      <c r="AE26">
        <f t="shared" si="7"/>
        <v>1.3556408162305627</v>
      </c>
      <c r="AF26">
        <f t="shared" si="8"/>
        <v>1.422215908551028</v>
      </c>
      <c r="AG26">
        <f t="shared" si="9"/>
        <v>1.37553812020153</v>
      </c>
      <c r="AH26">
        <f t="shared" si="10"/>
        <v>1.3698403500959166</v>
      </c>
      <c r="AI26">
        <f t="shared" si="11"/>
        <v>1.1221862800593765</v>
      </c>
      <c r="AJ26">
        <f t="shared" si="12"/>
        <v>7.9919336389591006E-2</v>
      </c>
      <c r="AK26">
        <f t="shared" si="13"/>
        <v>0.14958679908761244</v>
      </c>
      <c r="AL26">
        <f t="shared" si="14"/>
        <v>1.5939715595706914</v>
      </c>
      <c r="AM26">
        <f t="shared" si="15"/>
        <v>1.6484595350789581</v>
      </c>
      <c r="AN26">
        <f t="shared" si="16"/>
        <v>1.1610906512231669</v>
      </c>
      <c r="AO26">
        <f t="shared" si="17"/>
        <v>1.1837457210034046</v>
      </c>
      <c r="AP26">
        <f t="shared" si="18"/>
        <v>0.6201759751724345</v>
      </c>
      <c r="AQ26">
        <f t="shared" si="19"/>
        <v>0.8703827683962484</v>
      </c>
      <c r="AR26">
        <f t="shared" si="20"/>
        <v>0.80240195498763711</v>
      </c>
      <c r="AS26">
        <f t="shared" si="21"/>
        <v>1.154421590341957</v>
      </c>
      <c r="AT26">
        <f t="shared" si="22"/>
        <v>1.1773997418114848</v>
      </c>
      <c r="AV26" t="s">
        <v>26</v>
      </c>
      <c r="AW26" t="str">
        <f t="shared" si="3"/>
        <v xml:space="preserve">      series QD_cagr = 1.35165406718256 * @elem(QD_cagr, 2015)</v>
      </c>
      <c r="AX26" t="str">
        <f t="shared" si="44"/>
        <v xml:space="preserve">      series QD_cmet = 1.42590649328286 * @elem(QD_cmet, 2015)</v>
      </c>
      <c r="AY26" t="str">
        <f t="shared" si="45"/>
        <v xml:space="preserve">      series QD_cchem = 1.26291006829248 * @elem(QD_cchem, 2015)</v>
      </c>
      <c r="AZ26" t="str">
        <f t="shared" si="46"/>
        <v xml:space="preserve">      series QD_cpla = 1.38495683860383 * @elem(QD_cpla, 2015)</v>
      </c>
      <c r="BA26" t="str">
        <f t="shared" si="23"/>
        <v xml:space="preserve">      series QD_cgla = 1.37596978998106 * @elem(QD_cgla, 2015)</v>
      </c>
      <c r="BB26" t="str">
        <f t="shared" si="24"/>
        <v xml:space="preserve">      series QD_cpap = 1.33964548217424 * @elem(QD_cpap, 2015)</v>
      </c>
      <c r="BC26" t="str">
        <f t="shared" si="25"/>
        <v xml:space="preserve">      series QD_cfoo = 1.35564081623056 * @elem(QD_cfoo, 2015)</v>
      </c>
      <c r="BD26" t="str">
        <f t="shared" si="26"/>
        <v xml:space="preserve">      series QD_cres = 1.42221590855103 * @elem(QD_cres, 2015)</v>
      </c>
      <c r="BE26" t="str">
        <f t="shared" si="27"/>
        <v xml:space="preserve">      series QD_croa = 1.37553812020153 * @elem(QD_croa, 2015)</v>
      </c>
      <c r="BF26" t="str">
        <f t="shared" si="28"/>
        <v xml:space="preserve">      series QD_cwat = 1.36984035009592 * @elem(QD_cwat, 2015)</v>
      </c>
      <c r="BG26" t="str">
        <f t="shared" si="29"/>
        <v xml:space="preserve">      series QD_cair = 1.12218628005938 * @elem(QD_cair, 2015)</v>
      </c>
      <c r="BH26" t="str">
        <f t="shared" si="30"/>
        <v xml:space="preserve">      series QD_ccoa = 0.079919336389591 * @elem(QD_ccoa, 2015)</v>
      </c>
      <c r="BI26" t="str">
        <f t="shared" si="31"/>
        <v xml:space="preserve">      series QD_coil = 0.149586799087612 * @elem(QD_coil, 2015)</v>
      </c>
      <c r="BJ26" t="str">
        <f t="shared" si="32"/>
        <v xml:space="preserve">      series QD_cfue = 1.59397155957069 * @elem(QD_cfue, 2015)</v>
      </c>
      <c r="BK26" t="str">
        <f t="shared" si="33"/>
        <v xml:space="preserve">      series QD_cpch = 1.64845953507896 * @elem(QD_cpch, 2015)</v>
      </c>
      <c r="BL26" t="str">
        <f t="shared" si="34"/>
        <v xml:space="preserve">      series QD_cele = 1.16109065122317 * @elem(QD_cele, 2015)</v>
      </c>
      <c r="BM26" t="str">
        <f t="shared" si="35"/>
        <v xml:space="preserve">      series QD_cgas = 1.1837457210034 * @elem(QD_cgas, 2015)</v>
      </c>
      <c r="BN26" t="str">
        <f t="shared" si="36"/>
        <v xml:space="preserve">      series QD_cmga = 0.620175975172435 * @elem(QD_cmga, 2015)</v>
      </c>
      <c r="BO26" t="str">
        <f t="shared" si="37"/>
        <v xml:space="preserve">      series QD_cbiog = 0.870382768396248 * @elem(QD_cbiog, 2015)</v>
      </c>
      <c r="BP26" t="str">
        <f t="shared" si="38"/>
        <v xml:space="preserve">      series QD_cbiom = 0.802401954987637 * @elem(QD_cbiom, 2015)</v>
      </c>
      <c r="BQ26" t="str">
        <f t="shared" si="39"/>
        <v xml:space="preserve">      series QD_cbiof = 1.15442159034196 * @elem(QD_cbiof, 2015)</v>
      </c>
      <c r="BR26" t="str">
        <f t="shared" si="40"/>
        <v xml:space="preserve">      series QD_chea = 1.17739974181148 * @elem(QD_chea, 2015)</v>
      </c>
      <c r="BS26" t="s">
        <v>64</v>
      </c>
      <c r="BT26">
        <v>4</v>
      </c>
      <c r="BU26" t="s">
        <v>65</v>
      </c>
      <c r="BV26" t="str" cm="1">
        <f t="array" aca="1" ref="BV26" ca="1">INDIRECT(BU26&amp;BT26)</f>
        <v xml:space="preserve">      smpl 2016 2016</v>
      </c>
      <c r="CC26">
        <f t="shared" si="4"/>
        <v>14</v>
      </c>
      <c r="CD26" t="s">
        <v>81</v>
      </c>
      <c r="CE26" t="str" cm="1">
        <f t="array" aca="1" ref="CE26" ca="1">INDIRECT(CD26&amp;CC26)</f>
        <v xml:space="preserve">      series QD_cgas = 1.17134949986878 * @elem(QD_cgas, 2015)</v>
      </c>
    </row>
    <row r="27" spans="1:83" x14ac:dyDescent="0.25">
      <c r="A27">
        <v>2039</v>
      </c>
      <c r="B27">
        <v>45314.986279999997</v>
      </c>
      <c r="C27">
        <v>11502.100109999999</v>
      </c>
      <c r="D27">
        <v>49441.618110000003</v>
      </c>
      <c r="E27">
        <v>13697.92402</v>
      </c>
      <c r="F27">
        <v>10215.56244</v>
      </c>
      <c r="G27">
        <v>11360.88436</v>
      </c>
      <c r="H27">
        <v>121953.435</v>
      </c>
      <c r="I27">
        <v>1655283.602</v>
      </c>
      <c r="J27">
        <v>75757.561140000005</v>
      </c>
      <c r="K27">
        <v>11720.86213</v>
      </c>
      <c r="L27">
        <v>10881.35297</v>
      </c>
      <c r="M27">
        <v>38.605684340000003</v>
      </c>
      <c r="N27">
        <v>365.72197499999999</v>
      </c>
      <c r="O27">
        <v>69530.49785</v>
      </c>
      <c r="P27">
        <v>19457.243869999998</v>
      </c>
      <c r="Q27">
        <v>8593.0595639999992</v>
      </c>
      <c r="R27">
        <v>15925.38723</v>
      </c>
      <c r="S27">
        <v>248.64636490000001</v>
      </c>
      <c r="T27">
        <v>89.523880739999996</v>
      </c>
      <c r="U27">
        <v>406.68210879999998</v>
      </c>
      <c r="V27">
        <v>1242.61502</v>
      </c>
      <c r="W27">
        <v>1200.4475219999999</v>
      </c>
      <c r="Y27">
        <f t="shared" si="2"/>
        <v>1.3606951724347236</v>
      </c>
      <c r="Z27">
        <f t="shared" si="41"/>
        <v>1.4343130834767215</v>
      </c>
      <c r="AA27">
        <f t="shared" si="42"/>
        <v>1.2710114543292004</v>
      </c>
      <c r="AB27">
        <f t="shared" si="43"/>
        <v>1.3943866243755578</v>
      </c>
      <c r="AC27">
        <f t="shared" si="5"/>
        <v>1.3841455928501372</v>
      </c>
      <c r="AD27">
        <f t="shared" si="6"/>
        <v>1.3473729600077717</v>
      </c>
      <c r="AE27">
        <f t="shared" si="7"/>
        <v>1.3648775481347004</v>
      </c>
      <c r="AF27">
        <f t="shared" si="8"/>
        <v>1.4319331544109379</v>
      </c>
      <c r="AG27">
        <f t="shared" si="9"/>
        <v>1.3870100123048796</v>
      </c>
      <c r="AH27">
        <f t="shared" si="10"/>
        <v>1.3797467042271372</v>
      </c>
      <c r="AI27">
        <f t="shared" si="11"/>
        <v>1.0768285967342899</v>
      </c>
      <c r="AJ27">
        <f t="shared" si="12"/>
        <v>7.9295468612735384E-2</v>
      </c>
      <c r="AK27">
        <f t="shared" si="13"/>
        <v>0.14925666937624774</v>
      </c>
      <c r="AL27">
        <f t="shared" si="14"/>
        <v>1.6096701279306305</v>
      </c>
      <c r="AM27">
        <f t="shared" si="15"/>
        <v>1.6604543836335104</v>
      </c>
      <c r="AN27">
        <f t="shared" si="16"/>
        <v>1.1581306586517992</v>
      </c>
      <c r="AO27">
        <f t="shared" si="17"/>
        <v>1.1845428591698399</v>
      </c>
      <c r="AP27">
        <f t="shared" si="18"/>
        <v>0.61241962985049936</v>
      </c>
      <c r="AQ27">
        <f t="shared" si="19"/>
        <v>0.8499373925583581</v>
      </c>
      <c r="AR27">
        <f t="shared" si="20"/>
        <v>0.78381383892009271</v>
      </c>
      <c r="AS27">
        <f t="shared" si="21"/>
        <v>1.1585355987944357</v>
      </c>
      <c r="AT27">
        <f t="shared" si="22"/>
        <v>1.1775500206345111</v>
      </c>
      <c r="AV27" t="s">
        <v>27</v>
      </c>
      <c r="AW27" t="str">
        <f t="shared" si="3"/>
        <v xml:space="preserve">      series QD_cagr = 1.36069517243472 * @elem(QD_cagr, 2015)</v>
      </c>
      <c r="AX27" t="str">
        <f t="shared" si="44"/>
        <v xml:space="preserve">      series QD_cmet = 1.43431308347672 * @elem(QD_cmet, 2015)</v>
      </c>
      <c r="AY27" t="str">
        <f t="shared" si="45"/>
        <v xml:space="preserve">      series QD_cchem = 1.2710114543292 * @elem(QD_cchem, 2015)</v>
      </c>
      <c r="AZ27" t="str">
        <f t="shared" si="46"/>
        <v xml:space="preserve">      series QD_cpla = 1.39438662437556 * @elem(QD_cpla, 2015)</v>
      </c>
      <c r="BA27" t="str">
        <f t="shared" si="23"/>
        <v xml:space="preserve">      series QD_cgla = 1.38414559285014 * @elem(QD_cgla, 2015)</v>
      </c>
      <c r="BB27" t="str">
        <f t="shared" si="24"/>
        <v xml:space="preserve">      series QD_cpap = 1.34737296000777 * @elem(QD_cpap, 2015)</v>
      </c>
      <c r="BC27" t="str">
        <f t="shared" si="25"/>
        <v xml:space="preserve">      series QD_cfoo = 1.3648775481347 * @elem(QD_cfoo, 2015)</v>
      </c>
      <c r="BD27" t="str">
        <f t="shared" si="26"/>
        <v xml:space="preserve">      series QD_cres = 1.43193315441094 * @elem(QD_cres, 2015)</v>
      </c>
      <c r="BE27" t="str">
        <f t="shared" si="27"/>
        <v xml:space="preserve">      series QD_croa = 1.38701001230488 * @elem(QD_croa, 2015)</v>
      </c>
      <c r="BF27" t="str">
        <f t="shared" si="28"/>
        <v xml:space="preserve">      series QD_cwat = 1.37974670422714 * @elem(QD_cwat, 2015)</v>
      </c>
      <c r="BG27" t="str">
        <f t="shared" si="29"/>
        <v xml:space="preserve">      series QD_cair = 1.07682859673429 * @elem(QD_cair, 2015)</v>
      </c>
      <c r="BH27" t="str">
        <f t="shared" si="30"/>
        <v xml:space="preserve">      series QD_ccoa = 0.0792954686127354 * @elem(QD_ccoa, 2015)</v>
      </c>
      <c r="BI27" t="str">
        <f t="shared" si="31"/>
        <v xml:space="preserve">      series QD_coil = 0.149256669376248 * @elem(QD_coil, 2015)</v>
      </c>
      <c r="BJ27" t="str">
        <f t="shared" si="32"/>
        <v xml:space="preserve">      series QD_cfue = 1.60967012793063 * @elem(QD_cfue, 2015)</v>
      </c>
      <c r="BK27" t="str">
        <f t="shared" si="33"/>
        <v xml:space="preserve">      series QD_cpch = 1.66045438363351 * @elem(QD_cpch, 2015)</v>
      </c>
      <c r="BL27" t="str">
        <f t="shared" si="34"/>
        <v xml:space="preserve">      series QD_cele = 1.1581306586518 * @elem(QD_cele, 2015)</v>
      </c>
      <c r="BM27" t="str">
        <f t="shared" si="35"/>
        <v xml:space="preserve">      series QD_cgas = 1.18454285916984 * @elem(QD_cgas, 2015)</v>
      </c>
      <c r="BN27" t="str">
        <f t="shared" si="36"/>
        <v xml:space="preserve">      series QD_cmga = 0.612419629850499 * @elem(QD_cmga, 2015)</v>
      </c>
      <c r="BO27" t="str">
        <f t="shared" si="37"/>
        <v xml:space="preserve">      series QD_cbiog = 0.849937392558358 * @elem(QD_cbiog, 2015)</v>
      </c>
      <c r="BP27" t="str">
        <f t="shared" si="38"/>
        <v xml:space="preserve">      series QD_cbiom = 0.783813838920093 * @elem(QD_cbiom, 2015)</v>
      </c>
      <c r="BQ27" t="str">
        <f t="shared" si="39"/>
        <v xml:space="preserve">      series QD_cbiof = 1.15853559879444 * @elem(QD_cbiof, 2015)</v>
      </c>
      <c r="BR27" t="str">
        <f t="shared" si="40"/>
        <v xml:space="preserve">      series QD_chea = 1.17755002063451 * @elem(QD_chea, 2015)</v>
      </c>
      <c r="BS27" t="s">
        <v>64</v>
      </c>
      <c r="BT27">
        <v>4</v>
      </c>
      <c r="BU27" t="s">
        <v>66</v>
      </c>
      <c r="BV27" t="str" cm="1">
        <f t="array" aca="1" ref="BV27" ca="1">INDIRECT(BU27&amp;BT27)</f>
        <v xml:space="preserve">      series QD_cagr = 1.01904474100734 * @elem(QD_cagr, 2015)</v>
      </c>
      <c r="CC27">
        <f t="shared" si="4"/>
        <v>15</v>
      </c>
      <c r="CD27" t="s">
        <v>65</v>
      </c>
      <c r="CE27" t="str" cm="1">
        <f t="array" aca="1" ref="CE27" ca="1">INDIRECT(CD27&amp;CC27)</f>
        <v xml:space="preserve">      smpl 2027 2027</v>
      </c>
    </row>
    <row r="28" spans="1:83" x14ac:dyDescent="0.25">
      <c r="A28">
        <v>2040</v>
      </c>
      <c r="B28">
        <v>45611.248269999996</v>
      </c>
      <c r="C28">
        <v>11566.255590000001</v>
      </c>
      <c r="D28">
        <v>49750.611799999999</v>
      </c>
      <c r="E28">
        <v>13788.86275</v>
      </c>
      <c r="F28">
        <v>10274.247880000001</v>
      </c>
      <c r="G28">
        <v>11424.294309999999</v>
      </c>
      <c r="H28">
        <v>122776.51029999999</v>
      </c>
      <c r="I28">
        <v>1666451.3640000001</v>
      </c>
      <c r="J28">
        <v>76380.977039999998</v>
      </c>
      <c r="K28">
        <v>11804.1234</v>
      </c>
      <c r="L28">
        <v>10406.669250000001</v>
      </c>
      <c r="M28">
        <v>38.401863040000002</v>
      </c>
      <c r="N28">
        <v>365.29933160000002</v>
      </c>
      <c r="O28">
        <v>70203.862739999997</v>
      </c>
      <c r="P28">
        <v>19594.654429999999</v>
      </c>
      <c r="Q28">
        <v>8576.8459160000002</v>
      </c>
      <c r="R28">
        <v>15943.21305</v>
      </c>
      <c r="S28">
        <v>245.55614879999999</v>
      </c>
      <c r="T28">
        <v>87.343206069999994</v>
      </c>
      <c r="U28">
        <v>396.67049939999998</v>
      </c>
      <c r="V28">
        <v>1246.9330190000001</v>
      </c>
      <c r="W28">
        <v>1200.4452289999999</v>
      </c>
      <c r="Y28">
        <f t="shared" si="2"/>
        <v>1.3695911755600039</v>
      </c>
      <c r="Z28">
        <f t="shared" si="41"/>
        <v>1.442313278524644</v>
      </c>
      <c r="AA28">
        <f t="shared" si="42"/>
        <v>1.2789548537226356</v>
      </c>
      <c r="AB28">
        <f t="shared" si="43"/>
        <v>1.4036437752083817</v>
      </c>
      <c r="AC28">
        <f t="shared" si="5"/>
        <v>1.3920971073768764</v>
      </c>
      <c r="AD28">
        <f t="shared" si="6"/>
        <v>1.3548932242159222</v>
      </c>
      <c r="AE28">
        <f t="shared" si="7"/>
        <v>1.3740892361645967</v>
      </c>
      <c r="AF28">
        <f t="shared" si="8"/>
        <v>1.4415940298337653</v>
      </c>
      <c r="AG28">
        <f t="shared" si="9"/>
        <v>1.398423844562918</v>
      </c>
      <c r="AH28">
        <f t="shared" si="10"/>
        <v>1.3895479851907815</v>
      </c>
      <c r="AI28">
        <f t="shared" si="11"/>
        <v>1.0298534636318655</v>
      </c>
      <c r="AJ28">
        <f t="shared" si="12"/>
        <v>7.8876822867346763E-2</v>
      </c>
      <c r="AK28">
        <f t="shared" si="13"/>
        <v>0.14908418221241829</v>
      </c>
      <c r="AL28">
        <f t="shared" si="14"/>
        <v>1.6252589038224501</v>
      </c>
      <c r="AM28">
        <f t="shared" si="15"/>
        <v>1.6721808114993464</v>
      </c>
      <c r="AN28">
        <f t="shared" si="16"/>
        <v>1.155945462250269</v>
      </c>
      <c r="AO28">
        <f t="shared" si="17"/>
        <v>1.1858687577169138</v>
      </c>
      <c r="AP28">
        <f t="shared" si="18"/>
        <v>0.60480838244343915</v>
      </c>
      <c r="AQ28">
        <f t="shared" si="19"/>
        <v>0.82923412402578955</v>
      </c>
      <c r="AR28">
        <f t="shared" si="20"/>
        <v>0.76451808474802596</v>
      </c>
      <c r="AS28">
        <f t="shared" si="21"/>
        <v>1.1625614277732765</v>
      </c>
      <c r="AT28">
        <f t="shared" si="22"/>
        <v>1.177547771371509</v>
      </c>
      <c r="AV28" t="s">
        <v>28</v>
      </c>
      <c r="AW28" t="str">
        <f t="shared" si="3"/>
        <v xml:space="preserve">      series QD_cagr = 1.36959117556 * @elem(QD_cagr, 2015)</v>
      </c>
      <c r="AX28" t="str">
        <f t="shared" si="44"/>
        <v xml:space="preserve">      series QD_cmet = 1.44231327852464 * @elem(QD_cmet, 2015)</v>
      </c>
      <c r="AY28" t="str">
        <f t="shared" si="45"/>
        <v xml:space="preserve">      series QD_cchem = 1.27895485372264 * @elem(QD_cchem, 2015)</v>
      </c>
      <c r="AZ28" t="str">
        <f t="shared" si="46"/>
        <v xml:space="preserve">      series QD_cpla = 1.40364377520838 * @elem(QD_cpla, 2015)</v>
      </c>
      <c r="BA28" t="str">
        <f t="shared" si="23"/>
        <v xml:space="preserve">      series QD_cgla = 1.39209710737688 * @elem(QD_cgla, 2015)</v>
      </c>
      <c r="BB28" t="str">
        <f t="shared" si="24"/>
        <v xml:space="preserve">      series QD_cpap = 1.35489322421592 * @elem(QD_cpap, 2015)</v>
      </c>
      <c r="BC28" t="str">
        <f t="shared" si="25"/>
        <v xml:space="preserve">      series QD_cfoo = 1.3740892361646 * @elem(QD_cfoo, 2015)</v>
      </c>
      <c r="BD28" t="str">
        <f t="shared" si="26"/>
        <v xml:space="preserve">      series QD_cres = 1.44159402983377 * @elem(QD_cres, 2015)</v>
      </c>
      <c r="BE28" t="str">
        <f t="shared" si="27"/>
        <v xml:space="preserve">      series QD_croa = 1.39842384456292 * @elem(QD_croa, 2015)</v>
      </c>
      <c r="BF28" t="str">
        <f t="shared" si="28"/>
        <v xml:space="preserve">      series QD_cwat = 1.38954798519078 * @elem(QD_cwat, 2015)</v>
      </c>
      <c r="BG28" t="str">
        <f t="shared" si="29"/>
        <v xml:space="preserve">      series QD_cair = 1.02985346363187 * @elem(QD_cair, 2015)</v>
      </c>
      <c r="BH28" t="str">
        <f t="shared" si="30"/>
        <v xml:space="preserve">      series QD_ccoa = 0.0788768228673468 * @elem(QD_ccoa, 2015)</v>
      </c>
      <c r="BI28" t="str">
        <f t="shared" si="31"/>
        <v xml:space="preserve">      series QD_coil = 0.149084182212418 * @elem(QD_coil, 2015)</v>
      </c>
      <c r="BJ28" t="str">
        <f t="shared" si="32"/>
        <v xml:space="preserve">      series QD_cfue = 1.62525890382245 * @elem(QD_cfue, 2015)</v>
      </c>
      <c r="BK28" t="str">
        <f t="shared" si="33"/>
        <v xml:space="preserve">      series QD_cpch = 1.67218081149935 * @elem(QD_cpch, 2015)</v>
      </c>
      <c r="BL28" t="str">
        <f t="shared" si="34"/>
        <v xml:space="preserve">      series QD_cele = 1.15594546225027 * @elem(QD_cele, 2015)</v>
      </c>
      <c r="BM28" t="str">
        <f t="shared" si="35"/>
        <v xml:space="preserve">      series QD_cgas = 1.18586875771691 * @elem(QD_cgas, 2015)</v>
      </c>
      <c r="BN28" t="str">
        <f t="shared" si="36"/>
        <v xml:space="preserve">      series QD_cmga = 0.604808382443439 * @elem(QD_cmga, 2015)</v>
      </c>
      <c r="BO28" t="str">
        <f t="shared" si="37"/>
        <v xml:space="preserve">      series QD_cbiog = 0.82923412402579 * @elem(QD_cbiog, 2015)</v>
      </c>
      <c r="BP28" t="str">
        <f t="shared" si="38"/>
        <v xml:space="preserve">      series QD_cbiom = 0.764518084748026 * @elem(QD_cbiom, 2015)</v>
      </c>
      <c r="BQ28" t="str">
        <f t="shared" si="39"/>
        <v xml:space="preserve">      series QD_cbiof = 1.16256142777328 * @elem(QD_cbiof, 2015)</v>
      </c>
      <c r="BR28" t="str">
        <f t="shared" si="40"/>
        <v xml:space="preserve">      series QD_chea = 1.17754777137151 * @elem(QD_chea, 2015)</v>
      </c>
      <c r="BS28" t="s">
        <v>64</v>
      </c>
      <c r="BT28">
        <v>4</v>
      </c>
      <c r="BU28" t="s">
        <v>67</v>
      </c>
      <c r="BV28" t="str" cm="1">
        <f t="array" aca="1" ref="BV28" ca="1">INDIRECT(BU28&amp;BT28)</f>
        <v xml:space="preserve">      series QD_cmet = 1.03420782588942 * @elem(QD_cmet, 2015)</v>
      </c>
      <c r="CC28">
        <f t="shared" si="4"/>
        <v>15</v>
      </c>
      <c r="CD28" t="s">
        <v>81</v>
      </c>
      <c r="CE28" t="str" cm="1">
        <f t="array" aca="1" ref="CE28" ca="1">INDIRECT(CD28&amp;CC28)</f>
        <v xml:space="preserve">      series QD_cgas = 1.17628476708675 * @elem(QD_cgas, 2015)</v>
      </c>
    </row>
    <row r="29" spans="1:83" x14ac:dyDescent="0.25">
      <c r="A29">
        <v>2041</v>
      </c>
      <c r="B29">
        <v>45922.376989999997</v>
      </c>
      <c r="C29">
        <v>11628.67967</v>
      </c>
      <c r="D29">
        <v>50045.052309999999</v>
      </c>
      <c r="E29">
        <v>13881.365299999999</v>
      </c>
      <c r="F29">
        <v>10331.342909999999</v>
      </c>
      <c r="G29">
        <v>11487.014950000001</v>
      </c>
      <c r="H29">
        <v>123594.93550000001</v>
      </c>
      <c r="I29">
        <v>1677318.003</v>
      </c>
      <c r="J29">
        <v>77001.655159999995</v>
      </c>
      <c r="K29">
        <v>11889.51446</v>
      </c>
      <c r="L29">
        <v>10047.490040000001</v>
      </c>
      <c r="M29">
        <v>38.198509010000002</v>
      </c>
      <c r="N29">
        <v>364.51771029999998</v>
      </c>
      <c r="O29">
        <v>70211.302460000006</v>
      </c>
      <c r="P29">
        <v>19678.10788</v>
      </c>
      <c r="Q29">
        <v>8581.9754150000008</v>
      </c>
      <c r="R29">
        <v>15968.37997</v>
      </c>
      <c r="S29">
        <v>252.56741310000001</v>
      </c>
      <c r="T29">
        <v>84.427791889999995</v>
      </c>
      <c r="U29">
        <v>394.39707670000001</v>
      </c>
      <c r="V29">
        <v>1250.7916070000001</v>
      </c>
      <c r="W29">
        <v>1196.2427279999999</v>
      </c>
      <c r="Y29">
        <f t="shared" si="2"/>
        <v>1.3789335892307024</v>
      </c>
      <c r="Z29">
        <f t="shared" si="41"/>
        <v>1.4500975678119674</v>
      </c>
      <c r="AA29">
        <f t="shared" si="42"/>
        <v>1.2865241298736694</v>
      </c>
      <c r="AB29">
        <f t="shared" si="43"/>
        <v>1.4130601158343263</v>
      </c>
      <c r="AC29">
        <f t="shared" si="5"/>
        <v>1.3998331311751064</v>
      </c>
      <c r="AD29">
        <f t="shared" si="6"/>
        <v>1.3623317379523989</v>
      </c>
      <c r="AE29">
        <f t="shared" si="7"/>
        <v>1.3832488812398473</v>
      </c>
      <c r="AF29">
        <f t="shared" si="8"/>
        <v>1.4509944133344017</v>
      </c>
      <c r="AG29">
        <f t="shared" si="9"/>
        <v>1.4097875520781011</v>
      </c>
      <c r="AH29">
        <f t="shared" si="10"/>
        <v>1.3995999790030711</v>
      </c>
      <c r="AI29">
        <f t="shared" si="11"/>
        <v>0.99430876199901042</v>
      </c>
      <c r="AJ29">
        <f t="shared" si="12"/>
        <v>7.8459136887190958E-2</v>
      </c>
      <c r="AK29">
        <f t="shared" si="13"/>
        <v>0.14876519073822117</v>
      </c>
      <c r="AL29">
        <f t="shared" si="14"/>
        <v>1.625431137524415</v>
      </c>
      <c r="AM29">
        <f t="shared" si="15"/>
        <v>1.6793026139400042</v>
      </c>
      <c r="AN29">
        <f t="shared" si="16"/>
        <v>1.156636791108306</v>
      </c>
      <c r="AO29">
        <f t="shared" si="17"/>
        <v>1.1877406930703689</v>
      </c>
      <c r="AP29">
        <f t="shared" si="18"/>
        <v>0.62207722885958083</v>
      </c>
      <c r="AQ29">
        <f t="shared" si="19"/>
        <v>0.80155525771777769</v>
      </c>
      <c r="AR29">
        <f t="shared" si="20"/>
        <v>0.76013643103025352</v>
      </c>
      <c r="AS29">
        <f t="shared" si="21"/>
        <v>1.1661589310121165</v>
      </c>
      <c r="AT29">
        <f t="shared" si="22"/>
        <v>1.1734254294543698</v>
      </c>
      <c r="AV29" t="s">
        <v>29</v>
      </c>
      <c r="AW29" t="str">
        <f t="shared" si="3"/>
        <v xml:space="preserve">      series QD_cagr = 1.3789335892307 * @elem(QD_cagr, 2015)</v>
      </c>
      <c r="AX29" t="str">
        <f t="shared" si="44"/>
        <v xml:space="preserve">      series QD_cmet = 1.45009756781197 * @elem(QD_cmet, 2015)</v>
      </c>
      <c r="AY29" t="str">
        <f t="shared" si="45"/>
        <v xml:space="preserve">      series QD_cchem = 1.28652412987367 * @elem(QD_cchem, 2015)</v>
      </c>
      <c r="AZ29" t="str">
        <f t="shared" si="46"/>
        <v xml:space="preserve">      series QD_cpla = 1.41306011583433 * @elem(QD_cpla, 2015)</v>
      </c>
      <c r="BA29" t="str">
        <f t="shared" si="23"/>
        <v xml:space="preserve">      series QD_cgla = 1.39983313117511 * @elem(QD_cgla, 2015)</v>
      </c>
      <c r="BB29" t="str">
        <f t="shared" si="24"/>
        <v xml:space="preserve">      series QD_cpap = 1.3623317379524 * @elem(QD_cpap, 2015)</v>
      </c>
      <c r="BC29" t="str">
        <f t="shared" si="25"/>
        <v xml:space="preserve">      series QD_cfoo = 1.38324888123985 * @elem(QD_cfoo, 2015)</v>
      </c>
      <c r="BD29" t="str">
        <f t="shared" si="26"/>
        <v xml:space="preserve">      series QD_cres = 1.4509944133344 * @elem(QD_cres, 2015)</v>
      </c>
      <c r="BE29" t="str">
        <f t="shared" si="27"/>
        <v xml:space="preserve">      series QD_croa = 1.4097875520781 * @elem(QD_croa, 2015)</v>
      </c>
      <c r="BF29" t="str">
        <f t="shared" si="28"/>
        <v xml:space="preserve">      series QD_cwat = 1.39959997900307 * @elem(QD_cwat, 2015)</v>
      </c>
      <c r="BG29" t="str">
        <f t="shared" si="29"/>
        <v xml:space="preserve">      series QD_cair = 0.99430876199901 * @elem(QD_cair, 2015)</v>
      </c>
      <c r="BH29" t="str">
        <f t="shared" si="30"/>
        <v xml:space="preserve">      series QD_ccoa = 0.078459136887191 * @elem(QD_ccoa, 2015)</v>
      </c>
      <c r="BI29" t="str">
        <f t="shared" si="31"/>
        <v xml:space="preserve">      series QD_coil = 0.148765190738221 * @elem(QD_coil, 2015)</v>
      </c>
      <c r="BJ29" t="str">
        <f t="shared" si="32"/>
        <v xml:space="preserve">      series QD_cfue = 1.62543113752442 * @elem(QD_cfue, 2015)</v>
      </c>
      <c r="BK29" t="str">
        <f t="shared" si="33"/>
        <v xml:space="preserve">      series QD_cpch = 1.67930261394 * @elem(QD_cpch, 2015)</v>
      </c>
      <c r="BL29" t="str">
        <f t="shared" si="34"/>
        <v xml:space="preserve">      series QD_cele = 1.15663679110831 * @elem(QD_cele, 2015)</v>
      </c>
      <c r="BM29" t="str">
        <f t="shared" si="35"/>
        <v xml:space="preserve">      series QD_cgas = 1.18774069307037 * @elem(QD_cgas, 2015)</v>
      </c>
      <c r="BN29" t="str">
        <f t="shared" si="36"/>
        <v xml:space="preserve">      series QD_cmga = 0.622077228859581 * @elem(QD_cmga, 2015)</v>
      </c>
      <c r="BO29" t="str">
        <f t="shared" si="37"/>
        <v xml:space="preserve">      series QD_cbiog = 0.801555257717778 * @elem(QD_cbiog, 2015)</v>
      </c>
      <c r="BP29" t="str">
        <f t="shared" si="38"/>
        <v xml:space="preserve">      series QD_cbiom = 0.760136431030254 * @elem(QD_cbiom, 2015)</v>
      </c>
      <c r="BQ29" t="str">
        <f t="shared" si="39"/>
        <v xml:space="preserve">      series QD_cbiof = 1.16615893101212 * @elem(QD_cbiof, 2015)</v>
      </c>
      <c r="BR29" t="str">
        <f t="shared" si="40"/>
        <v xml:space="preserve">      series QD_chea = 1.17342542945437 * @elem(QD_chea, 2015)</v>
      </c>
      <c r="BS29" t="s">
        <v>64</v>
      </c>
      <c r="BT29">
        <v>4</v>
      </c>
      <c r="BU29" t="s">
        <v>68</v>
      </c>
      <c r="BV29" t="str" cm="1">
        <f t="array" aca="1" ref="BV29" ca="1">INDIRECT(BU29&amp;BT29)</f>
        <v xml:space="preserve">      series QD_cchem = 1.00832666981413 * @elem(QD_cchem, 2015)</v>
      </c>
      <c r="CC29">
        <f t="shared" si="4"/>
        <v>16</v>
      </c>
      <c r="CD29" t="s">
        <v>65</v>
      </c>
      <c r="CE29" t="str" cm="1">
        <f t="array" aca="1" ref="CE29" ca="1">INDIRECT(CD29&amp;CC29)</f>
        <v xml:space="preserve">      smpl 2028 2028</v>
      </c>
    </row>
    <row r="30" spans="1:83" x14ac:dyDescent="0.25">
      <c r="A30">
        <v>2042</v>
      </c>
      <c r="B30">
        <v>46254.191250000003</v>
      </c>
      <c r="C30">
        <v>11691.257439999999</v>
      </c>
      <c r="D30">
        <v>50336.152650000004</v>
      </c>
      <c r="E30">
        <v>13974.95995</v>
      </c>
      <c r="F30">
        <v>10388.79933</v>
      </c>
      <c r="G30">
        <v>11550.863660000001</v>
      </c>
      <c r="H30">
        <v>124429.0349</v>
      </c>
      <c r="I30">
        <v>1688283.378</v>
      </c>
      <c r="J30">
        <v>77648.844719999994</v>
      </c>
      <c r="K30">
        <v>11976.888859999999</v>
      </c>
      <c r="L30">
        <v>9815.7677189999995</v>
      </c>
      <c r="M30">
        <v>38.070527550000001</v>
      </c>
      <c r="N30">
        <v>364.31643079999998</v>
      </c>
      <c r="O30">
        <v>70331.695829999997</v>
      </c>
      <c r="P30">
        <v>19764.516009999999</v>
      </c>
      <c r="Q30">
        <v>8611.5971489999993</v>
      </c>
      <c r="R30">
        <v>16010.902959999999</v>
      </c>
      <c r="S30">
        <v>260.5002637</v>
      </c>
      <c r="T30">
        <v>82.473400589999997</v>
      </c>
      <c r="U30">
        <v>392.72836569999998</v>
      </c>
      <c r="V30">
        <v>1255.622114</v>
      </c>
      <c r="W30">
        <v>1195.3796520000001</v>
      </c>
      <c r="Y30">
        <f t="shared" si="2"/>
        <v>1.3888971376898638</v>
      </c>
      <c r="Z30">
        <f t="shared" si="41"/>
        <v>1.4579010222583222</v>
      </c>
      <c r="AA30">
        <f t="shared" si="42"/>
        <v>1.2940075392086137</v>
      </c>
      <c r="AB30">
        <f t="shared" si="43"/>
        <v>1.4225876272939142</v>
      </c>
      <c r="AC30">
        <f t="shared" si="5"/>
        <v>1.4076181210854561</v>
      </c>
      <c r="AD30">
        <f t="shared" si="6"/>
        <v>1.369904038018076</v>
      </c>
      <c r="AE30">
        <f t="shared" si="7"/>
        <v>1.392583948710252</v>
      </c>
      <c r="AF30">
        <f t="shared" si="8"/>
        <v>1.4604802102057519</v>
      </c>
      <c r="AG30">
        <f t="shared" si="9"/>
        <v>1.4216366452388525</v>
      </c>
      <c r="AH30">
        <f t="shared" si="10"/>
        <v>1.4098854459846559</v>
      </c>
      <c r="AI30">
        <f t="shared" si="11"/>
        <v>0.97137731014349327</v>
      </c>
      <c r="AJ30">
        <f t="shared" si="12"/>
        <v>7.8196264980684507E-2</v>
      </c>
      <c r="AK30">
        <f t="shared" si="13"/>
        <v>0.14868304553001016</v>
      </c>
      <c r="AL30">
        <f t="shared" si="14"/>
        <v>1.6282183117469837</v>
      </c>
      <c r="AM30">
        <f t="shared" si="15"/>
        <v>1.6866765647008977</v>
      </c>
      <c r="AN30">
        <f t="shared" si="16"/>
        <v>1.1606290639480694</v>
      </c>
      <c r="AO30">
        <f t="shared" si="17"/>
        <v>1.1909035865955049</v>
      </c>
      <c r="AP30">
        <f t="shared" si="18"/>
        <v>0.64161595579840092</v>
      </c>
      <c r="AQ30">
        <f t="shared" si="19"/>
        <v>0.78300031760760724</v>
      </c>
      <c r="AR30">
        <f t="shared" si="20"/>
        <v>0.75692026108656552</v>
      </c>
      <c r="AS30">
        <f t="shared" si="21"/>
        <v>1.1706625900132168</v>
      </c>
      <c r="AT30">
        <f t="shared" si="22"/>
        <v>1.1725788158848605</v>
      </c>
      <c r="AV30" t="s">
        <v>30</v>
      </c>
      <c r="AW30" t="str">
        <f t="shared" si="3"/>
        <v xml:space="preserve">      series QD_cagr = 1.38889713768986 * @elem(QD_cagr, 2015)</v>
      </c>
      <c r="AX30" t="str">
        <f t="shared" si="44"/>
        <v xml:space="preserve">      series QD_cmet = 1.45790102225832 * @elem(QD_cmet, 2015)</v>
      </c>
      <c r="AY30" t="str">
        <f t="shared" si="45"/>
        <v xml:space="preserve">      series QD_cchem = 1.29400753920861 * @elem(QD_cchem, 2015)</v>
      </c>
      <c r="AZ30" t="str">
        <f t="shared" si="46"/>
        <v xml:space="preserve">      series QD_cpla = 1.42258762729391 * @elem(QD_cpla, 2015)</v>
      </c>
      <c r="BA30" t="str">
        <f t="shared" si="23"/>
        <v xml:space="preserve">      series QD_cgla = 1.40761812108546 * @elem(QD_cgla, 2015)</v>
      </c>
      <c r="BB30" t="str">
        <f t="shared" si="24"/>
        <v xml:space="preserve">      series QD_cpap = 1.36990403801808 * @elem(QD_cpap, 2015)</v>
      </c>
      <c r="BC30" t="str">
        <f t="shared" si="25"/>
        <v xml:space="preserve">      series QD_cfoo = 1.39258394871025 * @elem(QD_cfoo, 2015)</v>
      </c>
      <c r="BD30" t="str">
        <f t="shared" si="26"/>
        <v xml:space="preserve">      series QD_cres = 1.46048021020575 * @elem(QD_cres, 2015)</v>
      </c>
      <c r="BE30" t="str">
        <f t="shared" si="27"/>
        <v xml:space="preserve">      series QD_croa = 1.42163664523885 * @elem(QD_croa, 2015)</v>
      </c>
      <c r="BF30" t="str">
        <f t="shared" si="28"/>
        <v xml:space="preserve">      series QD_cwat = 1.40988544598466 * @elem(QD_cwat, 2015)</v>
      </c>
      <c r="BG30" t="str">
        <f t="shared" si="29"/>
        <v xml:space="preserve">      series QD_cair = 0.971377310143493 * @elem(QD_cair, 2015)</v>
      </c>
      <c r="BH30" t="str">
        <f t="shared" si="30"/>
        <v xml:space="preserve">      series QD_ccoa = 0.0781962649806845 * @elem(QD_ccoa, 2015)</v>
      </c>
      <c r="BI30" t="str">
        <f t="shared" si="31"/>
        <v xml:space="preserve">      series QD_coil = 0.14868304553001 * @elem(QD_coil, 2015)</v>
      </c>
      <c r="BJ30" t="str">
        <f t="shared" si="32"/>
        <v xml:space="preserve">      series QD_cfue = 1.62821831174698 * @elem(QD_cfue, 2015)</v>
      </c>
      <c r="BK30" t="str">
        <f t="shared" si="33"/>
        <v xml:space="preserve">      series QD_cpch = 1.6866765647009 * @elem(QD_cpch, 2015)</v>
      </c>
      <c r="BL30" t="str">
        <f t="shared" si="34"/>
        <v xml:space="preserve">      series QD_cele = 1.16062906394807 * @elem(QD_cele, 2015)</v>
      </c>
      <c r="BM30" t="str">
        <f t="shared" si="35"/>
        <v xml:space="preserve">      series QD_cgas = 1.1909035865955 * @elem(QD_cgas, 2015)</v>
      </c>
      <c r="BN30" t="str">
        <f t="shared" si="36"/>
        <v xml:space="preserve">      series QD_cmga = 0.641615955798401 * @elem(QD_cmga, 2015)</v>
      </c>
      <c r="BO30" t="str">
        <f t="shared" si="37"/>
        <v xml:space="preserve">      series QD_cbiog = 0.783000317607607 * @elem(QD_cbiog, 2015)</v>
      </c>
      <c r="BP30" t="str">
        <f t="shared" si="38"/>
        <v xml:space="preserve">      series QD_cbiom = 0.756920261086566 * @elem(QD_cbiom, 2015)</v>
      </c>
      <c r="BQ30" t="str">
        <f t="shared" si="39"/>
        <v xml:space="preserve">      series QD_cbiof = 1.17066259001322 * @elem(QD_cbiof, 2015)</v>
      </c>
      <c r="BR30" t="str">
        <f t="shared" si="40"/>
        <v xml:space="preserve">      series QD_chea = 1.17257881588486 * @elem(QD_chea, 2015)</v>
      </c>
      <c r="BS30" t="s">
        <v>64</v>
      </c>
      <c r="BT30">
        <v>4</v>
      </c>
      <c r="BU30" t="s">
        <v>69</v>
      </c>
      <c r="BV30" t="str" cm="1">
        <f t="array" aca="1" ref="BV30" ca="1">INDIRECT(BU30&amp;BT30)</f>
        <v xml:space="preserve">      series QD_cpla = 1.02262249639591 * @elem(QD_cpla, 2015)</v>
      </c>
      <c r="CC30">
        <f t="shared" si="4"/>
        <v>16</v>
      </c>
      <c r="CD30" t="s">
        <v>81</v>
      </c>
      <c r="CE30" t="str" cm="1">
        <f t="array" aca="1" ref="CE30" ca="1">INDIRECT(CD30&amp;CC30)</f>
        <v xml:space="preserve">      series QD_cgas = 1.18132957563573 * @elem(QD_cgas, 2015)</v>
      </c>
    </row>
    <row r="31" spans="1:83" x14ac:dyDescent="0.25">
      <c r="A31">
        <v>2043</v>
      </c>
      <c r="B31">
        <v>46600.49093</v>
      </c>
      <c r="C31">
        <v>11754.25856</v>
      </c>
      <c r="D31">
        <v>50624.799529999997</v>
      </c>
      <c r="E31">
        <v>14068.878419999999</v>
      </c>
      <c r="F31">
        <v>10446.90308</v>
      </c>
      <c r="G31">
        <v>11615.87146</v>
      </c>
      <c r="H31">
        <v>125277.27800000001</v>
      </c>
      <c r="I31">
        <v>1699343.6580000001</v>
      </c>
      <c r="J31">
        <v>78311.694399999993</v>
      </c>
      <c r="K31">
        <v>12064.960300000001</v>
      </c>
      <c r="L31">
        <v>9688.5631819999999</v>
      </c>
      <c r="M31">
        <v>38.007648070000002</v>
      </c>
      <c r="N31">
        <v>364.61362109999999</v>
      </c>
      <c r="O31">
        <v>70519.454410000006</v>
      </c>
      <c r="P31">
        <v>19858.15768</v>
      </c>
      <c r="Q31">
        <v>8654.0933110000005</v>
      </c>
      <c r="R31">
        <v>16060.65849</v>
      </c>
      <c r="S31">
        <v>269.14444040000001</v>
      </c>
      <c r="T31">
        <v>81.007959159999999</v>
      </c>
      <c r="U31">
        <v>391.04639989999998</v>
      </c>
      <c r="V31">
        <v>1260.9936849999999</v>
      </c>
      <c r="W31">
        <v>1196.234987</v>
      </c>
      <c r="Y31">
        <f t="shared" si="2"/>
        <v>1.3992956469132827</v>
      </c>
      <c r="Z31">
        <f t="shared" si="41"/>
        <v>1.4657572684938358</v>
      </c>
      <c r="AA31">
        <f t="shared" si="42"/>
        <v>1.3014278766644012</v>
      </c>
      <c r="AB31">
        <f t="shared" si="43"/>
        <v>1.432148102162851</v>
      </c>
      <c r="AC31">
        <f t="shared" si="5"/>
        <v>1.4154908202112193</v>
      </c>
      <c r="AD31">
        <f t="shared" si="6"/>
        <v>1.3776138033087062</v>
      </c>
      <c r="AE31">
        <f t="shared" si="7"/>
        <v>1.4020773095372774</v>
      </c>
      <c r="AF31">
        <f t="shared" si="8"/>
        <v>1.4700481063716611</v>
      </c>
      <c r="AG31">
        <f t="shared" si="9"/>
        <v>1.4337724522656135</v>
      </c>
      <c r="AH31">
        <f t="shared" si="10"/>
        <v>1.4202529665414854</v>
      </c>
      <c r="AI31">
        <f t="shared" si="11"/>
        <v>0.95878903334982679</v>
      </c>
      <c r="AJ31">
        <f t="shared" si="12"/>
        <v>7.8067111517458404E-2</v>
      </c>
      <c r="AK31">
        <f t="shared" si="13"/>
        <v>0.14880433338630844</v>
      </c>
      <c r="AL31">
        <f t="shared" si="14"/>
        <v>1.6325650284660369</v>
      </c>
      <c r="AM31">
        <f t="shared" si="15"/>
        <v>1.6946678157990041</v>
      </c>
      <c r="AN31">
        <f t="shared" si="16"/>
        <v>1.1663564894035408</v>
      </c>
      <c r="AO31">
        <f t="shared" si="17"/>
        <v>1.1946044421486235</v>
      </c>
      <c r="AP31">
        <f t="shared" si="18"/>
        <v>0.66290668931507779</v>
      </c>
      <c r="AQ31">
        <f t="shared" si="19"/>
        <v>0.76908745483104224</v>
      </c>
      <c r="AR31">
        <f t="shared" si="20"/>
        <v>0.75367854466456619</v>
      </c>
      <c r="AS31">
        <f t="shared" si="21"/>
        <v>1.1756707028436506</v>
      </c>
      <c r="AT31">
        <f t="shared" si="22"/>
        <v>1.17341783610727</v>
      </c>
      <c r="AV31" t="s">
        <v>31</v>
      </c>
      <c r="AW31" t="str">
        <f t="shared" si="3"/>
        <v xml:space="preserve">      series QD_cagr = 1.39929564691328 * @elem(QD_cagr, 2015)</v>
      </c>
      <c r="AX31" t="str">
        <f t="shared" si="44"/>
        <v xml:space="preserve">      series QD_cmet = 1.46575726849384 * @elem(QD_cmet, 2015)</v>
      </c>
      <c r="AY31" t="str">
        <f t="shared" si="45"/>
        <v xml:space="preserve">      series QD_cchem = 1.3014278766644 * @elem(QD_cchem, 2015)</v>
      </c>
      <c r="AZ31" t="str">
        <f t="shared" si="46"/>
        <v xml:space="preserve">      series QD_cpla = 1.43214810216285 * @elem(QD_cpla, 2015)</v>
      </c>
      <c r="BA31" t="str">
        <f t="shared" si="23"/>
        <v xml:space="preserve">      series QD_cgla = 1.41549082021122 * @elem(QD_cgla, 2015)</v>
      </c>
      <c r="BB31" t="str">
        <f t="shared" si="24"/>
        <v xml:space="preserve">      series QD_cpap = 1.37761380330871 * @elem(QD_cpap, 2015)</v>
      </c>
      <c r="BC31" t="str">
        <f t="shared" si="25"/>
        <v xml:space="preserve">      series QD_cfoo = 1.40207730953728 * @elem(QD_cfoo, 2015)</v>
      </c>
      <c r="BD31" t="str">
        <f t="shared" si="26"/>
        <v xml:space="preserve">      series QD_cres = 1.47004810637166 * @elem(QD_cres, 2015)</v>
      </c>
      <c r="BE31" t="str">
        <f t="shared" si="27"/>
        <v xml:space="preserve">      series QD_croa = 1.43377245226561 * @elem(QD_croa, 2015)</v>
      </c>
      <c r="BF31" t="str">
        <f t="shared" si="28"/>
        <v xml:space="preserve">      series QD_cwat = 1.42025296654149 * @elem(QD_cwat, 2015)</v>
      </c>
      <c r="BG31" t="str">
        <f t="shared" si="29"/>
        <v xml:space="preserve">      series QD_cair = 0.958789033349827 * @elem(QD_cair, 2015)</v>
      </c>
      <c r="BH31" t="str">
        <f t="shared" si="30"/>
        <v xml:space="preserve">      series QD_ccoa = 0.0780671115174584 * @elem(QD_ccoa, 2015)</v>
      </c>
      <c r="BI31" t="str">
        <f t="shared" si="31"/>
        <v xml:space="preserve">      series QD_coil = 0.148804333386308 * @elem(QD_coil, 2015)</v>
      </c>
      <c r="BJ31" t="str">
        <f t="shared" si="32"/>
        <v xml:space="preserve">      series QD_cfue = 1.63256502846604 * @elem(QD_cfue, 2015)</v>
      </c>
      <c r="BK31" t="str">
        <f t="shared" si="33"/>
        <v xml:space="preserve">      series QD_cpch = 1.694667815799 * @elem(QD_cpch, 2015)</v>
      </c>
      <c r="BL31" t="str">
        <f t="shared" si="34"/>
        <v xml:space="preserve">      series QD_cele = 1.16635648940354 * @elem(QD_cele, 2015)</v>
      </c>
      <c r="BM31" t="str">
        <f t="shared" si="35"/>
        <v xml:space="preserve">      series QD_cgas = 1.19460444214862 * @elem(QD_cgas, 2015)</v>
      </c>
      <c r="BN31" t="str">
        <f t="shared" si="36"/>
        <v xml:space="preserve">      series QD_cmga = 0.662906689315078 * @elem(QD_cmga, 2015)</v>
      </c>
      <c r="BO31" t="str">
        <f t="shared" si="37"/>
        <v xml:space="preserve">      series QD_cbiog = 0.769087454831042 * @elem(QD_cbiog, 2015)</v>
      </c>
      <c r="BP31" t="str">
        <f t="shared" si="38"/>
        <v xml:space="preserve">      series QD_cbiom = 0.753678544664566 * @elem(QD_cbiom, 2015)</v>
      </c>
      <c r="BQ31" t="str">
        <f t="shared" si="39"/>
        <v xml:space="preserve">      series QD_cbiof = 1.17567070284365 * @elem(QD_cbiof, 2015)</v>
      </c>
      <c r="BR31" t="str">
        <f t="shared" si="40"/>
        <v xml:space="preserve">      series QD_chea = 1.17341783610727 * @elem(QD_chea, 2015)</v>
      </c>
      <c r="BS31" t="s">
        <v>64</v>
      </c>
      <c r="BT31">
        <v>4</v>
      </c>
      <c r="BU31" t="s">
        <v>70</v>
      </c>
      <c r="BV31" t="str" cm="1">
        <f t="array" aca="1" ref="BV31" ca="1">INDIRECT(BU31&amp;BT31)</f>
        <v xml:space="preserve">      series QD_cgla = 1.02079285608978 * @elem(QD_cgla, 2015)</v>
      </c>
      <c r="CC31">
        <f t="shared" si="4"/>
        <v>17</v>
      </c>
      <c r="CD31" t="s">
        <v>65</v>
      </c>
      <c r="CE31" t="str" cm="1">
        <f t="array" aca="1" ref="CE31" ca="1">INDIRECT(CD31&amp;CC31)</f>
        <v xml:space="preserve">      smpl 2029 2029</v>
      </c>
    </row>
    <row r="32" spans="1:83" x14ac:dyDescent="0.25">
      <c r="A32">
        <v>2044</v>
      </c>
      <c r="B32">
        <v>46952.722670000003</v>
      </c>
      <c r="C32">
        <v>11817.379650000001</v>
      </c>
      <c r="D32">
        <v>50909.872060000002</v>
      </c>
      <c r="E32">
        <v>14162.478090000001</v>
      </c>
      <c r="F32">
        <v>10505.374169999999</v>
      </c>
      <c r="G32">
        <v>11681.540660000001</v>
      </c>
      <c r="H32">
        <v>126132.8434</v>
      </c>
      <c r="I32">
        <v>1710434.4169999999</v>
      </c>
      <c r="J32">
        <v>78976.944470000002</v>
      </c>
      <c r="K32">
        <v>12152.58862</v>
      </c>
      <c r="L32">
        <v>9638.4506180000008</v>
      </c>
      <c r="M32">
        <v>37.994332489999998</v>
      </c>
      <c r="N32">
        <v>365.22705359999998</v>
      </c>
      <c r="O32">
        <v>70743.913589999996</v>
      </c>
      <c r="P32">
        <v>19955.733130000001</v>
      </c>
      <c r="Q32">
        <v>8702.1799470000005</v>
      </c>
      <c r="R32">
        <v>16112.58332</v>
      </c>
      <c r="S32">
        <v>278.41804209999998</v>
      </c>
      <c r="T32">
        <v>79.822745280000007</v>
      </c>
      <c r="U32">
        <v>389.11686259999999</v>
      </c>
      <c r="V32">
        <v>1266.5787700000001</v>
      </c>
      <c r="W32">
        <v>1197.524754</v>
      </c>
      <c r="Y32">
        <f t="shared" si="2"/>
        <v>1.409872280992676</v>
      </c>
      <c r="Z32">
        <f t="shared" si="41"/>
        <v>1.4736284750008632</v>
      </c>
      <c r="AA32">
        <f t="shared" si="42"/>
        <v>1.3087563271641094</v>
      </c>
      <c r="AB32">
        <f t="shared" si="43"/>
        <v>1.4416761246357022</v>
      </c>
      <c r="AC32">
        <f t="shared" si="5"/>
        <v>1.423413291637339</v>
      </c>
      <c r="AD32">
        <f t="shared" si="6"/>
        <v>1.3854020090136134</v>
      </c>
      <c r="AE32">
        <f t="shared" si="7"/>
        <v>1.4116526200270629</v>
      </c>
      <c r="AF32">
        <f t="shared" si="8"/>
        <v>1.4796423689502867</v>
      </c>
      <c r="AG32">
        <f t="shared" si="9"/>
        <v>1.4459522069183719</v>
      </c>
      <c r="AH32">
        <f t="shared" si="10"/>
        <v>1.430568324266537</v>
      </c>
      <c r="AI32">
        <f t="shared" si="11"/>
        <v>0.95382984839188523</v>
      </c>
      <c r="AJ32">
        <f t="shared" si="12"/>
        <v>7.8039761525507692E-2</v>
      </c>
      <c r="AK32">
        <f t="shared" si="13"/>
        <v>0.14905468446744635</v>
      </c>
      <c r="AL32">
        <f t="shared" si="14"/>
        <v>1.637761384714848</v>
      </c>
      <c r="AM32">
        <f t="shared" si="15"/>
        <v>1.70299477026234</v>
      </c>
      <c r="AN32">
        <f t="shared" si="16"/>
        <v>1.1728373716793183</v>
      </c>
      <c r="AO32">
        <f t="shared" si="17"/>
        <v>1.1984666519462128</v>
      </c>
      <c r="AP32">
        <f t="shared" si="18"/>
        <v>0.68574770580361188</v>
      </c>
      <c r="AQ32">
        <f t="shared" si="19"/>
        <v>0.75783506511709775</v>
      </c>
      <c r="AR32">
        <f t="shared" si="20"/>
        <v>0.74995967430925314</v>
      </c>
      <c r="AS32">
        <f t="shared" si="21"/>
        <v>1.180877882614255</v>
      </c>
      <c r="AT32">
        <f t="shared" si="22"/>
        <v>1.1746830019138796</v>
      </c>
      <c r="AV32" t="s">
        <v>32</v>
      </c>
      <c r="AW32" t="str">
        <f t="shared" si="3"/>
        <v xml:space="preserve">      series QD_cagr = 1.40987228099268 * @elem(QD_cagr, 2015)</v>
      </c>
      <c r="AX32" t="str">
        <f t="shared" si="44"/>
        <v xml:space="preserve">      series QD_cmet = 1.47362847500086 * @elem(QD_cmet, 2015)</v>
      </c>
      <c r="AY32" t="str">
        <f t="shared" si="45"/>
        <v xml:space="preserve">      series QD_cchem = 1.30875632716411 * @elem(QD_cchem, 2015)</v>
      </c>
      <c r="AZ32" t="str">
        <f t="shared" si="46"/>
        <v xml:space="preserve">      series QD_cpla = 1.4416761246357 * @elem(QD_cpla, 2015)</v>
      </c>
      <c r="BA32" t="str">
        <f t="shared" si="23"/>
        <v xml:space="preserve">      series QD_cgla = 1.42341329163734 * @elem(QD_cgla, 2015)</v>
      </c>
      <c r="BB32" t="str">
        <f t="shared" si="24"/>
        <v xml:space="preserve">      series QD_cpap = 1.38540200901361 * @elem(QD_cpap, 2015)</v>
      </c>
      <c r="BC32" t="str">
        <f t="shared" si="25"/>
        <v xml:space="preserve">      series QD_cfoo = 1.41165262002706 * @elem(QD_cfoo, 2015)</v>
      </c>
      <c r="BD32" t="str">
        <f t="shared" si="26"/>
        <v xml:space="preserve">      series QD_cres = 1.47964236895029 * @elem(QD_cres, 2015)</v>
      </c>
      <c r="BE32" t="str">
        <f t="shared" si="27"/>
        <v xml:space="preserve">      series QD_croa = 1.44595220691837 * @elem(QD_croa, 2015)</v>
      </c>
      <c r="BF32" t="str">
        <f t="shared" si="28"/>
        <v xml:space="preserve">      series QD_cwat = 1.43056832426654 * @elem(QD_cwat, 2015)</v>
      </c>
      <c r="BG32" t="str">
        <f t="shared" si="29"/>
        <v xml:space="preserve">      series QD_cair = 0.953829848391885 * @elem(QD_cair, 2015)</v>
      </c>
      <c r="BH32" t="str">
        <f t="shared" si="30"/>
        <v xml:space="preserve">      series QD_ccoa = 0.0780397615255077 * @elem(QD_ccoa, 2015)</v>
      </c>
      <c r="BI32" t="str">
        <f t="shared" si="31"/>
        <v xml:space="preserve">      series QD_coil = 0.149054684467446 * @elem(QD_coil, 2015)</v>
      </c>
      <c r="BJ32" t="str">
        <f t="shared" si="32"/>
        <v xml:space="preserve">      series QD_cfue = 1.63776138471485 * @elem(QD_cfue, 2015)</v>
      </c>
      <c r="BK32" t="str">
        <f t="shared" si="33"/>
        <v xml:space="preserve">      series QD_cpch = 1.70299477026234 * @elem(QD_cpch, 2015)</v>
      </c>
      <c r="BL32" t="str">
        <f t="shared" si="34"/>
        <v xml:space="preserve">      series QD_cele = 1.17283737167932 * @elem(QD_cele, 2015)</v>
      </c>
      <c r="BM32" t="str">
        <f t="shared" si="35"/>
        <v xml:space="preserve">      series QD_cgas = 1.19846665194621 * @elem(QD_cgas, 2015)</v>
      </c>
      <c r="BN32" t="str">
        <f t="shared" si="36"/>
        <v xml:space="preserve">      series QD_cmga = 0.685747705803612 * @elem(QD_cmga, 2015)</v>
      </c>
      <c r="BO32" t="str">
        <f t="shared" si="37"/>
        <v xml:space="preserve">      series QD_cbiog = 0.757835065117098 * @elem(QD_cbiog, 2015)</v>
      </c>
      <c r="BP32" t="str">
        <f t="shared" si="38"/>
        <v xml:space="preserve">      series QD_cbiom = 0.749959674309253 * @elem(QD_cbiom, 2015)</v>
      </c>
      <c r="BQ32" t="str">
        <f t="shared" si="39"/>
        <v xml:space="preserve">      series QD_cbiof = 1.18087788261425 * @elem(QD_cbiof, 2015)</v>
      </c>
      <c r="BR32" t="str">
        <f t="shared" si="40"/>
        <v xml:space="preserve">      series QD_chea = 1.17468300191388 * @elem(QD_chea, 2015)</v>
      </c>
      <c r="BS32" t="s">
        <v>64</v>
      </c>
      <c r="BT32">
        <v>4</v>
      </c>
      <c r="BU32" t="s">
        <v>71</v>
      </c>
      <c r="BV32" t="str" cm="1">
        <f t="array" aca="1" ref="BV32" ca="1">INDIRECT(BU32&amp;BT32)</f>
        <v xml:space="preserve">      series QD_cpap = 1.01916587429791 * @elem(QD_cpap, 2015)</v>
      </c>
      <c r="CC32">
        <f t="shared" si="4"/>
        <v>17</v>
      </c>
      <c r="CD32" t="s">
        <v>81</v>
      </c>
      <c r="CE32" t="str" cm="1">
        <f t="array" aca="1" ref="CE32" ca="1">INDIRECT(CD32&amp;CC32)</f>
        <v xml:space="preserve">      series QD_cgas = 1.18649482676409 * @elem(QD_cgas, 2015)</v>
      </c>
    </row>
    <row r="33" spans="1:83" x14ac:dyDescent="0.25">
      <c r="A33">
        <v>2045</v>
      </c>
      <c r="B33">
        <v>47303.79423</v>
      </c>
      <c r="C33">
        <v>11880.23688</v>
      </c>
      <c r="D33">
        <v>51190.476909999998</v>
      </c>
      <c r="E33">
        <v>14255.367700000001</v>
      </c>
      <c r="F33">
        <v>10563.88344</v>
      </c>
      <c r="G33">
        <v>11747.356229999999</v>
      </c>
      <c r="H33">
        <v>126989.32369999999</v>
      </c>
      <c r="I33">
        <v>1721507.486</v>
      </c>
      <c r="J33">
        <v>79634.825719999993</v>
      </c>
      <c r="K33">
        <v>12239.07429</v>
      </c>
      <c r="L33">
        <v>9642.2371469999998</v>
      </c>
      <c r="M33">
        <v>38.018464809999998</v>
      </c>
      <c r="N33">
        <v>366.02547240000001</v>
      </c>
      <c r="O33">
        <v>70987.768079999994</v>
      </c>
      <c r="P33">
        <v>20054.714479999999</v>
      </c>
      <c r="Q33">
        <v>8751.9168530000006</v>
      </c>
      <c r="R33">
        <v>16164.32271</v>
      </c>
      <c r="S33">
        <v>288.28325039999999</v>
      </c>
      <c r="T33">
        <v>78.822131880000001</v>
      </c>
      <c r="U33">
        <v>386.89250950000002</v>
      </c>
      <c r="V33">
        <v>1272.1846149999999</v>
      </c>
      <c r="W33">
        <v>1198.5092360000001</v>
      </c>
      <c r="Y33">
        <f t="shared" si="2"/>
        <v>1.4204140777819196</v>
      </c>
      <c r="Z33">
        <f t="shared" si="41"/>
        <v>1.4814667781383677</v>
      </c>
      <c r="AA33">
        <f t="shared" si="42"/>
        <v>1.3159699255883526</v>
      </c>
      <c r="AB33">
        <f t="shared" si="43"/>
        <v>1.4511318662165686</v>
      </c>
      <c r="AC33">
        <f t="shared" si="5"/>
        <v>1.4313409362175604</v>
      </c>
      <c r="AD33">
        <f t="shared" si="6"/>
        <v>1.3932075738407426</v>
      </c>
      <c r="AE33">
        <f t="shared" si="7"/>
        <v>1.421238169887874</v>
      </c>
      <c r="AF33">
        <f t="shared" si="8"/>
        <v>1.4892213284730067</v>
      </c>
      <c r="AG33">
        <f t="shared" si="9"/>
        <v>1.457997049267129</v>
      </c>
      <c r="AH33">
        <f t="shared" si="10"/>
        <v>1.4407491724688166</v>
      </c>
      <c r="AI33">
        <f t="shared" si="11"/>
        <v>0.95420456674913412</v>
      </c>
      <c r="AJ33">
        <f t="shared" si="12"/>
        <v>7.8089328931339935E-2</v>
      </c>
      <c r="AK33">
        <f t="shared" si="13"/>
        <v>0.14938053125544806</v>
      </c>
      <c r="AL33">
        <f t="shared" si="14"/>
        <v>1.6434067532977332</v>
      </c>
      <c r="AM33">
        <f t="shared" si="15"/>
        <v>1.7114417022946238</v>
      </c>
      <c r="AN33">
        <f t="shared" si="16"/>
        <v>1.1795406692971311</v>
      </c>
      <c r="AO33">
        <f t="shared" si="17"/>
        <v>1.2023150685703845</v>
      </c>
      <c r="AP33">
        <f t="shared" si="18"/>
        <v>0.71004585799221875</v>
      </c>
      <c r="AQ33">
        <f t="shared" si="19"/>
        <v>0.74833526755330693</v>
      </c>
      <c r="AR33">
        <f t="shared" si="20"/>
        <v>0.74567259429098209</v>
      </c>
      <c r="AS33">
        <f t="shared" si="21"/>
        <v>1.186104417694946</v>
      </c>
      <c r="AT33">
        <f t="shared" si="22"/>
        <v>1.1756487057686245</v>
      </c>
      <c r="AV33" t="s">
        <v>33</v>
      </c>
      <c r="AW33" t="str">
        <f t="shared" si="3"/>
        <v xml:space="preserve">      series QD_cagr = 1.42041407778192 * @elem(QD_cagr, 2015)</v>
      </c>
      <c r="AX33" t="str">
        <f t="shared" si="44"/>
        <v xml:space="preserve">      series QD_cmet = 1.48146677813837 * @elem(QD_cmet, 2015)</v>
      </c>
      <c r="AY33" t="str">
        <f t="shared" si="45"/>
        <v xml:space="preserve">      series QD_cchem = 1.31596992558835 * @elem(QD_cchem, 2015)</v>
      </c>
      <c r="AZ33" t="str">
        <f t="shared" si="46"/>
        <v xml:space="preserve">      series QD_cpla = 1.45113186621657 * @elem(QD_cpla, 2015)</v>
      </c>
      <c r="BA33" t="str">
        <f t="shared" si="23"/>
        <v xml:space="preserve">      series QD_cgla = 1.43134093621756 * @elem(QD_cgla, 2015)</v>
      </c>
      <c r="BB33" t="str">
        <f t="shared" si="24"/>
        <v xml:space="preserve">      series QD_cpap = 1.39320757384074 * @elem(QD_cpap, 2015)</v>
      </c>
      <c r="BC33" t="str">
        <f t="shared" si="25"/>
        <v xml:space="preserve">      series QD_cfoo = 1.42123816988787 * @elem(QD_cfoo, 2015)</v>
      </c>
      <c r="BD33" t="str">
        <f t="shared" si="26"/>
        <v xml:space="preserve">      series QD_cres = 1.48922132847301 * @elem(QD_cres, 2015)</v>
      </c>
      <c r="BE33" t="str">
        <f t="shared" si="27"/>
        <v xml:space="preserve">      series QD_croa = 1.45799704926713 * @elem(QD_croa, 2015)</v>
      </c>
      <c r="BF33" t="str">
        <f t="shared" si="28"/>
        <v xml:space="preserve">      series QD_cwat = 1.44074917246882 * @elem(QD_cwat, 2015)</v>
      </c>
      <c r="BG33" t="str">
        <f t="shared" si="29"/>
        <v xml:space="preserve">      series QD_cair = 0.954204566749134 * @elem(QD_cair, 2015)</v>
      </c>
      <c r="BH33" t="str">
        <f t="shared" si="30"/>
        <v xml:space="preserve">      series QD_ccoa = 0.0780893289313399 * @elem(QD_ccoa, 2015)</v>
      </c>
      <c r="BI33" t="str">
        <f t="shared" si="31"/>
        <v xml:space="preserve">      series QD_coil = 0.149380531255448 * @elem(QD_coil, 2015)</v>
      </c>
      <c r="BJ33" t="str">
        <f t="shared" si="32"/>
        <v xml:space="preserve">      series QD_cfue = 1.64340675329773 * @elem(QD_cfue, 2015)</v>
      </c>
      <c r="BK33" t="str">
        <f t="shared" si="33"/>
        <v xml:space="preserve">      series QD_cpch = 1.71144170229462 * @elem(QD_cpch, 2015)</v>
      </c>
      <c r="BL33" t="str">
        <f t="shared" si="34"/>
        <v xml:space="preserve">      series QD_cele = 1.17954066929713 * @elem(QD_cele, 2015)</v>
      </c>
      <c r="BM33" t="str">
        <f t="shared" si="35"/>
        <v xml:space="preserve">      series QD_cgas = 1.20231506857038 * @elem(QD_cgas, 2015)</v>
      </c>
      <c r="BN33" t="str">
        <f t="shared" si="36"/>
        <v xml:space="preserve">      series QD_cmga = 0.710045857992219 * @elem(QD_cmga, 2015)</v>
      </c>
      <c r="BO33" t="str">
        <f t="shared" si="37"/>
        <v xml:space="preserve">      series QD_cbiog = 0.748335267553307 * @elem(QD_cbiog, 2015)</v>
      </c>
      <c r="BP33" t="str">
        <f t="shared" si="38"/>
        <v xml:space="preserve">      series QD_cbiom = 0.745672594290982 * @elem(QD_cbiom, 2015)</v>
      </c>
      <c r="BQ33" t="str">
        <f t="shared" si="39"/>
        <v xml:space="preserve">      series QD_cbiof = 1.18610441769495 * @elem(QD_cbiof, 2015)</v>
      </c>
      <c r="BR33" t="str">
        <f t="shared" si="40"/>
        <v xml:space="preserve">      series QD_chea = 1.17564870576862 * @elem(QD_chea, 2015)</v>
      </c>
      <c r="BS33" t="s">
        <v>64</v>
      </c>
      <c r="BT33">
        <v>4</v>
      </c>
      <c r="BU33" t="s">
        <v>72</v>
      </c>
      <c r="BV33" t="str" cm="1">
        <f t="array" aca="1" ref="BV33" ca="1">INDIRECT(BU33&amp;BT33)</f>
        <v xml:space="preserve">      series QD_cfoo = 1.01700354518731 * @elem(QD_cfoo, 2015)</v>
      </c>
      <c r="CC33">
        <f t="shared" si="4"/>
        <v>18</v>
      </c>
      <c r="CD33" t="s">
        <v>65</v>
      </c>
      <c r="CE33" t="str" cm="1">
        <f t="array" aca="1" ref="CE33" ca="1">INDIRECT(CD33&amp;CC33)</f>
        <v xml:space="preserve">      smpl 2030 2030</v>
      </c>
    </row>
    <row r="34" spans="1:83" x14ac:dyDescent="0.25">
      <c r="A34">
        <v>2046</v>
      </c>
      <c r="B34">
        <v>47648.975509999997</v>
      </c>
      <c r="C34">
        <v>11942.5281</v>
      </c>
      <c r="D34">
        <v>51466.236449999997</v>
      </c>
      <c r="E34">
        <v>14347.36706</v>
      </c>
      <c r="F34">
        <v>10622.191070000001</v>
      </c>
      <c r="G34">
        <v>11812.925929999999</v>
      </c>
      <c r="H34">
        <v>127842.0968</v>
      </c>
      <c r="I34">
        <v>1732539.64</v>
      </c>
      <c r="J34">
        <v>80279.383780000004</v>
      </c>
      <c r="K34">
        <v>12324.102279999999</v>
      </c>
      <c r="L34">
        <v>9682.4474289999998</v>
      </c>
      <c r="M34">
        <v>38.071174329999998</v>
      </c>
      <c r="N34">
        <v>366.9265011</v>
      </c>
      <c r="O34">
        <v>71241.521299999993</v>
      </c>
      <c r="P34">
        <v>20153.708350000001</v>
      </c>
      <c r="Q34">
        <v>8801.4283390000001</v>
      </c>
      <c r="R34">
        <v>16214.928099999999</v>
      </c>
      <c r="S34">
        <v>298.72795020000001</v>
      </c>
      <c r="T34">
        <v>77.962465300000005</v>
      </c>
      <c r="U34">
        <v>384.40616269999998</v>
      </c>
      <c r="V34">
        <v>1277.7015699999999</v>
      </c>
      <c r="W34">
        <v>1198.831878</v>
      </c>
      <c r="Y34">
        <f t="shared" si="2"/>
        <v>1.4307790042636062</v>
      </c>
      <c r="Z34">
        <f t="shared" si="41"/>
        <v>1.489234499769833</v>
      </c>
      <c r="AA34">
        <f t="shared" si="42"/>
        <v>1.3230589640822132</v>
      </c>
      <c r="AB34">
        <f t="shared" si="43"/>
        <v>1.4604969843795697</v>
      </c>
      <c r="AC34">
        <f t="shared" si="5"/>
        <v>1.4392412598236328</v>
      </c>
      <c r="AD34">
        <f t="shared" si="6"/>
        <v>1.400983979090221</v>
      </c>
      <c r="AE34">
        <f t="shared" si="7"/>
        <v>1.4307822295352568</v>
      </c>
      <c r="AF34">
        <f t="shared" si="8"/>
        <v>1.4987648937316005</v>
      </c>
      <c r="AG34">
        <f t="shared" si="9"/>
        <v>1.4697979635161991</v>
      </c>
      <c r="AH34">
        <f t="shared" si="10"/>
        <v>1.4507584267086799</v>
      </c>
      <c r="AI34">
        <f t="shared" si="11"/>
        <v>0.95818381286491838</v>
      </c>
      <c r="AJ34">
        <f t="shared" si="12"/>
        <v>7.8197593456634767E-2</v>
      </c>
      <c r="AK34">
        <f t="shared" si="13"/>
        <v>0.14974825469556785</v>
      </c>
      <c r="AL34">
        <f t="shared" si="14"/>
        <v>1.6492812830469863</v>
      </c>
      <c r="AM34">
        <f t="shared" si="15"/>
        <v>1.7198897027664579</v>
      </c>
      <c r="AN34">
        <f t="shared" si="16"/>
        <v>1.186213585906744</v>
      </c>
      <c r="AO34">
        <f t="shared" si="17"/>
        <v>1.2060791373804089</v>
      </c>
      <c r="AP34">
        <f t="shared" si="18"/>
        <v>0.73577130621257836</v>
      </c>
      <c r="AQ34">
        <f t="shared" si="19"/>
        <v>0.74017361542836402</v>
      </c>
      <c r="AR34">
        <f t="shared" si="20"/>
        <v>0.74088056388682899</v>
      </c>
      <c r="AS34">
        <f t="shared" si="21"/>
        <v>1.1912480773655389</v>
      </c>
      <c r="AT34">
        <f t="shared" si="22"/>
        <v>1.1759651936506808</v>
      </c>
      <c r="AV34" t="s">
        <v>34</v>
      </c>
      <c r="AW34" t="str">
        <f t="shared" si="3"/>
        <v xml:space="preserve">      series QD_cagr = 1.43077900426361 * @elem(QD_cagr, 2015)</v>
      </c>
      <c r="AX34" t="str">
        <f t="shared" si="44"/>
        <v xml:space="preserve">      series QD_cmet = 1.48923449976983 * @elem(QD_cmet, 2015)</v>
      </c>
      <c r="AY34" t="str">
        <f t="shared" si="45"/>
        <v xml:space="preserve">      series QD_cchem = 1.32305896408221 * @elem(QD_cchem, 2015)</v>
      </c>
      <c r="AZ34" t="str">
        <f t="shared" si="46"/>
        <v xml:space="preserve">      series QD_cpla = 1.46049698437957 * @elem(QD_cpla, 2015)</v>
      </c>
      <c r="BA34" t="str">
        <f t="shared" si="23"/>
        <v xml:space="preserve">      series QD_cgla = 1.43924125982363 * @elem(QD_cgla, 2015)</v>
      </c>
      <c r="BB34" t="str">
        <f t="shared" si="24"/>
        <v xml:space="preserve">      series QD_cpap = 1.40098397909022 * @elem(QD_cpap, 2015)</v>
      </c>
      <c r="BC34" t="str">
        <f t="shared" si="25"/>
        <v xml:space="preserve">      series QD_cfoo = 1.43078222953526 * @elem(QD_cfoo, 2015)</v>
      </c>
      <c r="BD34" t="str">
        <f t="shared" si="26"/>
        <v xml:space="preserve">      series QD_cres = 1.4987648937316 * @elem(QD_cres, 2015)</v>
      </c>
      <c r="BE34" t="str">
        <f t="shared" si="27"/>
        <v xml:space="preserve">      series QD_croa = 1.4697979635162 * @elem(QD_croa, 2015)</v>
      </c>
      <c r="BF34" t="str">
        <f t="shared" si="28"/>
        <v xml:space="preserve">      series QD_cwat = 1.45075842670868 * @elem(QD_cwat, 2015)</v>
      </c>
      <c r="BG34" t="str">
        <f t="shared" si="29"/>
        <v xml:space="preserve">      series QD_cair = 0.958183812864918 * @elem(QD_cair, 2015)</v>
      </c>
      <c r="BH34" t="str">
        <f t="shared" si="30"/>
        <v xml:space="preserve">      series QD_ccoa = 0.0781975934566348 * @elem(QD_ccoa, 2015)</v>
      </c>
      <c r="BI34" t="str">
        <f t="shared" si="31"/>
        <v xml:space="preserve">      series QD_coil = 0.149748254695568 * @elem(QD_coil, 2015)</v>
      </c>
      <c r="BJ34" t="str">
        <f t="shared" si="32"/>
        <v xml:space="preserve">      series QD_cfue = 1.64928128304699 * @elem(QD_cfue, 2015)</v>
      </c>
      <c r="BK34" t="str">
        <f t="shared" si="33"/>
        <v xml:space="preserve">      series QD_cpch = 1.71988970276646 * @elem(QD_cpch, 2015)</v>
      </c>
      <c r="BL34" t="str">
        <f t="shared" si="34"/>
        <v xml:space="preserve">      series QD_cele = 1.18621358590674 * @elem(QD_cele, 2015)</v>
      </c>
      <c r="BM34" t="str">
        <f t="shared" si="35"/>
        <v xml:space="preserve">      series QD_cgas = 1.20607913738041 * @elem(QD_cgas, 2015)</v>
      </c>
      <c r="BN34" t="str">
        <f t="shared" si="36"/>
        <v xml:space="preserve">      series QD_cmga = 0.735771306212578 * @elem(QD_cmga, 2015)</v>
      </c>
      <c r="BO34" t="str">
        <f t="shared" si="37"/>
        <v xml:space="preserve">      series QD_cbiog = 0.740173615428364 * @elem(QD_cbiog, 2015)</v>
      </c>
      <c r="BP34" t="str">
        <f t="shared" si="38"/>
        <v xml:space="preserve">      series QD_cbiom = 0.740880563886829 * @elem(QD_cbiom, 2015)</v>
      </c>
      <c r="BQ34" t="str">
        <f t="shared" si="39"/>
        <v xml:space="preserve">      series QD_cbiof = 1.19124807736554 * @elem(QD_cbiof, 2015)</v>
      </c>
      <c r="BR34" t="str">
        <f t="shared" si="40"/>
        <v xml:space="preserve">      series QD_chea = 1.17596519365068 * @elem(QD_chea, 2015)</v>
      </c>
      <c r="BS34" t="s">
        <v>64</v>
      </c>
      <c r="BT34">
        <v>4</v>
      </c>
      <c r="BU34" t="s">
        <v>73</v>
      </c>
      <c r="BV34" t="str" cm="1">
        <f t="array" aca="1" ref="BV34" ca="1">INDIRECT(BU34&amp;BT34)</f>
        <v xml:space="preserve">      series QD_cres = 1.02660710149823 * @elem(QD_cres, 2015)</v>
      </c>
      <c r="CC34">
        <f t="shared" si="4"/>
        <v>18</v>
      </c>
      <c r="CD34" t="s">
        <v>81</v>
      </c>
      <c r="CE34" t="str" cm="1">
        <f t="array" aca="1" ref="CE34" ca="1">INDIRECT(CD34&amp;CC34)</f>
        <v xml:space="preserve">      series QD_cgas = 1.19176419612018 * @elem(QD_cgas, 2015)</v>
      </c>
    </row>
    <row r="35" spans="1:83" x14ac:dyDescent="0.25">
      <c r="A35">
        <v>2047</v>
      </c>
      <c r="B35">
        <v>47985.671369999996</v>
      </c>
      <c r="C35">
        <v>12004.06034</v>
      </c>
      <c r="D35">
        <v>51737.162040000003</v>
      </c>
      <c r="E35">
        <v>14438.42922</v>
      </c>
      <c r="F35">
        <v>10680.150449999999</v>
      </c>
      <c r="G35">
        <v>11877.988859999999</v>
      </c>
      <c r="H35">
        <v>128688.2916</v>
      </c>
      <c r="I35">
        <v>1743524.4310000001</v>
      </c>
      <c r="J35">
        <v>80907.559139999998</v>
      </c>
      <c r="K35">
        <v>12407.610549999999</v>
      </c>
      <c r="L35">
        <v>9746.6371159999999</v>
      </c>
      <c r="M35">
        <v>38.145927389999997</v>
      </c>
      <c r="N35">
        <v>367.88060280000002</v>
      </c>
      <c r="O35">
        <v>71499.980909999998</v>
      </c>
      <c r="P35">
        <v>20252.040819999998</v>
      </c>
      <c r="Q35">
        <v>8849.9880900000007</v>
      </c>
      <c r="R35">
        <v>16264.154339999999</v>
      </c>
      <c r="S35">
        <v>309.75624199999999</v>
      </c>
      <c r="T35">
        <v>77.222621119999999</v>
      </c>
      <c r="U35">
        <v>381.71772270000002</v>
      </c>
      <c r="V35">
        <v>1283.06809</v>
      </c>
      <c r="W35">
        <v>1198.37689</v>
      </c>
      <c r="Y35">
        <f t="shared" si="2"/>
        <v>1.4408891349044921</v>
      </c>
      <c r="Z35">
        <f t="shared" si="41"/>
        <v>1.4969075765161308</v>
      </c>
      <c r="AA35">
        <f t="shared" si="42"/>
        <v>1.3300237346808368</v>
      </c>
      <c r="AB35">
        <f t="shared" si="43"/>
        <v>1.4697666998273522</v>
      </c>
      <c r="AC35">
        <f t="shared" si="5"/>
        <v>1.4470943977063986</v>
      </c>
      <c r="AD35">
        <f t="shared" si="6"/>
        <v>1.4087002826633417</v>
      </c>
      <c r="AE35">
        <f t="shared" si="7"/>
        <v>1.440252666213554</v>
      </c>
      <c r="AF35">
        <f t="shared" si="8"/>
        <v>1.508267486766516</v>
      </c>
      <c r="AG35">
        <f t="shared" si="9"/>
        <v>1.4812989345175369</v>
      </c>
      <c r="AH35">
        <f t="shared" si="10"/>
        <v>1.4605887838129836</v>
      </c>
      <c r="AI35">
        <f t="shared" si="11"/>
        <v>0.96453608273132108</v>
      </c>
      <c r="AJ35">
        <f t="shared" si="12"/>
        <v>7.835113506648507E-2</v>
      </c>
      <c r="AK35">
        <f t="shared" si="13"/>
        <v>0.15013763802969268</v>
      </c>
      <c r="AL35">
        <f t="shared" si="14"/>
        <v>1.6552647683715289</v>
      </c>
      <c r="AM35">
        <f t="shared" si="15"/>
        <v>1.7282812602735698</v>
      </c>
      <c r="AN35">
        <f t="shared" si="16"/>
        <v>1.192758232314783</v>
      </c>
      <c r="AO35">
        <f t="shared" si="17"/>
        <v>1.2097406239259878</v>
      </c>
      <c r="AP35">
        <f t="shared" si="18"/>
        <v>0.76293415005610521</v>
      </c>
      <c r="AQ35">
        <f t="shared" si="19"/>
        <v>0.73314955404886528</v>
      </c>
      <c r="AR35">
        <f t="shared" si="20"/>
        <v>0.73569903160028671</v>
      </c>
      <c r="AS35">
        <f t="shared" si="21"/>
        <v>1.1962514809632536</v>
      </c>
      <c r="AT35">
        <f t="shared" si="22"/>
        <v>1.1755188841544557</v>
      </c>
      <c r="AV35" t="s">
        <v>35</v>
      </c>
      <c r="AW35" t="str">
        <f t="shared" si="3"/>
        <v xml:space="preserve">      series QD_cagr = 1.44088913490449 * @elem(QD_cagr, 2015)</v>
      </c>
      <c r="AX35" t="str">
        <f t="shared" si="44"/>
        <v xml:space="preserve">      series QD_cmet = 1.49690757651613 * @elem(QD_cmet, 2015)</v>
      </c>
      <c r="AY35" t="str">
        <f t="shared" si="45"/>
        <v xml:space="preserve">      series QD_cchem = 1.33002373468084 * @elem(QD_cchem, 2015)</v>
      </c>
      <c r="AZ35" t="str">
        <f t="shared" si="46"/>
        <v xml:space="preserve">      series QD_cpla = 1.46976669982735 * @elem(QD_cpla, 2015)</v>
      </c>
      <c r="BA35" t="str">
        <f t="shared" si="23"/>
        <v xml:space="preserve">      series QD_cgla = 1.4470943977064 * @elem(QD_cgla, 2015)</v>
      </c>
      <c r="BB35" t="str">
        <f t="shared" si="24"/>
        <v xml:space="preserve">      series QD_cpap = 1.40870028266334 * @elem(QD_cpap, 2015)</v>
      </c>
      <c r="BC35" t="str">
        <f t="shared" si="25"/>
        <v xml:space="preserve">      series QD_cfoo = 1.44025266621355 * @elem(QD_cfoo, 2015)</v>
      </c>
      <c r="BD35" t="str">
        <f t="shared" si="26"/>
        <v xml:space="preserve">      series QD_cres = 1.50826748676652 * @elem(QD_cres, 2015)</v>
      </c>
      <c r="BE35" t="str">
        <f t="shared" si="27"/>
        <v xml:space="preserve">      series QD_croa = 1.48129893451754 * @elem(QD_croa, 2015)</v>
      </c>
      <c r="BF35" t="str">
        <f t="shared" si="28"/>
        <v xml:space="preserve">      series QD_cwat = 1.46058878381298 * @elem(QD_cwat, 2015)</v>
      </c>
      <c r="BG35" t="str">
        <f t="shared" si="29"/>
        <v xml:space="preserve">      series QD_cair = 0.964536082731321 * @elem(QD_cair, 2015)</v>
      </c>
      <c r="BH35" t="str">
        <f t="shared" si="30"/>
        <v xml:space="preserve">      series QD_ccoa = 0.0783511350664851 * @elem(QD_ccoa, 2015)</v>
      </c>
      <c r="BI35" t="str">
        <f t="shared" si="31"/>
        <v xml:space="preserve">      series QD_coil = 0.150137638029693 * @elem(QD_coil, 2015)</v>
      </c>
      <c r="BJ35" t="str">
        <f t="shared" si="32"/>
        <v xml:space="preserve">      series QD_cfue = 1.65526476837153 * @elem(QD_cfue, 2015)</v>
      </c>
      <c r="BK35" t="str">
        <f t="shared" si="33"/>
        <v xml:space="preserve">      series QD_cpch = 1.72828126027357 * @elem(QD_cpch, 2015)</v>
      </c>
      <c r="BL35" t="str">
        <f t="shared" si="34"/>
        <v xml:space="preserve">      series QD_cele = 1.19275823231478 * @elem(QD_cele, 2015)</v>
      </c>
      <c r="BM35" t="str">
        <f t="shared" si="35"/>
        <v xml:space="preserve">      series QD_cgas = 1.20974062392599 * @elem(QD_cgas, 2015)</v>
      </c>
      <c r="BN35" t="str">
        <f t="shared" si="36"/>
        <v xml:space="preserve">      series QD_cmga = 0.762934150056105 * @elem(QD_cmga, 2015)</v>
      </c>
      <c r="BO35" t="str">
        <f t="shared" si="37"/>
        <v xml:space="preserve">      series QD_cbiog = 0.733149554048865 * @elem(QD_cbiog, 2015)</v>
      </c>
      <c r="BP35" t="str">
        <f t="shared" si="38"/>
        <v xml:space="preserve">      series QD_cbiom = 0.735699031600287 * @elem(QD_cbiom, 2015)</v>
      </c>
      <c r="BQ35" t="str">
        <f t="shared" si="39"/>
        <v xml:space="preserve">      series QD_cbiof = 1.19625148096325 * @elem(QD_cbiof, 2015)</v>
      </c>
      <c r="BR35" t="str">
        <f t="shared" si="40"/>
        <v xml:space="preserve">      series QD_chea = 1.17551888415446 * @elem(QD_chea, 2015)</v>
      </c>
      <c r="BS35" t="s">
        <v>64</v>
      </c>
      <c r="BT35">
        <v>4</v>
      </c>
      <c r="BU35" t="s">
        <v>74</v>
      </c>
      <c r="BV35" t="str" cm="1">
        <f t="array" aca="1" ref="BV35" ca="1">INDIRECT(BU35&amp;BT35)</f>
        <v xml:space="preserve">      series QD_croa = 1.02028019050911 * @elem(QD_croa, 2015)</v>
      </c>
      <c r="CC35">
        <f t="shared" si="4"/>
        <v>19</v>
      </c>
      <c r="CD35" t="s">
        <v>65</v>
      </c>
      <c r="CE35" t="str" cm="1">
        <f t="array" aca="1" ref="CE35" ca="1">INDIRECT(CD35&amp;CC35)</f>
        <v xml:space="preserve">      smpl 2031 2031</v>
      </c>
    </row>
    <row r="36" spans="1:83" x14ac:dyDescent="0.25">
      <c r="A36">
        <v>2048</v>
      </c>
      <c r="B36">
        <v>48312.875619999999</v>
      </c>
      <c r="C36">
        <v>12064.733749999999</v>
      </c>
      <c r="D36">
        <v>52003.498520000001</v>
      </c>
      <c r="E36">
        <v>14528.578949999999</v>
      </c>
      <c r="F36">
        <v>10737.68289</v>
      </c>
      <c r="G36">
        <v>11942.38961</v>
      </c>
      <c r="H36">
        <v>129526.4117</v>
      </c>
      <c r="I36">
        <v>1754463.8940000001</v>
      </c>
      <c r="J36">
        <v>81518.218049999996</v>
      </c>
      <c r="K36">
        <v>12489.676100000001</v>
      </c>
      <c r="L36">
        <v>9826.2443660000008</v>
      </c>
      <c r="M36">
        <v>38.237842540000003</v>
      </c>
      <c r="N36">
        <v>368.85884909999999</v>
      </c>
      <c r="O36">
        <v>71760.325620000003</v>
      </c>
      <c r="P36">
        <v>20349.439170000001</v>
      </c>
      <c r="Q36">
        <v>8897.4210019999991</v>
      </c>
      <c r="R36">
        <v>16312.084919999999</v>
      </c>
      <c r="S36">
        <v>321.3821615</v>
      </c>
      <c r="T36">
        <v>76.589930670000001</v>
      </c>
      <c r="U36">
        <v>378.88924259999999</v>
      </c>
      <c r="V36">
        <v>1288.2514860000001</v>
      </c>
      <c r="W36">
        <v>1197.169114</v>
      </c>
      <c r="Y36">
        <f t="shared" si="2"/>
        <v>1.4507142563471886</v>
      </c>
      <c r="Z36">
        <f t="shared" si="41"/>
        <v>1.5044735570718457</v>
      </c>
      <c r="AA36">
        <f t="shared" si="42"/>
        <v>1.3368705315642351</v>
      </c>
      <c r="AB36">
        <f t="shared" si="43"/>
        <v>1.4789435340337276</v>
      </c>
      <c r="AC36">
        <f t="shared" si="5"/>
        <v>1.4548896878570521</v>
      </c>
      <c r="AD36">
        <f t="shared" si="6"/>
        <v>1.4163380533161027</v>
      </c>
      <c r="AE36">
        <f t="shared" si="7"/>
        <v>1.4496327325243588</v>
      </c>
      <c r="AF36">
        <f t="shared" si="8"/>
        <v>1.5177308679914765</v>
      </c>
      <c r="AG36">
        <f t="shared" si="9"/>
        <v>1.4924792049687985</v>
      </c>
      <c r="AH36">
        <f t="shared" si="10"/>
        <v>1.4702493080037147</v>
      </c>
      <c r="AI36">
        <f t="shared" si="11"/>
        <v>0.97241408866897583</v>
      </c>
      <c r="AJ36">
        <f t="shared" si="12"/>
        <v>7.8539927339344964E-2</v>
      </c>
      <c r="AK36">
        <f t="shared" si="13"/>
        <v>0.1505368751402536</v>
      </c>
      <c r="AL36">
        <f t="shared" si="14"/>
        <v>1.6612918948212176</v>
      </c>
      <c r="AM36">
        <f t="shared" si="15"/>
        <v>1.7365931012669147</v>
      </c>
      <c r="AN36">
        <f t="shared" si="16"/>
        <v>1.199151008858131</v>
      </c>
      <c r="AO36">
        <f t="shared" si="17"/>
        <v>1.2133057382591523</v>
      </c>
      <c r="AP36">
        <f t="shared" si="18"/>
        <v>0.79156895965698226</v>
      </c>
      <c r="AQ36">
        <f t="shared" si="19"/>
        <v>0.7271428073917211</v>
      </c>
      <c r="AR36">
        <f t="shared" si="20"/>
        <v>0.73024759472239742</v>
      </c>
      <c r="AS36">
        <f t="shared" si="21"/>
        <v>1.2010841513333967</v>
      </c>
      <c r="AT36">
        <f t="shared" si="22"/>
        <v>1.1743341454402199</v>
      </c>
      <c r="AV36" t="s">
        <v>36</v>
      </c>
      <c r="AW36" t="str">
        <f t="shared" si="3"/>
        <v xml:space="preserve">      series QD_cagr = 1.45071425634719 * @elem(QD_cagr, 2015)</v>
      </c>
      <c r="AX36" t="str">
        <f t="shared" si="44"/>
        <v xml:space="preserve">      series QD_cmet = 1.50447355707185 * @elem(QD_cmet, 2015)</v>
      </c>
      <c r="AY36" t="str">
        <f t="shared" si="45"/>
        <v xml:space="preserve">      series QD_cchem = 1.33687053156424 * @elem(QD_cchem, 2015)</v>
      </c>
      <c r="AZ36" t="str">
        <f t="shared" si="46"/>
        <v xml:space="preserve">      series QD_cpla = 1.47894353403373 * @elem(QD_cpla, 2015)</v>
      </c>
      <c r="BA36" t="str">
        <f t="shared" si="23"/>
        <v xml:space="preserve">      series QD_cgla = 1.45488968785705 * @elem(QD_cgla, 2015)</v>
      </c>
      <c r="BB36" t="str">
        <f t="shared" si="24"/>
        <v xml:space="preserve">      series QD_cpap = 1.4163380533161 * @elem(QD_cpap, 2015)</v>
      </c>
      <c r="BC36" t="str">
        <f t="shared" si="25"/>
        <v xml:space="preserve">      series QD_cfoo = 1.44963273252436 * @elem(QD_cfoo, 2015)</v>
      </c>
      <c r="BD36" t="str">
        <f t="shared" si="26"/>
        <v xml:space="preserve">      series QD_cres = 1.51773086799148 * @elem(QD_cres, 2015)</v>
      </c>
      <c r="BE36" t="str">
        <f t="shared" si="27"/>
        <v xml:space="preserve">      series QD_croa = 1.4924792049688 * @elem(QD_croa, 2015)</v>
      </c>
      <c r="BF36" t="str">
        <f t="shared" si="28"/>
        <v xml:space="preserve">      series QD_cwat = 1.47024930800371 * @elem(QD_cwat, 2015)</v>
      </c>
      <c r="BG36" t="str">
        <f t="shared" si="29"/>
        <v xml:space="preserve">      series QD_cair = 0.972414088668976 * @elem(QD_cair, 2015)</v>
      </c>
      <c r="BH36" t="str">
        <f t="shared" si="30"/>
        <v xml:space="preserve">      series QD_ccoa = 0.078539927339345 * @elem(QD_ccoa, 2015)</v>
      </c>
      <c r="BI36" t="str">
        <f t="shared" si="31"/>
        <v xml:space="preserve">      series QD_coil = 0.150536875140254 * @elem(QD_coil, 2015)</v>
      </c>
      <c r="BJ36" t="str">
        <f t="shared" si="32"/>
        <v xml:space="preserve">      series QD_cfue = 1.66129189482122 * @elem(QD_cfue, 2015)</v>
      </c>
      <c r="BK36" t="str">
        <f t="shared" si="33"/>
        <v xml:space="preserve">      series QD_cpch = 1.73659310126691 * @elem(QD_cpch, 2015)</v>
      </c>
      <c r="BL36" t="str">
        <f t="shared" si="34"/>
        <v xml:space="preserve">      series QD_cele = 1.19915100885813 * @elem(QD_cele, 2015)</v>
      </c>
      <c r="BM36" t="str">
        <f t="shared" si="35"/>
        <v xml:space="preserve">      series QD_cgas = 1.21330573825915 * @elem(QD_cgas, 2015)</v>
      </c>
      <c r="BN36" t="str">
        <f t="shared" si="36"/>
        <v xml:space="preserve">      series QD_cmga = 0.791568959656982 * @elem(QD_cmga, 2015)</v>
      </c>
      <c r="BO36" t="str">
        <f t="shared" si="37"/>
        <v xml:space="preserve">      series QD_cbiog = 0.727142807391721 * @elem(QD_cbiog, 2015)</v>
      </c>
      <c r="BP36" t="str">
        <f t="shared" si="38"/>
        <v xml:space="preserve">      series QD_cbiom = 0.730247594722397 * @elem(QD_cbiom, 2015)</v>
      </c>
      <c r="BQ36" t="str">
        <f t="shared" si="39"/>
        <v xml:space="preserve">      series QD_cbiof = 1.2010841513334 * @elem(QD_cbiof, 2015)</v>
      </c>
      <c r="BR36" t="str">
        <f t="shared" si="40"/>
        <v xml:space="preserve">      series QD_chea = 1.17433414544022 * @elem(QD_chea, 2015)</v>
      </c>
      <c r="BS36" t="s">
        <v>64</v>
      </c>
      <c r="BT36">
        <v>4</v>
      </c>
      <c r="BU36" t="s">
        <v>75</v>
      </c>
      <c r="BV36" t="str" cm="1">
        <f t="array" aca="1" ref="BV36" ca="1">INDIRECT(BU36&amp;BT36)</f>
        <v xml:space="preserve">      series QD_cwat = 1.02522152187195 * @elem(QD_cwat, 2015)</v>
      </c>
      <c r="CC36">
        <f t="shared" si="4"/>
        <v>19</v>
      </c>
      <c r="CD36" t="s">
        <v>81</v>
      </c>
      <c r="CE36" t="str" cm="1">
        <f t="array" aca="1" ref="CE36" ca="1">INDIRECT(CD36&amp;CC36)</f>
        <v xml:space="preserve">      series QD_cgas = 1.19033373677969 * @elem(QD_cgas, 2015)</v>
      </c>
    </row>
    <row r="37" spans="1:83" x14ac:dyDescent="0.25">
      <c r="A37">
        <v>2049</v>
      </c>
      <c r="B37">
        <v>48630.628499999999</v>
      </c>
      <c r="C37">
        <v>12124.51715</v>
      </c>
      <c r="D37">
        <v>52265.613279999998</v>
      </c>
      <c r="E37">
        <v>14617.87542</v>
      </c>
      <c r="F37">
        <v>10794.754870000001</v>
      </c>
      <c r="G37">
        <v>12006.049580000001</v>
      </c>
      <c r="H37">
        <v>130355.944</v>
      </c>
      <c r="I37">
        <v>1765363.5060000001</v>
      </c>
      <c r="J37">
        <v>82111.414099999995</v>
      </c>
      <c r="K37">
        <v>12570.43851</v>
      </c>
      <c r="L37">
        <v>9915.5224689999995</v>
      </c>
      <c r="M37">
        <v>38.34322985</v>
      </c>
      <c r="N37">
        <v>369.8449243</v>
      </c>
      <c r="O37">
        <v>72021.063890000005</v>
      </c>
      <c r="P37">
        <v>20445.844069999999</v>
      </c>
      <c r="Q37">
        <v>8943.7433400000009</v>
      </c>
      <c r="R37">
        <v>16358.937089999999</v>
      </c>
      <c r="S37">
        <v>333.62563599999999</v>
      </c>
      <c r="T37">
        <v>76.054142220000003</v>
      </c>
      <c r="U37">
        <v>375.97455769999999</v>
      </c>
      <c r="V37">
        <v>1293.2377289999999</v>
      </c>
      <c r="W37">
        <v>1195.306458</v>
      </c>
      <c r="Y37">
        <f t="shared" si="2"/>
        <v>1.4602555768977823</v>
      </c>
      <c r="Z37">
        <f t="shared" si="41"/>
        <v>1.5119285532877256</v>
      </c>
      <c r="AA37">
        <f t="shared" si="42"/>
        <v>1.3436087993443779</v>
      </c>
      <c r="AB37">
        <f t="shared" si="43"/>
        <v>1.4880335102367024</v>
      </c>
      <c r="AC37">
        <f t="shared" si="5"/>
        <v>1.4626225885226987</v>
      </c>
      <c r="AD37">
        <f t="shared" si="6"/>
        <v>1.4238879692817035</v>
      </c>
      <c r="AE37">
        <f t="shared" si="7"/>
        <v>1.4589166859589016</v>
      </c>
      <c r="AF37">
        <f t="shared" si="8"/>
        <v>1.5271597753848425</v>
      </c>
      <c r="AG37">
        <f t="shared" si="9"/>
        <v>1.5033397560244115</v>
      </c>
      <c r="AH37">
        <f t="shared" si="10"/>
        <v>1.4797564302432749</v>
      </c>
      <c r="AI37">
        <f t="shared" si="11"/>
        <v>0.98124913102424538</v>
      </c>
      <c r="AJ37">
        <f t="shared" si="12"/>
        <v>7.8756391217013541E-2</v>
      </c>
      <c r="AK37">
        <f t="shared" si="13"/>
        <v>0.15093930734331309</v>
      </c>
      <c r="AL37">
        <f t="shared" si="14"/>
        <v>1.6673281324062377</v>
      </c>
      <c r="AM37">
        <f t="shared" si="15"/>
        <v>1.7448201626060369</v>
      </c>
      <c r="AN37">
        <f t="shared" si="16"/>
        <v>1.2053941076541621</v>
      </c>
      <c r="AO37">
        <f t="shared" si="17"/>
        <v>1.2167906396062018</v>
      </c>
      <c r="AP37">
        <f t="shared" si="18"/>
        <v>0.82172481624627769</v>
      </c>
      <c r="AQ37">
        <f t="shared" si="19"/>
        <v>0.72205604579926463</v>
      </c>
      <c r="AR37">
        <f t="shared" si="20"/>
        <v>0.72463001206686206</v>
      </c>
      <c r="AS37">
        <f t="shared" si="21"/>
        <v>1.2057330087242717</v>
      </c>
      <c r="AT37">
        <f t="shared" si="22"/>
        <v>1.172507017997297</v>
      </c>
      <c r="AV37" t="s">
        <v>37</v>
      </c>
      <c r="AW37" t="str">
        <f t="shared" si="3"/>
        <v xml:space="preserve">      series QD_cagr = 1.46025557689778 * @elem(QD_cagr, 2015)</v>
      </c>
      <c r="AX37" t="str">
        <f t="shared" si="44"/>
        <v xml:space="preserve">      series QD_cmet = 1.51192855328773 * @elem(QD_cmet, 2015)</v>
      </c>
      <c r="AY37" t="str">
        <f t="shared" si="45"/>
        <v xml:space="preserve">      series QD_cchem = 1.34360879934438 * @elem(QD_cchem, 2015)</v>
      </c>
      <c r="AZ37" t="str">
        <f t="shared" si="46"/>
        <v xml:space="preserve">      series QD_cpla = 1.4880335102367 * @elem(QD_cpla, 2015)</v>
      </c>
      <c r="BA37" t="str">
        <f t="shared" si="23"/>
        <v xml:space="preserve">      series QD_cgla = 1.4626225885227 * @elem(QD_cgla, 2015)</v>
      </c>
      <c r="BB37" t="str">
        <f t="shared" si="24"/>
        <v xml:space="preserve">      series QD_cpap = 1.4238879692817 * @elem(QD_cpap, 2015)</v>
      </c>
      <c r="BC37" t="str">
        <f t="shared" si="25"/>
        <v xml:space="preserve">      series QD_cfoo = 1.4589166859589 * @elem(QD_cfoo, 2015)</v>
      </c>
      <c r="BD37" t="str">
        <f t="shared" si="26"/>
        <v xml:space="preserve">      series QD_cres = 1.52715977538484 * @elem(QD_cres, 2015)</v>
      </c>
      <c r="BE37" t="str">
        <f t="shared" si="27"/>
        <v xml:space="preserve">      series QD_croa = 1.50333975602441 * @elem(QD_croa, 2015)</v>
      </c>
      <c r="BF37" t="str">
        <f t="shared" si="28"/>
        <v xml:space="preserve">      series QD_cwat = 1.47975643024327 * @elem(QD_cwat, 2015)</v>
      </c>
      <c r="BG37" t="str">
        <f t="shared" si="29"/>
        <v xml:space="preserve">      series QD_cair = 0.981249131024245 * @elem(QD_cair, 2015)</v>
      </c>
      <c r="BH37" t="str">
        <f t="shared" si="30"/>
        <v xml:space="preserve">      series QD_ccoa = 0.0787563912170135 * @elem(QD_ccoa, 2015)</v>
      </c>
      <c r="BI37" t="str">
        <f t="shared" si="31"/>
        <v xml:space="preserve">      series QD_coil = 0.150939307343313 * @elem(QD_coil, 2015)</v>
      </c>
      <c r="BJ37" t="str">
        <f t="shared" si="32"/>
        <v xml:space="preserve">      series QD_cfue = 1.66732813240624 * @elem(QD_cfue, 2015)</v>
      </c>
      <c r="BK37" t="str">
        <f t="shared" si="33"/>
        <v xml:space="preserve">      series QD_cpch = 1.74482016260604 * @elem(QD_cpch, 2015)</v>
      </c>
      <c r="BL37" t="str">
        <f t="shared" si="34"/>
        <v xml:space="preserve">      series QD_cele = 1.20539410765416 * @elem(QD_cele, 2015)</v>
      </c>
      <c r="BM37" t="str">
        <f t="shared" si="35"/>
        <v xml:space="preserve">      series QD_cgas = 1.2167906396062 * @elem(QD_cgas, 2015)</v>
      </c>
      <c r="BN37" t="str">
        <f t="shared" si="36"/>
        <v xml:space="preserve">      series QD_cmga = 0.821724816246278 * @elem(QD_cmga, 2015)</v>
      </c>
      <c r="BO37" t="str">
        <f t="shared" si="37"/>
        <v xml:space="preserve">      series QD_cbiog = 0.722056045799265 * @elem(QD_cbiog, 2015)</v>
      </c>
      <c r="BP37" t="str">
        <f t="shared" si="38"/>
        <v xml:space="preserve">      series QD_cbiom = 0.724630012066862 * @elem(QD_cbiom, 2015)</v>
      </c>
      <c r="BQ37" t="str">
        <f t="shared" si="39"/>
        <v xml:space="preserve">      series QD_cbiof = 1.20573300872427 * @elem(QD_cbiof, 2015)</v>
      </c>
      <c r="BR37" t="str">
        <f t="shared" si="40"/>
        <v xml:space="preserve">      series QD_chea = 1.1725070179973 * @elem(QD_chea, 2015)</v>
      </c>
      <c r="BS37" t="s">
        <v>64</v>
      </c>
      <c r="BT37">
        <v>4</v>
      </c>
      <c r="BU37" t="s">
        <v>86</v>
      </c>
      <c r="BV37" t="str" cm="1">
        <f t="array" aca="1" ref="BV37" ca="1">INDIRECT(BU37&amp;BT37)</f>
        <v xml:space="preserve">      series QD_cair = 1.02466824146462 * @elem(QD_cair, 2015)</v>
      </c>
      <c r="CC37">
        <f t="shared" si="4"/>
        <v>20</v>
      </c>
      <c r="CD37" t="s">
        <v>65</v>
      </c>
      <c r="CE37" t="str" cm="1">
        <f t="array" aca="1" ref="CE37" ca="1">INDIRECT(CD37&amp;CC37)</f>
        <v xml:space="preserve">      smpl 2032 2032</v>
      </c>
    </row>
    <row r="38" spans="1:83" x14ac:dyDescent="0.25">
      <c r="A38">
        <v>2050</v>
      </c>
      <c r="B38">
        <v>48939.583919999997</v>
      </c>
      <c r="C38">
        <v>12183.426240000001</v>
      </c>
      <c r="D38">
        <v>52523.928390000001</v>
      </c>
      <c r="E38">
        <v>14706.392589999999</v>
      </c>
      <c r="F38">
        <v>10851.36282</v>
      </c>
      <c r="G38">
        <v>12068.94355</v>
      </c>
      <c r="H38">
        <v>131177.0338</v>
      </c>
      <c r="I38">
        <v>1776229.8189999999</v>
      </c>
      <c r="J38">
        <v>82687.889370000004</v>
      </c>
      <c r="K38">
        <v>12650.05559</v>
      </c>
      <c r="L38">
        <v>10010.69148</v>
      </c>
      <c r="M38">
        <v>38.459277800000002</v>
      </c>
      <c r="N38">
        <v>370.83007709999998</v>
      </c>
      <c r="O38">
        <v>72281.466719999997</v>
      </c>
      <c r="P38">
        <v>20541.304990000001</v>
      </c>
      <c r="Q38">
        <v>8988.9741360000007</v>
      </c>
      <c r="R38">
        <v>16404.96572</v>
      </c>
      <c r="S38">
        <v>346.51007240000001</v>
      </c>
      <c r="T38">
        <v>75.60538493</v>
      </c>
      <c r="U38">
        <v>373.01621039999998</v>
      </c>
      <c r="V38">
        <v>1298.0259799999999</v>
      </c>
      <c r="W38">
        <v>1192.916348</v>
      </c>
      <c r="Y38">
        <f t="shared" si="2"/>
        <v>1.4695327318304561</v>
      </c>
      <c r="Z38">
        <f t="shared" si="41"/>
        <v>1.5192745229554083</v>
      </c>
      <c r="AA38">
        <f t="shared" si="42"/>
        <v>1.3502493883094449</v>
      </c>
      <c r="AB38">
        <f t="shared" si="43"/>
        <v>1.497044157229295</v>
      </c>
      <c r="AC38">
        <f t="shared" si="5"/>
        <v>1.4702926159903964</v>
      </c>
      <c r="AD38">
        <f t="shared" si="6"/>
        <v>1.4313470395301342</v>
      </c>
      <c r="AE38">
        <f t="shared" si="7"/>
        <v>1.4681061526846433</v>
      </c>
      <c r="AF38">
        <f t="shared" si="8"/>
        <v>1.5365598768732558</v>
      </c>
      <c r="AG38">
        <f t="shared" si="9"/>
        <v>1.5138941740825451</v>
      </c>
      <c r="AH38">
        <f t="shared" si="10"/>
        <v>1.4891287274780507</v>
      </c>
      <c r="AI38">
        <f t="shared" si="11"/>
        <v>0.99066714299851555</v>
      </c>
      <c r="AJ38">
        <f t="shared" si="12"/>
        <v>7.8994751881618128E-2</v>
      </c>
      <c r="AK38">
        <f t="shared" si="13"/>
        <v>0.1513413631009817</v>
      </c>
      <c r="AL38">
        <f t="shared" si="14"/>
        <v>1.6733566043666117</v>
      </c>
      <c r="AM38">
        <f t="shared" si="15"/>
        <v>1.7529666659925769</v>
      </c>
      <c r="AN38">
        <f t="shared" si="16"/>
        <v>1.2114900937430146</v>
      </c>
      <c r="AO38">
        <f t="shared" si="17"/>
        <v>1.2202142853986986</v>
      </c>
      <c r="AP38">
        <f t="shared" si="18"/>
        <v>0.85345937136070205</v>
      </c>
      <c r="AQ38">
        <f t="shared" si="19"/>
        <v>0.71779555577357101</v>
      </c>
      <c r="AR38">
        <f t="shared" si="20"/>
        <v>0.71892827721328323</v>
      </c>
      <c r="AS38">
        <f t="shared" si="21"/>
        <v>1.2101972709053801</v>
      </c>
      <c r="AT38">
        <f t="shared" si="22"/>
        <v>1.1701624972846134</v>
      </c>
      <c r="AV38" t="s">
        <v>38</v>
      </c>
      <c r="AW38" t="str">
        <f t="shared" si="3"/>
        <v xml:space="preserve">      series QD_cagr = 1.46953273183046 * @elem(QD_cagr, 2015)</v>
      </c>
      <c r="AX38" t="str">
        <f t="shared" si="44"/>
        <v xml:space="preserve">      series QD_cmet = 1.51927452295541 * @elem(QD_cmet, 2015)</v>
      </c>
      <c r="AY38" t="str">
        <f t="shared" si="45"/>
        <v xml:space="preserve">      series QD_cchem = 1.35024938830944 * @elem(QD_cchem, 2015)</v>
      </c>
      <c r="AZ38" t="str">
        <f t="shared" si="46"/>
        <v xml:space="preserve">      series QD_cpla = 1.49704415722929 * @elem(QD_cpla, 2015)</v>
      </c>
      <c r="BA38" t="str">
        <f t="shared" si="23"/>
        <v xml:space="preserve">      series QD_cgla = 1.4702926159904 * @elem(QD_cgla, 2015)</v>
      </c>
      <c r="BB38" t="str">
        <f t="shared" si="24"/>
        <v xml:space="preserve">      series QD_cpap = 1.43134703953013 * @elem(QD_cpap, 2015)</v>
      </c>
      <c r="BC38" t="str">
        <f t="shared" si="25"/>
        <v xml:space="preserve">      series QD_cfoo = 1.46810615268464 * @elem(QD_cfoo, 2015)</v>
      </c>
      <c r="BD38" t="str">
        <f t="shared" si="26"/>
        <v xml:space="preserve">      series QD_cres = 1.53655987687326 * @elem(QD_cres, 2015)</v>
      </c>
      <c r="BE38" t="str">
        <f t="shared" si="27"/>
        <v xml:space="preserve">      series QD_croa = 1.51389417408255 * @elem(QD_croa, 2015)</v>
      </c>
      <c r="BF38" t="str">
        <f t="shared" si="28"/>
        <v xml:space="preserve">      series QD_cwat = 1.48912872747805 * @elem(QD_cwat, 2015)</v>
      </c>
      <c r="BG38" t="str">
        <f t="shared" si="29"/>
        <v xml:space="preserve">      series QD_cair = 0.990667142998516 * @elem(QD_cair, 2015)</v>
      </c>
      <c r="BH38" t="str">
        <f t="shared" si="30"/>
        <v xml:space="preserve">      series QD_ccoa = 0.0789947518816181 * @elem(QD_ccoa, 2015)</v>
      </c>
      <c r="BI38" t="str">
        <f t="shared" si="31"/>
        <v xml:space="preserve">      series QD_coil = 0.151341363100982 * @elem(QD_coil, 2015)</v>
      </c>
      <c r="BJ38" t="str">
        <f t="shared" si="32"/>
        <v xml:space="preserve">      series QD_cfue = 1.67335660436661 * @elem(QD_cfue, 2015)</v>
      </c>
      <c r="BK38" t="str">
        <f t="shared" si="33"/>
        <v xml:space="preserve">      series QD_cpch = 1.75296666599258 * @elem(QD_cpch, 2015)</v>
      </c>
      <c r="BL38" t="str">
        <f t="shared" si="34"/>
        <v xml:space="preserve">      series QD_cele = 1.21149009374301 * @elem(QD_cele, 2015)</v>
      </c>
      <c r="BM38" t="str">
        <f t="shared" si="35"/>
        <v xml:space="preserve">      series QD_cgas = 1.2202142853987 * @elem(QD_cgas, 2015)</v>
      </c>
      <c r="BN38" t="str">
        <f t="shared" si="36"/>
        <v xml:space="preserve">      series QD_cmga = 0.853459371360702 * @elem(QD_cmga, 2015)</v>
      </c>
      <c r="BO38" t="str">
        <f t="shared" si="37"/>
        <v xml:space="preserve">      series QD_cbiog = 0.717795555773571 * @elem(QD_cbiog, 2015)</v>
      </c>
      <c r="BP38" t="str">
        <f t="shared" si="38"/>
        <v xml:space="preserve">      series QD_cbiom = 0.718928277213283 * @elem(QD_cbiom, 2015)</v>
      </c>
      <c r="BQ38" t="str">
        <f t="shared" si="39"/>
        <v xml:space="preserve">      series QD_cbiof = 1.21019727090538 * @elem(QD_cbiof, 2015)</v>
      </c>
      <c r="BR38" t="str">
        <f t="shared" si="40"/>
        <v xml:space="preserve">      series QD_chea = 1.17016249728461 * @elem(QD_chea, 2015)</v>
      </c>
      <c r="BS38" t="s">
        <v>64</v>
      </c>
      <c r="BT38">
        <v>4</v>
      </c>
      <c r="BU38" t="s">
        <v>76</v>
      </c>
      <c r="BV38" t="str" cm="1">
        <f t="array" aca="1" ref="BV38" ca="1">INDIRECT(BU38&amp;BT38)</f>
        <v xml:space="preserve">      series QD_ccoa = 0.812343907233844 * @elem(QD_ccoa, 2015)</v>
      </c>
      <c r="CC38">
        <f t="shared" si="4"/>
        <v>20</v>
      </c>
      <c r="CD38" t="s">
        <v>81</v>
      </c>
      <c r="CE38" t="str" cm="1">
        <f t="array" aca="1" ref="CE38" ca="1">INDIRECT(CD38&amp;CC38)</f>
        <v xml:space="preserve">      series QD_cgas = 1.18868632876198 * @elem(QD_cgas, 2015)</v>
      </c>
    </row>
    <row r="39" spans="1:83" x14ac:dyDescent="0.25">
      <c r="BS39" t="s">
        <v>64</v>
      </c>
      <c r="BT39">
        <v>4</v>
      </c>
      <c r="BU39" t="s">
        <v>77</v>
      </c>
      <c r="BV39" t="str" cm="1">
        <f t="array" aca="1" ref="BV39" ca="1">INDIRECT(BU39&amp;BT39)</f>
        <v xml:space="preserve">      series QD_coil = 0.824239585544497 * @elem(QD_coil, 2015)</v>
      </c>
      <c r="CC39">
        <f t="shared" si="4"/>
        <v>21</v>
      </c>
      <c r="CD39" t="s">
        <v>65</v>
      </c>
      <c r="CE39" t="str" cm="1">
        <f t="array" aca="1" ref="CE39" ca="1">INDIRECT(CD39&amp;CC39)</f>
        <v xml:space="preserve">      smpl 2033 2033</v>
      </c>
    </row>
    <row r="40" spans="1:83" x14ac:dyDescent="0.25">
      <c r="BS40" t="s">
        <v>64</v>
      </c>
      <c r="BT40">
        <v>4</v>
      </c>
      <c r="BU40" t="s">
        <v>78</v>
      </c>
      <c r="BV40" t="str" cm="1">
        <f t="array" aca="1" ref="BV40" ca="1">INDIRECT(BU40&amp;BT40)</f>
        <v xml:space="preserve">      series QD_cfue = 1.07431489453245 * @elem(QD_cfue, 2015)</v>
      </c>
      <c r="CC40">
        <f t="shared" si="4"/>
        <v>21</v>
      </c>
      <c r="CD40" t="s">
        <v>81</v>
      </c>
      <c r="CE40" t="str" cm="1">
        <f t="array" aca="1" ref="CE40" ca="1">INDIRECT(CD40&amp;CC40)</f>
        <v xml:space="preserve">      series QD_cgas = 1.18702072943484 * @elem(QD_cgas, 2015)</v>
      </c>
    </row>
    <row r="41" spans="1:83" x14ac:dyDescent="0.25">
      <c r="BS41" t="s">
        <v>64</v>
      </c>
      <c r="BT41">
        <v>4</v>
      </c>
      <c r="BU41" t="s">
        <v>79</v>
      </c>
      <c r="BV41" t="str" cm="1">
        <f t="array" aca="1" ref="BV41" ca="1">INDIRECT(BU41&amp;BT41)</f>
        <v xml:space="preserve">      series QD_cpch = 1.07459458012209 * @elem(QD_cpch, 2015)</v>
      </c>
      <c r="CC41">
        <f t="shared" si="4"/>
        <v>22</v>
      </c>
      <c r="CD41" t="s">
        <v>65</v>
      </c>
      <c r="CE41" t="str" cm="1">
        <f t="array" aca="1" ref="CE41" ca="1">INDIRECT(CD41&amp;CC41)</f>
        <v xml:space="preserve">      smpl 2034 2034</v>
      </c>
    </row>
    <row r="42" spans="1:83" x14ac:dyDescent="0.25">
      <c r="BS42" t="s">
        <v>64</v>
      </c>
      <c r="BT42">
        <v>4</v>
      </c>
      <c r="BU42" t="s">
        <v>80</v>
      </c>
      <c r="BV42" t="str" cm="1">
        <f t="array" aca="1" ref="BV42" ca="1">INDIRECT(BU42&amp;BT42)</f>
        <v xml:space="preserve">      series QD_cele = 1.01397574033664 * @elem(QD_cele, 2015)</v>
      </c>
      <c r="CC42">
        <f t="shared" si="4"/>
        <v>22</v>
      </c>
      <c r="CD42" t="s">
        <v>81</v>
      </c>
      <c r="CE42" t="str" cm="1">
        <f t="array" aca="1" ref="CE42" ca="1">INDIRECT(CD42&amp;CC42)</f>
        <v xml:space="preserve">      series QD_cgas = 1.18553652774324 * @elem(QD_cgas, 2015)</v>
      </c>
    </row>
    <row r="43" spans="1:83" x14ac:dyDescent="0.25">
      <c r="BS43" t="s">
        <v>64</v>
      </c>
      <c r="BT43">
        <v>4</v>
      </c>
      <c r="BU43" t="s">
        <v>81</v>
      </c>
      <c r="BV43" t="str" cm="1">
        <f t="array" aca="1" ref="BV43" ca="1">INDIRECT(BU43&amp;BT43)</f>
        <v xml:space="preserve">      series QD_cgas = 1.04214810958474 * @elem(QD_cgas, 2015)</v>
      </c>
      <c r="CC43">
        <f t="shared" si="4"/>
        <v>23</v>
      </c>
      <c r="CD43" t="s">
        <v>65</v>
      </c>
      <c r="CE43" t="str" cm="1">
        <f t="array" aca="1" ref="CE43" ca="1">INDIRECT(CD43&amp;CC43)</f>
        <v xml:space="preserve">      smpl 2035 2035</v>
      </c>
    </row>
    <row r="44" spans="1:83" x14ac:dyDescent="0.25">
      <c r="BS44" t="s">
        <v>64</v>
      </c>
      <c r="BT44">
        <v>4</v>
      </c>
      <c r="BU44" t="s">
        <v>82</v>
      </c>
      <c r="BV44" t="str" cm="1">
        <f t="array" aca="1" ref="BV44" ca="1">INDIRECT(BU44&amp;BT44)</f>
        <v xml:space="preserve">      series QD_cmga = 1.03036341803253 * @elem(QD_cmga, 2015)</v>
      </c>
      <c r="CC44">
        <f t="shared" si="4"/>
        <v>23</v>
      </c>
      <c r="CD44" t="s">
        <v>81</v>
      </c>
      <c r="CE44" t="str" cm="1">
        <f t="array" aca="1" ref="CE44" ca="1">INDIRECT(CD44&amp;CC44)</f>
        <v xml:space="preserve">      series QD_cgas = 1.1843916675725 * @elem(QD_cgas, 2015)</v>
      </c>
    </row>
    <row r="45" spans="1:83" x14ac:dyDescent="0.25">
      <c r="BS45" t="s">
        <v>64</v>
      </c>
      <c r="BT45">
        <v>4</v>
      </c>
      <c r="BU45" t="s">
        <v>83</v>
      </c>
      <c r="BV45" t="str" cm="1">
        <f t="array" aca="1" ref="BV45" ca="1">INDIRECT(BU45&amp;BT45)</f>
        <v xml:space="preserve">      series QD_cbiog = 1.00500603195838 * @elem(QD_cbiog, 2015)</v>
      </c>
      <c r="CC45">
        <f t="shared" si="4"/>
        <v>24</v>
      </c>
      <c r="CD45" t="s">
        <v>65</v>
      </c>
      <c r="CE45" t="str" cm="1">
        <f t="array" aca="1" ref="CE45" ca="1">INDIRECT(CD45&amp;CC45)</f>
        <v xml:space="preserve">      smpl 2036 2036</v>
      </c>
    </row>
    <row r="46" spans="1:83" x14ac:dyDescent="0.25">
      <c r="BS46" t="s">
        <v>64</v>
      </c>
      <c r="BT46">
        <v>4</v>
      </c>
      <c r="BU46" t="s">
        <v>84</v>
      </c>
      <c r="BV46" t="str" cm="1">
        <f t="array" aca="1" ref="BV46" ca="1">INDIRECT(BU46&amp;BT46)</f>
        <v xml:space="preserve">      series QD_cbiom = 0.994467044245831 * @elem(QD_cbiom, 2015)</v>
      </c>
      <c r="CC46">
        <f t="shared" si="4"/>
        <v>24</v>
      </c>
      <c r="CD46" t="s">
        <v>81</v>
      </c>
      <c r="CE46" t="str" cm="1">
        <f t="array" aca="1" ref="CE46" ca="1">INDIRECT(CD46&amp;CC46)</f>
        <v xml:space="preserve">      series QD_cgas = 1.18368404668501 * @elem(QD_cgas, 2015)</v>
      </c>
    </row>
    <row r="47" spans="1:83" x14ac:dyDescent="0.25">
      <c r="BS47" t="s">
        <v>64</v>
      </c>
      <c r="BT47">
        <v>4</v>
      </c>
      <c r="BU47" t="s">
        <v>85</v>
      </c>
      <c r="BV47" t="str" cm="1">
        <f t="array" aca="1" ref="BV47" ca="1">INDIRECT(BU47&amp;BT47)</f>
        <v xml:space="preserve">      series QD_cbiof = 1.01048319862215 * @elem(QD_cbiof, 2015)</v>
      </c>
      <c r="CC47">
        <f t="shared" si="4"/>
        <v>25</v>
      </c>
      <c r="CD47" t="s">
        <v>65</v>
      </c>
      <c r="CE47" t="str" cm="1">
        <f t="array" aca="1" ref="CE47" ca="1">INDIRECT(CD47&amp;CC47)</f>
        <v xml:space="preserve">      smpl 2037 2037</v>
      </c>
    </row>
    <row r="48" spans="1:83" x14ac:dyDescent="0.25">
      <c r="BS48" t="s">
        <v>64</v>
      </c>
      <c r="BT48">
        <v>4</v>
      </c>
      <c r="BU48" t="s">
        <v>87</v>
      </c>
      <c r="BV48" t="str" cm="1">
        <f t="array" aca="1" ref="BV48" ca="1">INDIRECT(BU48&amp;BT48)</f>
        <v xml:space="preserve">      series QD_chea = 1.0275803775924 * @elem(QD_chea, 2015)</v>
      </c>
      <c r="CC48">
        <f t="shared" si="4"/>
        <v>25</v>
      </c>
      <c r="CD48" t="s">
        <v>81</v>
      </c>
      <c r="CE48" t="str" cm="1">
        <f t="array" aca="1" ref="CE48" ca="1">INDIRECT(CD48&amp;CC48)</f>
        <v xml:space="preserve">      series QD_cgas = 1.18346246780372 * @elem(QD_cgas, 2015)</v>
      </c>
    </row>
    <row r="49" spans="71:83" x14ac:dyDescent="0.25">
      <c r="BS49" t="s">
        <v>64</v>
      </c>
      <c r="BT49">
        <v>5</v>
      </c>
      <c r="BU49" t="s">
        <v>65</v>
      </c>
      <c r="BV49" t="str" cm="1">
        <f t="array" aca="1" ref="BV49" ca="1">INDIRECT(BU49&amp;BT49)</f>
        <v xml:space="preserve">      smpl 2017 2017</v>
      </c>
      <c r="CC49">
        <f t="shared" si="4"/>
        <v>26</v>
      </c>
      <c r="CD49" t="s">
        <v>65</v>
      </c>
      <c r="CE49" t="str" cm="1">
        <f t="array" aca="1" ref="CE49" ca="1">INDIRECT(CD49&amp;CC49)</f>
        <v xml:space="preserve">      smpl 2038 2038</v>
      </c>
    </row>
    <row r="50" spans="71:83" x14ac:dyDescent="0.25">
      <c r="BS50" t="s">
        <v>64</v>
      </c>
      <c r="BT50">
        <v>5</v>
      </c>
      <c r="BU50" t="s">
        <v>66</v>
      </c>
      <c r="BV50" t="str" cm="1">
        <f t="array" aca="1" ref="BV50" ca="1">INDIRECT(BU50&amp;BT50)</f>
        <v xml:space="preserve">      series QD_cagr = 1.04093642981838 * @elem(QD_cagr, 2015)</v>
      </c>
      <c r="CC50">
        <f t="shared" si="4"/>
        <v>26</v>
      </c>
      <c r="CD50" t="s">
        <v>81</v>
      </c>
      <c r="CE50" t="str" cm="1">
        <f t="array" aca="1" ref="CE50" ca="1">INDIRECT(CD50&amp;CC50)</f>
        <v xml:space="preserve">      series QD_cgas = 1.1837457210034 * @elem(QD_cgas, 2015)</v>
      </c>
    </row>
    <row r="51" spans="71:83" x14ac:dyDescent="0.25">
      <c r="BS51" t="s">
        <v>64</v>
      </c>
      <c r="BT51">
        <v>5</v>
      </c>
      <c r="BU51" t="s">
        <v>67</v>
      </c>
      <c r="BV51" t="str" cm="1">
        <f t="array" aca="1" ref="BV51" ca="1">INDIRECT(BU51&amp;BT51)</f>
        <v xml:space="preserve">      series QD_cmet = 1.06849916057059 * @elem(QD_cmet, 2015)</v>
      </c>
      <c r="CC51">
        <f t="shared" si="4"/>
        <v>27</v>
      </c>
      <c r="CD51" t="s">
        <v>65</v>
      </c>
      <c r="CE51" t="str" cm="1">
        <f t="array" aca="1" ref="CE51" ca="1">INDIRECT(CD51&amp;CC51)</f>
        <v xml:space="preserve">      smpl 2039 2039</v>
      </c>
    </row>
    <row r="52" spans="71:83" x14ac:dyDescent="0.25">
      <c r="BS52" t="s">
        <v>64</v>
      </c>
      <c r="BT52">
        <v>5</v>
      </c>
      <c r="BU52" t="s">
        <v>68</v>
      </c>
      <c r="BV52" t="str" cm="1">
        <f t="array" aca="1" ref="BV52" ca="1">INDIRECT(BU52&amp;BT52)</f>
        <v xml:space="preserve">      series QD_cchem = 1.02053302576034 * @elem(QD_cchem, 2015)</v>
      </c>
      <c r="CC52">
        <f t="shared" si="4"/>
        <v>27</v>
      </c>
      <c r="CD52" t="s">
        <v>81</v>
      </c>
      <c r="CE52" t="str" cm="1">
        <f t="array" aca="1" ref="CE52" ca="1">INDIRECT(CD52&amp;CC52)</f>
        <v xml:space="preserve">      series QD_cgas = 1.18454285916984 * @elem(QD_cgas, 2015)</v>
      </c>
    </row>
    <row r="53" spans="71:83" x14ac:dyDescent="0.25">
      <c r="BS53" t="s">
        <v>64</v>
      </c>
      <c r="BT53">
        <v>5</v>
      </c>
      <c r="BU53" t="s">
        <v>69</v>
      </c>
      <c r="BV53" t="str" cm="1">
        <f t="array" aca="1" ref="BV53" ca="1">INDIRECT(BU53&amp;BT53)</f>
        <v xml:space="preserve">      series QD_cpla = 1.04763219807179 * @elem(QD_cpla, 2015)</v>
      </c>
      <c r="CC53">
        <f t="shared" si="4"/>
        <v>28</v>
      </c>
      <c r="CD53" t="s">
        <v>65</v>
      </c>
      <c r="CE53" t="str" cm="1">
        <f t="array" aca="1" ref="CE53" ca="1">INDIRECT(CD53&amp;CC53)</f>
        <v xml:space="preserve">      smpl 2040 2040</v>
      </c>
    </row>
    <row r="54" spans="71:83" x14ac:dyDescent="0.25">
      <c r="BS54" t="s">
        <v>64</v>
      </c>
      <c r="BT54">
        <v>5</v>
      </c>
      <c r="BU54" t="s">
        <v>70</v>
      </c>
      <c r="BV54" t="str" cm="1">
        <f t="array" aca="1" ref="BV54" ca="1">INDIRECT(BU54&amp;BT54)</f>
        <v xml:space="preserve">      series QD_cgla = 1.04529147429236 * @elem(QD_cgla, 2015)</v>
      </c>
      <c r="CC54">
        <f t="shared" si="4"/>
        <v>28</v>
      </c>
      <c r="CD54" t="s">
        <v>81</v>
      </c>
      <c r="CE54" t="str" cm="1">
        <f t="array" aca="1" ref="CE54" ca="1">INDIRECT(CD54&amp;CC54)</f>
        <v xml:space="preserve">      series QD_cgas = 1.18586875771691 * @elem(QD_cgas, 2015)</v>
      </c>
    </row>
    <row r="55" spans="71:83" x14ac:dyDescent="0.25">
      <c r="BS55" t="s">
        <v>64</v>
      </c>
      <c r="BT55">
        <v>5</v>
      </c>
      <c r="BU55" t="s">
        <v>71</v>
      </c>
      <c r="BV55" t="str" cm="1">
        <f t="array" aca="1" ref="BV55" ca="1">INDIRECT(BU55&amp;BT55)</f>
        <v xml:space="preserve">      series QD_cpap = 1.04130887660111 * @elem(QD_cpap, 2015)</v>
      </c>
      <c r="CC55">
        <f t="shared" si="4"/>
        <v>29</v>
      </c>
      <c r="CD55" t="s">
        <v>65</v>
      </c>
      <c r="CE55" t="str" cm="1">
        <f t="array" aca="1" ref="CE55" ca="1">INDIRECT(CD55&amp;CC55)</f>
        <v xml:space="preserve">      smpl 2041 2041</v>
      </c>
    </row>
    <row r="56" spans="71:83" x14ac:dyDescent="0.25">
      <c r="BS56" t="s">
        <v>64</v>
      </c>
      <c r="BT56">
        <v>5</v>
      </c>
      <c r="BU56" t="s">
        <v>72</v>
      </c>
      <c r="BV56" t="str" cm="1">
        <f t="array" aca="1" ref="BV56" ca="1">INDIRECT(BU56&amp;BT56)</f>
        <v xml:space="preserve">      series QD_cfoo = 1.03772010163853 * @elem(QD_cfoo, 2015)</v>
      </c>
      <c r="CC56">
        <f t="shared" si="4"/>
        <v>29</v>
      </c>
      <c r="CD56" t="s">
        <v>81</v>
      </c>
      <c r="CE56" t="str" cm="1">
        <f t="array" aca="1" ref="CE56" ca="1">INDIRECT(CD56&amp;CC56)</f>
        <v xml:space="preserve">      series QD_cgas = 1.18774069307037 * @elem(QD_cgas, 2015)</v>
      </c>
    </row>
    <row r="57" spans="71:83" x14ac:dyDescent="0.25">
      <c r="BS57" t="s">
        <v>64</v>
      </c>
      <c r="BT57">
        <v>5</v>
      </c>
      <c r="BU57" t="s">
        <v>73</v>
      </c>
      <c r="BV57" t="str" cm="1">
        <f t="array" aca="1" ref="BV57" ca="1">INDIRECT(BU57&amp;BT57)</f>
        <v xml:space="preserve">      series QD_cres = 1.05571492648758 * @elem(QD_cres, 2015)</v>
      </c>
      <c r="CC57">
        <f t="shared" si="4"/>
        <v>30</v>
      </c>
      <c r="CD57" t="s">
        <v>65</v>
      </c>
      <c r="CE57" t="str" cm="1">
        <f t="array" aca="1" ref="CE57" ca="1">INDIRECT(CD57&amp;CC57)</f>
        <v xml:space="preserve">      smpl 2042 2042</v>
      </c>
    </row>
    <row r="58" spans="71:83" x14ac:dyDescent="0.25">
      <c r="BS58" t="s">
        <v>64</v>
      </c>
      <c r="BT58">
        <v>5</v>
      </c>
      <c r="BU58" t="s">
        <v>74</v>
      </c>
      <c r="BV58" t="str" cm="1">
        <f t="array" aca="1" ref="BV58" ca="1">INDIRECT(BU58&amp;BT58)</f>
        <v xml:space="preserve">      series QD_croa = 1.0435638862293 * @elem(QD_croa, 2015)</v>
      </c>
      <c r="CC58">
        <f t="shared" si="4"/>
        <v>30</v>
      </c>
      <c r="CD58" t="s">
        <v>81</v>
      </c>
      <c r="CE58" t="str" cm="1">
        <f t="array" aca="1" ref="CE58" ca="1">INDIRECT(CD58&amp;CC58)</f>
        <v xml:space="preserve">      series QD_cgas = 1.1909035865955 * @elem(QD_cgas, 2015)</v>
      </c>
    </row>
    <row r="59" spans="71:83" x14ac:dyDescent="0.25">
      <c r="BS59" t="s">
        <v>64</v>
      </c>
      <c r="BT59">
        <v>5</v>
      </c>
      <c r="BU59" t="s">
        <v>75</v>
      </c>
      <c r="BV59" t="str" cm="1">
        <f t="array" aca="1" ref="BV59" ca="1">INDIRECT(BU59&amp;BT59)</f>
        <v xml:space="preserve">      series QD_cwat = 1.05087185136787 * @elem(QD_cwat, 2015)</v>
      </c>
      <c r="CC59">
        <f t="shared" si="4"/>
        <v>31</v>
      </c>
      <c r="CD59" t="s">
        <v>65</v>
      </c>
      <c r="CE59" t="str" cm="1">
        <f t="array" aca="1" ref="CE59" ca="1">INDIRECT(CD59&amp;CC59)</f>
        <v xml:space="preserve">      smpl 2043 2043</v>
      </c>
    </row>
    <row r="60" spans="71:83" x14ac:dyDescent="0.25">
      <c r="BS60" t="s">
        <v>64</v>
      </c>
      <c r="BT60">
        <v>5</v>
      </c>
      <c r="BU60" t="s">
        <v>86</v>
      </c>
      <c r="BV60" t="str" cm="1">
        <f t="array" aca="1" ref="BV60" ca="1">INDIRECT(BU60&amp;BT60)</f>
        <v xml:space="preserve">      series QD_cair = 1.05072538545275 * @elem(QD_cair, 2015)</v>
      </c>
      <c r="CC60">
        <f t="shared" si="4"/>
        <v>31</v>
      </c>
      <c r="CD60" t="s">
        <v>81</v>
      </c>
      <c r="CE60" t="str" cm="1">
        <f t="array" aca="1" ref="CE60" ca="1">INDIRECT(CD60&amp;CC60)</f>
        <v xml:space="preserve">      series QD_cgas = 1.19460444214862 * @elem(QD_cgas, 2015)</v>
      </c>
    </row>
    <row r="61" spans="71:83" x14ac:dyDescent="0.25">
      <c r="BS61" t="s">
        <v>64</v>
      </c>
      <c r="BT61">
        <v>5</v>
      </c>
      <c r="BU61" t="s">
        <v>76</v>
      </c>
      <c r="BV61" t="str" cm="1">
        <f t="array" aca="1" ref="BV61" ca="1">INDIRECT(BU61&amp;BT61)</f>
        <v xml:space="preserve">      series QD_ccoa = 0.662562286287532 * @elem(QD_ccoa, 2015)</v>
      </c>
      <c r="CC61">
        <f t="shared" si="4"/>
        <v>32</v>
      </c>
      <c r="CD61" t="s">
        <v>65</v>
      </c>
      <c r="CE61" t="str" cm="1">
        <f t="array" aca="1" ref="CE61" ca="1">INDIRECT(CD61&amp;CC61)</f>
        <v xml:space="preserve">      smpl 2044 2044</v>
      </c>
    </row>
    <row r="62" spans="71:83" x14ac:dyDescent="0.25">
      <c r="BS62" t="s">
        <v>64</v>
      </c>
      <c r="BT62">
        <v>5</v>
      </c>
      <c r="BU62" t="s">
        <v>77</v>
      </c>
      <c r="BV62" t="str" cm="1">
        <f t="array" aca="1" ref="BV62" ca="1">INDIRECT(BU62&amp;BT62)</f>
        <v xml:space="preserve">      series QD_coil = 0.684452628520331 * @elem(QD_coil, 2015)</v>
      </c>
      <c r="CC62">
        <f t="shared" si="4"/>
        <v>32</v>
      </c>
      <c r="CD62" t="s">
        <v>81</v>
      </c>
      <c r="CE62" t="str" cm="1">
        <f t="array" aca="1" ref="CE62" ca="1">INDIRECT(CD62&amp;CC62)</f>
        <v xml:space="preserve">      series QD_cgas = 1.19846665194621 * @elem(QD_cgas, 2015)</v>
      </c>
    </row>
    <row r="63" spans="71:83" x14ac:dyDescent="0.25">
      <c r="BS63" t="s">
        <v>64</v>
      </c>
      <c r="BT63">
        <v>5</v>
      </c>
      <c r="BU63" t="s">
        <v>78</v>
      </c>
      <c r="BV63" t="str" cm="1">
        <f t="array" aca="1" ref="BV63" ca="1">INDIRECT(BU63&amp;BT63)</f>
        <v xml:space="preserve">      series QD_cfue = 1.13720369658003 * @elem(QD_cfue, 2015)</v>
      </c>
      <c r="CC63">
        <f t="shared" si="4"/>
        <v>33</v>
      </c>
      <c r="CD63" t="s">
        <v>65</v>
      </c>
      <c r="CE63" t="str" cm="1">
        <f t="array" aca="1" ref="CE63" ca="1">INDIRECT(CD63&amp;CC63)</f>
        <v xml:space="preserve">      smpl 2045 2045</v>
      </c>
    </row>
    <row r="64" spans="71:83" x14ac:dyDescent="0.25">
      <c r="BS64" t="s">
        <v>64</v>
      </c>
      <c r="BT64">
        <v>5</v>
      </c>
      <c r="BU64" t="s">
        <v>79</v>
      </c>
      <c r="BV64" t="str" cm="1">
        <f t="array" aca="1" ref="BV64" ca="1">INDIRECT(BU64&amp;BT64)</f>
        <v xml:space="preserve">      series QD_cpch = 1.14268502765696 * @elem(QD_cpch, 2015)</v>
      </c>
      <c r="CC64">
        <f t="shared" si="4"/>
        <v>33</v>
      </c>
      <c r="CD64" t="s">
        <v>81</v>
      </c>
      <c r="CE64" t="str" cm="1">
        <f t="array" aca="1" ref="CE64" ca="1">INDIRECT(CD64&amp;CC64)</f>
        <v xml:space="preserve">      series QD_cgas = 1.20231506857038 * @elem(QD_cgas, 2015)</v>
      </c>
    </row>
    <row r="65" spans="71:83" x14ac:dyDescent="0.25">
      <c r="BS65" t="s">
        <v>64</v>
      </c>
      <c r="BT65">
        <v>5</v>
      </c>
      <c r="BU65" t="s">
        <v>80</v>
      </c>
      <c r="BV65" t="str" cm="1">
        <f t="array" aca="1" ref="BV65" ca="1">INDIRECT(BU65&amp;BT65)</f>
        <v xml:space="preserve">      series QD_cele = 1.02735379626612 * @elem(QD_cele, 2015)</v>
      </c>
      <c r="CC65">
        <f t="shared" si="4"/>
        <v>34</v>
      </c>
      <c r="CD65" t="s">
        <v>65</v>
      </c>
      <c r="CE65" t="str" cm="1">
        <f t="array" aca="1" ref="CE65" ca="1">INDIRECT(CD65&amp;CC65)</f>
        <v xml:space="preserve">      smpl 2046 2046</v>
      </c>
    </row>
    <row r="66" spans="71:83" x14ac:dyDescent="0.25">
      <c r="BS66" t="s">
        <v>64</v>
      </c>
      <c r="BT66">
        <v>5</v>
      </c>
      <c r="BU66" t="s">
        <v>81</v>
      </c>
      <c r="BV66" t="str" cm="1">
        <f t="array" aca="1" ref="BV66" ca="1">INDIRECT(BU66&amp;BT66)</f>
        <v xml:space="preserve">      series QD_cgas = 1.07635956068862 * @elem(QD_cgas, 2015)</v>
      </c>
      <c r="CC66">
        <f t="shared" si="4"/>
        <v>34</v>
      </c>
      <c r="CD66" t="s">
        <v>81</v>
      </c>
      <c r="CE66" t="str" cm="1">
        <f t="array" aca="1" ref="CE66" ca="1">INDIRECT(CD66&amp;CC66)</f>
        <v xml:space="preserve">      series QD_cgas = 1.20607913738041 * @elem(QD_cgas, 2015)</v>
      </c>
    </row>
    <row r="67" spans="71:83" x14ac:dyDescent="0.25">
      <c r="BS67" t="s">
        <v>64</v>
      </c>
      <c r="BT67">
        <v>5</v>
      </c>
      <c r="BU67" t="s">
        <v>82</v>
      </c>
      <c r="BV67" t="str" cm="1">
        <f t="array" aca="1" ref="BV67" ca="1">INDIRECT(BU67&amp;BT67)</f>
        <v xml:space="preserve">      series QD_cmga = 1.05905436343092 * @elem(QD_cmga, 2015)</v>
      </c>
      <c r="CC67">
        <f t="shared" si="4"/>
        <v>35</v>
      </c>
      <c r="CD67" t="s">
        <v>65</v>
      </c>
      <c r="CE67" t="str" cm="1">
        <f t="array" aca="1" ref="CE67" ca="1">INDIRECT(CD67&amp;CC67)</f>
        <v xml:space="preserve">      smpl 2047 2047</v>
      </c>
    </row>
    <row r="68" spans="71:83" x14ac:dyDescent="0.25">
      <c r="BS68" t="s">
        <v>64</v>
      </c>
      <c r="BT68">
        <v>5</v>
      </c>
      <c r="BU68" t="s">
        <v>83</v>
      </c>
      <c r="BV68" t="str" cm="1">
        <f t="array" aca="1" ref="BV68" ca="1">INDIRECT(BU68&amp;BT68)</f>
        <v xml:space="preserve">      series QD_cbiog = 1.01526027765689 * @elem(QD_cbiog, 2015)</v>
      </c>
      <c r="CC68">
        <f t="shared" si="4"/>
        <v>35</v>
      </c>
      <c r="CD68" t="s">
        <v>81</v>
      </c>
      <c r="CE68" t="str" cm="1">
        <f t="array" aca="1" ref="CE68" ca="1">INDIRECT(CD68&amp;CC68)</f>
        <v xml:space="preserve">      series QD_cgas = 1.20974062392599 * @elem(QD_cgas, 2015)</v>
      </c>
    </row>
    <row r="69" spans="71:83" x14ac:dyDescent="0.25">
      <c r="BS69" t="s">
        <v>64</v>
      </c>
      <c r="BT69">
        <v>5</v>
      </c>
      <c r="BU69" t="s">
        <v>84</v>
      </c>
      <c r="BV69" t="str" cm="1">
        <f t="array" aca="1" ref="BV69" ca="1">INDIRECT(BU69&amp;BT69)</f>
        <v xml:space="preserve">      series QD_cbiom = 0.994976276598311 * @elem(QD_cbiom, 2015)</v>
      </c>
      <c r="CC69">
        <f t="shared" ref="CC69:CC74" si="47">IF(CD69="BM",CC68,CC68+1)</f>
        <v>36</v>
      </c>
      <c r="CD69" t="s">
        <v>65</v>
      </c>
      <c r="CE69" t="str" cm="1">
        <f t="array" aca="1" ref="CE69" ca="1">INDIRECT(CD69&amp;CC69)</f>
        <v xml:space="preserve">      smpl 2048 2048</v>
      </c>
    </row>
    <row r="70" spans="71:83" x14ac:dyDescent="0.25">
      <c r="BS70" t="s">
        <v>64</v>
      </c>
      <c r="BT70">
        <v>5</v>
      </c>
      <c r="BU70" t="s">
        <v>85</v>
      </c>
      <c r="BV70" t="str" cm="1">
        <f t="array" aca="1" ref="BV70" ca="1">INDIRECT(BU70&amp;BT70)</f>
        <v xml:space="preserve">      series QD_cbiof = 1.02134483551165 * @elem(QD_cbiof, 2015)</v>
      </c>
      <c r="CC70">
        <f t="shared" si="47"/>
        <v>36</v>
      </c>
      <c r="CD70" t="s">
        <v>81</v>
      </c>
      <c r="CE70" t="str" cm="1">
        <f t="array" aca="1" ref="CE70" ca="1">INDIRECT(CD70&amp;CC70)</f>
        <v xml:space="preserve">      series QD_cgas = 1.21330573825915 * @elem(QD_cgas, 2015)</v>
      </c>
    </row>
    <row r="71" spans="71:83" x14ac:dyDescent="0.25">
      <c r="BS71" t="s">
        <v>64</v>
      </c>
      <c r="BT71">
        <v>5</v>
      </c>
      <c r="BU71" t="s">
        <v>87</v>
      </c>
      <c r="BV71" t="str" cm="1">
        <f t="array" aca="1" ref="BV71" ca="1">INDIRECT(BU71&amp;BT71)</f>
        <v xml:space="preserve">      series QD_chea = 1.05559923394987 * @elem(QD_chea, 2015)</v>
      </c>
      <c r="CC71">
        <f t="shared" si="47"/>
        <v>37</v>
      </c>
      <c r="CD71" t="s">
        <v>65</v>
      </c>
      <c r="CE71" t="str" cm="1">
        <f t="array" aca="1" ref="CE71" ca="1">INDIRECT(CD71&amp;CC71)</f>
        <v xml:space="preserve">      smpl 2049 2049</v>
      </c>
    </row>
    <row r="72" spans="71:83" x14ac:dyDescent="0.25">
      <c r="BS72" t="s">
        <v>64</v>
      </c>
      <c r="BT72">
        <v>6</v>
      </c>
      <c r="BU72" t="s">
        <v>65</v>
      </c>
      <c r="BV72" t="str" cm="1">
        <f t="array" aca="1" ref="BV72" ca="1">INDIRECT(BU72&amp;BT72)</f>
        <v xml:space="preserve">      smpl 2018 2018</v>
      </c>
      <c r="CC72">
        <f t="shared" si="47"/>
        <v>37</v>
      </c>
      <c r="CD72" t="s">
        <v>81</v>
      </c>
      <c r="CE72" t="str" cm="1">
        <f t="array" aca="1" ref="CE72" ca="1">INDIRECT(CD72&amp;CC72)</f>
        <v xml:space="preserve">      series QD_cgas = 1.2167906396062 * @elem(QD_cgas, 2015)</v>
      </c>
    </row>
    <row r="73" spans="71:83" x14ac:dyDescent="0.25">
      <c r="BS73" t="s">
        <v>64</v>
      </c>
      <c r="BT73">
        <v>6</v>
      </c>
      <c r="BU73" t="s">
        <v>66</v>
      </c>
      <c r="BV73" t="str" cm="1">
        <f t="array" aca="1" ref="BV73" ca="1">INDIRECT(BU73&amp;BT73)</f>
        <v xml:space="preserve">      series QD_cagr = 1.06459426816749 * @elem(QD_cagr, 2015)</v>
      </c>
      <c r="CC73">
        <f t="shared" si="47"/>
        <v>38</v>
      </c>
      <c r="CD73" t="s">
        <v>65</v>
      </c>
      <c r="CE73" t="str" cm="1">
        <f t="array" aca="1" ref="CE73" ca="1">INDIRECT(CD73&amp;CC73)</f>
        <v xml:space="preserve">      smpl 2050 2050</v>
      </c>
    </row>
    <row r="74" spans="71:83" x14ac:dyDescent="0.25">
      <c r="BS74" t="s">
        <v>64</v>
      </c>
      <c r="BT74">
        <v>6</v>
      </c>
      <c r="BU74" t="s">
        <v>67</v>
      </c>
      <c r="BV74" t="str" cm="1">
        <f t="array" aca="1" ref="BV74" ca="1">INDIRECT(BU74&amp;BT74)</f>
        <v xml:space="preserve">      series QD_cmet = 1.1019803636908 * @elem(QD_cmet, 2015)</v>
      </c>
      <c r="CC74">
        <f t="shared" si="47"/>
        <v>38</v>
      </c>
      <c r="CD74" t="s">
        <v>81</v>
      </c>
      <c r="CE74" t="str" cm="1">
        <f t="array" aca="1" ref="CE74" ca="1">INDIRECT(CD74&amp;CC74)</f>
        <v xml:space="preserve">      series QD_cgas = 1.2202142853987 * @elem(QD_cgas, 2015)</v>
      </c>
    </row>
    <row r="75" spans="71:83" x14ac:dyDescent="0.25">
      <c r="BS75" t="s">
        <v>64</v>
      </c>
      <c r="BT75">
        <v>6</v>
      </c>
      <c r="BU75" t="s">
        <v>68</v>
      </c>
      <c r="BV75" t="str" cm="1">
        <f t="array" aca="1" ref="BV75" ca="1">INDIRECT(BU75&amp;BT75)</f>
        <v xml:space="preserve">      series QD_cchem = 1.03534002742583 * @elem(QD_cchem, 2015)</v>
      </c>
    </row>
    <row r="76" spans="71:83" x14ac:dyDescent="0.25">
      <c r="BS76" t="s">
        <v>64</v>
      </c>
      <c r="BT76">
        <v>6</v>
      </c>
      <c r="BU76" t="s">
        <v>69</v>
      </c>
      <c r="BV76" t="str" cm="1">
        <f t="array" aca="1" ref="BV76" ca="1">INDIRECT(BU76&amp;BT76)</f>
        <v xml:space="preserve">      series QD_cpla = 1.0738049750966 * @elem(QD_cpla, 2015)</v>
      </c>
    </row>
    <row r="77" spans="71:83" x14ac:dyDescent="0.25">
      <c r="BS77" t="s">
        <v>64</v>
      </c>
      <c r="BT77">
        <v>6</v>
      </c>
      <c r="BU77" t="s">
        <v>70</v>
      </c>
      <c r="BV77" t="str" cm="1">
        <f t="array" aca="1" ref="BV77" ca="1">INDIRECT(BU77&amp;BT77)</f>
        <v xml:space="preserve">      series QD_cgla = 1.07143322538971 * @elem(QD_cgla, 2015)</v>
      </c>
    </row>
    <row r="78" spans="71:83" x14ac:dyDescent="0.25">
      <c r="BS78" t="s">
        <v>64</v>
      </c>
      <c r="BT78">
        <v>6</v>
      </c>
      <c r="BU78" t="s">
        <v>71</v>
      </c>
      <c r="BV78" t="str" cm="1">
        <f t="array" aca="1" ref="BV78" ca="1">INDIRECT(BU78&amp;BT78)</f>
        <v xml:space="preserve">      series QD_cpap = 1.06516935608739 * @elem(QD_cpap, 2015)</v>
      </c>
    </row>
    <row r="79" spans="71:83" x14ac:dyDescent="0.25">
      <c r="BS79" t="s">
        <v>64</v>
      </c>
      <c r="BT79">
        <v>6</v>
      </c>
      <c r="BU79" t="s">
        <v>72</v>
      </c>
      <c r="BV79" t="str" cm="1">
        <f t="array" aca="1" ref="BV79" ca="1">INDIRECT(BU79&amp;BT79)</f>
        <v xml:space="preserve">      series QD_cfoo = 1.06087094158015 * @elem(QD_cfoo, 2015)</v>
      </c>
    </row>
    <row r="80" spans="71:83" x14ac:dyDescent="0.25">
      <c r="BS80" t="s">
        <v>64</v>
      </c>
      <c r="BT80">
        <v>6</v>
      </c>
      <c r="BU80" t="s">
        <v>73</v>
      </c>
      <c r="BV80" t="str" cm="1">
        <f t="array" aca="1" ref="BV80" ca="1">INDIRECT(BU80&amp;BT80)</f>
        <v xml:space="preserve">      series QD_cres = 1.08591215258352 * @elem(QD_cres, 2015)</v>
      </c>
    </row>
    <row r="81" spans="71:74" x14ac:dyDescent="0.25">
      <c r="BS81" t="s">
        <v>64</v>
      </c>
      <c r="BT81">
        <v>6</v>
      </c>
      <c r="BU81" t="s">
        <v>74</v>
      </c>
      <c r="BV81" t="str" cm="1">
        <f t="array" aca="1" ref="BV81" ca="1">INDIRECT(BU81&amp;BT81)</f>
        <v xml:space="preserve">      series QD_croa = 1.06835106169076 * @elem(QD_croa, 2015)</v>
      </c>
    </row>
    <row r="82" spans="71:74" x14ac:dyDescent="0.25">
      <c r="BS82" t="s">
        <v>64</v>
      </c>
      <c r="BT82">
        <v>6</v>
      </c>
      <c r="BU82" t="s">
        <v>75</v>
      </c>
      <c r="BV82" t="str" cm="1">
        <f t="array" aca="1" ref="BV82" ca="1">INDIRECT(BU82&amp;BT82)</f>
        <v xml:space="preserve">      series QD_cwat = 1.07661212690434 * @elem(QD_cwat, 2015)</v>
      </c>
    </row>
    <row r="83" spans="71:74" x14ac:dyDescent="0.25">
      <c r="BS83" t="s">
        <v>64</v>
      </c>
      <c r="BT83">
        <v>6</v>
      </c>
      <c r="BU83" t="s">
        <v>86</v>
      </c>
      <c r="BV83" t="str" cm="1">
        <f t="array" aca="1" ref="BV83" ca="1">INDIRECT(BU83&amp;BT83)</f>
        <v xml:space="preserve">      series QD_cair = 1.07751987629886 * @elem(QD_cair, 2015)</v>
      </c>
    </row>
    <row r="84" spans="71:74" x14ac:dyDescent="0.25">
      <c r="BS84" t="s">
        <v>64</v>
      </c>
      <c r="BT84">
        <v>6</v>
      </c>
      <c r="BU84" t="s">
        <v>76</v>
      </c>
      <c r="BV84" t="str" cm="1">
        <f t="array" aca="1" ref="BV84" ca="1">INDIRECT(BU84&amp;BT84)</f>
        <v xml:space="preserve">      series QD_ccoa = 0.542996418260986 * @elem(QD_ccoa, 2015)</v>
      </c>
    </row>
    <row r="85" spans="71:74" x14ac:dyDescent="0.25">
      <c r="BS85" t="s">
        <v>64</v>
      </c>
      <c r="BT85">
        <v>6</v>
      </c>
      <c r="BU85" t="s">
        <v>77</v>
      </c>
      <c r="BV85" t="str" cm="1">
        <f t="array" aca="1" ref="BV85" ca="1">INDIRECT(BU85&amp;BT85)</f>
        <v xml:space="preserve">      series QD_coil = 0.57308513386506 * @elem(QD_coil, 2015)</v>
      </c>
    </row>
    <row r="86" spans="71:74" x14ac:dyDescent="0.25">
      <c r="BS86" t="s">
        <v>64</v>
      </c>
      <c r="BT86">
        <v>6</v>
      </c>
      <c r="BU86" t="s">
        <v>78</v>
      </c>
      <c r="BV86" t="str" cm="1">
        <f t="array" aca="1" ref="BV86" ca="1">INDIRECT(BU86&amp;BT86)</f>
        <v xml:space="preserve">      series QD_cfue = 1.19173809961945 * @elem(QD_cfue, 2015)</v>
      </c>
    </row>
    <row r="87" spans="71:74" x14ac:dyDescent="0.25">
      <c r="BS87" t="s">
        <v>64</v>
      </c>
      <c r="BT87">
        <v>6</v>
      </c>
      <c r="BU87" t="s">
        <v>79</v>
      </c>
      <c r="BV87" t="str" cm="1">
        <f t="array" aca="1" ref="BV87" ca="1">INDIRECT(BU87&amp;BT87)</f>
        <v xml:space="preserve">      series QD_cpch = 1.20279247975204 * @elem(QD_cpch, 2015)</v>
      </c>
    </row>
    <row r="88" spans="71:74" x14ac:dyDescent="0.25">
      <c r="BS88" t="s">
        <v>64</v>
      </c>
      <c r="BT88">
        <v>6</v>
      </c>
      <c r="BU88" t="s">
        <v>80</v>
      </c>
      <c r="BV88" t="str" cm="1">
        <f t="array" aca="1" ref="BV88" ca="1">INDIRECT(BU88&amp;BT88)</f>
        <v xml:space="preserve">      series QD_cele = 1.03939286943629 * @elem(QD_cele, 2015)</v>
      </c>
    </row>
    <row r="89" spans="71:74" x14ac:dyDescent="0.25">
      <c r="BS89" t="s">
        <v>64</v>
      </c>
      <c r="BT89">
        <v>6</v>
      </c>
      <c r="BU89" t="s">
        <v>81</v>
      </c>
      <c r="BV89" t="str" cm="1">
        <f t="array" aca="1" ref="BV89" ca="1">INDIRECT(BU89&amp;BT89)</f>
        <v xml:space="preserve">      series QD_cgas = 1.10536280650259 * @elem(QD_cgas, 2015)</v>
      </c>
    </row>
    <row r="90" spans="71:74" x14ac:dyDescent="0.25">
      <c r="BS90" t="s">
        <v>64</v>
      </c>
      <c r="BT90">
        <v>6</v>
      </c>
      <c r="BU90" t="s">
        <v>82</v>
      </c>
      <c r="BV90" t="str" cm="1">
        <f t="array" aca="1" ref="BV90" ca="1">INDIRECT(BU90&amp;BT90)</f>
        <v xml:space="preserve">      series QD_cmga = 1.06528486184156 * @elem(QD_cmga, 2015)</v>
      </c>
    </row>
    <row r="91" spans="71:74" x14ac:dyDescent="0.25">
      <c r="BS91" t="s">
        <v>64</v>
      </c>
      <c r="BT91">
        <v>6</v>
      </c>
      <c r="BU91" t="s">
        <v>83</v>
      </c>
      <c r="BV91" t="str" cm="1">
        <f t="array" aca="1" ref="BV91" ca="1">INDIRECT(BU91&amp;BT91)</f>
        <v xml:space="preserve">      series QD_cbiog = 1.03703380880459 * @elem(QD_cbiog, 2015)</v>
      </c>
    </row>
    <row r="92" spans="71:74" x14ac:dyDescent="0.25">
      <c r="BS92" t="s">
        <v>64</v>
      </c>
      <c r="BT92">
        <v>6</v>
      </c>
      <c r="BU92" t="s">
        <v>84</v>
      </c>
      <c r="BV92" t="str" cm="1">
        <f t="array" aca="1" ref="BV92" ca="1">INDIRECT(BU92&amp;BT92)</f>
        <v xml:space="preserve">      series QD_cbiom = 1.00941266708231 * @elem(QD_cbiom, 2015)</v>
      </c>
    </row>
    <row r="93" spans="71:74" x14ac:dyDescent="0.25">
      <c r="BS93" t="s">
        <v>64</v>
      </c>
      <c r="BT93">
        <v>6</v>
      </c>
      <c r="BU93" t="s">
        <v>85</v>
      </c>
      <c r="BV93" t="str" cm="1">
        <f t="array" aca="1" ref="BV93" ca="1">INDIRECT(BU93&amp;BT93)</f>
        <v xml:space="preserve">      series QD_cbiof = 1.03326791163937 * @elem(QD_cbiof, 2015)</v>
      </c>
    </row>
    <row r="94" spans="71:74" x14ac:dyDescent="0.25">
      <c r="BS94" t="s">
        <v>64</v>
      </c>
      <c r="BT94">
        <v>6</v>
      </c>
      <c r="BU94" t="s">
        <v>87</v>
      </c>
      <c r="BV94" t="str" cm="1">
        <f t="array" aca="1" ref="BV94" ca="1">INDIRECT(BU94&amp;BT94)</f>
        <v xml:space="preserve">      series QD_chea = 1.0857563988234 * @elem(QD_chea, 2015)</v>
      </c>
    </row>
    <row r="95" spans="71:74" x14ac:dyDescent="0.25">
      <c r="BS95" t="s">
        <v>64</v>
      </c>
      <c r="BT95">
        <v>7</v>
      </c>
      <c r="BU95" t="s">
        <v>65</v>
      </c>
      <c r="BV95" t="str" cm="1">
        <f t="array" aca="1" ref="BV95" ca="1">INDIRECT(BU95&amp;BT95)</f>
        <v xml:space="preserve">      smpl 2019 2019</v>
      </c>
    </row>
    <row r="96" spans="71:74" x14ac:dyDescent="0.25">
      <c r="BS96" t="s">
        <v>64</v>
      </c>
      <c r="BT96">
        <v>7</v>
      </c>
      <c r="BU96" t="s">
        <v>66</v>
      </c>
      <c r="BV96" t="str" cm="1">
        <f t="array" aca="1" ref="BV96" ca="1">INDIRECT(BU96&amp;BT96)</f>
        <v xml:space="preserve">      series QD_cagr = 1.08285468670392 * @elem(QD_cagr, 2015)</v>
      </c>
    </row>
    <row r="97" spans="71:74" x14ac:dyDescent="0.25">
      <c r="BS97" t="s">
        <v>64</v>
      </c>
      <c r="BT97">
        <v>7</v>
      </c>
      <c r="BU97" t="s">
        <v>67</v>
      </c>
      <c r="BV97" t="str" cm="1">
        <f t="array" aca="1" ref="BV97" ca="1">INDIRECT(BU97&amp;BT97)</f>
        <v xml:space="preserve">      series QD_cmet = 1.12715166932744 * @elem(QD_cmet, 2015)</v>
      </c>
    </row>
    <row r="98" spans="71:74" x14ac:dyDescent="0.25">
      <c r="BS98" t="s">
        <v>64</v>
      </c>
      <c r="BT98">
        <v>7</v>
      </c>
      <c r="BU98" t="s">
        <v>68</v>
      </c>
      <c r="BV98" t="str" cm="1">
        <f t="array" aca="1" ref="BV98" ca="1">INDIRECT(BU98&amp;BT98)</f>
        <v xml:space="preserve">      series QD_cchem = 1.04531665107931 * @elem(QD_cchem, 2015)</v>
      </c>
    </row>
    <row r="99" spans="71:74" x14ac:dyDescent="0.25">
      <c r="BS99" t="s">
        <v>64</v>
      </c>
      <c r="BT99">
        <v>7</v>
      </c>
      <c r="BU99" t="s">
        <v>69</v>
      </c>
      <c r="BV99" t="str" cm="1">
        <f t="array" aca="1" ref="BV99" ca="1">INDIRECT(BU99&amp;BT99)</f>
        <v xml:space="preserve">      series QD_cpla = 1.09403722802493 * @elem(QD_cpla, 2015)</v>
      </c>
    </row>
    <row r="100" spans="71:74" x14ac:dyDescent="0.25">
      <c r="BS100" t="s">
        <v>64</v>
      </c>
      <c r="BT100">
        <v>7</v>
      </c>
      <c r="BU100" t="s">
        <v>70</v>
      </c>
      <c r="BV100" t="str" cm="1">
        <f t="array" aca="1" ref="BV100" ca="1">INDIRECT(BU100&amp;BT100)</f>
        <v xml:space="preserve">      series QD_cgla = 1.09234986606035 * @elem(QD_cgla, 2015)</v>
      </c>
    </row>
    <row r="101" spans="71:74" x14ac:dyDescent="0.25">
      <c r="BS101" t="s">
        <v>64</v>
      </c>
      <c r="BT101">
        <v>7</v>
      </c>
      <c r="BU101" t="s">
        <v>71</v>
      </c>
      <c r="BV101" t="str" cm="1">
        <f t="array" aca="1" ref="BV101" ca="1">INDIRECT(BU101&amp;BT101)</f>
        <v xml:space="preserve">      series QD_cpap = 1.08347724429516 * @elem(QD_cpap, 2015)</v>
      </c>
    </row>
    <row r="102" spans="71:74" x14ac:dyDescent="0.25">
      <c r="BS102" t="s">
        <v>64</v>
      </c>
      <c r="BT102">
        <v>7</v>
      </c>
      <c r="BU102" t="s">
        <v>72</v>
      </c>
      <c r="BV102" t="str" cm="1">
        <f t="array" aca="1" ref="BV102" ca="1">INDIRECT(BU102&amp;BT102)</f>
        <v xml:space="preserve">      series QD_cfoo = 1.07924640770238 * @elem(QD_cfoo, 2015)</v>
      </c>
    </row>
    <row r="103" spans="71:74" x14ac:dyDescent="0.25">
      <c r="BS103" t="s">
        <v>64</v>
      </c>
      <c r="BT103">
        <v>7</v>
      </c>
      <c r="BU103" t="s">
        <v>73</v>
      </c>
      <c r="BV103" t="str" cm="1">
        <f t="array" aca="1" ref="BV103" ca="1">INDIRECT(BU103&amp;BT103)</f>
        <v xml:space="preserve">      series QD_cres = 1.11026876712969 * @elem(QD_cres, 2015)</v>
      </c>
    </row>
    <row r="104" spans="71:74" x14ac:dyDescent="0.25">
      <c r="BS104" t="s">
        <v>64</v>
      </c>
      <c r="BT104">
        <v>7</v>
      </c>
      <c r="BU104" t="s">
        <v>74</v>
      </c>
      <c r="BV104" t="str" cm="1">
        <f t="array" aca="1" ref="BV104" ca="1">INDIRECT(BU104&amp;BT104)</f>
        <v xml:space="preserve">      series QD_croa = 1.08756763063463 * @elem(QD_croa, 2015)</v>
      </c>
    </row>
    <row r="105" spans="71:74" x14ac:dyDescent="0.25">
      <c r="BS105" t="s">
        <v>64</v>
      </c>
      <c r="BT105">
        <v>7</v>
      </c>
      <c r="BU105" t="s">
        <v>75</v>
      </c>
      <c r="BV105" t="str" cm="1">
        <f t="array" aca="1" ref="BV105" ca="1">INDIRECT(BU105&amp;BT105)</f>
        <v xml:space="preserve">      series QD_cwat = 1.09470023132357 * @elem(QD_cwat, 2015)</v>
      </c>
    </row>
    <row r="106" spans="71:74" x14ac:dyDescent="0.25">
      <c r="BS106" t="s">
        <v>64</v>
      </c>
      <c r="BT106">
        <v>7</v>
      </c>
      <c r="BU106" t="s">
        <v>86</v>
      </c>
      <c r="BV106" t="str" cm="1">
        <f t="array" aca="1" ref="BV106" ca="1">INDIRECT(BU106&amp;BT106)</f>
        <v xml:space="preserve">      series QD_cair = 1.09759334586838 * @elem(QD_cair, 2015)</v>
      </c>
    </row>
    <row r="107" spans="71:74" x14ac:dyDescent="0.25">
      <c r="BS107" t="s">
        <v>64</v>
      </c>
      <c r="BT107">
        <v>7</v>
      </c>
      <c r="BU107" t="s">
        <v>76</v>
      </c>
      <c r="BV107" t="str" cm="1">
        <f t="array" aca="1" ref="BV107" ca="1">INDIRECT(BU107&amp;BT107)</f>
        <v xml:space="preserve">      series QD_ccoa = 0.447175633407394 * @elem(QD_ccoa, 2015)</v>
      </c>
    </row>
    <row r="108" spans="71:74" x14ac:dyDescent="0.25">
      <c r="BS108" t="s">
        <v>64</v>
      </c>
      <c r="BT108">
        <v>7</v>
      </c>
      <c r="BU108" t="s">
        <v>77</v>
      </c>
      <c r="BV108" t="str" cm="1">
        <f t="array" aca="1" ref="BV108" ca="1">INDIRECT(BU108&amp;BT108)</f>
        <v xml:space="preserve">      series QD_coil = 0.483630385429486 * @elem(QD_coil, 2015)</v>
      </c>
    </row>
    <row r="109" spans="71:74" x14ac:dyDescent="0.25">
      <c r="BS109" t="s">
        <v>64</v>
      </c>
      <c r="BT109">
        <v>7</v>
      </c>
      <c r="BU109" t="s">
        <v>78</v>
      </c>
      <c r="BV109" t="str" cm="1">
        <f t="array" aca="1" ref="BV109" ca="1">INDIRECT(BU109&amp;BT109)</f>
        <v xml:space="preserve">      series QD_cfue = 1.23052864508526 * @elem(QD_cfue, 2015)</v>
      </c>
    </row>
    <row r="110" spans="71:74" x14ac:dyDescent="0.25">
      <c r="BS110" t="s">
        <v>64</v>
      </c>
      <c r="BT110">
        <v>7</v>
      </c>
      <c r="BU110" t="s">
        <v>79</v>
      </c>
      <c r="BV110" t="str" cm="1">
        <f t="array" aca="1" ref="BV110" ca="1">INDIRECT(BU110&amp;BT110)</f>
        <v xml:space="preserve">      series QD_cpch = 1.24709129173269 * @elem(QD_cpch, 2015)</v>
      </c>
    </row>
    <row r="111" spans="71:74" x14ac:dyDescent="0.25">
      <c r="BS111" t="s">
        <v>64</v>
      </c>
      <c r="BT111">
        <v>7</v>
      </c>
      <c r="BU111" t="s">
        <v>80</v>
      </c>
      <c r="BV111" t="str" cm="1">
        <f t="array" aca="1" ref="BV111" ca="1">INDIRECT(BU111&amp;BT111)</f>
        <v xml:space="preserve">      series QD_cele = 1.04415033652704 * @elem(QD_cele, 2015)</v>
      </c>
    </row>
    <row r="112" spans="71:74" x14ac:dyDescent="0.25">
      <c r="BS112" t="s">
        <v>64</v>
      </c>
      <c r="BT112">
        <v>7</v>
      </c>
      <c r="BU112" t="s">
        <v>81</v>
      </c>
      <c r="BV112" t="str" cm="1">
        <f t="array" aca="1" ref="BV112" ca="1">INDIRECT(BU112&amp;BT112)</f>
        <v xml:space="preserve">      series QD_cgas = 1.12416524932835 * @elem(QD_cgas, 2015)</v>
      </c>
    </row>
    <row r="113" spans="71:74" x14ac:dyDescent="0.25">
      <c r="BS113" t="s">
        <v>64</v>
      </c>
      <c r="BT113">
        <v>7</v>
      </c>
      <c r="BU113" t="s">
        <v>82</v>
      </c>
      <c r="BV113" t="str" cm="1">
        <f t="array" aca="1" ref="BV113" ca="1">INDIRECT(BU113&amp;BT113)</f>
        <v xml:space="preserve">      series QD_cmga = 1.12405379242039 * @elem(QD_cmga, 2015)</v>
      </c>
    </row>
    <row r="114" spans="71:74" x14ac:dyDescent="0.25">
      <c r="BS114" t="s">
        <v>64</v>
      </c>
      <c r="BT114">
        <v>7</v>
      </c>
      <c r="BU114" t="s">
        <v>83</v>
      </c>
      <c r="BV114" t="str" cm="1">
        <f t="array" aca="1" ref="BV114" ca="1">INDIRECT(BU114&amp;BT114)</f>
        <v xml:space="preserve">      series QD_cbiog = 1.0356626017407 * @elem(QD_cbiog, 2015)</v>
      </c>
    </row>
    <row r="115" spans="71:74" x14ac:dyDescent="0.25">
      <c r="BS115" t="s">
        <v>64</v>
      </c>
      <c r="BT115">
        <v>7</v>
      </c>
      <c r="BU115" t="s">
        <v>84</v>
      </c>
      <c r="BV115" t="str" cm="1">
        <f t="array" aca="1" ref="BV115" ca="1">INDIRECT(BU115&amp;BT115)</f>
        <v xml:space="preserve">      series QD_cbiom = 1.01565453124941 * @elem(QD_cbiom, 2015)</v>
      </c>
    </row>
    <row r="116" spans="71:74" x14ac:dyDescent="0.25">
      <c r="BS116" t="s">
        <v>64</v>
      </c>
      <c r="BT116">
        <v>7</v>
      </c>
      <c r="BU116" t="s">
        <v>85</v>
      </c>
      <c r="BV116" t="str" cm="1">
        <f t="array" aca="1" ref="BV116" ca="1">INDIRECT(BU116&amp;BT116)</f>
        <v xml:space="preserve">      series QD_cbiof = 1.03939451245894 * @elem(QD_cbiof, 2015)</v>
      </c>
    </row>
    <row r="117" spans="71:74" x14ac:dyDescent="0.25">
      <c r="BS117" t="s">
        <v>64</v>
      </c>
      <c r="BT117">
        <v>7</v>
      </c>
      <c r="BU117" t="s">
        <v>87</v>
      </c>
      <c r="BV117" t="str" cm="1">
        <f t="array" aca="1" ref="BV117" ca="1">INDIRECT(BU117&amp;BT117)</f>
        <v xml:space="preserve">      series QD_chea = 1.10317193412983 * @elem(QD_chea, 2015)</v>
      </c>
    </row>
    <row r="118" spans="71:74" x14ac:dyDescent="0.25">
      <c r="BS118" t="s">
        <v>64</v>
      </c>
      <c r="BT118">
        <v>8</v>
      </c>
      <c r="BU118" t="s">
        <v>65</v>
      </c>
      <c r="BV118" t="str" cm="1">
        <f t="array" aca="1" ref="BV118" ca="1">INDIRECT(BU118&amp;BT118)</f>
        <v xml:space="preserve">      smpl 2020 2020</v>
      </c>
    </row>
    <row r="119" spans="71:74" x14ac:dyDescent="0.25">
      <c r="BS119" t="s">
        <v>64</v>
      </c>
      <c r="BT119">
        <v>8</v>
      </c>
      <c r="BU119" t="s">
        <v>66</v>
      </c>
      <c r="BV119" t="str" cm="1">
        <f t="array" aca="1" ref="BV119" ca="1">INDIRECT(BU119&amp;BT119)</f>
        <v xml:space="preserve">      series QD_cagr = 1.1000733703334 * @elem(QD_cagr, 2015)</v>
      </c>
    </row>
    <row r="120" spans="71:74" x14ac:dyDescent="0.25">
      <c r="BS120" t="s">
        <v>64</v>
      </c>
      <c r="BT120">
        <v>8</v>
      </c>
      <c r="BU120" t="s">
        <v>67</v>
      </c>
      <c r="BV120" t="str" cm="1">
        <f t="array" aca="1" ref="BV120" ca="1">INDIRECT(BU120&amp;BT120)</f>
        <v xml:space="preserve">      series QD_cmet = 1.14988648980344 * @elem(QD_cmet, 2015)</v>
      </c>
    </row>
    <row r="121" spans="71:74" x14ac:dyDescent="0.25">
      <c r="BS121" t="s">
        <v>64</v>
      </c>
      <c r="BT121">
        <v>8</v>
      </c>
      <c r="BU121" t="s">
        <v>68</v>
      </c>
      <c r="BV121" t="str" cm="1">
        <f t="array" aca="1" ref="BV121" ca="1">INDIRECT(BU121&amp;BT121)</f>
        <v xml:space="preserve">      series QD_cchem = 1.05542881477332 * @elem(QD_cchem, 2015)</v>
      </c>
    </row>
    <row r="122" spans="71:74" x14ac:dyDescent="0.25">
      <c r="BS122" t="s">
        <v>64</v>
      </c>
      <c r="BT122">
        <v>8</v>
      </c>
      <c r="BU122" t="s">
        <v>69</v>
      </c>
      <c r="BV122" t="str" cm="1">
        <f t="array" aca="1" ref="BV122" ca="1">INDIRECT(BU122&amp;BT122)</f>
        <v xml:space="preserve">      series QD_cpla = 1.11281429637523 * @elem(QD_cpla, 2015)</v>
      </c>
    </row>
    <row r="123" spans="71:74" x14ac:dyDescent="0.25">
      <c r="BS123" t="s">
        <v>64</v>
      </c>
      <c r="BT123">
        <v>8</v>
      </c>
      <c r="BU123" t="s">
        <v>70</v>
      </c>
      <c r="BV123" t="str" cm="1">
        <f t="array" aca="1" ref="BV123" ca="1">INDIRECT(BU123&amp;BT123)</f>
        <v xml:space="preserve">      series QD_cgla = 1.11163189084234 * @elem(QD_cgla, 2015)</v>
      </c>
    </row>
    <row r="124" spans="71:74" x14ac:dyDescent="0.25">
      <c r="BS124" t="s">
        <v>64</v>
      </c>
      <c r="BT124">
        <v>8</v>
      </c>
      <c r="BU124" t="s">
        <v>71</v>
      </c>
      <c r="BV124" t="str" cm="1">
        <f t="array" aca="1" ref="BV124" ca="1">INDIRECT(BU124&amp;BT124)</f>
        <v xml:space="preserve">      series QD_cpap = 1.10077731917305 * @elem(QD_cpap, 2015)</v>
      </c>
    </row>
    <row r="125" spans="71:74" x14ac:dyDescent="0.25">
      <c r="BS125" t="s">
        <v>64</v>
      </c>
      <c r="BT125">
        <v>8</v>
      </c>
      <c r="BU125" t="s">
        <v>72</v>
      </c>
      <c r="BV125" t="str" cm="1">
        <f t="array" aca="1" ref="BV125" ca="1">INDIRECT(BU125&amp;BT125)</f>
        <v xml:space="preserve">      series QD_cfoo = 1.09686343805043 * @elem(QD_cfoo, 2015)</v>
      </c>
    </row>
    <row r="126" spans="71:74" x14ac:dyDescent="0.25">
      <c r="BS126" t="s">
        <v>64</v>
      </c>
      <c r="BT126">
        <v>8</v>
      </c>
      <c r="BU126" t="s">
        <v>73</v>
      </c>
      <c r="BV126" t="str" cm="1">
        <f t="array" aca="1" ref="BV126" ca="1">INDIRECT(BU126&amp;BT126)</f>
        <v xml:space="preserve">      series QD_cres = 1.13272296095699 * @elem(QD_cres, 2015)</v>
      </c>
    </row>
    <row r="127" spans="71:74" x14ac:dyDescent="0.25">
      <c r="BS127" t="s">
        <v>64</v>
      </c>
      <c r="BT127">
        <v>8</v>
      </c>
      <c r="BU127" t="s">
        <v>74</v>
      </c>
      <c r="BV127" t="str" cm="1">
        <f t="array" aca="1" ref="BV127" ca="1">INDIRECT(BU127&amp;BT127)</f>
        <v xml:space="preserve">      series QD_croa = 1.10546454943618 * @elem(QD_croa, 2015)</v>
      </c>
    </row>
    <row r="128" spans="71:74" x14ac:dyDescent="0.25">
      <c r="BS128" t="s">
        <v>64</v>
      </c>
      <c r="BT128">
        <v>8</v>
      </c>
      <c r="BU128" t="s">
        <v>75</v>
      </c>
      <c r="BV128" t="str" cm="1">
        <f t="array" aca="1" ref="BV128" ca="1">INDIRECT(BU128&amp;BT128)</f>
        <v xml:space="preserve">      series QD_cwat = 1.1117245208632 * @elem(QD_cwat, 2015)</v>
      </c>
    </row>
    <row r="129" spans="71:74" x14ac:dyDescent="0.25">
      <c r="BS129" t="s">
        <v>64</v>
      </c>
      <c r="BT129">
        <v>8</v>
      </c>
      <c r="BU129" t="s">
        <v>86</v>
      </c>
      <c r="BV129" t="str" cm="1">
        <f t="array" aca="1" ref="BV129" ca="1">INDIRECT(BU129&amp;BT129)</f>
        <v xml:space="preserve">      series QD_cair = 1.11645920435428 * @elem(QD_cair, 2015)</v>
      </c>
    </row>
    <row r="130" spans="71:74" x14ac:dyDescent="0.25">
      <c r="BS130" t="s">
        <v>64</v>
      </c>
      <c r="BT130">
        <v>8</v>
      </c>
      <c r="BU130" t="s">
        <v>76</v>
      </c>
      <c r="BV130" t="str" cm="1">
        <f t="array" aca="1" ref="BV130" ca="1">INDIRECT(BU130&amp;BT130)</f>
        <v xml:space="preserve">      series QD_ccoa = 0.370604529773696 * @elem(QD_ccoa, 2015)</v>
      </c>
    </row>
    <row r="131" spans="71:74" x14ac:dyDescent="0.25">
      <c r="BS131" t="s">
        <v>64</v>
      </c>
      <c r="BT131">
        <v>8</v>
      </c>
      <c r="BU131" t="s">
        <v>77</v>
      </c>
      <c r="BV131" t="str" cm="1">
        <f t="array" aca="1" ref="BV131" ca="1">INDIRECT(BU131&amp;BT131)</f>
        <v xml:space="preserve">      series QD_coil = 0.412116033011664 * @elem(QD_coil, 2015)</v>
      </c>
    </row>
    <row r="132" spans="71:74" x14ac:dyDescent="0.25">
      <c r="BS132" t="s">
        <v>64</v>
      </c>
      <c r="BT132">
        <v>8</v>
      </c>
      <c r="BU132" t="s">
        <v>78</v>
      </c>
      <c r="BV132" t="str" cm="1">
        <f t="array" aca="1" ref="BV132" ca="1">INDIRECT(BU132&amp;BT132)</f>
        <v xml:space="preserve">      series QD_cfue = 1.26258353581504 * @elem(QD_cfue, 2015)</v>
      </c>
    </row>
    <row r="133" spans="71:74" x14ac:dyDescent="0.25">
      <c r="BS133" t="s">
        <v>64</v>
      </c>
      <c r="BT133">
        <v>8</v>
      </c>
      <c r="BU133" t="s">
        <v>79</v>
      </c>
      <c r="BV133" t="str" cm="1">
        <f t="array" aca="1" ref="BV133" ca="1">INDIRECT(BU133&amp;BT133)</f>
        <v xml:space="preserve">      series QD_cpch = 1.2842228183472 * @elem(QD_cpch, 2015)</v>
      </c>
    </row>
    <row r="134" spans="71:74" x14ac:dyDescent="0.25">
      <c r="BS134" t="s">
        <v>64</v>
      </c>
      <c r="BT134">
        <v>8</v>
      </c>
      <c r="BU134" t="s">
        <v>80</v>
      </c>
      <c r="BV134" t="str" cm="1">
        <f t="array" aca="1" ref="BV134" ca="1">INDIRECT(BU134&amp;BT134)</f>
        <v xml:space="preserve">      series QD_cele = 1.0487027130787 * @elem(QD_cele, 2015)</v>
      </c>
    </row>
    <row r="135" spans="71:74" x14ac:dyDescent="0.25">
      <c r="BS135" t="s">
        <v>64</v>
      </c>
      <c r="BT135">
        <v>8</v>
      </c>
      <c r="BU135" t="s">
        <v>81</v>
      </c>
      <c r="BV135" t="str" cm="1">
        <f t="array" aca="1" ref="BV135" ca="1">INDIRECT(BU135&amp;BT135)</f>
        <v xml:space="preserve">      series QD_cgas = 1.13816510836187 * @elem(QD_cgas, 2015)</v>
      </c>
    </row>
    <row r="136" spans="71:74" x14ac:dyDescent="0.25">
      <c r="BS136" t="s">
        <v>64</v>
      </c>
      <c r="BT136">
        <v>8</v>
      </c>
      <c r="BU136" t="s">
        <v>82</v>
      </c>
      <c r="BV136" t="str" cm="1">
        <f t="array" aca="1" ref="BV136" ca="1">INDIRECT(BU136&amp;BT136)</f>
        <v xml:space="preserve">      series QD_cmga = 1.12716089520489 * @elem(QD_cmga, 2015)</v>
      </c>
    </row>
    <row r="137" spans="71:74" x14ac:dyDescent="0.25">
      <c r="BS137" t="s">
        <v>64</v>
      </c>
      <c r="BT137">
        <v>8</v>
      </c>
      <c r="BU137" t="s">
        <v>83</v>
      </c>
      <c r="BV137" t="str" cm="1">
        <f t="array" aca="1" ref="BV137" ca="1">INDIRECT(BU137&amp;BT137)</f>
        <v xml:space="preserve">      series QD_cbiog = 1.04241241563128 * @elem(QD_cbiog, 2015)</v>
      </c>
    </row>
    <row r="138" spans="71:74" x14ac:dyDescent="0.25">
      <c r="BS138" t="s">
        <v>64</v>
      </c>
      <c r="BT138">
        <v>8</v>
      </c>
      <c r="BU138" t="s">
        <v>84</v>
      </c>
      <c r="BV138" t="str" cm="1">
        <f t="array" aca="1" ref="BV138" ca="1">INDIRECT(BU138&amp;BT138)</f>
        <v xml:space="preserve">      series QD_cbiom = 1.03519296019759 * @elem(QD_cbiom, 2015)</v>
      </c>
    </row>
    <row r="139" spans="71:74" x14ac:dyDescent="0.25">
      <c r="BS139" t="s">
        <v>64</v>
      </c>
      <c r="BT139">
        <v>8</v>
      </c>
      <c r="BU139" t="s">
        <v>85</v>
      </c>
      <c r="BV139" t="str" cm="1">
        <f t="array" aca="1" ref="BV139" ca="1">INDIRECT(BU139&amp;BT139)</f>
        <v xml:space="preserve">      series QD_cbiof = 1.04522694892631 * @elem(QD_cbiof, 2015)</v>
      </c>
    </row>
    <row r="140" spans="71:74" x14ac:dyDescent="0.25">
      <c r="BS140" t="s">
        <v>64</v>
      </c>
      <c r="BT140">
        <v>8</v>
      </c>
      <c r="BU140" t="s">
        <v>87</v>
      </c>
      <c r="BV140" t="str" cm="1">
        <f t="array" aca="1" ref="BV140" ca="1">INDIRECT(BU140&amp;BT140)</f>
        <v xml:space="preserve">      series QD_chea = 1.12170885309182 * @elem(QD_chea, 2015)</v>
      </c>
    </row>
    <row r="141" spans="71:74" x14ac:dyDescent="0.25">
      <c r="BS141" t="s">
        <v>64</v>
      </c>
      <c r="BT141">
        <v>9</v>
      </c>
      <c r="BU141" t="s">
        <v>65</v>
      </c>
      <c r="BV141" t="str" cm="1">
        <f t="array" aca="1" ref="BV141" ca="1">INDIRECT(BU141&amp;BT141)</f>
        <v xml:space="preserve">      smpl 2021 2021</v>
      </c>
    </row>
    <row r="142" spans="71:74" x14ac:dyDescent="0.25">
      <c r="BS142" t="s">
        <v>64</v>
      </c>
      <c r="BT142">
        <v>9</v>
      </c>
      <c r="BU142" t="s">
        <v>66</v>
      </c>
      <c r="BV142" t="str" cm="1">
        <f t="array" aca="1" ref="BV142" ca="1">INDIRECT(BU142&amp;BT142)</f>
        <v xml:space="preserve">      series QD_cagr = 1.11697092920442 * @elem(QD_cagr, 2015)</v>
      </c>
    </row>
    <row r="143" spans="71:74" x14ac:dyDescent="0.25">
      <c r="BS143" t="s">
        <v>64</v>
      </c>
      <c r="BT143">
        <v>9</v>
      </c>
      <c r="BU143" t="s">
        <v>67</v>
      </c>
      <c r="BV143" t="str" cm="1">
        <f t="array" aca="1" ref="BV143" ca="1">INDIRECT(BU143&amp;BT143)</f>
        <v xml:space="preserve">      series QD_cmet = 1.17103648231327 * @elem(QD_cmet, 2015)</v>
      </c>
    </row>
    <row r="144" spans="71:74" x14ac:dyDescent="0.25">
      <c r="BS144" t="s">
        <v>64</v>
      </c>
      <c r="BT144">
        <v>9</v>
      </c>
      <c r="BU144" t="s">
        <v>68</v>
      </c>
      <c r="BV144" t="str" cm="1">
        <f t="array" aca="1" ref="BV144" ca="1">INDIRECT(BU144&amp;BT144)</f>
        <v xml:space="preserve">      series QD_cchem = 1.06637757792305 * @elem(QD_cchem, 2015)</v>
      </c>
    </row>
    <row r="145" spans="71:74" x14ac:dyDescent="0.25">
      <c r="BS145" t="s">
        <v>64</v>
      </c>
      <c r="BT145">
        <v>9</v>
      </c>
      <c r="BU145" t="s">
        <v>69</v>
      </c>
      <c r="BV145" t="str" cm="1">
        <f t="array" aca="1" ref="BV145" ca="1">INDIRECT(BU145&amp;BT145)</f>
        <v xml:space="preserve">      series QD_cpla = 1.13112276250917 * @elem(QD_cpla, 2015)</v>
      </c>
    </row>
    <row r="146" spans="71:74" x14ac:dyDescent="0.25">
      <c r="BS146" t="s">
        <v>64</v>
      </c>
      <c r="BT146">
        <v>9</v>
      </c>
      <c r="BU146" t="s">
        <v>70</v>
      </c>
      <c r="BV146" t="str" cm="1">
        <f t="array" aca="1" ref="BV146" ca="1">INDIRECT(BU146&amp;BT146)</f>
        <v xml:space="preserve">      series QD_cgla = 1.13024061810105 * @elem(QD_cgla, 2015)</v>
      </c>
    </row>
    <row r="147" spans="71:74" x14ac:dyDescent="0.25">
      <c r="BS147" t="s">
        <v>64</v>
      </c>
      <c r="BT147">
        <v>9</v>
      </c>
      <c r="BU147" t="s">
        <v>71</v>
      </c>
      <c r="BV147" t="str" cm="1">
        <f t="array" aca="1" ref="BV147" ca="1">INDIRECT(BU147&amp;BT147)</f>
        <v xml:space="preserve">      series QD_cpap = 1.1177177870908 * @elem(QD_cpap, 2015)</v>
      </c>
    </row>
    <row r="148" spans="71:74" x14ac:dyDescent="0.25">
      <c r="BS148" t="s">
        <v>64</v>
      </c>
      <c r="BT148">
        <v>9</v>
      </c>
      <c r="BU148" t="s">
        <v>72</v>
      </c>
      <c r="BV148" t="str" cm="1">
        <f t="array" aca="1" ref="BV148" ca="1">INDIRECT(BU148&amp;BT148)</f>
        <v xml:space="preserve">      series QD_cfoo = 1.11431501789051 * @elem(QD_cfoo, 2015)</v>
      </c>
    </row>
    <row r="149" spans="71:74" x14ac:dyDescent="0.25">
      <c r="BS149" t="s">
        <v>64</v>
      </c>
      <c r="BT149">
        <v>9</v>
      </c>
      <c r="BU149" t="s">
        <v>73</v>
      </c>
      <c r="BV149" t="str" cm="1">
        <f t="array" aca="1" ref="BV149" ca="1">INDIRECT(BU149&amp;BT149)</f>
        <v xml:space="preserve">      series QD_cres = 1.15412390833674 * @elem(QD_cres, 2015)</v>
      </c>
    </row>
    <row r="150" spans="71:74" x14ac:dyDescent="0.25">
      <c r="BS150" t="s">
        <v>64</v>
      </c>
      <c r="BT150">
        <v>9</v>
      </c>
      <c r="BU150" t="s">
        <v>74</v>
      </c>
      <c r="BV150" t="str" cm="1">
        <f t="array" aca="1" ref="BV150" ca="1">INDIRECT(BU150&amp;BT150)</f>
        <v xml:space="preserve">      series QD_croa = 1.12292338104636 * @elem(QD_croa, 2015)</v>
      </c>
    </row>
    <row r="151" spans="71:74" x14ac:dyDescent="0.25">
      <c r="BS151" t="s">
        <v>64</v>
      </c>
      <c r="BT151">
        <v>9</v>
      </c>
      <c r="BU151" t="s">
        <v>75</v>
      </c>
      <c r="BV151" t="str" cm="1">
        <f t="array" aca="1" ref="BV151" ca="1">INDIRECT(BU151&amp;BT151)</f>
        <v xml:space="preserve">      series QD_cwat = 1.12856562318277 * @elem(QD_cwat, 2015)</v>
      </c>
    </row>
    <row r="152" spans="71:74" x14ac:dyDescent="0.25">
      <c r="BS152" t="s">
        <v>64</v>
      </c>
      <c r="BT152">
        <v>9</v>
      </c>
      <c r="BU152" t="s">
        <v>86</v>
      </c>
      <c r="BV152" t="str" cm="1">
        <f t="array" aca="1" ref="BV152" ca="1">INDIRECT(BU152&amp;BT152)</f>
        <v xml:space="preserve">      series QD_cair = 1.13541777733795 * @elem(QD_cair, 2015)</v>
      </c>
    </row>
    <row r="153" spans="71:74" x14ac:dyDescent="0.25">
      <c r="BS153" t="s">
        <v>64</v>
      </c>
      <c r="BT153">
        <v>9</v>
      </c>
      <c r="BU153" t="s">
        <v>76</v>
      </c>
      <c r="BV153" t="str" cm="1">
        <f t="array" aca="1" ref="BV153" ca="1">INDIRECT(BU153&amp;BT153)</f>
        <v xml:space="preserve">      series QD_ccoa = 0.309538143967086 * @elem(QD_ccoa, 2015)</v>
      </c>
    </row>
    <row r="154" spans="71:74" x14ac:dyDescent="0.25">
      <c r="BS154" t="s">
        <v>64</v>
      </c>
      <c r="BT154">
        <v>9</v>
      </c>
      <c r="BU154" t="s">
        <v>77</v>
      </c>
      <c r="BV154" t="str" cm="1">
        <f t="array" aca="1" ref="BV154" ca="1">INDIRECT(BU154&amp;BT154)</f>
        <v xml:space="preserve">      series QD_coil = 0.355429940858172 * @elem(QD_coil, 2015)</v>
      </c>
    </row>
    <row r="155" spans="71:74" x14ac:dyDescent="0.25">
      <c r="BS155" t="s">
        <v>64</v>
      </c>
      <c r="BT155">
        <v>9</v>
      </c>
      <c r="BU155" t="s">
        <v>78</v>
      </c>
      <c r="BV155" t="str" cm="1">
        <f t="array" aca="1" ref="BV155" ca="1">INDIRECT(BU155&amp;BT155)</f>
        <v xml:space="preserve">      series QD_cfue = 1.2917372471463 * @elem(QD_cfue, 2015)</v>
      </c>
    </row>
    <row r="156" spans="71:74" x14ac:dyDescent="0.25">
      <c r="BS156" t="s">
        <v>64</v>
      </c>
      <c r="BT156">
        <v>9</v>
      </c>
      <c r="BU156" t="s">
        <v>79</v>
      </c>
      <c r="BV156" t="str" cm="1">
        <f t="array" aca="1" ref="BV156" ca="1">INDIRECT(BU156&amp;BT156)</f>
        <v xml:space="preserve">      series QD_cpch = 1.31798263562656 * @elem(QD_cpch, 2015)</v>
      </c>
    </row>
    <row r="157" spans="71:74" x14ac:dyDescent="0.25">
      <c r="BS157" t="s">
        <v>64</v>
      </c>
      <c r="BT157">
        <v>9</v>
      </c>
      <c r="BU157" t="s">
        <v>80</v>
      </c>
      <c r="BV157" t="str" cm="1">
        <f t="array" aca="1" ref="BV157" ca="1">INDIRECT(BU157&amp;BT157)</f>
        <v xml:space="preserve">      series QD_cele = 1.06482230781747 * @elem(QD_cele, 2015)</v>
      </c>
    </row>
    <row r="158" spans="71:74" x14ac:dyDescent="0.25">
      <c r="BS158" t="s">
        <v>64</v>
      </c>
      <c r="BT158">
        <v>9</v>
      </c>
      <c r="BU158" t="s">
        <v>81</v>
      </c>
      <c r="BV158" t="str" cm="1">
        <f t="array" aca="1" ref="BV158" ca="1">INDIRECT(BU158&amp;BT158)</f>
        <v xml:space="preserve">      series QD_cgas = 1.14741965978555 * @elem(QD_cgas, 2015)</v>
      </c>
    </row>
    <row r="159" spans="71:74" x14ac:dyDescent="0.25">
      <c r="BS159" t="s">
        <v>64</v>
      </c>
      <c r="BT159">
        <v>9</v>
      </c>
      <c r="BU159" t="s">
        <v>82</v>
      </c>
      <c r="BV159" t="str" cm="1">
        <f t="array" aca="1" ref="BV159" ca="1">INDIRECT(BU159&amp;BT159)</f>
        <v xml:space="preserve">      series QD_cmga = 1.07794500989639 * @elem(QD_cmga, 2015)</v>
      </c>
    </row>
    <row r="160" spans="71:74" x14ac:dyDescent="0.25">
      <c r="BS160" t="s">
        <v>64</v>
      </c>
      <c r="BT160">
        <v>9</v>
      </c>
      <c r="BU160" t="s">
        <v>83</v>
      </c>
      <c r="BV160" t="str" cm="1">
        <f t="array" aca="1" ref="BV160" ca="1">INDIRECT(BU160&amp;BT160)</f>
        <v xml:space="preserve">      series QD_cbiog = 1.03845679600245 * @elem(QD_cbiog, 2015)</v>
      </c>
    </row>
    <row r="161" spans="71:74" x14ac:dyDescent="0.25">
      <c r="BS161" t="s">
        <v>64</v>
      </c>
      <c r="BT161">
        <v>9</v>
      </c>
      <c r="BU161" t="s">
        <v>84</v>
      </c>
      <c r="BV161" t="str" cm="1">
        <f t="array" aca="1" ref="BV161" ca="1">INDIRECT(BU161&amp;BT161)</f>
        <v xml:space="preserve">      series QD_cbiom = 1.01416118282244 * @elem(QD_cbiom, 2015)</v>
      </c>
    </row>
    <row r="162" spans="71:74" x14ac:dyDescent="0.25">
      <c r="BS162" t="s">
        <v>64</v>
      </c>
      <c r="BT162">
        <v>9</v>
      </c>
      <c r="BU162" t="s">
        <v>85</v>
      </c>
      <c r="BV162" t="str" cm="1">
        <f t="array" aca="1" ref="BV162" ca="1">INDIRECT(BU162&amp;BT162)</f>
        <v xml:space="preserve">      series QD_cbiof = 1.05100171663886 * @elem(QD_cbiof, 2015)</v>
      </c>
    </row>
    <row r="163" spans="71:74" x14ac:dyDescent="0.25">
      <c r="BS163" t="s">
        <v>64</v>
      </c>
      <c r="BT163">
        <v>9</v>
      </c>
      <c r="BU163" t="s">
        <v>87</v>
      </c>
      <c r="BV163" t="str" cm="1">
        <f t="array" aca="1" ref="BV163" ca="1">INDIRECT(BU163&amp;BT163)</f>
        <v xml:space="preserve">      series QD_chea = 1.11879617129137 * @elem(QD_chea, 2015)</v>
      </c>
    </row>
    <row r="164" spans="71:74" x14ac:dyDescent="0.25">
      <c r="BS164" t="s">
        <v>64</v>
      </c>
      <c r="BT164">
        <v>10</v>
      </c>
      <c r="BU164" t="s">
        <v>65</v>
      </c>
      <c r="BV164" t="str" cm="1">
        <f t="array" aca="1" ref="BV164" ca="1">INDIRECT(BU164&amp;BT164)</f>
        <v xml:space="preserve">      smpl 2022 2022</v>
      </c>
    </row>
    <row r="165" spans="71:74" x14ac:dyDescent="0.25">
      <c r="BS165" t="s">
        <v>64</v>
      </c>
      <c r="BT165">
        <v>10</v>
      </c>
      <c r="BU165" t="s">
        <v>66</v>
      </c>
      <c r="BV165" t="str" cm="1">
        <f t="array" aca="1" ref="BV165" ca="1">INDIRECT(BU165&amp;BT165)</f>
        <v xml:space="preserve">      series QD_cagr = 1.13353019690278 * @elem(QD_cagr, 2015)</v>
      </c>
    </row>
    <row r="166" spans="71:74" x14ac:dyDescent="0.25">
      <c r="BS166" t="s">
        <v>64</v>
      </c>
      <c r="BT166">
        <v>10</v>
      </c>
      <c r="BU166" t="s">
        <v>67</v>
      </c>
      <c r="BV166" t="str" cm="1">
        <f t="array" aca="1" ref="BV166" ca="1">INDIRECT(BU166&amp;BT166)</f>
        <v xml:space="preserve">      series QD_cmet = 1.19085623234529 * @elem(QD_cmet, 2015)</v>
      </c>
    </row>
    <row r="167" spans="71:74" x14ac:dyDescent="0.25">
      <c r="BS167" t="s">
        <v>64</v>
      </c>
      <c r="BT167">
        <v>10</v>
      </c>
      <c r="BU167" t="s">
        <v>68</v>
      </c>
      <c r="BV167" t="str" cm="1">
        <f t="array" aca="1" ref="BV167" ca="1">INDIRECT(BU167&amp;BT167)</f>
        <v xml:space="preserve">      series QD_cchem = 1.07794839855439 * @elem(QD_cchem, 2015)</v>
      </c>
    </row>
    <row r="168" spans="71:74" x14ac:dyDescent="0.25">
      <c r="BS168" t="s">
        <v>64</v>
      </c>
      <c r="BT168">
        <v>10</v>
      </c>
      <c r="BU168" t="s">
        <v>69</v>
      </c>
      <c r="BV168" t="str" cm="1">
        <f t="array" aca="1" ref="BV168" ca="1">INDIRECT(BU168&amp;BT168)</f>
        <v xml:space="preserve">      series QD_cpla = 1.14912638480063 * @elem(QD_cpla, 2015)</v>
      </c>
    </row>
    <row r="169" spans="71:74" x14ac:dyDescent="0.25">
      <c r="BS169" t="s">
        <v>64</v>
      </c>
      <c r="BT169">
        <v>10</v>
      </c>
      <c r="BU169" t="s">
        <v>70</v>
      </c>
      <c r="BV169" t="str" cm="1">
        <f t="array" aca="1" ref="BV169" ca="1">INDIRECT(BU169&amp;BT169)</f>
        <v xml:space="preserve">      series QD_cgla = 1.14830576447233 * @elem(QD_cgla, 2015)</v>
      </c>
    </row>
    <row r="170" spans="71:74" x14ac:dyDescent="0.25">
      <c r="BS170" t="s">
        <v>64</v>
      </c>
      <c r="BT170">
        <v>10</v>
      </c>
      <c r="BU170" t="s">
        <v>71</v>
      </c>
      <c r="BV170" t="str" cm="1">
        <f t="array" aca="1" ref="BV170" ca="1">INDIRECT(BU170&amp;BT170)</f>
        <v xml:space="preserve">      series QD_cpap = 1.13423884274731 * @elem(QD_cpap, 2015)</v>
      </c>
    </row>
    <row r="171" spans="71:74" x14ac:dyDescent="0.25">
      <c r="BS171" t="s">
        <v>64</v>
      </c>
      <c r="BT171">
        <v>10</v>
      </c>
      <c r="BU171" t="s">
        <v>72</v>
      </c>
      <c r="BV171" t="str" cm="1">
        <f t="array" aca="1" ref="BV171" ca="1">INDIRECT(BU171&amp;BT171)</f>
        <v xml:space="preserve">      series QD_cfoo = 1.13152014483318 * @elem(QD_cfoo, 2015)</v>
      </c>
    </row>
    <row r="172" spans="71:74" x14ac:dyDescent="0.25">
      <c r="BS172" t="s">
        <v>64</v>
      </c>
      <c r="BT172">
        <v>10</v>
      </c>
      <c r="BU172" t="s">
        <v>73</v>
      </c>
      <c r="BV172" t="str" cm="1">
        <f t="array" aca="1" ref="BV172" ca="1">INDIRECT(BU172&amp;BT172)</f>
        <v xml:space="preserve">      series QD_cres = 1.17460756165221 * @elem(QD_cres, 2015)</v>
      </c>
    </row>
    <row r="173" spans="71:74" x14ac:dyDescent="0.25">
      <c r="BS173" t="s">
        <v>64</v>
      </c>
      <c r="BT173">
        <v>10</v>
      </c>
      <c r="BU173" t="s">
        <v>74</v>
      </c>
      <c r="BV173" t="str" cm="1">
        <f t="array" aca="1" ref="BV173" ca="1">INDIRECT(BU173&amp;BT173)</f>
        <v xml:space="preserve">      series QD_croa = 1.13995987611534 * @elem(QD_croa, 2015)</v>
      </c>
    </row>
    <row r="174" spans="71:74" x14ac:dyDescent="0.25">
      <c r="BS174" t="s">
        <v>64</v>
      </c>
      <c r="BT174">
        <v>10</v>
      </c>
      <c r="BU174" t="s">
        <v>75</v>
      </c>
      <c r="BV174" t="str" cm="1">
        <f t="array" aca="1" ref="BV174" ca="1">INDIRECT(BU174&amp;BT174)</f>
        <v xml:space="preserve">      series QD_cwat = 1.1452391190913 * @elem(QD_cwat, 2015)</v>
      </c>
    </row>
    <row r="175" spans="71:74" x14ac:dyDescent="0.25">
      <c r="BS175" t="s">
        <v>64</v>
      </c>
      <c r="BT175">
        <v>10</v>
      </c>
      <c r="BU175" t="s">
        <v>86</v>
      </c>
      <c r="BV175" t="str" cm="1">
        <f t="array" aca="1" ref="BV175" ca="1">INDIRECT(BU175&amp;BT175)</f>
        <v xml:space="preserve">      series QD_cair = 1.15440504601682 * @elem(QD_cair, 2015)</v>
      </c>
    </row>
    <row r="176" spans="71:74" x14ac:dyDescent="0.25">
      <c r="BS176" t="s">
        <v>64</v>
      </c>
      <c r="BT176">
        <v>10</v>
      </c>
      <c r="BU176" t="s">
        <v>76</v>
      </c>
      <c r="BV176" t="str" cm="1">
        <f t="array" aca="1" ref="BV176" ca="1">INDIRECT(BU176&amp;BT176)</f>
        <v xml:space="preserve">      series QD_ccoa = 0.260813766403698 * @elem(QD_ccoa, 2015)</v>
      </c>
    </row>
    <row r="177" spans="71:74" x14ac:dyDescent="0.25">
      <c r="BS177" t="s">
        <v>64</v>
      </c>
      <c r="BT177">
        <v>10</v>
      </c>
      <c r="BU177" t="s">
        <v>77</v>
      </c>
      <c r="BV177" t="str" cm="1">
        <f t="array" aca="1" ref="BV177" ca="1">INDIRECT(BU177&amp;BT177)</f>
        <v xml:space="preserve">      series QD_coil = 0.310258493838996 * @elem(QD_coil, 2015)</v>
      </c>
    </row>
    <row r="178" spans="71:74" x14ac:dyDescent="0.25">
      <c r="BS178" t="s">
        <v>64</v>
      </c>
      <c r="BT178">
        <v>10</v>
      </c>
      <c r="BU178" t="s">
        <v>78</v>
      </c>
      <c r="BV178" t="str" cm="1">
        <f t="array" aca="1" ref="BV178" ca="1">INDIRECT(BU178&amp;BT178)</f>
        <v xml:space="preserve">      series QD_cfue = 1.31648082889555 * @elem(QD_cfue, 2015)</v>
      </c>
    </row>
    <row r="179" spans="71:74" x14ac:dyDescent="0.25">
      <c r="BS179" t="s">
        <v>64</v>
      </c>
      <c r="BT179">
        <v>10</v>
      </c>
      <c r="BU179" t="s">
        <v>79</v>
      </c>
      <c r="BV179" t="str" cm="1">
        <f t="array" aca="1" ref="BV179" ca="1">INDIRECT(BU179&amp;BT179)</f>
        <v xml:space="preserve">      series QD_cpch = 1.34771905432897 * @elem(QD_cpch, 2015)</v>
      </c>
    </row>
    <row r="180" spans="71:74" x14ac:dyDescent="0.25">
      <c r="BS180" t="s">
        <v>64</v>
      </c>
      <c r="BT180">
        <v>10</v>
      </c>
      <c r="BU180" t="s">
        <v>80</v>
      </c>
      <c r="BV180" t="str" cm="1">
        <f t="array" aca="1" ref="BV180" ca="1">INDIRECT(BU180&amp;BT180)</f>
        <v xml:space="preserve">      series QD_cele = 1.07438797351162 * @elem(QD_cele, 2015)</v>
      </c>
    </row>
    <row r="181" spans="71:74" x14ac:dyDescent="0.25">
      <c r="BS181" t="s">
        <v>64</v>
      </c>
      <c r="BT181">
        <v>10</v>
      </c>
      <c r="BU181" t="s">
        <v>81</v>
      </c>
      <c r="BV181" t="str" cm="1">
        <f t="array" aca="1" ref="BV181" ca="1">INDIRECT(BU181&amp;BT181)</f>
        <v xml:space="preserve">      series QD_cgas = 1.15411182205426 * @elem(QD_cgas, 2015)</v>
      </c>
    </row>
    <row r="182" spans="71:74" x14ac:dyDescent="0.25">
      <c r="BS182" t="s">
        <v>64</v>
      </c>
      <c r="BT182">
        <v>10</v>
      </c>
      <c r="BU182" t="s">
        <v>82</v>
      </c>
      <c r="BV182" t="str" cm="1">
        <f t="array" aca="1" ref="BV182" ca="1">INDIRECT(BU182&amp;BT182)</f>
        <v xml:space="preserve">      series QD_cmga = 1.02354942037685 * @elem(QD_cmga, 2015)</v>
      </c>
    </row>
    <row r="183" spans="71:74" x14ac:dyDescent="0.25">
      <c r="BS183" t="s">
        <v>64</v>
      </c>
      <c r="BT183">
        <v>10</v>
      </c>
      <c r="BU183" t="s">
        <v>83</v>
      </c>
      <c r="BV183" t="str" cm="1">
        <f t="array" aca="1" ref="BV183" ca="1">INDIRECT(BU183&amp;BT183)</f>
        <v xml:space="preserve">      series QD_cbiog = 1.0304489042923 * @elem(QD_cbiog, 2015)</v>
      </c>
    </row>
    <row r="184" spans="71:74" x14ac:dyDescent="0.25">
      <c r="BS184" t="s">
        <v>64</v>
      </c>
      <c r="BT184">
        <v>10</v>
      </c>
      <c r="BU184" t="s">
        <v>84</v>
      </c>
      <c r="BV184" t="str" cm="1">
        <f t="array" aca="1" ref="BV184" ca="1">INDIRECT(BU184&amp;BT184)</f>
        <v xml:space="preserve">      series QD_cbiom = 0.991061733263355 * @elem(QD_cbiom, 2015)</v>
      </c>
    </row>
    <row r="185" spans="71:74" x14ac:dyDescent="0.25">
      <c r="BS185" t="s">
        <v>64</v>
      </c>
      <c r="BT185">
        <v>10</v>
      </c>
      <c r="BU185" t="s">
        <v>85</v>
      </c>
      <c r="BV185" t="str" cm="1">
        <f t="array" aca="1" ref="BV185" ca="1">INDIRECT(BU185&amp;BT185)</f>
        <v xml:space="preserve">      series QD_cbiof = 1.05680555740702 * @elem(QD_cbiof, 2015)</v>
      </c>
    </row>
    <row r="186" spans="71:74" x14ac:dyDescent="0.25">
      <c r="BS186" t="s">
        <v>64</v>
      </c>
      <c r="BT186">
        <v>10</v>
      </c>
      <c r="BU186" t="s">
        <v>87</v>
      </c>
      <c r="BV186" t="str" cm="1">
        <f t="array" aca="1" ref="BV186" ca="1">INDIRECT(BU186&amp;BT186)</f>
        <v xml:space="preserve">      series QD_chea = 1.11520042274766 * @elem(QD_chea, 2015)</v>
      </c>
    </row>
    <row r="187" spans="71:74" x14ac:dyDescent="0.25">
      <c r="BS187" t="s">
        <v>64</v>
      </c>
      <c r="BT187">
        <v>11</v>
      </c>
      <c r="BU187" t="s">
        <v>65</v>
      </c>
      <c r="BV187" t="str" cm="1">
        <f t="array" aca="1" ref="BV187" ca="1">INDIRECT(BU187&amp;BT187)</f>
        <v xml:space="preserve">      smpl 2023 2023</v>
      </c>
    </row>
    <row r="188" spans="71:74" x14ac:dyDescent="0.25">
      <c r="BS188" t="s">
        <v>64</v>
      </c>
      <c r="BT188">
        <v>11</v>
      </c>
      <c r="BU188" t="s">
        <v>66</v>
      </c>
      <c r="BV188" t="str" cm="1">
        <f t="array" aca="1" ref="BV188" ca="1">INDIRECT(BU188&amp;BT188)</f>
        <v xml:space="preserve">      series QD_cagr = 1.14977408470153 * @elem(QD_cagr, 2015)</v>
      </c>
    </row>
    <row r="189" spans="71:74" x14ac:dyDescent="0.25">
      <c r="BS189" t="s">
        <v>64</v>
      </c>
      <c r="BT189">
        <v>11</v>
      </c>
      <c r="BU189" t="s">
        <v>67</v>
      </c>
      <c r="BV189" t="str" cm="1">
        <f t="array" aca="1" ref="BV189" ca="1">INDIRECT(BU189&amp;BT189)</f>
        <v xml:space="preserve">      series QD_cmet = 1.20963934953731 * @elem(QD_cmet, 2015)</v>
      </c>
    </row>
    <row r="190" spans="71:74" x14ac:dyDescent="0.25">
      <c r="BS190" t="s">
        <v>64</v>
      </c>
      <c r="BT190">
        <v>11</v>
      </c>
      <c r="BU190" t="s">
        <v>68</v>
      </c>
      <c r="BV190" t="str" cm="1">
        <f t="array" aca="1" ref="BV190" ca="1">INDIRECT(BU190&amp;BT190)</f>
        <v xml:space="preserve">      series QD_cchem = 1.08998493400712 * @elem(QD_cchem, 2015)</v>
      </c>
    </row>
    <row r="191" spans="71:74" x14ac:dyDescent="0.25">
      <c r="BS191" t="s">
        <v>64</v>
      </c>
      <c r="BT191">
        <v>11</v>
      </c>
      <c r="BU191" t="s">
        <v>69</v>
      </c>
      <c r="BV191" t="str" cm="1">
        <f t="array" aca="1" ref="BV191" ca="1">INDIRECT(BU191&amp;BT191)</f>
        <v xml:space="preserve">      series QD_cpla = 1.16684012412994 * @elem(QD_cpla, 2015)</v>
      </c>
    </row>
    <row r="192" spans="71:74" x14ac:dyDescent="0.25">
      <c r="BS192" t="s">
        <v>64</v>
      </c>
      <c r="BT192">
        <v>11</v>
      </c>
      <c r="BU192" t="s">
        <v>70</v>
      </c>
      <c r="BV192" t="str" cm="1">
        <f t="array" aca="1" ref="BV192" ca="1">INDIRECT(BU192&amp;BT192)</f>
        <v xml:space="preserve">      series QD_cgla = 1.16590243485887 * @elem(QD_cgla, 2015)</v>
      </c>
    </row>
    <row r="193" spans="71:74" x14ac:dyDescent="0.25">
      <c r="BS193" t="s">
        <v>64</v>
      </c>
      <c r="BT193">
        <v>11</v>
      </c>
      <c r="BU193" t="s">
        <v>71</v>
      </c>
      <c r="BV193" t="str" cm="1">
        <f t="array" aca="1" ref="BV193" ca="1">INDIRECT(BU193&amp;BT193)</f>
        <v xml:space="preserve">      series QD_cpap = 1.15033861882429 * @elem(QD_cpap, 2015)</v>
      </c>
    </row>
    <row r="194" spans="71:74" x14ac:dyDescent="0.25">
      <c r="BS194" t="s">
        <v>64</v>
      </c>
      <c r="BT194">
        <v>11</v>
      </c>
      <c r="BU194" t="s">
        <v>72</v>
      </c>
      <c r="BV194" t="str" cm="1">
        <f t="array" aca="1" ref="BV194" ca="1">INDIRECT(BU194&amp;BT194)</f>
        <v xml:space="preserve">      series QD_cfoo = 1.14847310737095 * @elem(QD_cfoo, 2015)</v>
      </c>
    </row>
    <row r="195" spans="71:74" x14ac:dyDescent="0.25">
      <c r="BS195" t="s">
        <v>64</v>
      </c>
      <c r="BT195">
        <v>11</v>
      </c>
      <c r="BU195" t="s">
        <v>73</v>
      </c>
      <c r="BV195" t="str" cm="1">
        <f t="array" aca="1" ref="BV195" ca="1">INDIRECT(BU195&amp;BT195)</f>
        <v xml:space="preserve">      series QD_cres = 1.19432416940324 * @elem(QD_cres, 2015)</v>
      </c>
    </row>
    <row r="196" spans="71:74" x14ac:dyDescent="0.25">
      <c r="BS196" t="s">
        <v>64</v>
      </c>
      <c r="BT196">
        <v>11</v>
      </c>
      <c r="BU196" t="s">
        <v>74</v>
      </c>
      <c r="BV196" t="str" cm="1">
        <f t="array" aca="1" ref="BV196" ca="1">INDIRECT(BU196&amp;BT196)</f>
        <v xml:space="preserve">      series QD_croa = 1.15663815772621 * @elem(QD_croa, 2015)</v>
      </c>
    </row>
    <row r="197" spans="71:74" x14ac:dyDescent="0.25">
      <c r="BS197" t="s">
        <v>64</v>
      </c>
      <c r="BT197">
        <v>11</v>
      </c>
      <c r="BU197" t="s">
        <v>75</v>
      </c>
      <c r="BV197" t="str" cm="1">
        <f t="array" aca="1" ref="BV197" ca="1">INDIRECT(BU197&amp;BT197)</f>
        <v xml:space="preserve">      series QD_cwat = 1.16177489132748 * @elem(QD_cwat, 2015)</v>
      </c>
    </row>
    <row r="198" spans="71:74" x14ac:dyDescent="0.25">
      <c r="BS198" t="s">
        <v>64</v>
      </c>
      <c r="BT198">
        <v>11</v>
      </c>
      <c r="BU198" t="s">
        <v>86</v>
      </c>
      <c r="BV198" t="str" cm="1">
        <f t="array" aca="1" ref="BV198" ca="1">INDIRECT(BU198&amp;BT198)</f>
        <v xml:space="preserve">      series QD_cair = 1.17327909054923 * @elem(QD_cair, 2015)</v>
      </c>
    </row>
    <row r="199" spans="71:74" x14ac:dyDescent="0.25">
      <c r="BS199" t="s">
        <v>64</v>
      </c>
      <c r="BT199">
        <v>11</v>
      </c>
      <c r="BU199" t="s">
        <v>76</v>
      </c>
      <c r="BV199" t="str" cm="1">
        <f t="array" aca="1" ref="BV199" ca="1">INDIRECT(BU199&amp;BT199)</f>
        <v xml:space="preserve">      series QD_ccoa = 0.221954043514136 * @elem(QD_ccoa, 2015)</v>
      </c>
    </row>
    <row r="200" spans="71:74" x14ac:dyDescent="0.25">
      <c r="BS200" t="s">
        <v>64</v>
      </c>
      <c r="BT200">
        <v>11</v>
      </c>
      <c r="BU200" t="s">
        <v>77</v>
      </c>
      <c r="BV200" t="str" cm="1">
        <f t="array" aca="1" ref="BV200" ca="1">INDIRECT(BU200&amp;BT200)</f>
        <v xml:space="preserve">      series QD_coil = 0.27427475190652 * @elem(QD_coil, 2015)</v>
      </c>
    </row>
    <row r="201" spans="71:74" x14ac:dyDescent="0.25">
      <c r="BS201" t="s">
        <v>64</v>
      </c>
      <c r="BT201">
        <v>11</v>
      </c>
      <c r="BU201" t="s">
        <v>78</v>
      </c>
      <c r="BV201" t="str" cm="1">
        <f t="array" aca="1" ref="BV201" ca="1">INDIRECT(BU201&amp;BT201)</f>
        <v xml:space="preserve">      series QD_cfue = 1.33783545769411 * @elem(QD_cfue, 2015)</v>
      </c>
    </row>
    <row r="202" spans="71:74" x14ac:dyDescent="0.25">
      <c r="BS202" t="s">
        <v>64</v>
      </c>
      <c r="BT202">
        <v>11</v>
      </c>
      <c r="BU202" t="s">
        <v>79</v>
      </c>
      <c r="BV202" t="str" cm="1">
        <f t="array" aca="1" ref="BV202" ca="1">INDIRECT(BU202&amp;BT202)</f>
        <v xml:space="preserve">      series QD_cpch = 1.37413988578772 * @elem(QD_cpch, 2015)</v>
      </c>
    </row>
    <row r="203" spans="71:74" x14ac:dyDescent="0.25">
      <c r="BS203" t="s">
        <v>64</v>
      </c>
      <c r="BT203">
        <v>11</v>
      </c>
      <c r="BU203" t="s">
        <v>80</v>
      </c>
      <c r="BV203" t="str" cm="1">
        <f t="array" aca="1" ref="BV203" ca="1">INDIRECT(BU203&amp;BT203)</f>
        <v xml:space="preserve">      series QD_cele = 1.07766913344873 * @elem(QD_cele, 2015)</v>
      </c>
    </row>
    <row r="204" spans="71:74" x14ac:dyDescent="0.25">
      <c r="BS204" t="s">
        <v>64</v>
      </c>
      <c r="BT204">
        <v>11</v>
      </c>
      <c r="BU204" t="s">
        <v>81</v>
      </c>
      <c r="BV204" t="str" cm="1">
        <f t="array" aca="1" ref="BV204" ca="1">INDIRECT(BU204&amp;BT204)</f>
        <v xml:space="preserve">      series QD_cgas = 1.15912475471633 * @elem(QD_cgas, 2015)</v>
      </c>
    </row>
    <row r="205" spans="71:74" x14ac:dyDescent="0.25">
      <c r="BS205" t="s">
        <v>64</v>
      </c>
      <c r="BT205">
        <v>11</v>
      </c>
      <c r="BU205" t="s">
        <v>82</v>
      </c>
      <c r="BV205" t="str" cm="1">
        <f t="array" aca="1" ref="BV205" ca="1">INDIRECT(BU205&amp;BT205)</f>
        <v xml:space="preserve">      series QD_cmga = 0.969538570980735 * @elem(QD_cmga, 2015)</v>
      </c>
    </row>
    <row r="206" spans="71:74" x14ac:dyDescent="0.25">
      <c r="BS206" t="s">
        <v>64</v>
      </c>
      <c r="BT206">
        <v>11</v>
      </c>
      <c r="BU206" t="s">
        <v>83</v>
      </c>
      <c r="BV206" t="str" cm="1">
        <f t="array" aca="1" ref="BV206" ca="1">INDIRECT(BU206&amp;BT206)</f>
        <v xml:space="preserve">      series QD_cbiog = 1.01968330461172 * @elem(QD_cbiog, 2015)</v>
      </c>
    </row>
    <row r="207" spans="71:74" x14ac:dyDescent="0.25">
      <c r="BS207" t="s">
        <v>64</v>
      </c>
      <c r="BT207">
        <v>11</v>
      </c>
      <c r="BU207" t="s">
        <v>84</v>
      </c>
      <c r="BV207" t="str" cm="1">
        <f t="array" aca="1" ref="BV207" ca="1">INDIRECT(BU207&amp;BT207)</f>
        <v xml:space="preserve">      series QD_cbiom = 0.966943137492634 * @elem(QD_cbiom, 2015)</v>
      </c>
    </row>
    <row r="208" spans="71:74" x14ac:dyDescent="0.25">
      <c r="BS208" t="s">
        <v>64</v>
      </c>
      <c r="BT208">
        <v>11</v>
      </c>
      <c r="BU208" t="s">
        <v>85</v>
      </c>
      <c r="BV208" t="str" cm="1">
        <f t="array" aca="1" ref="BV208" ca="1">INDIRECT(BU208&amp;BT208)</f>
        <v xml:space="preserve">      series QD_cbiof = 1.06275487253662 * @elem(QD_cbiof, 2015)</v>
      </c>
    </row>
    <row r="209" spans="71:74" x14ac:dyDescent="0.25">
      <c r="BS209" t="s">
        <v>64</v>
      </c>
      <c r="BT209">
        <v>11</v>
      </c>
      <c r="BU209" t="s">
        <v>87</v>
      </c>
      <c r="BV209" t="str" cm="1">
        <f t="array" aca="1" ref="BV209" ca="1">INDIRECT(BU209&amp;BT209)</f>
        <v xml:space="preserve">      series QD_chea = 1.11137106376706 * @elem(QD_chea, 2015)</v>
      </c>
    </row>
    <row r="210" spans="71:74" x14ac:dyDescent="0.25">
      <c r="BS210" t="s">
        <v>64</v>
      </c>
      <c r="BT210">
        <v>12</v>
      </c>
      <c r="BU210" t="s">
        <v>65</v>
      </c>
      <c r="BV210" t="str" cm="1">
        <f t="array" aca="1" ref="BV210" ca="1">INDIRECT(BU210&amp;BT210)</f>
        <v xml:space="preserve">      smpl 2024 2024</v>
      </c>
    </row>
    <row r="211" spans="71:74" x14ac:dyDescent="0.25">
      <c r="BS211" t="s">
        <v>64</v>
      </c>
      <c r="BT211">
        <v>12</v>
      </c>
      <c r="BU211" t="s">
        <v>66</v>
      </c>
      <c r="BV211" t="str" cm="1">
        <f t="array" aca="1" ref="BV211" ca="1">INDIRECT(BU211&amp;BT211)</f>
        <v xml:space="preserve">      series QD_cagr = 1.16577893238231 * @elem(QD_cagr, 2015)</v>
      </c>
    </row>
    <row r="212" spans="71:74" x14ac:dyDescent="0.25">
      <c r="BS212" t="s">
        <v>64</v>
      </c>
      <c r="BT212">
        <v>12</v>
      </c>
      <c r="BU212" t="s">
        <v>67</v>
      </c>
      <c r="BV212" t="str" cm="1">
        <f t="array" aca="1" ref="BV212" ca="1">INDIRECT(BU212&amp;BT212)</f>
        <v xml:space="preserve">      series QD_cmet = 1.22768097284918 * @elem(QD_cmet, 2015)</v>
      </c>
    </row>
    <row r="213" spans="71:74" x14ac:dyDescent="0.25">
      <c r="BS213" t="s">
        <v>64</v>
      </c>
      <c r="BT213">
        <v>12</v>
      </c>
      <c r="BU213" t="s">
        <v>68</v>
      </c>
      <c r="BV213" t="str" cm="1">
        <f t="array" aca="1" ref="BV213" ca="1">INDIRECT(BU213&amp;BT213)</f>
        <v xml:space="preserve">      series QD_cchem = 1.10239295178936 * @elem(QD_cchem, 2015)</v>
      </c>
    </row>
    <row r="214" spans="71:74" x14ac:dyDescent="0.25">
      <c r="BS214" t="s">
        <v>64</v>
      </c>
      <c r="BT214">
        <v>12</v>
      </c>
      <c r="BU214" t="s">
        <v>69</v>
      </c>
      <c r="BV214" t="str" cm="1">
        <f t="array" aca="1" ref="BV214" ca="1">INDIRECT(BU214&amp;BT214)</f>
        <v xml:space="preserve">      series QD_cpla = 1.18429606642949 * @elem(QD_cpla, 2015)</v>
      </c>
    </row>
    <row r="215" spans="71:74" x14ac:dyDescent="0.25">
      <c r="BS215" t="s">
        <v>64</v>
      </c>
      <c r="BT215">
        <v>12</v>
      </c>
      <c r="BU215" t="s">
        <v>70</v>
      </c>
      <c r="BV215" t="str" cm="1">
        <f t="array" aca="1" ref="BV215" ca="1">INDIRECT(BU215&amp;BT215)</f>
        <v xml:space="preserve">      series QD_cgla = 1.18314283061022 * @elem(QD_cgla, 2015)</v>
      </c>
    </row>
    <row r="216" spans="71:74" x14ac:dyDescent="0.25">
      <c r="BS216" t="s">
        <v>64</v>
      </c>
      <c r="BT216">
        <v>12</v>
      </c>
      <c r="BU216" t="s">
        <v>71</v>
      </c>
      <c r="BV216" t="str" cm="1">
        <f t="array" aca="1" ref="BV216" ca="1">INDIRECT(BU216&amp;BT216)</f>
        <v xml:space="preserve">      series QD_cpap = 1.16608441978261 * @elem(QD_cpap, 2015)</v>
      </c>
    </row>
    <row r="217" spans="71:74" x14ac:dyDescent="0.25">
      <c r="BS217" t="s">
        <v>64</v>
      </c>
      <c r="BT217">
        <v>12</v>
      </c>
      <c r="BU217" t="s">
        <v>72</v>
      </c>
      <c r="BV217" t="str" cm="1">
        <f t="array" aca="1" ref="BV217" ca="1">INDIRECT(BU217&amp;BT217)</f>
        <v xml:space="preserve">      series QD_cfoo = 1.16522381742922 * @elem(QD_cfoo, 2015)</v>
      </c>
    </row>
    <row r="218" spans="71:74" x14ac:dyDescent="0.25">
      <c r="BS218" t="s">
        <v>64</v>
      </c>
      <c r="BT218">
        <v>12</v>
      </c>
      <c r="BU218" t="s">
        <v>73</v>
      </c>
      <c r="BV218" t="str" cm="1">
        <f t="array" aca="1" ref="BV218" ca="1">INDIRECT(BU218&amp;BT218)</f>
        <v xml:space="preserve">      series QD_cres = 1.21345493309379 * @elem(QD_cres, 2015)</v>
      </c>
    </row>
    <row r="219" spans="71:74" x14ac:dyDescent="0.25">
      <c r="BS219" t="s">
        <v>64</v>
      </c>
      <c r="BT219">
        <v>12</v>
      </c>
      <c r="BU219" t="s">
        <v>74</v>
      </c>
      <c r="BV219" t="str" cm="1">
        <f t="array" aca="1" ref="BV219" ca="1">INDIRECT(BU219&amp;BT219)</f>
        <v xml:space="preserve">      series QD_croa = 1.1730613957592 * @elem(QD_croa, 2015)</v>
      </c>
    </row>
    <row r="220" spans="71:74" x14ac:dyDescent="0.25">
      <c r="BS220" t="s">
        <v>64</v>
      </c>
      <c r="BT220">
        <v>12</v>
      </c>
      <c r="BU220" t="s">
        <v>75</v>
      </c>
      <c r="BV220" t="str" cm="1">
        <f t="array" aca="1" ref="BV220" ca="1">INDIRECT(BU220&amp;BT220)</f>
        <v xml:space="preserve">      series QD_cwat = 1.1782143099422 * @elem(QD_cwat, 2015)</v>
      </c>
    </row>
    <row r="221" spans="71:74" x14ac:dyDescent="0.25">
      <c r="BS221" t="s">
        <v>64</v>
      </c>
      <c r="BT221">
        <v>12</v>
      </c>
      <c r="BU221" t="s">
        <v>86</v>
      </c>
      <c r="BV221" t="str" cm="1">
        <f t="array" aca="1" ref="BV221" ca="1">INDIRECT(BU221&amp;BT221)</f>
        <v xml:space="preserve">      series QD_cair = 1.19196365957447 * @elem(QD_cair, 2015)</v>
      </c>
    </row>
    <row r="222" spans="71:74" x14ac:dyDescent="0.25">
      <c r="BS222" t="s">
        <v>64</v>
      </c>
      <c r="BT222">
        <v>12</v>
      </c>
      <c r="BU222" t="s">
        <v>76</v>
      </c>
      <c r="BV222" t="str" cm="1">
        <f t="array" aca="1" ref="BV222" ca="1">INDIRECT(BU222&amp;BT222)</f>
        <v xml:space="preserve">      series QD_ccoa = 0.190988467674823 * @elem(QD_ccoa, 2015)</v>
      </c>
    </row>
    <row r="223" spans="71:74" x14ac:dyDescent="0.25">
      <c r="BS223" t="s">
        <v>64</v>
      </c>
      <c r="BT223">
        <v>12</v>
      </c>
      <c r="BU223" t="s">
        <v>77</v>
      </c>
      <c r="BV223" t="str" cm="1">
        <f t="array" aca="1" ref="BV223" ca="1">INDIRECT(BU223&amp;BT223)</f>
        <v xml:space="preserve">      series QD_coil = 0.245643161621198 * @elem(QD_coil, 2015)</v>
      </c>
    </row>
    <row r="224" spans="71:74" x14ac:dyDescent="0.25">
      <c r="BS224" t="s">
        <v>64</v>
      </c>
      <c r="BT224">
        <v>12</v>
      </c>
      <c r="BU224" t="s">
        <v>78</v>
      </c>
      <c r="BV224" t="str" cm="1">
        <f t="array" aca="1" ref="BV224" ca="1">INDIRECT(BU224&amp;BT224)</f>
        <v xml:space="preserve">      series QD_cfue = 1.3566351172724 * @elem(QD_cfue, 2015)</v>
      </c>
    </row>
    <row r="225" spans="71:74" x14ac:dyDescent="0.25">
      <c r="BS225" t="s">
        <v>64</v>
      </c>
      <c r="BT225">
        <v>12</v>
      </c>
      <c r="BU225" t="s">
        <v>79</v>
      </c>
      <c r="BV225" t="str" cm="1">
        <f t="array" aca="1" ref="BV225" ca="1">INDIRECT(BU225&amp;BT225)</f>
        <v xml:space="preserve">      series QD_cpch = 1.39797723724186 * @elem(QD_cpch, 2015)</v>
      </c>
    </row>
    <row r="226" spans="71:74" x14ac:dyDescent="0.25">
      <c r="BS226" t="s">
        <v>64</v>
      </c>
      <c r="BT226">
        <v>12</v>
      </c>
      <c r="BU226" t="s">
        <v>80</v>
      </c>
      <c r="BV226" t="str" cm="1">
        <f t="array" aca="1" ref="BV226" ca="1">INDIRECT(BU226&amp;BT226)</f>
        <v xml:space="preserve">      series QD_cele = 1.07753856694861 * @elem(QD_cele, 2015)</v>
      </c>
    </row>
    <row r="227" spans="71:74" x14ac:dyDescent="0.25">
      <c r="BS227" t="s">
        <v>64</v>
      </c>
      <c r="BT227">
        <v>12</v>
      </c>
      <c r="BU227" t="s">
        <v>81</v>
      </c>
      <c r="BV227" t="str" cm="1">
        <f t="array" aca="1" ref="BV227" ca="1">INDIRECT(BU227&amp;BT227)</f>
        <v xml:space="preserve">      series QD_cgas = 1.16309014628752 * @elem(QD_cgas, 2015)</v>
      </c>
    </row>
    <row r="228" spans="71:74" x14ac:dyDescent="0.25">
      <c r="BS228" t="s">
        <v>64</v>
      </c>
      <c r="BT228">
        <v>12</v>
      </c>
      <c r="BU228" t="s">
        <v>82</v>
      </c>
      <c r="BV228" t="str" cm="1">
        <f t="array" aca="1" ref="BV228" ca="1">INDIRECT(BU228&amp;BT228)</f>
        <v xml:space="preserve">      series QD_cmga = 0.917854707347367 * @elem(QD_cmga, 2015)</v>
      </c>
    </row>
    <row r="229" spans="71:74" x14ac:dyDescent="0.25">
      <c r="BS229" t="s">
        <v>64</v>
      </c>
      <c r="BT229">
        <v>12</v>
      </c>
      <c r="BU229" t="s">
        <v>83</v>
      </c>
      <c r="BV229" t="str" cm="1">
        <f t="array" aca="1" ref="BV229" ca="1">INDIRECT(BU229&amp;BT229)</f>
        <v xml:space="preserve">      series QD_cbiog = 1.00770124869341 * @elem(QD_cbiog, 2015)</v>
      </c>
    </row>
    <row r="230" spans="71:74" x14ac:dyDescent="0.25">
      <c r="BS230" t="s">
        <v>64</v>
      </c>
      <c r="BT230">
        <v>12</v>
      </c>
      <c r="BU230" t="s">
        <v>84</v>
      </c>
      <c r="BV230" t="str" cm="1">
        <f t="array" aca="1" ref="BV230" ca="1">INDIRECT(BU230&amp;BT230)</f>
        <v xml:space="preserve">      series QD_cbiom = 0.94286955026554 * @elem(QD_cbiom, 2015)</v>
      </c>
    </row>
    <row r="231" spans="71:74" x14ac:dyDescent="0.25">
      <c r="BS231" t="s">
        <v>64</v>
      </c>
      <c r="BT231">
        <v>12</v>
      </c>
      <c r="BU231" t="s">
        <v>85</v>
      </c>
      <c r="BV231" t="str" cm="1">
        <f t="array" aca="1" ref="BV231" ca="1">INDIRECT(BU231&amp;BT231)</f>
        <v xml:space="preserve">      series QD_cbiof = 1.0689292621389 * @elem(QD_cbiof, 2015)</v>
      </c>
    </row>
    <row r="232" spans="71:74" x14ac:dyDescent="0.25">
      <c r="BS232" t="s">
        <v>64</v>
      </c>
      <c r="BT232">
        <v>12</v>
      </c>
      <c r="BU232" t="s">
        <v>87</v>
      </c>
      <c r="BV232" t="str" cm="1">
        <f t="array" aca="1" ref="BV232" ca="1">INDIRECT(BU232&amp;BT232)</f>
        <v xml:space="preserve">      series QD_chea = 1.10789967308046 * @elem(QD_chea, 2015)</v>
      </c>
    </row>
    <row r="233" spans="71:74" x14ac:dyDescent="0.25">
      <c r="BS233" t="s">
        <v>64</v>
      </c>
      <c r="BT233">
        <v>13</v>
      </c>
      <c r="BU233" t="s">
        <v>65</v>
      </c>
      <c r="BV233" t="str" cm="1">
        <f t="array" aca="1" ref="BV233" ca="1">INDIRECT(BU233&amp;BT233)</f>
        <v xml:space="preserve">      smpl 2025 2025</v>
      </c>
    </row>
    <row r="234" spans="71:74" x14ac:dyDescent="0.25">
      <c r="BS234" t="s">
        <v>64</v>
      </c>
      <c r="BT234">
        <v>13</v>
      </c>
      <c r="BU234" t="s">
        <v>66</v>
      </c>
      <c r="BV234" t="str" cm="1">
        <f t="array" aca="1" ref="BV234" ca="1">INDIRECT(BU234&amp;BT234)</f>
        <v xml:space="preserve">      series QD_cagr = 1.18164519450149 * @elem(QD_cagr, 2015)</v>
      </c>
    </row>
    <row r="235" spans="71:74" x14ac:dyDescent="0.25">
      <c r="BS235" t="s">
        <v>64</v>
      </c>
      <c r="BT235">
        <v>13</v>
      </c>
      <c r="BU235" t="s">
        <v>67</v>
      </c>
      <c r="BV235" t="str" cm="1">
        <f t="array" aca="1" ref="BV235" ca="1">INDIRECT(BU235&amp;BT235)</f>
        <v xml:space="preserve">      series QD_cmet = 1.2452438574966 * @elem(QD_cmet, 2015)</v>
      </c>
    </row>
    <row r="236" spans="71:74" x14ac:dyDescent="0.25">
      <c r="BS236" t="s">
        <v>64</v>
      </c>
      <c r="BT236">
        <v>13</v>
      </c>
      <c r="BU236" t="s">
        <v>68</v>
      </c>
      <c r="BV236" t="str" cm="1">
        <f t="array" aca="1" ref="BV236" ca="1">INDIRECT(BU236&amp;BT236)</f>
        <v xml:space="preserve">      series QD_cchem = 1.11512138996729 * @elem(QD_cchem, 2015)</v>
      </c>
    </row>
    <row r="237" spans="71:74" x14ac:dyDescent="0.25">
      <c r="BS237" t="s">
        <v>64</v>
      </c>
      <c r="BT237">
        <v>13</v>
      </c>
      <c r="BU237" t="s">
        <v>69</v>
      </c>
      <c r="BV237" t="str" cm="1">
        <f t="array" aca="1" ref="BV237" ca="1">INDIRECT(BU237&amp;BT237)</f>
        <v xml:space="preserve">      series QD_cpla = 1.2015671929441 * @elem(QD_cpla, 2015)</v>
      </c>
    </row>
    <row r="238" spans="71:74" x14ac:dyDescent="0.25">
      <c r="BS238" t="s">
        <v>64</v>
      </c>
      <c r="BT238">
        <v>13</v>
      </c>
      <c r="BU238" t="s">
        <v>70</v>
      </c>
      <c r="BV238" t="str" cm="1">
        <f t="array" aca="1" ref="BV238" ca="1">INDIRECT(BU238&amp;BT238)</f>
        <v xml:space="preserve">      series QD_cgla = 1.20015645753385 * @elem(QD_cgla, 2015)</v>
      </c>
    </row>
    <row r="239" spans="71:74" x14ac:dyDescent="0.25">
      <c r="BS239" t="s">
        <v>64</v>
      </c>
      <c r="BT239">
        <v>13</v>
      </c>
      <c r="BU239" t="s">
        <v>71</v>
      </c>
      <c r="BV239" t="str" cm="1">
        <f t="array" aca="1" ref="BV239" ca="1">INDIRECT(BU239&amp;BT239)</f>
        <v xml:space="preserve">      series QD_cpap = 1.18157852473547 * @elem(QD_cpap, 2015)</v>
      </c>
    </row>
    <row r="240" spans="71:74" x14ac:dyDescent="0.25">
      <c r="BS240" t="s">
        <v>64</v>
      </c>
      <c r="BT240">
        <v>13</v>
      </c>
      <c r="BU240" t="s">
        <v>72</v>
      </c>
      <c r="BV240" t="str" cm="1">
        <f t="array" aca="1" ref="BV240" ca="1">INDIRECT(BU240&amp;BT240)</f>
        <v xml:space="preserve">      series QD_cfoo = 1.18184524661476 * @elem(QD_cfoo, 2015)</v>
      </c>
    </row>
    <row r="241" spans="71:74" x14ac:dyDescent="0.25">
      <c r="BS241" t="s">
        <v>64</v>
      </c>
      <c r="BT241">
        <v>13</v>
      </c>
      <c r="BU241" t="s">
        <v>73</v>
      </c>
      <c r="BV241" t="str" cm="1">
        <f t="array" aca="1" ref="BV241" ca="1">INDIRECT(BU241&amp;BT241)</f>
        <v xml:space="preserve">      series QD_cres = 1.23217639151042 * @elem(QD_cres, 2015)</v>
      </c>
    </row>
    <row r="242" spans="71:74" x14ac:dyDescent="0.25">
      <c r="BS242" t="s">
        <v>64</v>
      </c>
      <c r="BT242">
        <v>13</v>
      </c>
      <c r="BU242" t="s">
        <v>74</v>
      </c>
      <c r="BV242" t="str" cm="1">
        <f t="array" aca="1" ref="BV242" ca="1">INDIRECT(BU242&amp;BT242)</f>
        <v xml:space="preserve">      series QD_croa = 1.18933908258118 * @elem(QD_croa, 2015)</v>
      </c>
    </row>
    <row r="243" spans="71:74" x14ac:dyDescent="0.25">
      <c r="BS243" t="s">
        <v>64</v>
      </c>
      <c r="BT243">
        <v>13</v>
      </c>
      <c r="BU243" t="s">
        <v>75</v>
      </c>
      <c r="BV243" t="str" cm="1">
        <f t="array" aca="1" ref="BV243" ca="1">INDIRECT(BU243&amp;BT243)</f>
        <v xml:space="preserve">      series QD_cwat = 1.19460111898849 * @elem(QD_cwat, 2015)</v>
      </c>
    </row>
    <row r="244" spans="71:74" x14ac:dyDescent="0.25">
      <c r="BS244" t="s">
        <v>64</v>
      </c>
      <c r="BT244">
        <v>13</v>
      </c>
      <c r="BU244" t="s">
        <v>86</v>
      </c>
      <c r="BV244" t="str" cm="1">
        <f t="array" aca="1" ref="BV244" ca="1">INDIRECT(BU244&amp;BT244)</f>
        <v xml:space="preserve">      series QD_cair = 1.21045270361207 * @elem(QD_cair, 2015)</v>
      </c>
    </row>
    <row r="245" spans="71:74" x14ac:dyDescent="0.25">
      <c r="BS245" t="s">
        <v>64</v>
      </c>
      <c r="BT245">
        <v>13</v>
      </c>
      <c r="BU245" t="s">
        <v>76</v>
      </c>
      <c r="BV245" t="str" cm="1">
        <f t="array" aca="1" ref="BV245" ca="1">INDIRECT(BU245&amp;BT245)</f>
        <v xml:space="preserve">      series QD_ccoa = 0.166342652707901 * @elem(QD_ccoa, 2015)</v>
      </c>
    </row>
    <row r="246" spans="71:74" x14ac:dyDescent="0.25">
      <c r="BS246" t="s">
        <v>64</v>
      </c>
      <c r="BT246">
        <v>13</v>
      </c>
      <c r="BU246" t="s">
        <v>77</v>
      </c>
      <c r="BV246" t="str" cm="1">
        <f t="array" aca="1" ref="BV246" ca="1">INDIRECT(BU246&amp;BT246)</f>
        <v xml:space="preserve">      series QD_coil = 0.222902888076836 * @elem(QD_coil, 2015)</v>
      </c>
    </row>
    <row r="247" spans="71:74" x14ac:dyDescent="0.25">
      <c r="BS247" t="s">
        <v>64</v>
      </c>
      <c r="BT247">
        <v>13</v>
      </c>
      <c r="BU247" t="s">
        <v>78</v>
      </c>
      <c r="BV247" t="str" cm="1">
        <f t="array" aca="1" ref="BV247" ca="1">INDIRECT(BU247&amp;BT247)</f>
        <v xml:space="preserve">      series QD_cfue = 1.37354482860187 * @elem(QD_cfue, 2015)</v>
      </c>
    </row>
    <row r="248" spans="71:74" x14ac:dyDescent="0.25">
      <c r="BS248" t="s">
        <v>64</v>
      </c>
      <c r="BT248">
        <v>13</v>
      </c>
      <c r="BU248" t="s">
        <v>79</v>
      </c>
      <c r="BV248" t="str" cm="1">
        <f t="array" aca="1" ref="BV248" ca="1">INDIRECT(BU248&amp;BT248)</f>
        <v xml:space="preserve">      series QD_cpch = 1.41985116290595 * @elem(QD_cpch, 2015)</v>
      </c>
    </row>
    <row r="249" spans="71:74" x14ac:dyDescent="0.25">
      <c r="BS249" t="s">
        <v>64</v>
      </c>
      <c r="BT249">
        <v>13</v>
      </c>
      <c r="BU249" t="s">
        <v>80</v>
      </c>
      <c r="BV249" t="str" cm="1">
        <f t="array" aca="1" ref="BV249" ca="1">INDIRECT(BU249&amp;BT249)</f>
        <v xml:space="preserve">      series QD_cele = 1.07674071035093 * @elem(QD_cele, 2015)</v>
      </c>
    </row>
    <row r="250" spans="71:74" x14ac:dyDescent="0.25">
      <c r="BS250" t="s">
        <v>64</v>
      </c>
      <c r="BT250">
        <v>13</v>
      </c>
      <c r="BU250" t="s">
        <v>81</v>
      </c>
      <c r="BV250" t="str" cm="1">
        <f t="array" aca="1" ref="BV250" ca="1">INDIRECT(BU250&amp;BT250)</f>
        <v xml:space="preserve">      series QD_cgas = 1.16646757557709 * @elem(QD_cgas, 2015)</v>
      </c>
    </row>
    <row r="251" spans="71:74" x14ac:dyDescent="0.25">
      <c r="BS251" t="s">
        <v>64</v>
      </c>
      <c r="BT251">
        <v>13</v>
      </c>
      <c r="BU251" t="s">
        <v>82</v>
      </c>
      <c r="BV251" t="str" cm="1">
        <f t="array" aca="1" ref="BV251" ca="1">INDIRECT(BU251&amp;BT251)</f>
        <v xml:space="preserve">      series QD_cmga = 0.869567495048003 * @elem(QD_cmga, 2015)</v>
      </c>
    </row>
    <row r="252" spans="71:74" x14ac:dyDescent="0.25">
      <c r="BS252" t="s">
        <v>64</v>
      </c>
      <c r="BT252">
        <v>13</v>
      </c>
      <c r="BU252" t="s">
        <v>83</v>
      </c>
      <c r="BV252" t="str" cm="1">
        <f t="array" aca="1" ref="BV252" ca="1">INDIRECT(BU252&amp;BT252)</f>
        <v xml:space="preserve">      series QD_cbiog = 0.995864145820118 * @elem(QD_cbiog, 2015)</v>
      </c>
    </row>
    <row r="253" spans="71:74" x14ac:dyDescent="0.25">
      <c r="BS253" t="s">
        <v>64</v>
      </c>
      <c r="BT253">
        <v>13</v>
      </c>
      <c r="BU253" t="s">
        <v>84</v>
      </c>
      <c r="BV253" t="str" cm="1">
        <f t="array" aca="1" ref="BV253" ca="1">INDIRECT(BU253&amp;BT253)</f>
        <v xml:space="preserve">      series QD_cbiom = 0.91966576985887 * @elem(QD_cbiom, 2015)</v>
      </c>
    </row>
    <row r="254" spans="71:74" x14ac:dyDescent="0.25">
      <c r="BS254" t="s">
        <v>64</v>
      </c>
      <c r="BT254">
        <v>13</v>
      </c>
      <c r="BU254" t="s">
        <v>85</v>
      </c>
      <c r="BV254" t="str" cm="1">
        <f t="array" aca="1" ref="BV254" ca="1">INDIRECT(BU254&amp;BT254)</f>
        <v xml:space="preserve">      series QD_cbiof = 1.07537684970545 * @elem(QD_cbiof, 2015)</v>
      </c>
    </row>
    <row r="255" spans="71:74" x14ac:dyDescent="0.25">
      <c r="BS255" t="s">
        <v>64</v>
      </c>
      <c r="BT255">
        <v>13</v>
      </c>
      <c r="BU255" t="s">
        <v>87</v>
      </c>
      <c r="BV255" t="str" cm="1">
        <f t="array" aca="1" ref="BV255" ca="1">INDIRECT(BU255&amp;BT255)</f>
        <v xml:space="preserve">      series QD_chea = 1.10529054565458 * @elem(QD_chea, 2015)</v>
      </c>
    </row>
    <row r="256" spans="71:74" x14ac:dyDescent="0.25">
      <c r="BS256" t="s">
        <v>64</v>
      </c>
      <c r="BT256">
        <v>14</v>
      </c>
      <c r="BU256" t="s">
        <v>65</v>
      </c>
      <c r="BV256" t="str" cm="1">
        <f t="array" aca="1" ref="BV256" ca="1">INDIRECT(BU256&amp;BT256)</f>
        <v xml:space="preserve">      smpl 2026 2026</v>
      </c>
    </row>
    <row r="257" spans="71:74" x14ac:dyDescent="0.25">
      <c r="BS257" t="s">
        <v>64</v>
      </c>
      <c r="BT257">
        <v>14</v>
      </c>
      <c r="BU257" t="s">
        <v>66</v>
      </c>
      <c r="BV257" t="str" cm="1">
        <f t="array" aca="1" ref="BV257" ca="1">INDIRECT(BU257&amp;BT257)</f>
        <v xml:space="preserve">      series QD_cagr = 1.19916743200501 * @elem(QD_cagr, 2015)</v>
      </c>
    </row>
    <row r="258" spans="71:74" x14ac:dyDescent="0.25">
      <c r="BS258" t="s">
        <v>64</v>
      </c>
      <c r="BT258">
        <v>14</v>
      </c>
      <c r="BU258" t="s">
        <v>67</v>
      </c>
      <c r="BV258" t="str" cm="1">
        <f t="array" aca="1" ref="BV258" ca="1">INDIRECT(BU258&amp;BT258)</f>
        <v xml:space="preserve">      series QD_cmet = 1.2645945730263 * @elem(QD_cmet, 2015)</v>
      </c>
    </row>
    <row r="259" spans="71:74" x14ac:dyDescent="0.25">
      <c r="BS259" t="s">
        <v>64</v>
      </c>
      <c r="BT259">
        <v>14</v>
      </c>
      <c r="BU259" t="s">
        <v>68</v>
      </c>
      <c r="BV259" t="str" cm="1">
        <f t="array" aca="1" ref="BV259" ca="1">INDIRECT(BU259&amp;BT259)</f>
        <v xml:space="preserve">      series QD_cchem = 1.12998399373622 * @elem(QD_cchem, 2015)</v>
      </c>
    </row>
    <row r="260" spans="71:74" x14ac:dyDescent="0.25">
      <c r="BS260" t="s">
        <v>64</v>
      </c>
      <c r="BT260">
        <v>14</v>
      </c>
      <c r="BU260" t="s">
        <v>69</v>
      </c>
      <c r="BV260" t="str" cm="1">
        <f t="array" aca="1" ref="BV260" ca="1">INDIRECT(BU260&amp;BT260)</f>
        <v xml:space="preserve">      series QD_cpla = 1.22047341124408 * @elem(QD_cpla, 2015)</v>
      </c>
    </row>
    <row r="261" spans="71:74" x14ac:dyDescent="0.25">
      <c r="BS261" t="s">
        <v>64</v>
      </c>
      <c r="BT261">
        <v>14</v>
      </c>
      <c r="BU261" t="s">
        <v>70</v>
      </c>
      <c r="BV261" t="str" cm="1">
        <f t="array" aca="1" ref="BV261" ca="1">INDIRECT(BU261&amp;BT261)</f>
        <v xml:space="preserve">      series QD_cgla = 1.21863462470767 * @elem(QD_cgla, 2015)</v>
      </c>
    </row>
    <row r="262" spans="71:74" x14ac:dyDescent="0.25">
      <c r="BS262" t="s">
        <v>64</v>
      </c>
      <c r="BT262">
        <v>14</v>
      </c>
      <c r="BU262" t="s">
        <v>71</v>
      </c>
      <c r="BV262" t="str" cm="1">
        <f t="array" aca="1" ref="BV262" ca="1">INDIRECT(BU262&amp;BT262)</f>
        <v xml:space="preserve">      series QD_cpap = 1.19865150714238 * @elem(QD_cpap, 2015)</v>
      </c>
    </row>
    <row r="263" spans="71:74" x14ac:dyDescent="0.25">
      <c r="BS263" t="s">
        <v>64</v>
      </c>
      <c r="BT263">
        <v>14</v>
      </c>
      <c r="BU263" t="s">
        <v>72</v>
      </c>
      <c r="BV263" t="str" cm="1">
        <f t="array" aca="1" ref="BV263" ca="1">INDIRECT(BU263&amp;BT263)</f>
        <v xml:space="preserve">      series QD_cfoo = 1.19992168046231 * @elem(QD_cfoo, 2015)</v>
      </c>
    </row>
    <row r="264" spans="71:74" x14ac:dyDescent="0.25">
      <c r="BS264" t="s">
        <v>64</v>
      </c>
      <c r="BT264">
        <v>14</v>
      </c>
      <c r="BU264" t="s">
        <v>73</v>
      </c>
      <c r="BV264" t="str" cm="1">
        <f t="array" aca="1" ref="BV264" ca="1">INDIRECT(BU264&amp;BT264)</f>
        <v xml:space="preserve">      series QD_cres = 1.25218294069931 * @elem(QD_cres, 2015)</v>
      </c>
    </row>
    <row r="265" spans="71:74" x14ac:dyDescent="0.25">
      <c r="BS265" t="s">
        <v>64</v>
      </c>
      <c r="BT265">
        <v>14</v>
      </c>
      <c r="BU265" t="s">
        <v>74</v>
      </c>
      <c r="BV265" t="str" cm="1">
        <f t="array" aca="1" ref="BV265" ca="1">INDIRECT(BU265&amp;BT265)</f>
        <v xml:space="preserve">      series QD_croa = 1.20722255101698 * @elem(QD_croa, 2015)</v>
      </c>
    </row>
    <row r="266" spans="71:74" x14ac:dyDescent="0.25">
      <c r="BS266" t="s">
        <v>64</v>
      </c>
      <c r="BT266">
        <v>14</v>
      </c>
      <c r="BU266" t="s">
        <v>75</v>
      </c>
      <c r="BV266" t="str" cm="1">
        <f t="array" aca="1" ref="BV266" ca="1">INDIRECT(BU266&amp;BT266)</f>
        <v xml:space="preserve">      series QD_cwat = 1.21312516916538 * @elem(QD_cwat, 2015)</v>
      </c>
    </row>
    <row r="267" spans="71:74" x14ac:dyDescent="0.25">
      <c r="BS267" t="s">
        <v>64</v>
      </c>
      <c r="BT267">
        <v>14</v>
      </c>
      <c r="BU267" t="s">
        <v>86</v>
      </c>
      <c r="BV267" t="str" cm="1">
        <f t="array" aca="1" ref="BV267" ca="1">INDIRECT(BU267&amp;BT267)</f>
        <v xml:space="preserve">      series QD_cair = 1.23064578921326 * @elem(QD_cair, 2015)</v>
      </c>
    </row>
    <row r="268" spans="71:74" x14ac:dyDescent="0.25">
      <c r="BS268" t="s">
        <v>64</v>
      </c>
      <c r="BT268">
        <v>14</v>
      </c>
      <c r="BU268" t="s">
        <v>76</v>
      </c>
      <c r="BV268" t="str" cm="1">
        <f t="array" aca="1" ref="BV268" ca="1">INDIRECT(BU268&amp;BT268)</f>
        <v xml:space="preserve">      series QD_ccoa = 0.146865398430981 * @elem(QD_ccoa, 2015)</v>
      </c>
    </row>
    <row r="269" spans="71:74" x14ac:dyDescent="0.25">
      <c r="BS269" t="s">
        <v>64</v>
      </c>
      <c r="BT269">
        <v>14</v>
      </c>
      <c r="BU269" t="s">
        <v>77</v>
      </c>
      <c r="BV269" t="str" cm="1">
        <f t="array" aca="1" ref="BV269" ca="1">INDIRECT(BU269&amp;BT269)</f>
        <v xml:space="preserve">      series QD_coil = 0.205077701326283 * @elem(QD_coil, 2015)</v>
      </c>
    </row>
    <row r="270" spans="71:74" x14ac:dyDescent="0.25">
      <c r="BS270" t="s">
        <v>64</v>
      </c>
      <c r="BT270">
        <v>14</v>
      </c>
      <c r="BU270" t="s">
        <v>78</v>
      </c>
      <c r="BV270" t="str" cm="1">
        <f t="array" aca="1" ref="BV270" ca="1">INDIRECT(BU270&amp;BT270)</f>
        <v xml:space="preserve">      series QD_cfue = 1.39131132928079 * @elem(QD_cfue, 2015)</v>
      </c>
    </row>
    <row r="271" spans="71:74" x14ac:dyDescent="0.25">
      <c r="BS271" t="s">
        <v>64</v>
      </c>
      <c r="BT271">
        <v>14</v>
      </c>
      <c r="BU271" t="s">
        <v>79</v>
      </c>
      <c r="BV271" t="str" cm="1">
        <f t="array" aca="1" ref="BV271" ca="1">INDIRECT(BU271&amp;BT271)</f>
        <v xml:space="preserve">      series QD_cpch = 1.44264523434277 * @elem(QD_cpch, 2015)</v>
      </c>
    </row>
    <row r="272" spans="71:74" x14ac:dyDescent="0.25">
      <c r="BS272" t="s">
        <v>64</v>
      </c>
      <c r="BT272">
        <v>14</v>
      </c>
      <c r="BU272" t="s">
        <v>80</v>
      </c>
      <c r="BV272" t="str" cm="1">
        <f t="array" aca="1" ref="BV272" ca="1">INDIRECT(BU272&amp;BT272)</f>
        <v xml:space="preserve">      series QD_cele = 1.07816376394503 * @elem(QD_cele, 2015)</v>
      </c>
    </row>
    <row r="273" spans="71:74" x14ac:dyDescent="0.25">
      <c r="BS273" t="s">
        <v>64</v>
      </c>
      <c r="BT273">
        <v>14</v>
      </c>
      <c r="BU273" t="s">
        <v>81</v>
      </c>
      <c r="BV273" t="str" cm="1">
        <f t="array" aca="1" ref="BV273" ca="1">INDIRECT(BU273&amp;BT273)</f>
        <v xml:space="preserve">      series QD_cgas = 1.17134949986878 * @elem(QD_cgas, 2015)</v>
      </c>
    </row>
    <row r="274" spans="71:74" x14ac:dyDescent="0.25">
      <c r="BS274" t="s">
        <v>64</v>
      </c>
      <c r="BT274">
        <v>14</v>
      </c>
      <c r="BU274" t="s">
        <v>82</v>
      </c>
      <c r="BV274" t="str" cm="1">
        <f t="array" aca="1" ref="BV274" ca="1">INDIRECT(BU274&amp;BT274)</f>
        <v xml:space="preserve">      series QD_cmga = 0.825953319731339 * @elem(QD_cmga, 2015)</v>
      </c>
    </row>
    <row r="275" spans="71:74" x14ac:dyDescent="0.25">
      <c r="BS275" t="s">
        <v>64</v>
      </c>
      <c r="BT275">
        <v>14</v>
      </c>
      <c r="BU275" t="s">
        <v>83</v>
      </c>
      <c r="BV275" t="str" cm="1">
        <f t="array" aca="1" ref="BV275" ca="1">INDIRECT(BU275&amp;BT275)</f>
        <v xml:space="preserve">      series QD_cbiog = 0.986126433066475 * @elem(QD_cbiog, 2015)</v>
      </c>
    </row>
    <row r="276" spans="71:74" x14ac:dyDescent="0.25">
      <c r="BS276" t="s">
        <v>64</v>
      </c>
      <c r="BT276">
        <v>14</v>
      </c>
      <c r="BU276" t="s">
        <v>84</v>
      </c>
      <c r="BV276" t="str" cm="1">
        <f t="array" aca="1" ref="BV276" ca="1">INDIRECT(BU276&amp;BT276)</f>
        <v xml:space="preserve">      series QD_cbiom = 0.898674567379252 * @elem(QD_cbiom, 2015)</v>
      </c>
    </row>
    <row r="277" spans="71:74" x14ac:dyDescent="0.25">
      <c r="BS277" t="s">
        <v>64</v>
      </c>
      <c r="BT277">
        <v>14</v>
      </c>
      <c r="BU277" t="s">
        <v>85</v>
      </c>
      <c r="BV277" t="str" cm="1">
        <f t="array" aca="1" ref="BV277" ca="1">INDIRECT(BU277&amp;BT277)</f>
        <v xml:space="preserve">      series QD_cbiof = 1.08386919898491 * @elem(QD_cbiof, 2015)</v>
      </c>
    </row>
    <row r="278" spans="71:74" x14ac:dyDescent="0.25">
      <c r="BS278" t="s">
        <v>64</v>
      </c>
      <c r="BT278">
        <v>14</v>
      </c>
      <c r="BU278" t="s">
        <v>87</v>
      </c>
      <c r="BV278" t="str" cm="1">
        <f t="array" aca="1" ref="BV278" ca="1">INDIRECT(BU278&amp;BT278)</f>
        <v xml:space="preserve">      series QD_chea = 1.10512512329809 * @elem(QD_chea, 2015)</v>
      </c>
    </row>
    <row r="279" spans="71:74" x14ac:dyDescent="0.25">
      <c r="BS279" t="s">
        <v>64</v>
      </c>
      <c r="BT279">
        <v>15</v>
      </c>
      <c r="BU279" t="s">
        <v>65</v>
      </c>
      <c r="BV279" t="str" cm="1">
        <f t="array" aca="1" ref="BV279" ca="1">INDIRECT(BU279&amp;BT279)</f>
        <v xml:space="preserve">      smpl 2027 2027</v>
      </c>
    </row>
    <row r="280" spans="71:74" x14ac:dyDescent="0.25">
      <c r="BS280" t="s">
        <v>64</v>
      </c>
      <c r="BT280">
        <v>15</v>
      </c>
      <c r="BU280" t="s">
        <v>66</v>
      </c>
      <c r="BV280" t="str" cm="1">
        <f t="array" aca="1" ref="BV280" ca="1">INDIRECT(BU280&amp;BT280)</f>
        <v xml:space="preserve">      series QD_cagr = 1.21701163894022 * @elem(QD_cagr, 2015)</v>
      </c>
    </row>
    <row r="281" spans="71:74" x14ac:dyDescent="0.25">
      <c r="BS281" t="s">
        <v>64</v>
      </c>
      <c r="BT281">
        <v>15</v>
      </c>
      <c r="BU281" t="s">
        <v>67</v>
      </c>
      <c r="BV281" t="str" cm="1">
        <f t="array" aca="1" ref="BV281" ca="1">INDIRECT(BU281&amp;BT281)</f>
        <v xml:space="preserve">      series QD_cmet = 1.28408355702924 * @elem(QD_cmet, 2015)</v>
      </c>
    </row>
    <row r="282" spans="71:74" x14ac:dyDescent="0.25">
      <c r="BS282" t="s">
        <v>64</v>
      </c>
      <c r="BT282">
        <v>15</v>
      </c>
      <c r="BU282" t="s">
        <v>68</v>
      </c>
      <c r="BV282" t="str" cm="1">
        <f t="array" aca="1" ref="BV282" ca="1">INDIRECT(BU282&amp;BT282)</f>
        <v xml:space="preserve">      series QD_cchem = 1.14529649049991 * @elem(QD_cchem, 2015)</v>
      </c>
    </row>
    <row r="283" spans="71:74" x14ac:dyDescent="0.25">
      <c r="BS283" t="s">
        <v>64</v>
      </c>
      <c r="BT283">
        <v>15</v>
      </c>
      <c r="BU283" t="s">
        <v>69</v>
      </c>
      <c r="BV283" t="str" cm="1">
        <f t="array" aca="1" ref="BV283" ca="1">INDIRECT(BU283&amp;BT283)</f>
        <v xml:space="preserve">      series QD_cpla = 1.23963533162304 * @elem(QD_cpla, 2015)</v>
      </c>
    </row>
    <row r="284" spans="71:74" x14ac:dyDescent="0.25">
      <c r="BS284" t="s">
        <v>64</v>
      </c>
      <c r="BT284">
        <v>15</v>
      </c>
      <c r="BU284" t="s">
        <v>70</v>
      </c>
      <c r="BV284" t="str" cm="1">
        <f t="array" aca="1" ref="BV284" ca="1">INDIRECT(BU284&amp;BT284)</f>
        <v xml:space="preserve">      series QD_cgla = 1.23748952337384 * @elem(QD_cgla, 2015)</v>
      </c>
    </row>
    <row r="285" spans="71:74" x14ac:dyDescent="0.25">
      <c r="BS285" t="s">
        <v>64</v>
      </c>
      <c r="BT285">
        <v>15</v>
      </c>
      <c r="BU285" t="s">
        <v>71</v>
      </c>
      <c r="BV285" t="str" cm="1">
        <f t="array" aca="1" ref="BV285" ca="1">INDIRECT(BU285&amp;BT285)</f>
        <v xml:space="preserve">      series QD_cpap = 1.21592475288431 * @elem(QD_cpap, 2015)</v>
      </c>
    </row>
    <row r="286" spans="71:74" x14ac:dyDescent="0.25">
      <c r="BS286" t="s">
        <v>64</v>
      </c>
      <c r="BT286">
        <v>15</v>
      </c>
      <c r="BU286" t="s">
        <v>72</v>
      </c>
      <c r="BV286" t="str" cm="1">
        <f t="array" aca="1" ref="BV286" ca="1">INDIRECT(BU286&amp;BT286)</f>
        <v xml:space="preserve">      series QD_cfoo = 1.2182486112496 * @elem(QD_cfoo, 2015)</v>
      </c>
    </row>
    <row r="287" spans="71:74" x14ac:dyDescent="0.25">
      <c r="BS287" t="s">
        <v>64</v>
      </c>
      <c r="BT287">
        <v>15</v>
      </c>
      <c r="BU287" t="s">
        <v>73</v>
      </c>
      <c r="BV287" t="str" cm="1">
        <f t="array" aca="1" ref="BV287" ca="1">INDIRECT(BU287&amp;BT287)</f>
        <v xml:space="preserve">      series QD_cres = 1.27238139315049 * @elem(QD_cres, 2015)</v>
      </c>
    </row>
    <row r="288" spans="71:74" x14ac:dyDescent="0.25">
      <c r="BS288" t="s">
        <v>64</v>
      </c>
      <c r="BT288">
        <v>15</v>
      </c>
      <c r="BU288" t="s">
        <v>74</v>
      </c>
      <c r="BV288" t="str" cm="1">
        <f t="array" aca="1" ref="BV288" ca="1">INDIRECT(BU288&amp;BT288)</f>
        <v xml:space="preserve">      series QD_croa = 1.22543023194617 * @elem(QD_croa, 2015)</v>
      </c>
    </row>
    <row r="289" spans="71:74" x14ac:dyDescent="0.25">
      <c r="BS289" t="s">
        <v>64</v>
      </c>
      <c r="BT289">
        <v>15</v>
      </c>
      <c r="BU289" t="s">
        <v>75</v>
      </c>
      <c r="BV289" t="str" cm="1">
        <f t="array" aca="1" ref="BV289" ca="1">INDIRECT(BU289&amp;BT289)</f>
        <v xml:space="preserve">      series QD_cwat = 1.23176003357617 * @elem(QD_cwat, 2015)</v>
      </c>
    </row>
    <row r="290" spans="71:74" x14ac:dyDescent="0.25">
      <c r="BS290" t="s">
        <v>64</v>
      </c>
      <c r="BT290">
        <v>15</v>
      </c>
      <c r="BU290" t="s">
        <v>86</v>
      </c>
      <c r="BV290" t="str" cm="1">
        <f t="array" aca="1" ref="BV290" ca="1">INDIRECT(BU290&amp;BT290)</f>
        <v xml:space="preserve">      series QD_cair = 1.25090150816428 * @elem(QD_cair, 2015)</v>
      </c>
    </row>
    <row r="291" spans="71:74" x14ac:dyDescent="0.25">
      <c r="BS291" t="s">
        <v>64</v>
      </c>
      <c r="BT291">
        <v>15</v>
      </c>
      <c r="BU291" t="s">
        <v>76</v>
      </c>
      <c r="BV291" t="str" cm="1">
        <f t="array" aca="1" ref="BV291" ca="1">INDIRECT(BU291&amp;BT291)</f>
        <v xml:space="preserve">      series QD_ccoa = 0.131446267930925 * @elem(QD_ccoa, 2015)</v>
      </c>
    </row>
    <row r="292" spans="71:74" x14ac:dyDescent="0.25">
      <c r="BS292" t="s">
        <v>64</v>
      </c>
      <c r="BT292">
        <v>15</v>
      </c>
      <c r="BU292" t="s">
        <v>77</v>
      </c>
      <c r="BV292" t="str" cm="1">
        <f t="array" aca="1" ref="BV292" ca="1">INDIRECT(BU292&amp;BT292)</f>
        <v xml:space="preserve">      series QD_coil = 0.191065520022767 * @elem(QD_coil, 2015)</v>
      </c>
    </row>
    <row r="293" spans="71:74" x14ac:dyDescent="0.25">
      <c r="BS293" t="s">
        <v>64</v>
      </c>
      <c r="BT293">
        <v>15</v>
      </c>
      <c r="BU293" t="s">
        <v>78</v>
      </c>
      <c r="BV293" t="str" cm="1">
        <f t="array" aca="1" ref="BV293" ca="1">INDIRECT(BU293&amp;BT293)</f>
        <v xml:space="preserve">      series QD_cfue = 1.40815231561927 * @elem(QD_cfue, 2015)</v>
      </c>
    </row>
    <row r="294" spans="71:74" x14ac:dyDescent="0.25">
      <c r="BS294" t="s">
        <v>64</v>
      </c>
      <c r="BT294">
        <v>15</v>
      </c>
      <c r="BU294" t="s">
        <v>79</v>
      </c>
      <c r="BV294" t="str" cm="1">
        <f t="array" aca="1" ref="BV294" ca="1">INDIRECT(BU294&amp;BT294)</f>
        <v xml:space="preserve">      series QD_cpch = 1.46452783979812 * @elem(QD_cpch, 2015)</v>
      </c>
    </row>
    <row r="295" spans="71:74" x14ac:dyDescent="0.25">
      <c r="BS295" t="s">
        <v>64</v>
      </c>
      <c r="BT295">
        <v>15</v>
      </c>
      <c r="BU295" t="s">
        <v>80</v>
      </c>
      <c r="BV295" t="str" cm="1">
        <f t="array" aca="1" ref="BV295" ca="1">INDIRECT(BU295&amp;BT295)</f>
        <v xml:space="preserve">      series QD_cele = 1.08169137582825 * @elem(QD_cele, 2015)</v>
      </c>
    </row>
    <row r="296" spans="71:74" x14ac:dyDescent="0.25">
      <c r="BS296" t="s">
        <v>64</v>
      </c>
      <c r="BT296">
        <v>15</v>
      </c>
      <c r="BU296" t="s">
        <v>81</v>
      </c>
      <c r="BV296" t="str" cm="1">
        <f t="array" aca="1" ref="BV296" ca="1">INDIRECT(BU296&amp;BT296)</f>
        <v xml:space="preserve">      series QD_cgas = 1.17628476708675 * @elem(QD_cgas, 2015)</v>
      </c>
    </row>
    <row r="297" spans="71:74" x14ac:dyDescent="0.25">
      <c r="BS297" t="s">
        <v>64</v>
      </c>
      <c r="BT297">
        <v>15</v>
      </c>
      <c r="BU297" t="s">
        <v>82</v>
      </c>
      <c r="BV297" t="str" cm="1">
        <f t="array" aca="1" ref="BV297" ca="1">INDIRECT(BU297&amp;BT297)</f>
        <v xml:space="preserve">      series QD_cmga = 0.786000624252039 * @elem(QD_cmga, 2015)</v>
      </c>
    </row>
    <row r="298" spans="71:74" x14ac:dyDescent="0.25">
      <c r="BS298" t="s">
        <v>64</v>
      </c>
      <c r="BT298">
        <v>15</v>
      </c>
      <c r="BU298" t="s">
        <v>83</v>
      </c>
      <c r="BV298" t="str" cm="1">
        <f t="array" aca="1" ref="BV298" ca="1">INDIRECT(BU298&amp;BT298)</f>
        <v xml:space="preserve">      series QD_cbiog = 0.978016592215746 * @elem(QD_cbiog, 2015)</v>
      </c>
    </row>
    <row r="299" spans="71:74" x14ac:dyDescent="0.25">
      <c r="BS299" t="s">
        <v>64</v>
      </c>
      <c r="BT299">
        <v>15</v>
      </c>
      <c r="BU299" t="s">
        <v>84</v>
      </c>
      <c r="BV299" t="str" cm="1">
        <f t="array" aca="1" ref="BV299" ca="1">INDIRECT(BU299&amp;BT299)</f>
        <v xml:space="preserve">      series QD_cbiom = 0.879406458170995 * @elem(QD_cbiom, 2015)</v>
      </c>
    </row>
    <row r="300" spans="71:74" x14ac:dyDescent="0.25">
      <c r="BS300" t="s">
        <v>64</v>
      </c>
      <c r="BT300">
        <v>15</v>
      </c>
      <c r="BU300" t="s">
        <v>85</v>
      </c>
      <c r="BV300" t="str" cm="1">
        <f t="array" aca="1" ref="BV300" ca="1">INDIRECT(BU300&amp;BT300)</f>
        <v xml:space="preserve">      series QD_cbiof = 1.09275519014645 * @elem(QD_cbiof, 2015)</v>
      </c>
    </row>
    <row r="301" spans="71:74" x14ac:dyDescent="0.25">
      <c r="BS301" t="s">
        <v>64</v>
      </c>
      <c r="BT301">
        <v>15</v>
      </c>
      <c r="BU301" t="s">
        <v>87</v>
      </c>
      <c r="BV301" t="str" cm="1">
        <f t="array" aca="1" ref="BV301" ca="1">INDIRECT(BU301&amp;BT301)</f>
        <v xml:space="preserve">      series QD_chea = 1.10653984988999 * @elem(QD_chea, 2015)</v>
      </c>
    </row>
    <row r="302" spans="71:74" x14ac:dyDescent="0.25">
      <c r="BS302" t="s">
        <v>64</v>
      </c>
      <c r="BT302">
        <v>16</v>
      </c>
      <c r="BU302" t="s">
        <v>65</v>
      </c>
      <c r="BV302" t="str" cm="1">
        <f t="array" aca="1" ref="BV302" ca="1">INDIRECT(BU302&amp;BT302)</f>
        <v xml:space="preserve">      smpl 2028 2028</v>
      </c>
    </row>
    <row r="303" spans="71:74" x14ac:dyDescent="0.25">
      <c r="BS303" t="s">
        <v>64</v>
      </c>
      <c r="BT303">
        <v>16</v>
      </c>
      <c r="BU303" t="s">
        <v>66</v>
      </c>
      <c r="BV303" t="str" cm="1">
        <f t="array" aca="1" ref="BV303" ca="1">INDIRECT(BU303&amp;BT303)</f>
        <v xml:space="preserve">      series QD_cagr = 1.23510115242971 * @elem(QD_cagr, 2015)</v>
      </c>
    </row>
    <row r="304" spans="71:74" x14ac:dyDescent="0.25">
      <c r="BS304" t="s">
        <v>64</v>
      </c>
      <c r="BT304">
        <v>16</v>
      </c>
      <c r="BU304" t="s">
        <v>67</v>
      </c>
      <c r="BV304" t="str" cm="1">
        <f t="array" aca="1" ref="BV304" ca="1">INDIRECT(BU304&amp;BT304)</f>
        <v xml:space="preserve">      series QD_cmet = 1.30369036392575 * @elem(QD_cmet, 2015)</v>
      </c>
    </row>
    <row r="305" spans="71:74" x14ac:dyDescent="0.25">
      <c r="BS305" t="s">
        <v>64</v>
      </c>
      <c r="BT305">
        <v>16</v>
      </c>
      <c r="BU305" t="s">
        <v>68</v>
      </c>
      <c r="BV305" t="str" cm="1">
        <f t="array" aca="1" ref="BV305" ca="1">INDIRECT(BU305&amp;BT305)</f>
        <v xml:space="preserve">      series QD_cchem = 1.16094824109835 * @elem(QD_cchem, 2015)</v>
      </c>
    </row>
    <row r="306" spans="71:74" x14ac:dyDescent="0.25">
      <c r="BS306" t="s">
        <v>64</v>
      </c>
      <c r="BT306">
        <v>16</v>
      </c>
      <c r="BU306" t="s">
        <v>69</v>
      </c>
      <c r="BV306" t="str" cm="1">
        <f t="array" aca="1" ref="BV306" ca="1">INDIRECT(BU306&amp;BT306)</f>
        <v xml:space="preserve">      series QD_cpla = 1.25897640286898 * @elem(QD_cpla, 2015)</v>
      </c>
    </row>
    <row r="307" spans="71:74" x14ac:dyDescent="0.25">
      <c r="BS307" t="s">
        <v>64</v>
      </c>
      <c r="BT307">
        <v>16</v>
      </c>
      <c r="BU307" t="s">
        <v>70</v>
      </c>
      <c r="BV307" t="str" cm="1">
        <f t="array" aca="1" ref="BV307" ca="1">INDIRECT(BU307&amp;BT307)</f>
        <v xml:space="preserve">      series QD_cgla = 1.25658477832363 * @elem(QD_cgla, 2015)</v>
      </c>
    </row>
    <row r="308" spans="71:74" x14ac:dyDescent="0.25">
      <c r="BS308" t="s">
        <v>64</v>
      </c>
      <c r="BT308">
        <v>16</v>
      </c>
      <c r="BU308" t="s">
        <v>71</v>
      </c>
      <c r="BV308" t="str" cm="1">
        <f t="array" aca="1" ref="BV308" ca="1">INDIRECT(BU308&amp;BT308)</f>
        <v xml:space="preserve">      series QD_cpap = 1.23334695002315 * @elem(QD_cpap, 2015)</v>
      </c>
    </row>
    <row r="309" spans="71:74" x14ac:dyDescent="0.25">
      <c r="BS309" t="s">
        <v>64</v>
      </c>
      <c r="BT309">
        <v>16</v>
      </c>
      <c r="BU309" t="s">
        <v>72</v>
      </c>
      <c r="BV309" t="str" cm="1">
        <f t="array" aca="1" ref="BV309" ca="1">INDIRECT(BU309&amp;BT309)</f>
        <v xml:space="preserve">      series QD_cfoo = 1.23678956716299 * @elem(QD_cfoo, 2015)</v>
      </c>
    </row>
    <row r="310" spans="71:74" x14ac:dyDescent="0.25">
      <c r="BS310" t="s">
        <v>64</v>
      </c>
      <c r="BT310">
        <v>16</v>
      </c>
      <c r="BU310" t="s">
        <v>73</v>
      </c>
      <c r="BV310" t="str" cm="1">
        <f t="array" aca="1" ref="BV310" ca="1">INDIRECT(BU310&amp;BT310)</f>
        <v xml:space="preserve">      series QD_cres = 1.29270611354679 * @elem(QD_cres, 2015)</v>
      </c>
    </row>
    <row r="311" spans="71:74" x14ac:dyDescent="0.25">
      <c r="BS311" t="s">
        <v>64</v>
      </c>
      <c r="BT311">
        <v>16</v>
      </c>
      <c r="BU311" t="s">
        <v>74</v>
      </c>
      <c r="BV311" t="str" cm="1">
        <f t="array" aca="1" ref="BV311" ca="1">INDIRECT(BU311&amp;BT311)</f>
        <v xml:space="preserve">      series QD_croa = 1.24386235318657 * @elem(QD_croa, 2015)</v>
      </c>
    </row>
    <row r="312" spans="71:74" x14ac:dyDescent="0.25">
      <c r="BS312" t="s">
        <v>64</v>
      </c>
      <c r="BT312">
        <v>16</v>
      </c>
      <c r="BU312" t="s">
        <v>75</v>
      </c>
      <c r="BV312" t="str" cm="1">
        <f t="array" aca="1" ref="BV312" ca="1">INDIRECT(BU312&amp;BT312)</f>
        <v xml:space="preserve">      series QD_cwat = 1.25048376267757 * @elem(QD_cwat, 2015)</v>
      </c>
    </row>
    <row r="313" spans="71:74" x14ac:dyDescent="0.25">
      <c r="BS313" t="s">
        <v>64</v>
      </c>
      <c r="BT313">
        <v>16</v>
      </c>
      <c r="BU313" t="s">
        <v>86</v>
      </c>
      <c r="BV313" t="str" cm="1">
        <f t="array" aca="1" ref="BV313" ca="1">INDIRECT(BU313&amp;BT313)</f>
        <v xml:space="preserve">      series QD_cair = 1.27121531716972 * @elem(QD_cair, 2015)</v>
      </c>
    </row>
    <row r="314" spans="71:74" x14ac:dyDescent="0.25">
      <c r="BS314" t="s">
        <v>64</v>
      </c>
      <c r="BT314">
        <v>16</v>
      </c>
      <c r="BU314" t="s">
        <v>76</v>
      </c>
      <c r="BV314" t="str" cm="1">
        <f t="array" aca="1" ref="BV314" ca="1">INDIRECT(BU314&amp;BT314)</f>
        <v xml:space="preserve">      series QD_ccoa = 0.119272347203402 * @elem(QD_ccoa, 2015)</v>
      </c>
    </row>
    <row r="315" spans="71:74" x14ac:dyDescent="0.25">
      <c r="BS315" t="s">
        <v>64</v>
      </c>
      <c r="BT315">
        <v>16</v>
      </c>
      <c r="BU315" t="s">
        <v>77</v>
      </c>
      <c r="BV315" t="str" cm="1">
        <f t="array" aca="1" ref="BV315" ca="1">INDIRECT(BU315&amp;BT315)</f>
        <v xml:space="preserve">      series QD_coil = 0.180095668829308 * @elem(QD_coil, 2015)</v>
      </c>
    </row>
    <row r="316" spans="71:74" x14ac:dyDescent="0.25">
      <c r="BS316" t="s">
        <v>64</v>
      </c>
      <c r="BT316">
        <v>16</v>
      </c>
      <c r="BU316" t="s">
        <v>78</v>
      </c>
      <c r="BV316" t="str" cm="1">
        <f t="array" aca="1" ref="BV316" ca="1">INDIRECT(BU316&amp;BT316)</f>
        <v xml:space="preserve">      series QD_cfue = 1.42431270366741 * @elem(QD_cfue, 2015)</v>
      </c>
    </row>
    <row r="317" spans="71:74" x14ac:dyDescent="0.25">
      <c r="BS317" t="s">
        <v>64</v>
      </c>
      <c r="BT317">
        <v>16</v>
      </c>
      <c r="BU317" t="s">
        <v>79</v>
      </c>
      <c r="BV317" t="str" cm="1">
        <f t="array" aca="1" ref="BV317" ca="1">INDIRECT(BU317&amp;BT317)</f>
        <v xml:space="preserve">      series QD_cpch = 1.48563663302976 * @elem(QD_cpch, 2015)</v>
      </c>
    </row>
    <row r="318" spans="71:74" x14ac:dyDescent="0.25">
      <c r="BS318" t="s">
        <v>64</v>
      </c>
      <c r="BT318">
        <v>16</v>
      </c>
      <c r="BU318" t="s">
        <v>80</v>
      </c>
      <c r="BV318" t="str" cm="1">
        <f t="array" aca="1" ref="BV318" ca="1">INDIRECT(BU318&amp;BT318)</f>
        <v xml:space="preserve">      series QD_cele = 1.08728024248404 * @elem(QD_cele, 2015)</v>
      </c>
    </row>
    <row r="319" spans="71:74" x14ac:dyDescent="0.25">
      <c r="BS319" t="s">
        <v>64</v>
      </c>
      <c r="BT319">
        <v>16</v>
      </c>
      <c r="BU319" t="s">
        <v>81</v>
      </c>
      <c r="BV319" t="str" cm="1">
        <f t="array" aca="1" ref="BV319" ca="1">INDIRECT(BU319&amp;BT319)</f>
        <v xml:space="preserve">      series QD_cgas = 1.18132957563573 * @elem(QD_cgas, 2015)</v>
      </c>
    </row>
    <row r="320" spans="71:74" x14ac:dyDescent="0.25">
      <c r="BS320" t="s">
        <v>64</v>
      </c>
      <c r="BT320">
        <v>16</v>
      </c>
      <c r="BU320" t="s">
        <v>82</v>
      </c>
      <c r="BV320" t="str" cm="1">
        <f t="array" aca="1" ref="BV320" ca="1">INDIRECT(BU320&amp;BT320)</f>
        <v xml:space="preserve">      series QD_cmga = 0.749109264066022 * @elem(QD_cmga, 2015)</v>
      </c>
    </row>
    <row r="321" spans="71:74" x14ac:dyDescent="0.25">
      <c r="BS321" t="s">
        <v>64</v>
      </c>
      <c r="BT321">
        <v>16</v>
      </c>
      <c r="BU321" t="s">
        <v>83</v>
      </c>
      <c r="BV321" t="str" cm="1">
        <f t="array" aca="1" ref="BV321" ca="1">INDIRECT(BU321&amp;BT321)</f>
        <v xml:space="preserve">      series QD_cbiog = 0.971380345241679 * @elem(QD_cbiog, 2015)</v>
      </c>
    </row>
    <row r="322" spans="71:74" x14ac:dyDescent="0.25">
      <c r="BS322" t="s">
        <v>64</v>
      </c>
      <c r="BT322">
        <v>16</v>
      </c>
      <c r="BU322" t="s">
        <v>84</v>
      </c>
      <c r="BV322" t="str" cm="1">
        <f t="array" aca="1" ref="BV322" ca="1">INDIRECT(BU322&amp;BT322)</f>
        <v xml:space="preserve">      series QD_cbiom = 0.8617307053155 * @elem(QD_cbiom, 2015)</v>
      </c>
    </row>
    <row r="323" spans="71:74" x14ac:dyDescent="0.25">
      <c r="BS323" t="s">
        <v>64</v>
      </c>
      <c r="BT323">
        <v>16</v>
      </c>
      <c r="BU323" t="s">
        <v>85</v>
      </c>
      <c r="BV323" t="str" cm="1">
        <f t="array" aca="1" ref="BV323" ca="1">INDIRECT(BU323&amp;BT323)</f>
        <v xml:space="preserve">      series QD_cbiof = 1.1019920876723 * @elem(QD_cbiof, 2015)</v>
      </c>
    </row>
    <row r="324" spans="71:74" x14ac:dyDescent="0.25">
      <c r="BS324" t="s">
        <v>64</v>
      </c>
      <c r="BT324">
        <v>16</v>
      </c>
      <c r="BU324" t="s">
        <v>87</v>
      </c>
      <c r="BV324" t="str" cm="1">
        <f t="array" aca="1" ref="BV324" ca="1">INDIRECT(BU324&amp;BT324)</f>
        <v xml:space="preserve">      series QD_chea = 1.10939676801702 * @elem(QD_chea, 2015)</v>
      </c>
    </row>
    <row r="325" spans="71:74" x14ac:dyDescent="0.25">
      <c r="BS325" t="s">
        <v>64</v>
      </c>
      <c r="BT325">
        <v>17</v>
      </c>
      <c r="BU325" t="s">
        <v>65</v>
      </c>
      <c r="BV325" t="str" cm="1">
        <f t="array" aca="1" ref="BV325" ca="1">INDIRECT(BU325&amp;BT325)</f>
        <v xml:space="preserve">      smpl 2029 2029</v>
      </c>
    </row>
    <row r="326" spans="71:74" x14ac:dyDescent="0.25">
      <c r="BS326" t="s">
        <v>64</v>
      </c>
      <c r="BT326">
        <v>17</v>
      </c>
      <c r="BU326" t="s">
        <v>66</v>
      </c>
      <c r="BV326" t="str" cm="1">
        <f t="array" aca="1" ref="BV326" ca="1">INDIRECT(BU326&amp;BT326)</f>
        <v xml:space="preserve">      series QD_cagr = 1.25339611338636 * @elem(QD_cagr, 2015)</v>
      </c>
    </row>
    <row r="327" spans="71:74" x14ac:dyDescent="0.25">
      <c r="BS327" t="s">
        <v>64</v>
      </c>
      <c r="BT327">
        <v>17</v>
      </c>
      <c r="BU327" t="s">
        <v>67</v>
      </c>
      <c r="BV327" t="str" cm="1">
        <f t="array" aca="1" ref="BV327" ca="1">INDIRECT(BU327&amp;BT327)</f>
        <v xml:space="preserve">      series QD_cmet = 1.32341082997932 * @elem(QD_cmet, 2015)</v>
      </c>
    </row>
    <row r="328" spans="71:74" x14ac:dyDescent="0.25">
      <c r="BS328" t="s">
        <v>64</v>
      </c>
      <c r="BT328">
        <v>17</v>
      </c>
      <c r="BU328" t="s">
        <v>68</v>
      </c>
      <c r="BV328" t="str" cm="1">
        <f t="array" aca="1" ref="BV328" ca="1">INDIRECT(BU328&amp;BT328)</f>
        <v xml:space="preserve">      series QD_cchem = 1.17687733125297 * @elem(QD_cchem, 2015)</v>
      </c>
    </row>
    <row r="329" spans="71:74" x14ac:dyDescent="0.25">
      <c r="BS329" t="s">
        <v>64</v>
      </c>
      <c r="BT329">
        <v>17</v>
      </c>
      <c r="BU329" t="s">
        <v>69</v>
      </c>
      <c r="BV329" t="str" cm="1">
        <f t="array" aca="1" ref="BV329" ca="1">INDIRECT(BU329&amp;BT329)</f>
        <v xml:space="preserve">      series QD_cpla = 1.27845565841264 * @elem(QD_cpla, 2015)</v>
      </c>
    </row>
    <row r="330" spans="71:74" x14ac:dyDescent="0.25">
      <c r="BS330" t="s">
        <v>64</v>
      </c>
      <c r="BT330">
        <v>17</v>
      </c>
      <c r="BU330" t="s">
        <v>70</v>
      </c>
      <c r="BV330" t="str" cm="1">
        <f t="array" aca="1" ref="BV330" ca="1">INDIRECT(BU330&amp;BT330)</f>
        <v xml:space="preserve">      series QD_cgla = 1.27586240484068 * @elem(QD_cgla, 2015)</v>
      </c>
    </row>
    <row r="331" spans="71:74" x14ac:dyDescent="0.25">
      <c r="BS331" t="s">
        <v>64</v>
      </c>
      <c r="BT331">
        <v>17</v>
      </c>
      <c r="BU331" t="s">
        <v>71</v>
      </c>
      <c r="BV331" t="str" cm="1">
        <f t="array" aca="1" ref="BV331" ca="1">INDIRECT(BU331&amp;BT331)</f>
        <v xml:space="preserve">      series QD_cpap = 1.25089179599601 * @elem(QD_cpap, 2015)</v>
      </c>
    </row>
    <row r="332" spans="71:74" x14ac:dyDescent="0.25">
      <c r="BS332" t="s">
        <v>64</v>
      </c>
      <c r="BT332">
        <v>17</v>
      </c>
      <c r="BU332" t="s">
        <v>72</v>
      </c>
      <c r="BV332" t="str" cm="1">
        <f t="array" aca="1" ref="BV332" ca="1">INDIRECT(BU332&amp;BT332)</f>
        <v xml:space="preserve">      series QD_cfoo = 1.25550767236513 * @elem(QD_cfoo, 2015)</v>
      </c>
    </row>
    <row r="333" spans="71:74" x14ac:dyDescent="0.25">
      <c r="BS333" t="s">
        <v>64</v>
      </c>
      <c r="BT333">
        <v>17</v>
      </c>
      <c r="BU333" t="s">
        <v>73</v>
      </c>
      <c r="BV333" t="str" cm="1">
        <f t="array" aca="1" ref="BV333" ca="1">INDIRECT(BU333&amp;BT333)</f>
        <v xml:space="preserve">      series QD_cres = 1.31312109169554 * @elem(QD_cres, 2015)</v>
      </c>
    </row>
    <row r="334" spans="71:74" x14ac:dyDescent="0.25">
      <c r="BS334" t="s">
        <v>64</v>
      </c>
      <c r="BT334">
        <v>17</v>
      </c>
      <c r="BU334" t="s">
        <v>74</v>
      </c>
      <c r="BV334" t="str" cm="1">
        <f t="array" aca="1" ref="BV334" ca="1">INDIRECT(BU334&amp;BT334)</f>
        <v xml:space="preserve">      series QD_croa = 1.26246773084653 * @elem(QD_croa, 2015)</v>
      </c>
    </row>
    <row r="335" spans="71:74" x14ac:dyDescent="0.25">
      <c r="BS335" t="s">
        <v>64</v>
      </c>
      <c r="BT335">
        <v>17</v>
      </c>
      <c r="BU335" t="s">
        <v>75</v>
      </c>
      <c r="BV335" t="str" cm="1">
        <f t="array" aca="1" ref="BV335" ca="1">INDIRECT(BU335&amp;BT335)</f>
        <v xml:space="preserve">      series QD_cwat = 1.26928565009311 * @elem(QD_cwat, 2015)</v>
      </c>
    </row>
    <row r="336" spans="71:74" x14ac:dyDescent="0.25">
      <c r="BS336" t="s">
        <v>64</v>
      </c>
      <c r="BT336">
        <v>17</v>
      </c>
      <c r="BU336" t="s">
        <v>86</v>
      </c>
      <c r="BV336" t="str" cm="1">
        <f t="array" aca="1" ref="BV336" ca="1">INDIRECT(BU336&amp;BT336)</f>
        <v xml:space="preserve">      series QD_cair = 1.29158285007422 * @elem(QD_cair, 2015)</v>
      </c>
    </row>
    <row r="337" spans="71:74" x14ac:dyDescent="0.25">
      <c r="BS337" t="s">
        <v>64</v>
      </c>
      <c r="BT337">
        <v>17</v>
      </c>
      <c r="BU337" t="s">
        <v>76</v>
      </c>
      <c r="BV337" t="str" cm="1">
        <f t="array" aca="1" ref="BV337" ca="1">INDIRECT(BU337&amp;BT337)</f>
        <v xml:space="preserve">      series QD_ccoa = 0.109695331871443 * @elem(QD_ccoa, 2015)</v>
      </c>
    </row>
    <row r="338" spans="71:74" x14ac:dyDescent="0.25">
      <c r="BS338" t="s">
        <v>64</v>
      </c>
      <c r="BT338">
        <v>17</v>
      </c>
      <c r="BU338" t="s">
        <v>77</v>
      </c>
      <c r="BV338" t="str" cm="1">
        <f t="array" aca="1" ref="BV338" ca="1">INDIRECT(BU338&amp;BT338)</f>
        <v xml:space="preserve">      series QD_coil = 0.171560462325693 * @elem(QD_coil, 2015)</v>
      </c>
    </row>
    <row r="339" spans="71:74" x14ac:dyDescent="0.25">
      <c r="BS339" t="s">
        <v>64</v>
      </c>
      <c r="BT339">
        <v>17</v>
      </c>
      <c r="BU339" t="s">
        <v>78</v>
      </c>
      <c r="BV339" t="str" cm="1">
        <f t="array" aca="1" ref="BV339" ca="1">INDIRECT(BU339&amp;BT339)</f>
        <v xml:space="preserve">      series QD_cfue = 1.43996938201074 * @elem(QD_cfue, 2015)</v>
      </c>
    </row>
    <row r="340" spans="71:74" x14ac:dyDescent="0.25">
      <c r="BS340" t="s">
        <v>64</v>
      </c>
      <c r="BT340">
        <v>17</v>
      </c>
      <c r="BU340" t="s">
        <v>79</v>
      </c>
      <c r="BV340" t="str" cm="1">
        <f t="array" aca="1" ref="BV340" ca="1">INDIRECT(BU340&amp;BT340)</f>
        <v xml:space="preserve">      series QD_cpch = 1.50614582771458 * @elem(QD_cpch, 2015)</v>
      </c>
    </row>
    <row r="341" spans="71:74" x14ac:dyDescent="0.25">
      <c r="BS341" t="s">
        <v>64</v>
      </c>
      <c r="BT341">
        <v>17</v>
      </c>
      <c r="BU341" t="s">
        <v>80</v>
      </c>
      <c r="BV341" t="str" cm="1">
        <f t="array" aca="1" ref="BV341" ca="1">INDIRECT(BU341&amp;BT341)</f>
        <v xml:space="preserve">      series QD_cele = 1.09454708287055 * @elem(QD_cele, 2015)</v>
      </c>
    </row>
    <row r="342" spans="71:74" x14ac:dyDescent="0.25">
      <c r="BS342" t="s">
        <v>64</v>
      </c>
      <c r="BT342">
        <v>17</v>
      </c>
      <c r="BU342" t="s">
        <v>81</v>
      </c>
      <c r="BV342" t="str" cm="1">
        <f t="array" aca="1" ref="BV342" ca="1">INDIRECT(BU342&amp;BT342)</f>
        <v xml:space="preserve">      series QD_cgas = 1.18649482676409 * @elem(QD_cgas, 2015)</v>
      </c>
    </row>
    <row r="343" spans="71:74" x14ac:dyDescent="0.25">
      <c r="BS343" t="s">
        <v>64</v>
      </c>
      <c r="BT343">
        <v>17</v>
      </c>
      <c r="BU343" t="s">
        <v>82</v>
      </c>
      <c r="BV343" t="str" cm="1">
        <f t="array" aca="1" ref="BV343" ca="1">INDIRECT(BU343&amp;BT343)</f>
        <v xml:space="preserve">      series QD_cmga = 0.714759965497264 * @elem(QD_cmga, 2015)</v>
      </c>
    </row>
    <row r="344" spans="71:74" x14ac:dyDescent="0.25">
      <c r="BS344" t="s">
        <v>64</v>
      </c>
      <c r="BT344">
        <v>17</v>
      </c>
      <c r="BU344" t="s">
        <v>83</v>
      </c>
      <c r="BV344" t="str" cm="1">
        <f t="array" aca="1" ref="BV344" ca="1">INDIRECT(BU344&amp;BT344)</f>
        <v xml:space="preserve">      series QD_cbiog = 0.96598063900726 * @elem(QD_cbiog, 2015)</v>
      </c>
    </row>
    <row r="345" spans="71:74" x14ac:dyDescent="0.25">
      <c r="BS345" t="s">
        <v>64</v>
      </c>
      <c r="BT345">
        <v>17</v>
      </c>
      <c r="BU345" t="s">
        <v>84</v>
      </c>
      <c r="BV345" t="str" cm="1">
        <f t="array" aca="1" ref="BV345" ca="1">INDIRECT(BU345&amp;BT345)</f>
        <v xml:space="preserve">      series QD_cbiom = 0.845456673894379 * @elem(QD_cbiom, 2015)</v>
      </c>
    </row>
    <row r="346" spans="71:74" x14ac:dyDescent="0.25">
      <c r="BS346" t="s">
        <v>64</v>
      </c>
      <c r="BT346">
        <v>17</v>
      </c>
      <c r="BU346" t="s">
        <v>85</v>
      </c>
      <c r="BV346" t="str" cm="1">
        <f t="array" aca="1" ref="BV346" ca="1">INDIRECT(BU346&amp;BT346)</f>
        <v xml:space="preserve">      series QD_cbiof = 1.1115367486136 * @elem(QD_cbiof, 2015)</v>
      </c>
    </row>
    <row r="347" spans="71:74" x14ac:dyDescent="0.25">
      <c r="BS347" t="s">
        <v>64</v>
      </c>
      <c r="BT347">
        <v>17</v>
      </c>
      <c r="BU347" t="s">
        <v>87</v>
      </c>
      <c r="BV347" t="str" cm="1">
        <f t="array" aca="1" ref="BV347" ca="1">INDIRECT(BU347&amp;BT347)</f>
        <v xml:space="preserve">      series QD_chea = 1.11362026300908 * @elem(QD_chea, 2015)</v>
      </c>
    </row>
    <row r="348" spans="71:74" x14ac:dyDescent="0.25">
      <c r="BS348" t="s">
        <v>64</v>
      </c>
      <c r="BT348">
        <v>18</v>
      </c>
      <c r="BU348" t="s">
        <v>65</v>
      </c>
      <c r="BV348" t="str" cm="1">
        <f t="array" aca="1" ref="BV348" ca="1">INDIRECT(BU348&amp;BT348)</f>
        <v xml:space="preserve">      smpl 2030 2030</v>
      </c>
    </row>
    <row r="349" spans="71:74" x14ac:dyDescent="0.25">
      <c r="BS349" t="s">
        <v>64</v>
      </c>
      <c r="BT349">
        <v>18</v>
      </c>
      <c r="BU349" t="s">
        <v>66</v>
      </c>
      <c r="BV349" t="str" cm="1">
        <f t="array" aca="1" ref="BV349" ca="1">INDIRECT(BU349&amp;BT349)</f>
        <v xml:space="preserve">      series QD_cagr = 1.27186195777017 * @elem(QD_cagr, 2015)</v>
      </c>
    </row>
    <row r="350" spans="71:74" x14ac:dyDescent="0.25">
      <c r="BS350" t="s">
        <v>64</v>
      </c>
      <c r="BT350">
        <v>18</v>
      </c>
      <c r="BU350" t="s">
        <v>67</v>
      </c>
      <c r="BV350" t="str" cm="1">
        <f t="array" aca="1" ref="BV350" ca="1">INDIRECT(BU350&amp;BT350)</f>
        <v xml:space="preserve">      series QD_cmet = 1.34323449285122 * @elem(QD_cmet, 2015)</v>
      </c>
    </row>
    <row r="351" spans="71:74" x14ac:dyDescent="0.25">
      <c r="BS351" t="s">
        <v>64</v>
      </c>
      <c r="BT351">
        <v>18</v>
      </c>
      <c r="BU351" t="s">
        <v>68</v>
      </c>
      <c r="BV351" t="str" cm="1">
        <f t="array" aca="1" ref="BV351" ca="1">INDIRECT(BU351&amp;BT351)</f>
        <v xml:space="preserve">      series QD_cchem = 1.19303391138713 * @elem(QD_cchem, 2015)</v>
      </c>
    </row>
    <row r="352" spans="71:74" x14ac:dyDescent="0.25">
      <c r="BS352" t="s">
        <v>64</v>
      </c>
      <c r="BT352">
        <v>18</v>
      </c>
      <c r="BU352" t="s">
        <v>69</v>
      </c>
      <c r="BV352" t="str" cm="1">
        <f t="array" aca="1" ref="BV352" ca="1">INDIRECT(BU352&amp;BT352)</f>
        <v xml:space="preserve">      series QD_cpla = 1.29804473192815 * @elem(QD_cpla, 2015)</v>
      </c>
    </row>
    <row r="353" spans="71:74" x14ac:dyDescent="0.25">
      <c r="BS353" t="s">
        <v>64</v>
      </c>
      <c r="BT353">
        <v>18</v>
      </c>
      <c r="BU353" t="s">
        <v>70</v>
      </c>
      <c r="BV353" t="str" cm="1">
        <f t="array" aca="1" ref="BV353" ca="1">INDIRECT(BU353&amp;BT353)</f>
        <v xml:space="preserve">      series QD_cgla = 1.29528118976934 * @elem(QD_cgla, 2015)</v>
      </c>
    </row>
    <row r="354" spans="71:74" x14ac:dyDescent="0.25">
      <c r="BS354" t="s">
        <v>64</v>
      </c>
      <c r="BT354">
        <v>18</v>
      </c>
      <c r="BU354" t="s">
        <v>71</v>
      </c>
      <c r="BV354" t="str" cm="1">
        <f t="array" aca="1" ref="BV354" ca="1">INDIRECT(BU354&amp;BT354)</f>
        <v xml:space="preserve">      series QD_cpap = 1.26853308311807 * @elem(QD_cpap, 2015)</v>
      </c>
    </row>
    <row r="355" spans="71:74" x14ac:dyDescent="0.25">
      <c r="BS355" t="s">
        <v>64</v>
      </c>
      <c r="BT355">
        <v>18</v>
      </c>
      <c r="BU355" t="s">
        <v>72</v>
      </c>
      <c r="BV355" t="str" cm="1">
        <f t="array" aca="1" ref="BV355" ca="1">INDIRECT(BU355&amp;BT355)</f>
        <v xml:space="preserve">      series QD_cfoo = 1.27436671245361 * @elem(QD_cfoo, 2015)</v>
      </c>
    </row>
    <row r="356" spans="71:74" x14ac:dyDescent="0.25">
      <c r="BS356" t="s">
        <v>64</v>
      </c>
      <c r="BT356">
        <v>18</v>
      </c>
      <c r="BU356" t="s">
        <v>73</v>
      </c>
      <c r="BV356" t="str" cm="1">
        <f t="array" aca="1" ref="BV356" ca="1">INDIRECT(BU356&amp;BT356)</f>
        <v xml:space="preserve">      series QD_cres = 1.33360102175762 * @elem(QD_cres, 2015)</v>
      </c>
    </row>
    <row r="357" spans="71:74" x14ac:dyDescent="0.25">
      <c r="BS357" t="s">
        <v>64</v>
      </c>
      <c r="BT357">
        <v>18</v>
      </c>
      <c r="BU357" t="s">
        <v>74</v>
      </c>
      <c r="BV357" t="str" cm="1">
        <f t="array" aca="1" ref="BV357" ca="1">INDIRECT(BU357&amp;BT357)</f>
        <v xml:space="preserve">      series QD_croa = 1.28121112703666 * @elem(QD_croa, 2015)</v>
      </c>
    </row>
    <row r="358" spans="71:74" x14ac:dyDescent="0.25">
      <c r="BS358" t="s">
        <v>64</v>
      </c>
      <c r="BT358">
        <v>18</v>
      </c>
      <c r="BU358" t="s">
        <v>75</v>
      </c>
      <c r="BV358" t="str" cm="1">
        <f t="array" aca="1" ref="BV358" ca="1">INDIRECT(BU358&amp;BT358)</f>
        <v xml:space="preserve">      series QD_cwat = 1.28815691176766 * @elem(QD_cwat, 2015)</v>
      </c>
    </row>
    <row r="359" spans="71:74" x14ac:dyDescent="0.25">
      <c r="BS359" t="s">
        <v>64</v>
      </c>
      <c r="BT359">
        <v>18</v>
      </c>
      <c r="BU359" t="s">
        <v>86</v>
      </c>
      <c r="BV359" t="str" cm="1">
        <f t="array" aca="1" ref="BV359" ca="1">INDIRECT(BU359&amp;BT359)</f>
        <v xml:space="preserve">      series QD_cair = 1.31200097674419 * @elem(QD_cair, 2015)</v>
      </c>
    </row>
    <row r="360" spans="71:74" x14ac:dyDescent="0.25">
      <c r="BS360" t="s">
        <v>64</v>
      </c>
      <c r="BT360">
        <v>18</v>
      </c>
      <c r="BU360" t="s">
        <v>76</v>
      </c>
      <c r="BV360" t="str" cm="1">
        <f t="array" aca="1" ref="BV360" ca="1">INDIRECT(BU360&amp;BT360)</f>
        <v xml:space="preserve">      series QD_ccoa = 0.102196358476406 * @elem(QD_ccoa, 2015)</v>
      </c>
    </row>
    <row r="361" spans="71:74" x14ac:dyDescent="0.25">
      <c r="BS361" t="s">
        <v>64</v>
      </c>
      <c r="BT361">
        <v>18</v>
      </c>
      <c r="BU361" t="s">
        <v>77</v>
      </c>
      <c r="BV361" t="str" cm="1">
        <f t="array" aca="1" ref="BV361" ca="1">INDIRECT(BU361&amp;BT361)</f>
        <v xml:space="preserve">      series QD_coil = 0.164973381166456 * @elem(QD_coil, 2015)</v>
      </c>
    </row>
    <row r="362" spans="71:74" x14ac:dyDescent="0.25">
      <c r="BS362" t="s">
        <v>64</v>
      </c>
      <c r="BT362">
        <v>18</v>
      </c>
      <c r="BU362" t="s">
        <v>78</v>
      </c>
      <c r="BV362" t="str" cm="1">
        <f t="array" aca="1" ref="BV362" ca="1">INDIRECT(BU362&amp;BT362)</f>
        <v xml:space="preserve">      series QD_cfue = 1.45524725372096 * @elem(QD_cfue, 2015)</v>
      </c>
    </row>
    <row r="363" spans="71:74" x14ac:dyDescent="0.25">
      <c r="BS363" t="s">
        <v>64</v>
      </c>
      <c r="BT363">
        <v>18</v>
      </c>
      <c r="BU363" t="s">
        <v>79</v>
      </c>
      <c r="BV363" t="str" cm="1">
        <f t="array" aca="1" ref="BV363" ca="1">INDIRECT(BU363&amp;BT363)</f>
        <v xml:space="preserve">      series QD_cpch = 1.52619070861021 * @elem(QD_cpch, 2015)</v>
      </c>
    </row>
    <row r="364" spans="71:74" x14ac:dyDescent="0.25">
      <c r="BS364" t="s">
        <v>64</v>
      </c>
      <c r="BT364">
        <v>18</v>
      </c>
      <c r="BU364" t="s">
        <v>80</v>
      </c>
      <c r="BV364" t="str" cm="1">
        <f t="array" aca="1" ref="BV364" ca="1">INDIRECT(BU364&amp;BT364)</f>
        <v xml:space="preserve">      series QD_cele = 1.10293777688703 * @elem(QD_cele, 2015)</v>
      </c>
    </row>
    <row r="365" spans="71:74" x14ac:dyDescent="0.25">
      <c r="BS365" t="s">
        <v>64</v>
      </c>
      <c r="BT365">
        <v>18</v>
      </c>
      <c r="BU365" t="s">
        <v>81</v>
      </c>
      <c r="BV365" t="str" cm="1">
        <f t="array" aca="1" ref="BV365" ca="1">INDIRECT(BU365&amp;BT365)</f>
        <v xml:space="preserve">      series QD_cgas = 1.19176419612018 * @elem(QD_cgas, 2015)</v>
      </c>
    </row>
    <row r="366" spans="71:74" x14ac:dyDescent="0.25">
      <c r="BS366" t="s">
        <v>64</v>
      </c>
      <c r="BT366">
        <v>18</v>
      </c>
      <c r="BU366" t="s">
        <v>82</v>
      </c>
      <c r="BV366" t="str" cm="1">
        <f t="array" aca="1" ref="BV366" ca="1">INDIRECT(BU366&amp;BT366)</f>
        <v xml:space="preserve">      series QD_cmga = 0.682266035146042 * @elem(QD_cmga, 2015)</v>
      </c>
    </row>
    <row r="367" spans="71:74" x14ac:dyDescent="0.25">
      <c r="BS367" t="s">
        <v>64</v>
      </c>
      <c r="BT367">
        <v>18</v>
      </c>
      <c r="BU367" t="s">
        <v>83</v>
      </c>
      <c r="BV367" t="str" cm="1">
        <f t="array" aca="1" ref="BV367" ca="1">INDIRECT(BU367&amp;BT367)</f>
        <v xml:space="preserve">      series QD_cbiog = 0.962897204183028 * @elem(QD_cbiog, 2015)</v>
      </c>
    </row>
    <row r="368" spans="71:74" x14ac:dyDescent="0.25">
      <c r="BS368" t="s">
        <v>64</v>
      </c>
      <c r="BT368">
        <v>18</v>
      </c>
      <c r="BU368" t="s">
        <v>84</v>
      </c>
      <c r="BV368" t="str" cm="1">
        <f t="array" aca="1" ref="BV368" ca="1">INDIRECT(BU368&amp;BT368)</f>
        <v xml:space="preserve">      series QD_cbiom = 0.839004005410571 * @elem(QD_cbiom, 2015)</v>
      </c>
    </row>
    <row r="369" spans="71:74" x14ac:dyDescent="0.25">
      <c r="BS369" t="s">
        <v>64</v>
      </c>
      <c r="BT369">
        <v>18</v>
      </c>
      <c r="BU369" t="s">
        <v>85</v>
      </c>
      <c r="BV369" t="str" cm="1">
        <f t="array" aca="1" ref="BV369" ca="1">INDIRECT(BU369&amp;BT369)</f>
        <v xml:space="preserve">      series QD_cbiof = 1.12134730172871 * @elem(QD_cbiof, 2015)</v>
      </c>
    </row>
    <row r="370" spans="71:74" x14ac:dyDescent="0.25">
      <c r="BS370" t="s">
        <v>64</v>
      </c>
      <c r="BT370">
        <v>18</v>
      </c>
      <c r="BU370" t="s">
        <v>87</v>
      </c>
      <c r="BV370" t="str" cm="1">
        <f t="array" aca="1" ref="BV370" ca="1">INDIRECT(BU370&amp;BT370)</f>
        <v xml:space="preserve">      series QD_chea = 1.11903394183483 * @elem(QD_chea, 2015)</v>
      </c>
    </row>
    <row r="371" spans="71:74" x14ac:dyDescent="0.25">
      <c r="BS371" t="s">
        <v>64</v>
      </c>
      <c r="BT371">
        <v>19</v>
      </c>
      <c r="BU371" t="s">
        <v>65</v>
      </c>
      <c r="BV371" t="str" cm="1">
        <f t="array" aca="1" ref="BV371" ca="1">INDIRECT(BU371&amp;BT371)</f>
        <v xml:space="preserve">      smpl 2031 2031</v>
      </c>
    </row>
    <row r="372" spans="71:74" x14ac:dyDescent="0.25">
      <c r="BS372" t="s">
        <v>64</v>
      </c>
      <c r="BT372">
        <v>19</v>
      </c>
      <c r="BU372" t="s">
        <v>66</v>
      </c>
      <c r="BV372" t="str" cm="1">
        <f t="array" aca="1" ref="BV372" ca="1">INDIRECT(BU372&amp;BT372)</f>
        <v xml:space="preserve">      series QD_cagr = 1.28363360206514 * @elem(QD_cagr, 2015)</v>
      </c>
    </row>
    <row r="373" spans="71:74" x14ac:dyDescent="0.25">
      <c r="BS373" t="s">
        <v>64</v>
      </c>
      <c r="BT373">
        <v>19</v>
      </c>
      <c r="BU373" t="s">
        <v>67</v>
      </c>
      <c r="BV373" t="str" cm="1">
        <f t="array" aca="1" ref="BV373" ca="1">INDIRECT(BU373&amp;BT373)</f>
        <v xml:space="preserve">      series QD_cmet = 1.35545874182244 * @elem(QD_cmet, 2015)</v>
      </c>
    </row>
    <row r="374" spans="71:74" x14ac:dyDescent="0.25">
      <c r="BS374" t="s">
        <v>64</v>
      </c>
      <c r="BT374">
        <v>19</v>
      </c>
      <c r="BU374" t="s">
        <v>68</v>
      </c>
      <c r="BV374" t="str" cm="1">
        <f t="array" aca="1" ref="BV374" ca="1">INDIRECT(BU374&amp;BT374)</f>
        <v xml:space="preserve">      series QD_cchem = 1.20259340808065 * @elem(QD_cchem, 2015)</v>
      </c>
    </row>
    <row r="375" spans="71:74" x14ac:dyDescent="0.25">
      <c r="BS375" t="s">
        <v>64</v>
      </c>
      <c r="BT375">
        <v>19</v>
      </c>
      <c r="BU375" t="s">
        <v>69</v>
      </c>
      <c r="BV375" t="str" cm="1">
        <f t="array" aca="1" ref="BV375" ca="1">INDIRECT(BU375&amp;BT375)</f>
        <v xml:space="preserve">      series QD_cpla = 1.31119317852239 * @elem(QD_cpla, 2015)</v>
      </c>
    </row>
    <row r="376" spans="71:74" x14ac:dyDescent="0.25">
      <c r="BS376" t="s">
        <v>64</v>
      </c>
      <c r="BT376">
        <v>19</v>
      </c>
      <c r="BU376" t="s">
        <v>70</v>
      </c>
      <c r="BV376" t="str" cm="1">
        <f t="array" aca="1" ref="BV376" ca="1">INDIRECT(BU376&amp;BT376)</f>
        <v xml:space="preserve">      series QD_cgla = 1.30857451175734 * @elem(QD_cgla, 2015)</v>
      </c>
    </row>
    <row r="377" spans="71:74" x14ac:dyDescent="0.25">
      <c r="BS377" t="s">
        <v>64</v>
      </c>
      <c r="BT377">
        <v>19</v>
      </c>
      <c r="BU377" t="s">
        <v>71</v>
      </c>
      <c r="BV377" t="str" cm="1">
        <f t="array" aca="1" ref="BV377" ca="1">INDIRECT(BU377&amp;BT377)</f>
        <v xml:space="preserve">      series QD_cpap = 1.27933474918526 * @elem(QD_cpap, 2015)</v>
      </c>
    </row>
    <row r="378" spans="71:74" x14ac:dyDescent="0.25">
      <c r="BS378" t="s">
        <v>64</v>
      </c>
      <c r="BT378">
        <v>19</v>
      </c>
      <c r="BU378" t="s">
        <v>72</v>
      </c>
      <c r="BV378" t="str" cm="1">
        <f t="array" aca="1" ref="BV378" ca="1">INDIRECT(BU378&amp;BT378)</f>
        <v xml:space="preserve">      series QD_cfoo = 1.28675409736733 * @elem(QD_cfoo, 2015)</v>
      </c>
    </row>
    <row r="379" spans="71:74" x14ac:dyDescent="0.25">
      <c r="BS379" t="s">
        <v>64</v>
      </c>
      <c r="BT379">
        <v>19</v>
      </c>
      <c r="BU379" t="s">
        <v>73</v>
      </c>
      <c r="BV379" t="str" cm="1">
        <f t="array" aca="1" ref="BV379" ca="1">INDIRECT(BU379&amp;BT379)</f>
        <v xml:space="preserve">      series QD_cres = 1.34772457538181 * @elem(QD_cres, 2015)</v>
      </c>
    </row>
    <row r="380" spans="71:74" x14ac:dyDescent="0.25">
      <c r="BS380" t="s">
        <v>64</v>
      </c>
      <c r="BT380">
        <v>19</v>
      </c>
      <c r="BU380" t="s">
        <v>74</v>
      </c>
      <c r="BV380" t="str" cm="1">
        <f t="array" aca="1" ref="BV380" ca="1">INDIRECT(BU380&amp;BT380)</f>
        <v xml:space="preserve">      series QD_croa = 1.29414230170993 * @elem(QD_croa, 2015)</v>
      </c>
    </row>
    <row r="381" spans="71:74" x14ac:dyDescent="0.25">
      <c r="BS381" t="s">
        <v>64</v>
      </c>
      <c r="BT381">
        <v>19</v>
      </c>
      <c r="BU381" t="s">
        <v>75</v>
      </c>
      <c r="BV381" t="str" cm="1">
        <f t="array" aca="1" ref="BV381" ca="1">INDIRECT(BU381&amp;BT381)</f>
        <v xml:space="preserve">      series QD_cwat = 1.29880538435942 * @elem(QD_cwat, 2015)</v>
      </c>
    </row>
    <row r="382" spans="71:74" x14ac:dyDescent="0.25">
      <c r="BS382" t="s">
        <v>64</v>
      </c>
      <c r="BT382">
        <v>19</v>
      </c>
      <c r="BU382" t="s">
        <v>86</v>
      </c>
      <c r="BV382" t="str" cm="1">
        <f t="array" aca="1" ref="BV382" ca="1">INDIRECT(BU382&amp;BT382)</f>
        <v xml:space="preserve">      series QD_cair = 1.31711436615537 * @elem(QD_cair, 2015)</v>
      </c>
    </row>
    <row r="383" spans="71:74" x14ac:dyDescent="0.25">
      <c r="BS383" t="s">
        <v>64</v>
      </c>
      <c r="BT383">
        <v>19</v>
      </c>
      <c r="BU383" t="s">
        <v>76</v>
      </c>
      <c r="BV383" t="str" cm="1">
        <f t="array" aca="1" ref="BV383" ca="1">INDIRECT(BU383&amp;BT383)</f>
        <v xml:space="preserve">      series QD_ccoa = 0.0964373759392727 * @elem(QD_ccoa, 2015)</v>
      </c>
    </row>
    <row r="384" spans="71:74" x14ac:dyDescent="0.25">
      <c r="BS384" t="s">
        <v>64</v>
      </c>
      <c r="BT384">
        <v>19</v>
      </c>
      <c r="BU384" t="s">
        <v>77</v>
      </c>
      <c r="BV384" t="str" cm="1">
        <f t="array" aca="1" ref="BV384" ca="1">INDIRECT(BU384&amp;BT384)</f>
        <v xml:space="preserve">      series QD_coil = 0.160811712684019 * @elem(QD_coil, 2015)</v>
      </c>
    </row>
    <row r="385" spans="71:74" x14ac:dyDescent="0.25">
      <c r="BS385" t="s">
        <v>64</v>
      </c>
      <c r="BT385">
        <v>19</v>
      </c>
      <c r="BU385" t="s">
        <v>78</v>
      </c>
      <c r="BV385" t="str" cm="1">
        <f t="array" aca="1" ref="BV385" ca="1">INDIRECT(BU385&amp;BT385)</f>
        <v xml:space="preserve">      series QD_cfue = 1.47423795289756 * @elem(QD_cfue, 2015)</v>
      </c>
    </row>
    <row r="386" spans="71:74" x14ac:dyDescent="0.25">
      <c r="BS386" t="s">
        <v>64</v>
      </c>
      <c r="BT386">
        <v>19</v>
      </c>
      <c r="BU386" t="s">
        <v>79</v>
      </c>
      <c r="BV386" t="str" cm="1">
        <f t="array" aca="1" ref="BV386" ca="1">INDIRECT(BU386&amp;BT386)</f>
        <v xml:space="preserve">      series QD_cpch = 1.5455663307485 * @elem(QD_cpch, 2015)</v>
      </c>
    </row>
    <row r="387" spans="71:74" x14ac:dyDescent="0.25">
      <c r="BS387" t="s">
        <v>64</v>
      </c>
      <c r="BT387">
        <v>19</v>
      </c>
      <c r="BU387" t="s">
        <v>80</v>
      </c>
      <c r="BV387" t="str" cm="1">
        <f t="array" aca="1" ref="BV387" ca="1">INDIRECT(BU387&amp;BT387)</f>
        <v xml:space="preserve">      series QD_cele = 1.13386664083966 * @elem(QD_cele, 2015)</v>
      </c>
    </row>
    <row r="388" spans="71:74" x14ac:dyDescent="0.25">
      <c r="BS388" t="s">
        <v>64</v>
      </c>
      <c r="BT388">
        <v>19</v>
      </c>
      <c r="BU388" t="s">
        <v>81</v>
      </c>
      <c r="BV388" t="str" cm="1">
        <f t="array" aca="1" ref="BV388" ca="1">INDIRECT(BU388&amp;BT388)</f>
        <v xml:space="preserve">      series QD_cgas = 1.19033373677969 * @elem(QD_cgas, 2015)</v>
      </c>
    </row>
    <row r="389" spans="71:74" x14ac:dyDescent="0.25">
      <c r="BS389" t="s">
        <v>64</v>
      </c>
      <c r="BT389">
        <v>19</v>
      </c>
      <c r="BU389" t="s">
        <v>82</v>
      </c>
      <c r="BV389" t="str" cm="1">
        <f t="array" aca="1" ref="BV389" ca="1">INDIRECT(BU389&amp;BT389)</f>
        <v xml:space="preserve">      series QD_cmga = 0.674694518873982 * @elem(QD_cmga, 2015)</v>
      </c>
    </row>
    <row r="390" spans="71:74" x14ac:dyDescent="0.25">
      <c r="BS390" t="s">
        <v>64</v>
      </c>
      <c r="BT390">
        <v>19</v>
      </c>
      <c r="BU390" t="s">
        <v>83</v>
      </c>
      <c r="BV390" t="str" cm="1">
        <f t="array" aca="1" ref="BV390" ca="1">INDIRECT(BU390&amp;BT390)</f>
        <v xml:space="preserve">      series QD_cbiog = 0.968060127858689 * @elem(QD_cbiog, 2015)</v>
      </c>
    </row>
    <row r="391" spans="71:74" x14ac:dyDescent="0.25">
      <c r="BS391" t="s">
        <v>64</v>
      </c>
      <c r="BT391">
        <v>19</v>
      </c>
      <c r="BU391" t="s">
        <v>84</v>
      </c>
      <c r="BV391" t="str" cm="1">
        <f t="array" aca="1" ref="BV391" ca="1">INDIRECT(BU391&amp;BT391)</f>
        <v xml:space="preserve">      series QD_cbiom = 0.855486108761472 * @elem(QD_cbiom, 2015)</v>
      </c>
    </row>
    <row r="392" spans="71:74" x14ac:dyDescent="0.25">
      <c r="BS392" t="s">
        <v>64</v>
      </c>
      <c r="BT392">
        <v>19</v>
      </c>
      <c r="BU392" t="s">
        <v>85</v>
      </c>
      <c r="BV392" t="str" cm="1">
        <f t="array" aca="1" ref="BV392" ca="1">INDIRECT(BU392&amp;BT392)</f>
        <v xml:space="preserve">      series QD_cbiof = 1.12506167337407 * @elem(QD_cbiof, 2015)</v>
      </c>
    </row>
    <row r="393" spans="71:74" x14ac:dyDescent="0.25">
      <c r="BS393" t="s">
        <v>64</v>
      </c>
      <c r="BT393">
        <v>19</v>
      </c>
      <c r="BU393" t="s">
        <v>87</v>
      </c>
      <c r="BV393" t="str" cm="1">
        <f t="array" aca="1" ref="BV393" ca="1">INDIRECT(BU393&amp;BT393)</f>
        <v xml:space="preserve">      series QD_chea = 1.13795163267434 * @elem(QD_chea, 2015)</v>
      </c>
    </row>
    <row r="394" spans="71:74" x14ac:dyDescent="0.25">
      <c r="BS394" t="s">
        <v>64</v>
      </c>
      <c r="BT394">
        <v>20</v>
      </c>
      <c r="BU394" t="s">
        <v>65</v>
      </c>
      <c r="BV394" t="str" cm="1">
        <f t="array" aca="1" ref="BV394" ca="1">INDIRECT(BU394&amp;BT394)</f>
        <v xml:space="preserve">      smpl 2032 2032</v>
      </c>
    </row>
    <row r="395" spans="71:74" x14ac:dyDescent="0.25">
      <c r="BS395" t="s">
        <v>64</v>
      </c>
      <c r="BT395">
        <v>20</v>
      </c>
      <c r="BU395" t="s">
        <v>66</v>
      </c>
      <c r="BV395" t="str" cm="1">
        <f t="array" aca="1" ref="BV395" ca="1">INDIRECT(BU395&amp;BT395)</f>
        <v xml:space="preserve">      series QD_cagr = 1.29433346264641 * @elem(QD_cagr, 2015)</v>
      </c>
    </row>
    <row r="396" spans="71:74" x14ac:dyDescent="0.25">
      <c r="BS396" t="s">
        <v>64</v>
      </c>
      <c r="BT396">
        <v>20</v>
      </c>
      <c r="BU396" t="s">
        <v>67</v>
      </c>
      <c r="BV396" t="str" cm="1">
        <f t="array" aca="1" ref="BV396" ca="1">INDIRECT(BU396&amp;BT396)</f>
        <v xml:space="preserve">      series QD_cmet = 1.36688103569384 * @elem(QD_cmet, 2015)</v>
      </c>
    </row>
    <row r="397" spans="71:74" x14ac:dyDescent="0.25">
      <c r="BS397" t="s">
        <v>64</v>
      </c>
      <c r="BT397">
        <v>20</v>
      </c>
      <c r="BU397" t="s">
        <v>68</v>
      </c>
      <c r="BV397" t="str" cm="1">
        <f t="array" aca="1" ref="BV397" ca="1">INDIRECT(BU397&amp;BT397)</f>
        <v xml:space="preserve">      series QD_cchem = 1.2116813816411 * @elem(QD_cchem, 2015)</v>
      </c>
    </row>
    <row r="398" spans="71:74" x14ac:dyDescent="0.25">
      <c r="BS398" t="s">
        <v>64</v>
      </c>
      <c r="BT398">
        <v>20</v>
      </c>
      <c r="BU398" t="s">
        <v>69</v>
      </c>
      <c r="BV398" t="str" cm="1">
        <f t="array" aca="1" ref="BV398" ca="1">INDIRECT(BU398&amp;BT398)</f>
        <v xml:space="preserve">      series QD_cpla = 1.32322217828851 * @elem(QD_cpla, 2015)</v>
      </c>
    </row>
    <row r="399" spans="71:74" x14ac:dyDescent="0.25">
      <c r="BS399" t="s">
        <v>64</v>
      </c>
      <c r="BT399">
        <v>20</v>
      </c>
      <c r="BU399" t="s">
        <v>70</v>
      </c>
      <c r="BV399" t="str" cm="1">
        <f t="array" aca="1" ref="BV399" ca="1">INDIRECT(BU399&amp;BT399)</f>
        <v xml:space="preserve">      series QD_cgla = 1.32016192737607 * @elem(QD_cgla, 2015)</v>
      </c>
    </row>
    <row r="400" spans="71:74" x14ac:dyDescent="0.25">
      <c r="BS400" t="s">
        <v>64</v>
      </c>
      <c r="BT400">
        <v>20</v>
      </c>
      <c r="BU400" t="s">
        <v>71</v>
      </c>
      <c r="BV400" t="str" cm="1">
        <f t="array" aca="1" ref="BV400" ca="1">INDIRECT(BU400&amp;BT400)</f>
        <v xml:space="preserve">      series QD_cpap = 1.28906583879877 * @elem(QD_cpap, 2015)</v>
      </c>
    </row>
    <row r="401" spans="71:74" x14ac:dyDescent="0.25">
      <c r="BS401" t="s">
        <v>64</v>
      </c>
      <c r="BT401">
        <v>20</v>
      </c>
      <c r="BU401" t="s">
        <v>72</v>
      </c>
      <c r="BV401" t="str" cm="1">
        <f t="array" aca="1" ref="BV401" ca="1">INDIRECT(BU401&amp;BT401)</f>
        <v xml:space="preserve">      series QD_cfoo = 1.29791892891243 * @elem(QD_cfoo, 2015)</v>
      </c>
    </row>
    <row r="402" spans="71:74" x14ac:dyDescent="0.25">
      <c r="BS402" t="s">
        <v>64</v>
      </c>
      <c r="BT402">
        <v>20</v>
      </c>
      <c r="BU402" t="s">
        <v>73</v>
      </c>
      <c r="BV402" t="str" cm="1">
        <f t="array" aca="1" ref="BV402" ca="1">INDIRECT(BU402&amp;BT402)</f>
        <v xml:space="preserve">      series QD_cres = 1.36017917115438 * @elem(QD_cres, 2015)</v>
      </c>
    </row>
    <row r="403" spans="71:74" x14ac:dyDescent="0.25">
      <c r="BS403" t="s">
        <v>64</v>
      </c>
      <c r="BT403">
        <v>20</v>
      </c>
      <c r="BU403" t="s">
        <v>74</v>
      </c>
      <c r="BV403" t="str" cm="1">
        <f t="array" aca="1" ref="BV403" ca="1">INDIRECT(BU403&amp;BT403)</f>
        <v xml:space="preserve">      series QD_croa = 1.30623167517772 * @elem(QD_croa, 2015)</v>
      </c>
    </row>
    <row r="404" spans="71:74" x14ac:dyDescent="0.25">
      <c r="BS404" t="s">
        <v>64</v>
      </c>
      <c r="BT404">
        <v>20</v>
      </c>
      <c r="BU404" t="s">
        <v>75</v>
      </c>
      <c r="BV404" t="str" cm="1">
        <f t="array" aca="1" ref="BV404" ca="1">INDIRECT(BU404&amp;BT404)</f>
        <v xml:space="preserve">      series QD_cwat = 1.3091650449409 * @elem(QD_cwat, 2015)</v>
      </c>
    </row>
    <row r="405" spans="71:74" x14ac:dyDescent="0.25">
      <c r="BS405" t="s">
        <v>64</v>
      </c>
      <c r="BT405">
        <v>20</v>
      </c>
      <c r="BU405" t="s">
        <v>86</v>
      </c>
      <c r="BV405" t="str" cm="1">
        <f t="array" aca="1" ref="BV405" ca="1">INDIRECT(BU405&amp;BT405)</f>
        <v xml:space="preserve">      series QD_cair = 1.31155442652152 * @elem(QD_cair, 2015)</v>
      </c>
    </row>
    <row r="406" spans="71:74" x14ac:dyDescent="0.25">
      <c r="BS406" t="s">
        <v>64</v>
      </c>
      <c r="BT406">
        <v>20</v>
      </c>
      <c r="BU406" t="s">
        <v>76</v>
      </c>
      <c r="BV406" t="str" cm="1">
        <f t="array" aca="1" ref="BV406" ca="1">INDIRECT(BU406&amp;BT406)</f>
        <v xml:space="preserve">      series QD_ccoa = 0.0919343001982587 * @elem(QD_ccoa, 2015)</v>
      </c>
    </row>
    <row r="407" spans="71:74" x14ac:dyDescent="0.25">
      <c r="BS407" t="s">
        <v>64</v>
      </c>
      <c r="BT407">
        <v>20</v>
      </c>
      <c r="BU407" t="s">
        <v>77</v>
      </c>
      <c r="BV407" t="str" cm="1">
        <f t="array" aca="1" ref="BV407" ca="1">INDIRECT(BU407&amp;BT407)</f>
        <v xml:space="preserve">      series QD_coil = 0.157627749403286 * @elem(QD_coil, 2015)</v>
      </c>
    </row>
    <row r="408" spans="71:74" x14ac:dyDescent="0.25">
      <c r="BS408" t="s">
        <v>64</v>
      </c>
      <c r="BT408">
        <v>20</v>
      </c>
      <c r="BU408" t="s">
        <v>78</v>
      </c>
      <c r="BV408" t="str" cm="1">
        <f t="array" aca="1" ref="BV408" ca="1">INDIRECT(BU408&amp;BT408)</f>
        <v xml:space="preserve">      series QD_cfue = 1.49298213006955 * @elem(QD_cfue, 2015)</v>
      </c>
    </row>
    <row r="409" spans="71:74" x14ac:dyDescent="0.25">
      <c r="BS409" t="s">
        <v>64</v>
      </c>
      <c r="BT409">
        <v>20</v>
      </c>
      <c r="BU409" t="s">
        <v>79</v>
      </c>
      <c r="BV409" t="str" cm="1">
        <f t="array" aca="1" ref="BV409" ca="1">INDIRECT(BU409&amp;BT409)</f>
        <v xml:space="preserve">      series QD_cpch = 1.56357421542788 * @elem(QD_cpch, 2015)</v>
      </c>
    </row>
    <row r="410" spans="71:74" x14ac:dyDescent="0.25">
      <c r="BS410" t="s">
        <v>64</v>
      </c>
      <c r="BT410">
        <v>20</v>
      </c>
      <c r="BU410" t="s">
        <v>80</v>
      </c>
      <c r="BV410" t="str" cm="1">
        <f t="array" aca="1" ref="BV410" ca="1">INDIRECT(BU410&amp;BT410)</f>
        <v xml:space="preserve">      series QD_cele = 1.15353723754944 * @elem(QD_cele, 2015)</v>
      </c>
    </row>
    <row r="411" spans="71:74" x14ac:dyDescent="0.25">
      <c r="BS411" t="s">
        <v>64</v>
      </c>
      <c r="BT411">
        <v>20</v>
      </c>
      <c r="BU411" t="s">
        <v>81</v>
      </c>
      <c r="BV411" t="str" cm="1">
        <f t="array" aca="1" ref="BV411" ca="1">INDIRECT(BU411&amp;BT411)</f>
        <v xml:space="preserve">      series QD_cgas = 1.18868632876198 * @elem(QD_cgas, 2015)</v>
      </c>
    </row>
    <row r="412" spans="71:74" x14ac:dyDescent="0.25">
      <c r="BS412" t="s">
        <v>64</v>
      </c>
      <c r="BT412">
        <v>20</v>
      </c>
      <c r="BU412" t="s">
        <v>82</v>
      </c>
      <c r="BV412" t="str" cm="1">
        <f t="array" aca="1" ref="BV412" ca="1">INDIRECT(BU412&amp;BT412)</f>
        <v xml:space="preserve">      series QD_cmga = 0.66792048584709 * @elem(QD_cmga, 2015)</v>
      </c>
    </row>
    <row r="413" spans="71:74" x14ac:dyDescent="0.25">
      <c r="BS413" t="s">
        <v>64</v>
      </c>
      <c r="BT413">
        <v>20</v>
      </c>
      <c r="BU413" t="s">
        <v>83</v>
      </c>
      <c r="BV413" t="str" cm="1">
        <f t="array" aca="1" ref="BV413" ca="1">INDIRECT(BU413&amp;BT413)</f>
        <v xml:space="preserve">      series QD_cbiog = 0.964985857567522 * @elem(QD_cbiog, 2015)</v>
      </c>
    </row>
    <row r="414" spans="71:74" x14ac:dyDescent="0.25">
      <c r="BS414" t="s">
        <v>64</v>
      </c>
      <c r="BT414">
        <v>20</v>
      </c>
      <c r="BU414" t="s">
        <v>84</v>
      </c>
      <c r="BV414" t="str" cm="1">
        <f t="array" aca="1" ref="BV414" ca="1">INDIRECT(BU414&amp;BT414)</f>
        <v xml:space="preserve">      series QD_cbiom = 0.863427318313341 * @elem(QD_cbiom, 2015)</v>
      </c>
    </row>
    <row r="415" spans="71:74" x14ac:dyDescent="0.25">
      <c r="BS415" t="s">
        <v>64</v>
      </c>
      <c r="BT415">
        <v>20</v>
      </c>
      <c r="BU415" t="s">
        <v>85</v>
      </c>
      <c r="BV415" t="str" cm="1">
        <f t="array" aca="1" ref="BV415" ca="1">INDIRECT(BU415&amp;BT415)</f>
        <v xml:space="preserve">      series QD_cbiof = 1.12914702552545 * @elem(QD_cbiof, 2015)</v>
      </c>
    </row>
    <row r="416" spans="71:74" x14ac:dyDescent="0.25">
      <c r="BS416" t="s">
        <v>64</v>
      </c>
      <c r="BT416">
        <v>20</v>
      </c>
      <c r="BU416" t="s">
        <v>87</v>
      </c>
      <c r="BV416" t="str" cm="1">
        <f t="array" aca="1" ref="BV416" ca="1">INDIRECT(BU416&amp;BT416)</f>
        <v xml:space="preserve">      series QD_chea = 1.15207533577325 * @elem(QD_chea, 2015)</v>
      </c>
    </row>
    <row r="417" spans="71:74" x14ac:dyDescent="0.25">
      <c r="BS417" t="s">
        <v>64</v>
      </c>
      <c r="BT417">
        <v>21</v>
      </c>
      <c r="BU417" t="s">
        <v>65</v>
      </c>
      <c r="BV417" t="str" cm="1">
        <f t="array" aca="1" ref="BV417" ca="1">INDIRECT(BU417&amp;BT417)</f>
        <v xml:space="preserve">      smpl 2033 2033</v>
      </c>
    </row>
    <row r="418" spans="71:74" x14ac:dyDescent="0.25">
      <c r="BS418" t="s">
        <v>64</v>
      </c>
      <c r="BT418">
        <v>21</v>
      </c>
      <c r="BU418" t="s">
        <v>66</v>
      </c>
      <c r="BV418" t="str" cm="1">
        <f t="array" aca="1" ref="BV418" ca="1">INDIRECT(BU418&amp;BT418)</f>
        <v xml:space="preserve">      series QD_cagr = 1.3044699273936 * @elem(QD_cagr, 2015)</v>
      </c>
    </row>
    <row r="419" spans="71:74" x14ac:dyDescent="0.25">
      <c r="BS419" t="s">
        <v>64</v>
      </c>
      <c r="BT419">
        <v>21</v>
      </c>
      <c r="BU419" t="s">
        <v>67</v>
      </c>
      <c r="BV419" t="str" cm="1">
        <f t="array" aca="1" ref="BV419" ca="1">INDIRECT(BU419&amp;BT419)</f>
        <v xml:space="preserve">      series QD_cmet = 1.37778875832583 * @elem(QD_cmet, 2015)</v>
      </c>
    </row>
    <row r="420" spans="71:74" x14ac:dyDescent="0.25">
      <c r="BS420" t="s">
        <v>64</v>
      </c>
      <c r="BT420">
        <v>21</v>
      </c>
      <c r="BU420" t="s">
        <v>68</v>
      </c>
      <c r="BV420" t="str" cm="1">
        <f t="array" aca="1" ref="BV420" ca="1">INDIRECT(BU420&amp;BT420)</f>
        <v xml:space="preserve">      series QD_cchem = 1.22054389532901 * @elem(QD_cchem, 2015)</v>
      </c>
    </row>
    <row r="421" spans="71:74" x14ac:dyDescent="0.25">
      <c r="BS421" t="s">
        <v>64</v>
      </c>
      <c r="BT421">
        <v>21</v>
      </c>
      <c r="BU421" t="s">
        <v>69</v>
      </c>
      <c r="BV421" t="str" cm="1">
        <f t="array" aca="1" ref="BV421" ca="1">INDIRECT(BU421&amp;BT421)</f>
        <v xml:space="preserve">      series QD_cpla = 1.33449818066997 * @elem(QD_cpla, 2015)</v>
      </c>
    </row>
    <row r="422" spans="71:74" x14ac:dyDescent="0.25">
      <c r="BS422" t="s">
        <v>64</v>
      </c>
      <c r="BT422">
        <v>21</v>
      </c>
      <c r="BU422" t="s">
        <v>70</v>
      </c>
      <c r="BV422" t="str" cm="1">
        <f t="array" aca="1" ref="BV422" ca="1">INDIRECT(BU422&amp;BT422)</f>
        <v xml:space="preserve">      series QD_cgla = 1.33073538948011 * @elem(QD_cgla, 2015)</v>
      </c>
    </row>
    <row r="423" spans="71:74" x14ac:dyDescent="0.25">
      <c r="BS423" t="s">
        <v>64</v>
      </c>
      <c r="BT423">
        <v>21</v>
      </c>
      <c r="BU423" t="s">
        <v>71</v>
      </c>
      <c r="BV423" t="str" cm="1">
        <f t="array" aca="1" ref="BV423" ca="1">INDIRECT(BU423&amp;BT423)</f>
        <v xml:space="preserve">      series QD_cpap = 1.29819329301497 * @elem(QD_cpap, 2015)</v>
      </c>
    </row>
    <row r="424" spans="71:74" x14ac:dyDescent="0.25">
      <c r="BS424" t="s">
        <v>64</v>
      </c>
      <c r="BT424">
        <v>21</v>
      </c>
      <c r="BU424" t="s">
        <v>72</v>
      </c>
      <c r="BV424" t="str" cm="1">
        <f t="array" aca="1" ref="BV424" ca="1">INDIRECT(BU424&amp;BT424)</f>
        <v xml:space="preserve">      series QD_cfoo = 1.30829222988121 * @elem(QD_cfoo, 2015)</v>
      </c>
    </row>
    <row r="425" spans="71:74" x14ac:dyDescent="0.25">
      <c r="BS425" t="s">
        <v>64</v>
      </c>
      <c r="BT425">
        <v>21</v>
      </c>
      <c r="BU425" t="s">
        <v>73</v>
      </c>
      <c r="BV425" t="str" cm="1">
        <f t="array" aca="1" ref="BV425" ca="1">INDIRECT(BU425&amp;BT425)</f>
        <v xml:space="preserve">      series QD_cres = 1.37157441828854 * @elem(QD_cres, 2015)</v>
      </c>
    </row>
    <row r="426" spans="71:74" x14ac:dyDescent="0.25">
      <c r="BS426" t="s">
        <v>64</v>
      </c>
      <c r="BT426">
        <v>21</v>
      </c>
      <c r="BU426" t="s">
        <v>74</v>
      </c>
      <c r="BV426" t="str" cm="1">
        <f t="array" aca="1" ref="BV426" ca="1">INDIRECT(BU426&amp;BT426)</f>
        <v xml:space="preserve">      series QD_croa = 1.31796171909905 * @elem(QD_croa, 2015)</v>
      </c>
    </row>
    <row r="427" spans="71:74" x14ac:dyDescent="0.25">
      <c r="BS427" t="s">
        <v>64</v>
      </c>
      <c r="BT427">
        <v>21</v>
      </c>
      <c r="BU427" t="s">
        <v>75</v>
      </c>
      <c r="BV427" t="str" cm="1">
        <f t="array" aca="1" ref="BV427" ca="1">INDIRECT(BU427&amp;BT427)</f>
        <v xml:space="preserve">      series QD_cwat = 1.31939823019637 * @elem(QD_cwat, 2015)</v>
      </c>
    </row>
    <row r="428" spans="71:74" x14ac:dyDescent="0.25">
      <c r="BS428" t="s">
        <v>64</v>
      </c>
      <c r="BT428">
        <v>21</v>
      </c>
      <c r="BU428" t="s">
        <v>86</v>
      </c>
      <c r="BV428" t="str" cm="1">
        <f t="array" aca="1" ref="BV428" ca="1">INDIRECT(BU428&amp;BT428)</f>
        <v xml:space="preserve">      series QD_cair = 1.2960126630381 * @elem(QD_cair, 2015)</v>
      </c>
    </row>
    <row r="429" spans="71:74" x14ac:dyDescent="0.25">
      <c r="BS429" t="s">
        <v>64</v>
      </c>
      <c r="BT429">
        <v>21</v>
      </c>
      <c r="BU429" t="s">
        <v>76</v>
      </c>
      <c r="BV429" t="str" cm="1">
        <f t="array" aca="1" ref="BV429" ca="1">INDIRECT(BU429&amp;BT429)</f>
        <v xml:space="preserve">      series QD_ccoa = 0.0884222485989497 * @elem(QD_ccoa, 2015)</v>
      </c>
    </row>
    <row r="430" spans="71:74" x14ac:dyDescent="0.25">
      <c r="BS430" t="s">
        <v>64</v>
      </c>
      <c r="BT430">
        <v>21</v>
      </c>
      <c r="BU430" t="s">
        <v>77</v>
      </c>
      <c r="BV430" t="str" cm="1">
        <f t="array" aca="1" ref="BV430" ca="1">INDIRECT(BU430&amp;BT430)</f>
        <v xml:space="preserve">      series QD_coil = 0.155187323232152 * @elem(QD_coil, 2015)</v>
      </c>
    </row>
    <row r="431" spans="71:74" x14ac:dyDescent="0.25">
      <c r="BS431" t="s">
        <v>64</v>
      </c>
      <c r="BT431">
        <v>21</v>
      </c>
      <c r="BU431" t="s">
        <v>78</v>
      </c>
      <c r="BV431" t="str" cm="1">
        <f t="array" aca="1" ref="BV431" ca="1">INDIRECT(BU431&amp;BT431)</f>
        <v xml:space="preserve">      series QD_cfue = 1.51111382369337 * @elem(QD_cfue, 2015)</v>
      </c>
    </row>
    <row r="432" spans="71:74" x14ac:dyDescent="0.25">
      <c r="BS432" t="s">
        <v>64</v>
      </c>
      <c r="BT432">
        <v>21</v>
      </c>
      <c r="BU432" t="s">
        <v>79</v>
      </c>
      <c r="BV432" t="str" cm="1">
        <f t="array" aca="1" ref="BV432" ca="1">INDIRECT(BU432&amp;BT432)</f>
        <v xml:space="preserve">      series QD_cpch = 1.5801507418521 * @elem(QD_cpch, 2015)</v>
      </c>
    </row>
    <row r="433" spans="71:74" x14ac:dyDescent="0.25">
      <c r="BS433" t="s">
        <v>64</v>
      </c>
      <c r="BT433">
        <v>21</v>
      </c>
      <c r="BU433" t="s">
        <v>80</v>
      </c>
      <c r="BV433" t="str" cm="1">
        <f t="array" aca="1" ref="BV433" ca="1">INDIRECT(BU433&amp;BT433)</f>
        <v xml:space="preserve">      series QD_cele = 1.16436563940308 * @elem(QD_cele, 2015)</v>
      </c>
    </row>
    <row r="434" spans="71:74" x14ac:dyDescent="0.25">
      <c r="BS434" t="s">
        <v>64</v>
      </c>
      <c r="BT434">
        <v>21</v>
      </c>
      <c r="BU434" t="s">
        <v>81</v>
      </c>
      <c r="BV434" t="str" cm="1">
        <f t="array" aca="1" ref="BV434" ca="1">INDIRECT(BU434&amp;BT434)</f>
        <v xml:space="preserve">      series QD_cgas = 1.18702072943484 * @elem(QD_cgas, 2015)</v>
      </c>
    </row>
    <row r="435" spans="71:74" x14ac:dyDescent="0.25">
      <c r="BS435" t="s">
        <v>64</v>
      </c>
      <c r="BT435">
        <v>21</v>
      </c>
      <c r="BU435" t="s">
        <v>82</v>
      </c>
      <c r="BV435" t="str" cm="1">
        <f t="array" aca="1" ref="BV435" ca="1">INDIRECT(BU435&amp;BT435)</f>
        <v xml:space="preserve">      series QD_cmga = 0.660465726073373 * @elem(QD_cmga, 2015)</v>
      </c>
    </row>
    <row r="436" spans="71:74" x14ac:dyDescent="0.25">
      <c r="BS436" t="s">
        <v>64</v>
      </c>
      <c r="BT436">
        <v>21</v>
      </c>
      <c r="BU436" t="s">
        <v>83</v>
      </c>
      <c r="BV436" t="str" cm="1">
        <f t="array" aca="1" ref="BV436" ca="1">INDIRECT(BU436&amp;BT436)</f>
        <v xml:space="preserve">      series QD_cbiog = 0.956153887968229 * @elem(QD_cbiog, 2015)</v>
      </c>
    </row>
    <row r="437" spans="71:74" x14ac:dyDescent="0.25">
      <c r="BS437" t="s">
        <v>64</v>
      </c>
      <c r="BT437">
        <v>21</v>
      </c>
      <c r="BU437" t="s">
        <v>84</v>
      </c>
      <c r="BV437" t="str" cm="1">
        <f t="array" aca="1" ref="BV437" ca="1">INDIRECT(BU437&amp;BT437)</f>
        <v xml:space="preserve">      series QD_cbiom = 0.86397769836618 * @elem(QD_cbiom, 2015)</v>
      </c>
    </row>
    <row r="438" spans="71:74" x14ac:dyDescent="0.25">
      <c r="BS438" t="s">
        <v>64</v>
      </c>
      <c r="BT438">
        <v>21</v>
      </c>
      <c r="BU438" t="s">
        <v>85</v>
      </c>
      <c r="BV438" t="str" cm="1">
        <f t="array" aca="1" ref="BV438" ca="1">INDIRECT(BU438&amp;BT438)</f>
        <v xml:space="preserve">      series QD_cbiof = 1.13335677376995 * @elem(QD_cbiof, 2015)</v>
      </c>
    </row>
    <row r="439" spans="71:74" x14ac:dyDescent="0.25">
      <c r="BS439" t="s">
        <v>64</v>
      </c>
      <c r="BT439">
        <v>21</v>
      </c>
      <c r="BU439" t="s">
        <v>87</v>
      </c>
      <c r="BV439" t="str" cm="1">
        <f t="array" aca="1" ref="BV439" ca="1">INDIRECT(BU439&amp;BT439)</f>
        <v xml:space="preserve">      series QD_chea = 1.16208034796108 * @elem(QD_chea, 2015)</v>
      </c>
    </row>
    <row r="440" spans="71:74" x14ac:dyDescent="0.25">
      <c r="BS440" t="s">
        <v>64</v>
      </c>
      <c r="BT440">
        <v>22</v>
      </c>
      <c r="BU440" t="s">
        <v>65</v>
      </c>
      <c r="BV440" t="str" cm="1">
        <f t="array" aca="1" ref="BV440" ca="1">INDIRECT(BU440&amp;BT440)</f>
        <v xml:space="preserve">      smpl 2034 2034</v>
      </c>
    </row>
    <row r="441" spans="71:74" x14ac:dyDescent="0.25">
      <c r="BS441" t="s">
        <v>64</v>
      </c>
      <c r="BT441">
        <v>22</v>
      </c>
      <c r="BU441" t="s">
        <v>66</v>
      </c>
      <c r="BV441" t="str" cm="1">
        <f t="array" aca="1" ref="BV441" ca="1">INDIRECT(BU441&amp;BT441)</f>
        <v xml:space="preserve">      series QD_cagr = 1.31425461772555 * @elem(QD_cagr, 2015)</v>
      </c>
    </row>
    <row r="442" spans="71:74" x14ac:dyDescent="0.25">
      <c r="BS442" t="s">
        <v>64</v>
      </c>
      <c r="BT442">
        <v>22</v>
      </c>
      <c r="BU442" t="s">
        <v>67</v>
      </c>
      <c r="BV442" t="str" cm="1">
        <f t="array" aca="1" ref="BV442" ca="1">INDIRECT(BU442&amp;BT442)</f>
        <v xml:space="preserve">      series QD_cmet = 1.38824483588502 * @elem(QD_cmet, 2015)</v>
      </c>
    </row>
    <row r="443" spans="71:74" x14ac:dyDescent="0.25">
      <c r="BS443" t="s">
        <v>64</v>
      </c>
      <c r="BT443">
        <v>22</v>
      </c>
      <c r="BU443" t="s">
        <v>68</v>
      </c>
      <c r="BV443" t="str" cm="1">
        <f t="array" aca="1" ref="BV443" ca="1">INDIRECT(BU443&amp;BT443)</f>
        <v xml:space="preserve">      series QD_cchem = 1.22925131804606 * @elem(QD_cchem, 2015)</v>
      </c>
    </row>
    <row r="444" spans="71:74" x14ac:dyDescent="0.25">
      <c r="BS444" t="s">
        <v>64</v>
      </c>
      <c r="BT444">
        <v>22</v>
      </c>
      <c r="BU444" t="s">
        <v>69</v>
      </c>
      <c r="BV444" t="str" cm="1">
        <f t="array" aca="1" ref="BV444" ca="1">INDIRECT(BU444&amp;BT444)</f>
        <v xml:space="preserve">      series QD_cpla = 1.3452223477684 * @elem(QD_cpla, 2015)</v>
      </c>
    </row>
    <row r="445" spans="71:74" x14ac:dyDescent="0.25">
      <c r="BS445" t="s">
        <v>64</v>
      </c>
      <c r="BT445">
        <v>22</v>
      </c>
      <c r="BU445" t="s">
        <v>70</v>
      </c>
      <c r="BV445" t="str" cm="1">
        <f t="array" aca="1" ref="BV445" ca="1">INDIRECT(BU445&amp;BT445)</f>
        <v xml:space="preserve">      series QD_cgla = 1.34059894593373 * @elem(QD_cgla, 2015)</v>
      </c>
    </row>
    <row r="446" spans="71:74" x14ac:dyDescent="0.25">
      <c r="BS446" t="s">
        <v>64</v>
      </c>
      <c r="BT446">
        <v>22</v>
      </c>
      <c r="BU446" t="s">
        <v>71</v>
      </c>
      <c r="BV446" t="str" cm="1">
        <f t="array" aca="1" ref="BV446" ca="1">INDIRECT(BU446&amp;BT446)</f>
        <v xml:space="preserve">      series QD_cpap = 1.30692762958677 * @elem(QD_cpap, 2015)</v>
      </c>
    </row>
    <row r="447" spans="71:74" x14ac:dyDescent="0.25">
      <c r="BS447" t="s">
        <v>64</v>
      </c>
      <c r="BT447">
        <v>22</v>
      </c>
      <c r="BU447" t="s">
        <v>72</v>
      </c>
      <c r="BV447" t="str" cm="1">
        <f t="array" aca="1" ref="BV447" ca="1">INDIRECT(BU447&amp;BT447)</f>
        <v xml:space="preserve">      series QD_cfoo = 1.31815339106429 * @elem(QD_cfoo, 2015)</v>
      </c>
    </row>
    <row r="448" spans="71:74" x14ac:dyDescent="0.25">
      <c r="BS448" t="s">
        <v>64</v>
      </c>
      <c r="BT448">
        <v>22</v>
      </c>
      <c r="BU448" t="s">
        <v>73</v>
      </c>
      <c r="BV448" t="str" cm="1">
        <f t="array" aca="1" ref="BV448" ca="1">INDIRECT(BU448&amp;BT448)</f>
        <v xml:space="preserve">      series QD_cres = 1.38228096562203 * @elem(QD_cres, 2015)</v>
      </c>
    </row>
    <row r="449" spans="71:74" x14ac:dyDescent="0.25">
      <c r="BS449" t="s">
        <v>64</v>
      </c>
      <c r="BT449">
        <v>22</v>
      </c>
      <c r="BU449" t="s">
        <v>74</v>
      </c>
      <c r="BV449" t="str" cm="1">
        <f t="array" aca="1" ref="BV449" ca="1">INDIRECT(BU449&amp;BT449)</f>
        <v xml:space="preserve">      series QD_croa = 1.32953018396797 * @elem(QD_croa, 2015)</v>
      </c>
    </row>
    <row r="450" spans="71:74" x14ac:dyDescent="0.25">
      <c r="BS450" t="s">
        <v>64</v>
      </c>
      <c r="BT450">
        <v>22</v>
      </c>
      <c r="BU450" t="s">
        <v>75</v>
      </c>
      <c r="BV450" t="str" cm="1">
        <f t="array" aca="1" ref="BV450" ca="1">INDIRECT(BU450&amp;BT450)</f>
        <v xml:space="preserve">      series QD_cwat = 1.32956798237833 * @elem(QD_cwat, 2015)</v>
      </c>
    </row>
    <row r="451" spans="71:74" x14ac:dyDescent="0.25">
      <c r="BS451" t="s">
        <v>64</v>
      </c>
      <c r="BT451">
        <v>22</v>
      </c>
      <c r="BU451" t="s">
        <v>86</v>
      </c>
      <c r="BV451" t="str" cm="1">
        <f t="array" aca="1" ref="BV451" ca="1">INDIRECT(BU451&amp;BT451)</f>
        <v xml:space="preserve">      series QD_cair = 1.27203969223157 * @elem(QD_cair, 2015)</v>
      </c>
    </row>
    <row r="452" spans="71:74" x14ac:dyDescent="0.25">
      <c r="BS452" t="s">
        <v>64</v>
      </c>
      <c r="BT452">
        <v>22</v>
      </c>
      <c r="BU452" t="s">
        <v>76</v>
      </c>
      <c r="BV452" t="str" cm="1">
        <f t="array" aca="1" ref="BV452" ca="1">INDIRECT(BU452&amp;BT452)</f>
        <v xml:space="preserve">      series QD_ccoa = 0.0856966643337664 * @elem(QD_ccoa, 2015)</v>
      </c>
    </row>
    <row r="453" spans="71:74" x14ac:dyDescent="0.25">
      <c r="BS453" t="s">
        <v>64</v>
      </c>
      <c r="BT453">
        <v>22</v>
      </c>
      <c r="BU453" t="s">
        <v>77</v>
      </c>
      <c r="BV453" t="str" cm="1">
        <f t="array" aca="1" ref="BV453" ca="1">INDIRECT(BU453&amp;BT453)</f>
        <v xml:space="preserve">      series QD_coil = 0.153323113621831 * @elem(QD_coil, 2015)</v>
      </c>
    </row>
    <row r="454" spans="71:74" x14ac:dyDescent="0.25">
      <c r="BS454" t="s">
        <v>64</v>
      </c>
      <c r="BT454">
        <v>22</v>
      </c>
      <c r="BU454" t="s">
        <v>78</v>
      </c>
      <c r="BV454" t="str" cm="1">
        <f t="array" aca="1" ref="BV454" ca="1">INDIRECT(BU454&amp;BT454)</f>
        <v xml:space="preserve">      series QD_cfue = 1.52859461703128 * @elem(QD_cfue, 2015)</v>
      </c>
    </row>
    <row r="455" spans="71:74" x14ac:dyDescent="0.25">
      <c r="BS455" t="s">
        <v>64</v>
      </c>
      <c r="BT455">
        <v>22</v>
      </c>
      <c r="BU455" t="s">
        <v>79</v>
      </c>
      <c r="BV455" t="str" cm="1">
        <f t="array" aca="1" ref="BV455" ca="1">INDIRECT(BU455&amp;BT455)</f>
        <v xml:space="preserve">      series QD_cpch = 1.59547292451165 * @elem(QD_cpch, 2015)</v>
      </c>
    </row>
    <row r="456" spans="71:74" x14ac:dyDescent="0.25">
      <c r="BS456" t="s">
        <v>64</v>
      </c>
      <c r="BT456">
        <v>22</v>
      </c>
      <c r="BU456" t="s">
        <v>80</v>
      </c>
      <c r="BV456" t="str" cm="1">
        <f t="array" aca="1" ref="BV456" ca="1">INDIRECT(BU456&amp;BT456)</f>
        <v xml:space="preserve">      series QD_cele = 1.16891296539178 * @elem(QD_cele, 2015)</v>
      </c>
    </row>
    <row r="457" spans="71:74" x14ac:dyDescent="0.25">
      <c r="BS457" t="s">
        <v>64</v>
      </c>
      <c r="BT457">
        <v>22</v>
      </c>
      <c r="BU457" t="s">
        <v>81</v>
      </c>
      <c r="BV457" t="str" cm="1">
        <f t="array" aca="1" ref="BV457" ca="1">INDIRECT(BU457&amp;BT457)</f>
        <v xml:space="preserve">      series QD_cgas = 1.18553652774324 * @elem(QD_cgas, 2015)</v>
      </c>
    </row>
    <row r="458" spans="71:74" x14ac:dyDescent="0.25">
      <c r="BS458" t="s">
        <v>64</v>
      </c>
      <c r="BT458">
        <v>22</v>
      </c>
      <c r="BU458" t="s">
        <v>82</v>
      </c>
      <c r="BV458" t="str" cm="1">
        <f t="array" aca="1" ref="BV458" ca="1">INDIRECT(BU458&amp;BT458)</f>
        <v xml:space="preserve">      series QD_cmga = 0.652527019642204 * @elem(QD_cmga, 2015)</v>
      </c>
    </row>
    <row r="459" spans="71:74" x14ac:dyDescent="0.25">
      <c r="BS459" t="s">
        <v>64</v>
      </c>
      <c r="BT459">
        <v>22</v>
      </c>
      <c r="BU459" t="s">
        <v>83</v>
      </c>
      <c r="BV459" t="str" cm="1">
        <f t="array" aca="1" ref="BV459" ca="1">INDIRECT(BU459&amp;BT459)</f>
        <v xml:space="preserve">      series QD_cbiog = 0.943183871365889 * @elem(QD_cbiog, 2015)</v>
      </c>
    </row>
    <row r="460" spans="71:74" x14ac:dyDescent="0.25">
      <c r="BS460" t="s">
        <v>64</v>
      </c>
      <c r="BT460">
        <v>22</v>
      </c>
      <c r="BU460" t="s">
        <v>84</v>
      </c>
      <c r="BV460" t="str" cm="1">
        <f t="array" aca="1" ref="BV460" ca="1">INDIRECT(BU460&amp;BT460)</f>
        <v xml:space="preserve">      series QD_cbiom = 0.858625866696097 * @elem(QD_cbiom, 2015)</v>
      </c>
    </row>
    <row r="461" spans="71:74" x14ac:dyDescent="0.25">
      <c r="BS461" t="s">
        <v>64</v>
      </c>
      <c r="BT461">
        <v>22</v>
      </c>
      <c r="BU461" t="s">
        <v>85</v>
      </c>
      <c r="BV461" t="str" cm="1">
        <f t="array" aca="1" ref="BV461" ca="1">INDIRECT(BU461&amp;BT461)</f>
        <v xml:space="preserve">      series QD_cbiof = 1.13759183961778 * @elem(QD_cbiof, 2015)</v>
      </c>
    </row>
    <row r="462" spans="71:74" x14ac:dyDescent="0.25">
      <c r="BS462" t="s">
        <v>64</v>
      </c>
      <c r="BT462">
        <v>22</v>
      </c>
      <c r="BU462" t="s">
        <v>87</v>
      </c>
      <c r="BV462" t="str" cm="1">
        <f t="array" aca="1" ref="BV462" ca="1">INDIRECT(BU462&amp;BT462)</f>
        <v xml:space="preserve">      series QD_chea = 1.16879622548753 * @elem(QD_chea, 2015)</v>
      </c>
    </row>
    <row r="463" spans="71:74" x14ac:dyDescent="0.25">
      <c r="BS463" t="s">
        <v>64</v>
      </c>
      <c r="BT463">
        <v>23</v>
      </c>
      <c r="BU463" t="s">
        <v>65</v>
      </c>
      <c r="BV463" t="str" cm="1">
        <f t="array" aca="1" ref="BV463" ca="1">INDIRECT(BU463&amp;BT463)</f>
        <v xml:space="preserve">      smpl 2035 2035</v>
      </c>
    </row>
    <row r="464" spans="71:74" x14ac:dyDescent="0.25">
      <c r="BS464" t="s">
        <v>64</v>
      </c>
      <c r="BT464">
        <v>23</v>
      </c>
      <c r="BU464" t="s">
        <v>66</v>
      </c>
      <c r="BV464" t="str" cm="1">
        <f t="array" aca="1" ref="BV464" ca="1">INDIRECT(BU464&amp;BT464)</f>
        <v xml:space="preserve">      series QD_cagr = 1.32381066735919 * @elem(QD_cagr, 2015)</v>
      </c>
    </row>
    <row r="465" spans="71:74" x14ac:dyDescent="0.25">
      <c r="BS465" t="s">
        <v>64</v>
      </c>
      <c r="BT465">
        <v>23</v>
      </c>
      <c r="BU465" t="s">
        <v>67</v>
      </c>
      <c r="BV465" t="str" cm="1">
        <f t="array" aca="1" ref="BV465" ca="1">INDIRECT(BU465&amp;BT465)</f>
        <v xml:space="preserve">      series QD_cmet = 1.39827295016823 * @elem(QD_cmet, 2015)</v>
      </c>
    </row>
    <row r="466" spans="71:74" x14ac:dyDescent="0.25">
      <c r="BS466" t="s">
        <v>64</v>
      </c>
      <c r="BT466">
        <v>23</v>
      </c>
      <c r="BU466" t="s">
        <v>68</v>
      </c>
      <c r="BV466" t="str" cm="1">
        <f t="array" aca="1" ref="BV466" ca="1">INDIRECT(BU466&amp;BT466)</f>
        <v xml:space="preserve">      series QD_cchem = 1.2378351697933 * @elem(QD_cchem, 2015)</v>
      </c>
    </row>
    <row r="467" spans="71:74" x14ac:dyDescent="0.25">
      <c r="BS467" t="s">
        <v>64</v>
      </c>
      <c r="BT467">
        <v>23</v>
      </c>
      <c r="BU467" t="s">
        <v>69</v>
      </c>
      <c r="BV467" t="str" cm="1">
        <f t="array" aca="1" ref="BV467" ca="1">INDIRECT(BU467&amp;BT467)</f>
        <v xml:space="preserve">      series QD_cpla = 1.35554210894618 * @elem(QD_cpla, 2015)</v>
      </c>
    </row>
    <row r="468" spans="71:74" x14ac:dyDescent="0.25">
      <c r="BS468" t="s">
        <v>64</v>
      </c>
      <c r="BT468">
        <v>23</v>
      </c>
      <c r="BU468" t="s">
        <v>70</v>
      </c>
      <c r="BV468" t="str" cm="1">
        <f t="array" aca="1" ref="BV468" ca="1">INDIRECT(BU468&amp;BT468)</f>
        <v xml:space="preserve">      series QD_cgla = 1.34994538805003 * @elem(QD_cgla, 2015)</v>
      </c>
    </row>
    <row r="469" spans="71:74" x14ac:dyDescent="0.25">
      <c r="BS469" t="s">
        <v>64</v>
      </c>
      <c r="BT469">
        <v>23</v>
      </c>
      <c r="BU469" t="s">
        <v>71</v>
      </c>
      <c r="BV469" t="str" cm="1">
        <f t="array" aca="1" ref="BV469" ca="1">INDIRECT(BU469&amp;BT469)</f>
        <v xml:space="preserve">      series QD_cpap = 1.31539031848862 * @elem(QD_cpap, 2015)</v>
      </c>
    </row>
    <row r="470" spans="71:74" x14ac:dyDescent="0.25">
      <c r="BS470" t="s">
        <v>64</v>
      </c>
      <c r="BT470">
        <v>23</v>
      </c>
      <c r="BU470" t="s">
        <v>72</v>
      </c>
      <c r="BV470" t="str" cm="1">
        <f t="array" aca="1" ref="BV470" ca="1">INDIRECT(BU470&amp;BT470)</f>
        <v xml:space="preserve">      series QD_cfoo = 1.32770472201931 * @elem(QD_cfoo, 2015)</v>
      </c>
    </row>
    <row r="471" spans="71:74" x14ac:dyDescent="0.25">
      <c r="BS471" t="s">
        <v>64</v>
      </c>
      <c r="BT471">
        <v>23</v>
      </c>
      <c r="BU471" t="s">
        <v>73</v>
      </c>
      <c r="BV471" t="str" cm="1">
        <f t="array" aca="1" ref="BV471" ca="1">INDIRECT(BU471&amp;BT471)</f>
        <v xml:space="preserve">      series QD_cres = 1.39255541573055 * @elem(QD_cres, 2015)</v>
      </c>
    </row>
    <row r="472" spans="71:74" x14ac:dyDescent="0.25">
      <c r="BS472" t="s">
        <v>64</v>
      </c>
      <c r="BT472">
        <v>23</v>
      </c>
      <c r="BU472" t="s">
        <v>74</v>
      </c>
      <c r="BV472" t="str" cm="1">
        <f t="array" aca="1" ref="BV472" ca="1">INDIRECT(BU472&amp;BT472)</f>
        <v xml:space="preserve">      series QD_croa = 1.3410389258442 * @elem(QD_croa, 2015)</v>
      </c>
    </row>
    <row r="473" spans="71:74" x14ac:dyDescent="0.25">
      <c r="BS473" t="s">
        <v>64</v>
      </c>
      <c r="BT473">
        <v>23</v>
      </c>
      <c r="BU473" t="s">
        <v>75</v>
      </c>
      <c r="BV473" t="str" cm="1">
        <f t="array" aca="1" ref="BV473" ca="1">INDIRECT(BU473&amp;BT473)</f>
        <v xml:space="preserve">      series QD_cwat = 1.33969991556551 * @elem(QD_cwat, 2015)</v>
      </c>
    </row>
    <row r="474" spans="71:74" x14ac:dyDescent="0.25">
      <c r="BS474" t="s">
        <v>64</v>
      </c>
      <c r="BT474">
        <v>23</v>
      </c>
      <c r="BU474" t="s">
        <v>86</v>
      </c>
      <c r="BV474" t="str" cm="1">
        <f t="array" aca="1" ref="BV474" ca="1">INDIRECT(BU474&amp;BT474)</f>
        <v xml:space="preserve">      series QD_cair = 1.2413096308758 * @elem(QD_cair, 2015)</v>
      </c>
    </row>
    <row r="475" spans="71:74" x14ac:dyDescent="0.25">
      <c r="BS475" t="s">
        <v>64</v>
      </c>
      <c r="BT475">
        <v>23</v>
      </c>
      <c r="BU475" t="s">
        <v>76</v>
      </c>
      <c r="BV475" t="str" cm="1">
        <f t="array" aca="1" ref="BV475" ca="1">INDIRECT(BU475&amp;BT475)</f>
        <v xml:space="preserve">      series QD_ccoa = 0.0835975552346987 * @elem(QD_ccoa, 2015)</v>
      </c>
    </row>
    <row r="476" spans="71:74" x14ac:dyDescent="0.25">
      <c r="BS476" t="s">
        <v>64</v>
      </c>
      <c r="BT476">
        <v>23</v>
      </c>
      <c r="BU476" t="s">
        <v>77</v>
      </c>
      <c r="BV476" t="str" cm="1">
        <f t="array" aca="1" ref="BV476" ca="1">INDIRECT(BU476&amp;BT476)</f>
        <v xml:space="preserve">      series QD_coil = 0.151913149041567 * @elem(QD_coil, 2015)</v>
      </c>
    </row>
    <row r="477" spans="71:74" x14ac:dyDescent="0.25">
      <c r="BS477" t="s">
        <v>64</v>
      </c>
      <c r="BT477">
        <v>23</v>
      </c>
      <c r="BU477" t="s">
        <v>78</v>
      </c>
      <c r="BV477" t="str" cm="1">
        <f t="array" aca="1" ref="BV477" ca="1">INDIRECT(BU477&amp;BT477)</f>
        <v xml:space="preserve">      series QD_cfue = 1.54550987477249 * @elem(QD_cfue, 2015)</v>
      </c>
    </row>
    <row r="478" spans="71:74" x14ac:dyDescent="0.25">
      <c r="BS478" t="s">
        <v>64</v>
      </c>
      <c r="BT478">
        <v>23</v>
      </c>
      <c r="BU478" t="s">
        <v>79</v>
      </c>
      <c r="BV478" t="str" cm="1">
        <f t="array" aca="1" ref="BV478" ca="1">INDIRECT(BU478&amp;BT478)</f>
        <v xml:space="preserve">      series QD_cpch = 1.60976810464268 * @elem(QD_cpch, 2015)</v>
      </c>
    </row>
    <row r="479" spans="71:74" x14ac:dyDescent="0.25">
      <c r="BS479" t="s">
        <v>64</v>
      </c>
      <c r="BT479">
        <v>23</v>
      </c>
      <c r="BU479" t="s">
        <v>80</v>
      </c>
      <c r="BV479" t="str" cm="1">
        <f t="array" aca="1" ref="BV479" ca="1">INDIRECT(BU479&amp;BT479)</f>
        <v xml:space="preserve">      series QD_cele = 1.16937930443339 * @elem(QD_cele, 2015)</v>
      </c>
    </row>
    <row r="480" spans="71:74" x14ac:dyDescent="0.25">
      <c r="BS480" t="s">
        <v>64</v>
      </c>
      <c r="BT480">
        <v>23</v>
      </c>
      <c r="BU480" t="s">
        <v>81</v>
      </c>
      <c r="BV480" t="str" cm="1">
        <f t="array" aca="1" ref="BV480" ca="1">INDIRECT(BU480&amp;BT480)</f>
        <v xml:space="preserve">      series QD_cgas = 1.1843916675725 * @elem(QD_cgas, 2015)</v>
      </c>
    </row>
    <row r="481" spans="71:74" x14ac:dyDescent="0.25">
      <c r="BS481" t="s">
        <v>64</v>
      </c>
      <c r="BT481">
        <v>23</v>
      </c>
      <c r="BU481" t="s">
        <v>82</v>
      </c>
      <c r="BV481" t="str" cm="1">
        <f t="array" aca="1" ref="BV481" ca="1">INDIRECT(BU481&amp;BT481)</f>
        <v xml:space="preserve">      series QD_cmga = 0.644375404316779 * @elem(QD_cmga, 2015)</v>
      </c>
    </row>
    <row r="482" spans="71:74" x14ac:dyDescent="0.25">
      <c r="BS482" t="s">
        <v>64</v>
      </c>
      <c r="BT482">
        <v>23</v>
      </c>
      <c r="BU482" t="s">
        <v>83</v>
      </c>
      <c r="BV482" t="str" cm="1">
        <f t="array" aca="1" ref="BV482" ca="1">INDIRECT(BU482&amp;BT482)</f>
        <v xml:space="preserve">      series QD_cbiog = 0.927321603131025 * @elem(QD_cbiog, 2015)</v>
      </c>
    </row>
    <row r="483" spans="71:74" x14ac:dyDescent="0.25">
      <c r="BS483" t="s">
        <v>64</v>
      </c>
      <c r="BT483">
        <v>23</v>
      </c>
      <c r="BU483" t="s">
        <v>84</v>
      </c>
      <c r="BV483" t="str" cm="1">
        <f t="array" aca="1" ref="BV483" ca="1">INDIRECT(BU483&amp;BT483)</f>
        <v xml:space="preserve">      series QD_cbiom = 0.848758373697237 * @elem(QD_cbiom, 2015)</v>
      </c>
    </row>
    <row r="484" spans="71:74" x14ac:dyDescent="0.25">
      <c r="BS484" t="s">
        <v>64</v>
      </c>
      <c r="BT484">
        <v>23</v>
      </c>
      <c r="BU484" t="s">
        <v>85</v>
      </c>
      <c r="BV484" t="str" cm="1">
        <f t="array" aca="1" ref="BV484" ca="1">INDIRECT(BU484&amp;BT484)</f>
        <v xml:space="preserve">      series QD_cbiof = 1.14182401149247 * @elem(QD_cbiof, 2015)</v>
      </c>
    </row>
    <row r="485" spans="71:74" x14ac:dyDescent="0.25">
      <c r="BS485" t="s">
        <v>64</v>
      </c>
      <c r="BT485">
        <v>23</v>
      </c>
      <c r="BU485" t="s">
        <v>87</v>
      </c>
      <c r="BV485" t="str" cm="1">
        <f t="array" aca="1" ref="BV485" ca="1">INDIRECT(BU485&amp;BT485)</f>
        <v xml:space="preserve">      series QD_chea = 1.17304798585831 * @elem(QD_chea, 2015)</v>
      </c>
    </row>
    <row r="486" spans="71:74" x14ac:dyDescent="0.25">
      <c r="BS486" t="s">
        <v>64</v>
      </c>
      <c r="BT486">
        <v>24</v>
      </c>
      <c r="BU486" t="s">
        <v>65</v>
      </c>
      <c r="BV486" t="str" cm="1">
        <f t="array" aca="1" ref="BV486" ca="1">INDIRECT(BU486&amp;BT486)</f>
        <v xml:space="preserve">      smpl 2036 2036</v>
      </c>
    </row>
    <row r="487" spans="71:74" x14ac:dyDescent="0.25">
      <c r="BS487" t="s">
        <v>64</v>
      </c>
      <c r="BT487">
        <v>24</v>
      </c>
      <c r="BU487" t="s">
        <v>66</v>
      </c>
      <c r="BV487" t="str" cm="1">
        <f t="array" aca="1" ref="BV487" ca="1">INDIRECT(BU487&amp;BT487)</f>
        <v xml:space="preserve">      series QD_cagr = 1.33321044373987 * @elem(QD_cagr, 2015)</v>
      </c>
    </row>
    <row r="488" spans="71:74" x14ac:dyDescent="0.25">
      <c r="BS488" t="s">
        <v>64</v>
      </c>
      <c r="BT488">
        <v>24</v>
      </c>
      <c r="BU488" t="s">
        <v>67</v>
      </c>
      <c r="BV488" t="str" cm="1">
        <f t="array" aca="1" ref="BV488" ca="1">INDIRECT(BU488&amp;BT488)</f>
        <v xml:space="preserve">      series QD_cmet = 1.40788755765856 * @elem(QD_cmet, 2015)</v>
      </c>
    </row>
    <row r="489" spans="71:74" x14ac:dyDescent="0.25">
      <c r="BS489" t="s">
        <v>64</v>
      </c>
      <c r="BT489">
        <v>24</v>
      </c>
      <c r="BU489" t="s">
        <v>68</v>
      </c>
      <c r="BV489" t="str" cm="1">
        <f t="array" aca="1" ref="BV489" ca="1">INDIRECT(BU489&amp;BT489)</f>
        <v xml:space="preserve">      series QD_cchem = 1.24630835461663 * @elem(QD_cchem, 2015)</v>
      </c>
    </row>
    <row r="490" spans="71:74" x14ac:dyDescent="0.25">
      <c r="BS490" t="s">
        <v>64</v>
      </c>
      <c r="BT490">
        <v>24</v>
      </c>
      <c r="BU490" t="s">
        <v>69</v>
      </c>
      <c r="BV490" t="str" cm="1">
        <f t="array" aca="1" ref="BV490" ca="1">INDIRECT(BU490&amp;BT490)</f>
        <v xml:space="preserve">      series QD_cpla = 1.36556329993634 * @elem(QD_cpla, 2015)</v>
      </c>
    </row>
    <row r="491" spans="71:74" x14ac:dyDescent="0.25">
      <c r="BS491" t="s">
        <v>64</v>
      </c>
      <c r="BT491">
        <v>24</v>
      </c>
      <c r="BU491" t="s">
        <v>70</v>
      </c>
      <c r="BV491" t="str" cm="1">
        <f t="array" aca="1" ref="BV491" ca="1">INDIRECT(BU491&amp;BT491)</f>
        <v xml:space="preserve">      series QD_cgla = 1.3589056994676 * @elem(QD_cgla, 2015)</v>
      </c>
    </row>
    <row r="492" spans="71:74" x14ac:dyDescent="0.25">
      <c r="BS492" t="s">
        <v>64</v>
      </c>
      <c r="BT492">
        <v>24</v>
      </c>
      <c r="BU492" t="s">
        <v>71</v>
      </c>
      <c r="BV492" t="str" cm="1">
        <f t="array" aca="1" ref="BV492" ca="1">INDIRECT(BU492&amp;BT492)</f>
        <v xml:space="preserve">      series QD_cpap = 1.32364894964568 * @elem(QD_cpap, 2015)</v>
      </c>
    </row>
    <row r="493" spans="71:74" x14ac:dyDescent="0.25">
      <c r="BS493" t="s">
        <v>64</v>
      </c>
      <c r="BT493">
        <v>24</v>
      </c>
      <c r="BU493" t="s">
        <v>72</v>
      </c>
      <c r="BV493" t="str" cm="1">
        <f t="array" aca="1" ref="BV493" ca="1">INDIRECT(BU493&amp;BT493)</f>
        <v xml:space="preserve">      series QD_cfoo = 1.3370854419308 * @elem(QD_cfoo, 2015)</v>
      </c>
    </row>
    <row r="494" spans="71:74" x14ac:dyDescent="0.25">
      <c r="BS494" t="s">
        <v>64</v>
      </c>
      <c r="BT494">
        <v>24</v>
      </c>
      <c r="BU494" t="s">
        <v>73</v>
      </c>
      <c r="BV494" t="str" cm="1">
        <f t="array" aca="1" ref="BV494" ca="1">INDIRECT(BU494&amp;BT494)</f>
        <v xml:space="preserve">      series QD_cres = 1.4025713056141 * @elem(QD_cres, 2015)</v>
      </c>
    </row>
    <row r="495" spans="71:74" x14ac:dyDescent="0.25">
      <c r="BS495" t="s">
        <v>64</v>
      </c>
      <c r="BT495">
        <v>24</v>
      </c>
      <c r="BU495" t="s">
        <v>74</v>
      </c>
      <c r="BV495" t="str" cm="1">
        <f t="array" aca="1" ref="BV495" ca="1">INDIRECT(BU495&amp;BT495)</f>
        <v xml:space="preserve">      series QD_croa = 1.3525371915763 * @elem(QD_croa, 2015)</v>
      </c>
    </row>
    <row r="496" spans="71:74" x14ac:dyDescent="0.25">
      <c r="BS496" t="s">
        <v>64</v>
      </c>
      <c r="BT496">
        <v>24</v>
      </c>
      <c r="BU496" t="s">
        <v>75</v>
      </c>
      <c r="BV496" t="str" cm="1">
        <f t="array" aca="1" ref="BV496" ca="1">INDIRECT(BU496&amp;BT496)</f>
        <v xml:space="preserve">      series QD_cwat = 1.34979744473298 * @elem(QD_cwat, 2015)</v>
      </c>
    </row>
    <row r="497" spans="71:74" x14ac:dyDescent="0.25">
      <c r="BS497" t="s">
        <v>64</v>
      </c>
      <c r="BT497">
        <v>24</v>
      </c>
      <c r="BU497" t="s">
        <v>86</v>
      </c>
      <c r="BV497" t="str" cm="1">
        <f t="array" aca="1" ref="BV497" ca="1">INDIRECT(BU497&amp;BT497)</f>
        <v xml:space="preserve">      series QD_cair = 1.20531323008412 * @elem(QD_cair, 2015)</v>
      </c>
    </row>
    <row r="498" spans="71:74" x14ac:dyDescent="0.25">
      <c r="BS498" t="s">
        <v>64</v>
      </c>
      <c r="BT498">
        <v>24</v>
      </c>
      <c r="BU498" t="s">
        <v>76</v>
      </c>
      <c r="BV498" t="str" cm="1">
        <f t="array" aca="1" ref="BV498" ca="1">INDIRECT(BU498&amp;BT498)</f>
        <v xml:space="preserve">      series QD_ccoa = 0.0819985160078626 * @elem(QD_ccoa, 2015)</v>
      </c>
    </row>
    <row r="499" spans="71:74" x14ac:dyDescent="0.25">
      <c r="BS499" t="s">
        <v>64</v>
      </c>
      <c r="BT499">
        <v>24</v>
      </c>
      <c r="BU499" t="s">
        <v>77</v>
      </c>
      <c r="BV499" t="str" cm="1">
        <f t="array" aca="1" ref="BV499" ca="1">INDIRECT(BU499&amp;BT499)</f>
        <v xml:space="preserve">      series QD_coil = 0.150865354474866 * @elem(QD_coil, 2015)</v>
      </c>
    </row>
    <row r="500" spans="71:74" x14ac:dyDescent="0.25">
      <c r="BS500" t="s">
        <v>64</v>
      </c>
      <c r="BT500">
        <v>24</v>
      </c>
      <c r="BU500" t="s">
        <v>78</v>
      </c>
      <c r="BV500" t="str" cm="1">
        <f t="array" aca="1" ref="BV500" ca="1">INDIRECT(BU500&amp;BT500)</f>
        <v xml:space="preserve">      series QD_cfue = 1.56197498510755 * @elem(QD_cfue, 2015)</v>
      </c>
    </row>
    <row r="501" spans="71:74" x14ac:dyDescent="0.25">
      <c r="BS501" t="s">
        <v>64</v>
      </c>
      <c r="BT501">
        <v>24</v>
      </c>
      <c r="BU501" t="s">
        <v>79</v>
      </c>
      <c r="BV501" t="str" cm="1">
        <f t="array" aca="1" ref="BV501" ca="1">INDIRECT(BU501&amp;BT501)</f>
        <v xml:space="preserve">      series QD_cpch = 1.62324956735687 * @elem(QD_cpch, 2015)</v>
      </c>
    </row>
    <row r="502" spans="71:74" x14ac:dyDescent="0.25">
      <c r="BS502" t="s">
        <v>64</v>
      </c>
      <c r="BT502">
        <v>24</v>
      </c>
      <c r="BU502" t="s">
        <v>80</v>
      </c>
      <c r="BV502" t="str" cm="1">
        <f t="array" aca="1" ref="BV502" ca="1">INDIRECT(BU502&amp;BT502)</f>
        <v xml:space="preserve">      series QD_cele = 1.16746366043402 * @elem(QD_cele, 2015)</v>
      </c>
    </row>
    <row r="503" spans="71:74" x14ac:dyDescent="0.25">
      <c r="BS503" t="s">
        <v>64</v>
      </c>
      <c r="BT503">
        <v>24</v>
      </c>
      <c r="BU503" t="s">
        <v>81</v>
      </c>
      <c r="BV503" t="str" cm="1">
        <f t="array" aca="1" ref="BV503" ca="1">INDIRECT(BU503&amp;BT503)</f>
        <v xml:space="preserve">      series QD_cgas = 1.18368404668501 * @elem(QD_cgas, 2015)</v>
      </c>
    </row>
    <row r="504" spans="71:74" x14ac:dyDescent="0.25">
      <c r="BS504" t="s">
        <v>64</v>
      </c>
      <c r="BT504">
        <v>24</v>
      </c>
      <c r="BU504" t="s">
        <v>82</v>
      </c>
      <c r="BV504" t="str" cm="1">
        <f t="array" aca="1" ref="BV504" ca="1">INDIRECT(BU504&amp;BT504)</f>
        <v xml:space="preserve">      series QD_cmga = 0.636199300961183 * @elem(QD_cmga, 2015)</v>
      </c>
    </row>
    <row r="505" spans="71:74" x14ac:dyDescent="0.25">
      <c r="BS505" t="s">
        <v>64</v>
      </c>
      <c r="BT505">
        <v>24</v>
      </c>
      <c r="BU505" t="s">
        <v>83</v>
      </c>
      <c r="BV505" t="str" cm="1">
        <f t="array" aca="1" ref="BV505" ca="1">INDIRECT(BU505&amp;BT505)</f>
        <v xml:space="preserve">      series QD_cbiog = 0.909489748382234 * @elem(QD_cbiog, 2015)</v>
      </c>
    </row>
    <row r="506" spans="71:74" x14ac:dyDescent="0.25">
      <c r="BS506" t="s">
        <v>64</v>
      </c>
      <c r="BT506">
        <v>24</v>
      </c>
      <c r="BU506" t="s">
        <v>84</v>
      </c>
      <c r="BV506" t="str" cm="1">
        <f t="array" aca="1" ref="BV506" ca="1">INDIRECT(BU506&amp;BT506)</f>
        <v xml:space="preserve">      series QD_cbiom = 0.835522493847999 * @elem(QD_cbiom, 2015)</v>
      </c>
    </row>
    <row r="507" spans="71:74" x14ac:dyDescent="0.25">
      <c r="BS507" t="s">
        <v>64</v>
      </c>
      <c r="BT507">
        <v>24</v>
      </c>
      <c r="BU507" t="s">
        <v>85</v>
      </c>
      <c r="BV507" t="str" cm="1">
        <f t="array" aca="1" ref="BV507" ca="1">INDIRECT(BU507&amp;BT507)</f>
        <v xml:space="preserve">      series QD_cbiof = 1.14604612252173 * @elem(QD_cbiof, 2015)</v>
      </c>
    </row>
    <row r="508" spans="71:74" x14ac:dyDescent="0.25">
      <c r="BS508" t="s">
        <v>64</v>
      </c>
      <c r="BT508">
        <v>24</v>
      </c>
      <c r="BU508" t="s">
        <v>87</v>
      </c>
      <c r="BV508" t="str" cm="1">
        <f t="array" aca="1" ref="BV508" ca="1">INDIRECT(BU508&amp;BT508)</f>
        <v xml:space="preserve">      series QD_chea = 1.17554263727421 * @elem(QD_chea, 2015)</v>
      </c>
    </row>
    <row r="509" spans="71:74" x14ac:dyDescent="0.25">
      <c r="BS509" t="s">
        <v>64</v>
      </c>
      <c r="BT509">
        <v>25</v>
      </c>
      <c r="BU509" t="s">
        <v>65</v>
      </c>
      <c r="BV509" t="str" cm="1">
        <f t="array" aca="1" ref="BV509" ca="1">INDIRECT(BU509&amp;BT509)</f>
        <v xml:space="preserve">      smpl 2037 2037</v>
      </c>
    </row>
    <row r="510" spans="71:74" x14ac:dyDescent="0.25">
      <c r="BS510" t="s">
        <v>64</v>
      </c>
      <c r="BT510">
        <v>25</v>
      </c>
      <c r="BU510" t="s">
        <v>66</v>
      </c>
      <c r="BV510" t="str" cm="1">
        <f t="array" aca="1" ref="BV510" ca="1">INDIRECT(BU510&amp;BT510)</f>
        <v xml:space="preserve">      series QD_cagr = 1.3424889793364 * @elem(QD_cagr, 2015)</v>
      </c>
    </row>
    <row r="511" spans="71:74" x14ac:dyDescent="0.25">
      <c r="BS511" t="s">
        <v>64</v>
      </c>
      <c r="BT511">
        <v>25</v>
      </c>
      <c r="BU511" t="s">
        <v>67</v>
      </c>
      <c r="BV511" t="str" cm="1">
        <f t="array" aca="1" ref="BV511" ca="1">INDIRECT(BU511&amp;BT511)</f>
        <v xml:space="preserve">      series QD_cmet = 1.41709756319046 * @elem(QD_cmet, 2015)</v>
      </c>
    </row>
    <row r="512" spans="71:74" x14ac:dyDescent="0.25">
      <c r="BS512" t="s">
        <v>64</v>
      </c>
      <c r="BT512">
        <v>25</v>
      </c>
      <c r="BU512" t="s">
        <v>68</v>
      </c>
      <c r="BV512" t="str" cm="1">
        <f t="array" aca="1" ref="BV512" ca="1">INDIRECT(BU512&amp;BT512)</f>
        <v xml:space="preserve">      series QD_cchem = 1.25467016016623 * @elem(QD_cchem, 2015)</v>
      </c>
    </row>
    <row r="513" spans="71:74" x14ac:dyDescent="0.25">
      <c r="BS513" t="s">
        <v>64</v>
      </c>
      <c r="BT513">
        <v>25</v>
      </c>
      <c r="BU513" t="s">
        <v>69</v>
      </c>
      <c r="BV513" t="str" cm="1">
        <f t="array" aca="1" ref="BV513" ca="1">INDIRECT(BU513&amp;BT513)</f>
        <v xml:space="preserve">      series QD_cpla = 1.3753550337558 * @elem(QD_cpla, 2015)</v>
      </c>
    </row>
    <row r="514" spans="71:74" x14ac:dyDescent="0.25">
      <c r="BS514" t="s">
        <v>64</v>
      </c>
      <c r="BT514">
        <v>25</v>
      </c>
      <c r="BU514" t="s">
        <v>70</v>
      </c>
      <c r="BV514" t="str" cm="1">
        <f t="array" aca="1" ref="BV514" ca="1">INDIRECT(BU514&amp;BT514)</f>
        <v xml:space="preserve">      series QD_cgla = 1.36756423972359 * @elem(QD_cgla, 2015)</v>
      </c>
    </row>
    <row r="515" spans="71:74" x14ac:dyDescent="0.25">
      <c r="BS515" t="s">
        <v>64</v>
      </c>
      <c r="BT515">
        <v>25</v>
      </c>
      <c r="BU515" t="s">
        <v>71</v>
      </c>
      <c r="BV515" t="str" cm="1">
        <f t="array" aca="1" ref="BV515" ca="1">INDIRECT(BU515&amp;BT515)</f>
        <v xml:space="preserve">      series QD_cpap = 1.33173295659594 * @elem(QD_cpap, 2015)</v>
      </c>
    </row>
    <row r="516" spans="71:74" x14ac:dyDescent="0.25">
      <c r="BS516" t="s">
        <v>64</v>
      </c>
      <c r="BT516">
        <v>25</v>
      </c>
      <c r="BU516" t="s">
        <v>72</v>
      </c>
      <c r="BV516" t="str" cm="1">
        <f t="array" aca="1" ref="BV516" ca="1">INDIRECT(BU516&amp;BT516)</f>
        <v xml:space="preserve">      series QD_cfoo = 1.34638221332538 * @elem(QD_cfoo, 2015)</v>
      </c>
    </row>
    <row r="517" spans="71:74" x14ac:dyDescent="0.25">
      <c r="BS517" t="s">
        <v>64</v>
      </c>
      <c r="BT517">
        <v>25</v>
      </c>
      <c r="BU517" t="s">
        <v>73</v>
      </c>
      <c r="BV517" t="str" cm="1">
        <f t="array" aca="1" ref="BV517" ca="1">INDIRECT(BU517&amp;BT517)</f>
        <v xml:space="preserve">      series QD_cres = 1.41243775756669 * @elem(QD_cres, 2015)</v>
      </c>
    </row>
    <row r="518" spans="71:74" x14ac:dyDescent="0.25">
      <c r="BS518" t="s">
        <v>64</v>
      </c>
      <c r="BT518">
        <v>25</v>
      </c>
      <c r="BU518" t="s">
        <v>74</v>
      </c>
      <c r="BV518" t="str" cm="1">
        <f t="array" aca="1" ref="BV518" ca="1">INDIRECT(BU518&amp;BT518)</f>
        <v xml:space="preserve">      series QD_croa = 1.36403964410435 * @elem(QD_croa, 2015)</v>
      </c>
    </row>
    <row r="519" spans="71:74" x14ac:dyDescent="0.25">
      <c r="BS519" t="s">
        <v>64</v>
      </c>
      <c r="BT519">
        <v>25</v>
      </c>
      <c r="BU519" t="s">
        <v>75</v>
      </c>
      <c r="BV519" t="str" cm="1">
        <f t="array" aca="1" ref="BV519" ca="1">INDIRECT(BU519&amp;BT519)</f>
        <v xml:space="preserve">      series QD_cwat = 1.35985023195899 * @elem(QD_cwat, 2015)</v>
      </c>
    </row>
    <row r="520" spans="71:74" x14ac:dyDescent="0.25">
      <c r="BS520" t="s">
        <v>64</v>
      </c>
      <c r="BT520">
        <v>25</v>
      </c>
      <c r="BU520" t="s">
        <v>86</v>
      </c>
      <c r="BV520" t="str" cm="1">
        <f t="array" aca="1" ref="BV520" ca="1">INDIRECT(BU520&amp;BT520)</f>
        <v xml:space="preserve">      series QD_cair = 1.16527776942108 * @elem(QD_cair, 2015)</v>
      </c>
    </row>
    <row r="521" spans="71:74" x14ac:dyDescent="0.25">
      <c r="BS521" t="s">
        <v>64</v>
      </c>
      <c r="BT521">
        <v>25</v>
      </c>
      <c r="BU521" t="s">
        <v>76</v>
      </c>
      <c r="BV521" t="str" cm="1">
        <f t="array" aca="1" ref="BV521" ca="1">INDIRECT(BU521&amp;BT521)</f>
        <v xml:space="preserve">      series QD_ccoa = 0.0807991114025289 * @elem(QD_ccoa, 2015)</v>
      </c>
    </row>
    <row r="522" spans="71:74" x14ac:dyDescent="0.25">
      <c r="BS522" t="s">
        <v>64</v>
      </c>
      <c r="BT522">
        <v>25</v>
      </c>
      <c r="BU522" t="s">
        <v>77</v>
      </c>
      <c r="BV522" t="str" cm="1">
        <f t="array" aca="1" ref="BV522" ca="1">INDIRECT(BU522&amp;BT522)</f>
        <v xml:space="preserve">      series QD_coil = 0.150108479061086 * @elem(QD_coil, 2015)</v>
      </c>
    </row>
    <row r="523" spans="71:74" x14ac:dyDescent="0.25">
      <c r="BS523" t="s">
        <v>64</v>
      </c>
      <c r="BT523">
        <v>25</v>
      </c>
      <c r="BU523" t="s">
        <v>78</v>
      </c>
      <c r="BV523" t="str" cm="1">
        <f t="array" aca="1" ref="BV523" ca="1">INDIRECT(BU523&amp;BT523)</f>
        <v xml:space="preserve">      series QD_cfue = 1.57809834221061 * @elem(QD_cfue, 2015)</v>
      </c>
    </row>
    <row r="524" spans="71:74" x14ac:dyDescent="0.25">
      <c r="BS524" t="s">
        <v>64</v>
      </c>
      <c r="BT524">
        <v>25</v>
      </c>
      <c r="BU524" t="s">
        <v>79</v>
      </c>
      <c r="BV524" t="str" cm="1">
        <f t="array" aca="1" ref="BV524" ca="1">INDIRECT(BU524&amp;BT524)</f>
        <v xml:space="preserve">      series QD_cpch = 1.63609767753901 * @elem(QD_cpch, 2015)</v>
      </c>
    </row>
    <row r="525" spans="71:74" x14ac:dyDescent="0.25">
      <c r="BS525" t="s">
        <v>64</v>
      </c>
      <c r="BT525">
        <v>25</v>
      </c>
      <c r="BU525" t="s">
        <v>80</v>
      </c>
      <c r="BV525" t="str" cm="1">
        <f t="array" aca="1" ref="BV525" ca="1">INDIRECT(BU525&amp;BT525)</f>
        <v xml:space="preserve">      series QD_cele = 1.16440684945763 * @elem(QD_cele, 2015)</v>
      </c>
    </row>
    <row r="526" spans="71:74" x14ac:dyDescent="0.25">
      <c r="BS526" t="s">
        <v>64</v>
      </c>
      <c r="BT526">
        <v>25</v>
      </c>
      <c r="BU526" t="s">
        <v>81</v>
      </c>
      <c r="BV526" t="str" cm="1">
        <f t="array" aca="1" ref="BV526" ca="1">INDIRECT(BU526&amp;BT526)</f>
        <v xml:space="preserve">      series QD_cgas = 1.18346246780372 * @elem(QD_cgas, 2015)</v>
      </c>
    </row>
    <row r="527" spans="71:74" x14ac:dyDescent="0.25">
      <c r="BS527" t="s">
        <v>64</v>
      </c>
      <c r="BT527">
        <v>25</v>
      </c>
      <c r="BU527" t="s">
        <v>82</v>
      </c>
      <c r="BV527" t="str" cm="1">
        <f t="array" aca="1" ref="BV527" ca="1">INDIRECT(BU527&amp;BT527)</f>
        <v xml:space="preserve">      series QD_cmga = 0.628112195190353 * @elem(QD_cmga, 2015)</v>
      </c>
    </row>
    <row r="528" spans="71:74" x14ac:dyDescent="0.25">
      <c r="BS528" t="s">
        <v>64</v>
      </c>
      <c r="BT528">
        <v>25</v>
      </c>
      <c r="BU528" t="s">
        <v>83</v>
      </c>
      <c r="BV528" t="str" cm="1">
        <f t="array" aca="1" ref="BV528" ca="1">INDIRECT(BU528&amp;BT528)</f>
        <v xml:space="preserve">      series QD_cbiog = 0.890351091600227 * @elem(QD_cbiog, 2015)</v>
      </c>
    </row>
    <row r="529" spans="71:74" x14ac:dyDescent="0.25">
      <c r="BS529" t="s">
        <v>64</v>
      </c>
      <c r="BT529">
        <v>25</v>
      </c>
      <c r="BU529" t="s">
        <v>84</v>
      </c>
      <c r="BV529" t="str" cm="1">
        <f t="array" aca="1" ref="BV529" ca="1">INDIRECT(BU529&amp;BT529)</f>
        <v xml:space="preserve">      series QD_cbiom = 0.81982985469556 * @elem(QD_cbiom, 2015)</v>
      </c>
    </row>
    <row r="530" spans="71:74" x14ac:dyDescent="0.25">
      <c r="BS530" t="s">
        <v>64</v>
      </c>
      <c r="BT530">
        <v>25</v>
      </c>
      <c r="BU530" t="s">
        <v>85</v>
      </c>
      <c r="BV530" t="str" cm="1">
        <f t="array" aca="1" ref="BV530" ca="1">INDIRECT(BU530&amp;BT530)</f>
        <v xml:space="preserve">      series QD_cbiof = 1.15025043897256 * @elem(QD_cbiof, 2015)</v>
      </c>
    </row>
    <row r="531" spans="71:74" x14ac:dyDescent="0.25">
      <c r="BS531" t="s">
        <v>64</v>
      </c>
      <c r="BT531">
        <v>25</v>
      </c>
      <c r="BU531" t="s">
        <v>87</v>
      </c>
      <c r="BV531" t="str" cm="1">
        <f t="array" aca="1" ref="BV531" ca="1">INDIRECT(BU531&amp;BT531)</f>
        <v xml:space="preserve">      series QD_chea = 1.17684583455743 * @elem(QD_chea, 2015)</v>
      </c>
    </row>
    <row r="532" spans="71:74" x14ac:dyDescent="0.25">
      <c r="BS532" t="s">
        <v>64</v>
      </c>
      <c r="BT532">
        <v>26</v>
      </c>
      <c r="BU532" t="s">
        <v>65</v>
      </c>
      <c r="BV532" t="str" cm="1">
        <f t="array" aca="1" ref="BV532" ca="1">INDIRECT(BU532&amp;BT532)</f>
        <v xml:space="preserve">      smpl 2038 2038</v>
      </c>
    </row>
    <row r="533" spans="71:74" x14ac:dyDescent="0.25">
      <c r="BS533" t="s">
        <v>64</v>
      </c>
      <c r="BT533">
        <v>26</v>
      </c>
      <c r="BU533" t="s">
        <v>66</v>
      </c>
      <c r="BV533" t="str" cm="1">
        <f t="array" aca="1" ref="BV533" ca="1">INDIRECT(BU533&amp;BT533)</f>
        <v xml:space="preserve">      series QD_cagr = 1.35165406718256 * @elem(QD_cagr, 2015)</v>
      </c>
    </row>
    <row r="534" spans="71:74" x14ac:dyDescent="0.25">
      <c r="BS534" t="s">
        <v>64</v>
      </c>
      <c r="BT534">
        <v>26</v>
      </c>
      <c r="BU534" t="s">
        <v>67</v>
      </c>
      <c r="BV534" t="str" cm="1">
        <f t="array" aca="1" ref="BV534" ca="1">INDIRECT(BU534&amp;BT534)</f>
        <v xml:space="preserve">      series QD_cmet = 1.42590649328286 * @elem(QD_cmet, 2015)</v>
      </c>
    </row>
    <row r="535" spans="71:74" x14ac:dyDescent="0.25">
      <c r="BS535" t="s">
        <v>64</v>
      </c>
      <c r="BT535">
        <v>26</v>
      </c>
      <c r="BU535" t="s">
        <v>68</v>
      </c>
      <c r="BV535" t="str" cm="1">
        <f t="array" aca="1" ref="BV535" ca="1">INDIRECT(BU535&amp;BT535)</f>
        <v xml:space="preserve">      series QD_cchem = 1.26291006829248 * @elem(QD_cchem, 2015)</v>
      </c>
    </row>
    <row r="536" spans="71:74" x14ac:dyDescent="0.25">
      <c r="BS536" t="s">
        <v>64</v>
      </c>
      <c r="BT536">
        <v>26</v>
      </c>
      <c r="BU536" t="s">
        <v>69</v>
      </c>
      <c r="BV536" t="str" cm="1">
        <f t="array" aca="1" ref="BV536" ca="1">INDIRECT(BU536&amp;BT536)</f>
        <v xml:space="preserve">      series QD_cpla = 1.38495683860383 * @elem(QD_cpla, 2015)</v>
      </c>
    </row>
    <row r="537" spans="71:74" x14ac:dyDescent="0.25">
      <c r="BS537" t="s">
        <v>64</v>
      </c>
      <c r="BT537">
        <v>26</v>
      </c>
      <c r="BU537" t="s">
        <v>70</v>
      </c>
      <c r="BV537" t="str" cm="1">
        <f t="array" aca="1" ref="BV537" ca="1">INDIRECT(BU537&amp;BT537)</f>
        <v xml:space="preserve">      series QD_cgla = 1.37596978998106 * @elem(QD_cgla, 2015)</v>
      </c>
    </row>
    <row r="538" spans="71:74" x14ac:dyDescent="0.25">
      <c r="BS538" t="s">
        <v>64</v>
      </c>
      <c r="BT538">
        <v>26</v>
      </c>
      <c r="BU538" t="s">
        <v>71</v>
      </c>
      <c r="BV538" t="str" cm="1">
        <f t="array" aca="1" ref="BV538" ca="1">INDIRECT(BU538&amp;BT538)</f>
        <v xml:space="preserve">      series QD_cpap = 1.33964548217424 * @elem(QD_cpap, 2015)</v>
      </c>
    </row>
    <row r="539" spans="71:74" x14ac:dyDescent="0.25">
      <c r="BS539" t="s">
        <v>64</v>
      </c>
      <c r="BT539">
        <v>26</v>
      </c>
      <c r="BU539" t="s">
        <v>72</v>
      </c>
      <c r="BV539" t="str" cm="1">
        <f t="array" aca="1" ref="BV539" ca="1">INDIRECT(BU539&amp;BT539)</f>
        <v xml:space="preserve">      series QD_cfoo = 1.35564081623056 * @elem(QD_cfoo, 2015)</v>
      </c>
    </row>
    <row r="540" spans="71:74" x14ac:dyDescent="0.25">
      <c r="BS540" t="s">
        <v>64</v>
      </c>
      <c r="BT540">
        <v>26</v>
      </c>
      <c r="BU540" t="s">
        <v>73</v>
      </c>
      <c r="BV540" t="str" cm="1">
        <f t="array" aca="1" ref="BV540" ca="1">INDIRECT(BU540&amp;BT540)</f>
        <v xml:space="preserve">      series QD_cres = 1.42221590855103 * @elem(QD_cres, 2015)</v>
      </c>
    </row>
    <row r="541" spans="71:74" x14ac:dyDescent="0.25">
      <c r="BS541" t="s">
        <v>64</v>
      </c>
      <c r="BT541">
        <v>26</v>
      </c>
      <c r="BU541" t="s">
        <v>74</v>
      </c>
      <c r="BV541" t="str" cm="1">
        <f t="array" aca="1" ref="BV541" ca="1">INDIRECT(BU541&amp;BT541)</f>
        <v xml:space="preserve">      series QD_croa = 1.37553812020153 * @elem(QD_croa, 2015)</v>
      </c>
    </row>
    <row r="542" spans="71:74" x14ac:dyDescent="0.25">
      <c r="BS542" t="s">
        <v>64</v>
      </c>
      <c r="BT542">
        <v>26</v>
      </c>
      <c r="BU542" t="s">
        <v>75</v>
      </c>
      <c r="BV542" t="str" cm="1">
        <f t="array" aca="1" ref="BV542" ca="1">INDIRECT(BU542&amp;BT542)</f>
        <v xml:space="preserve">      series QD_cwat = 1.36984035009592 * @elem(QD_cwat, 2015)</v>
      </c>
    </row>
    <row r="543" spans="71:74" x14ac:dyDescent="0.25">
      <c r="BS543" t="s">
        <v>64</v>
      </c>
      <c r="BT543">
        <v>26</v>
      </c>
      <c r="BU543" t="s">
        <v>86</v>
      </c>
      <c r="BV543" t="str" cm="1">
        <f t="array" aca="1" ref="BV543" ca="1">INDIRECT(BU543&amp;BT543)</f>
        <v xml:space="preserve">      series QD_cair = 1.12218628005938 * @elem(QD_cair, 2015)</v>
      </c>
    </row>
    <row r="544" spans="71:74" x14ac:dyDescent="0.25">
      <c r="BS544" t="s">
        <v>64</v>
      </c>
      <c r="BT544">
        <v>26</v>
      </c>
      <c r="BU544" t="s">
        <v>76</v>
      </c>
      <c r="BV544" t="str" cm="1">
        <f t="array" aca="1" ref="BV544" ca="1">INDIRECT(BU544&amp;BT544)</f>
        <v xml:space="preserve">      series QD_ccoa = 0.079919336389591 * @elem(QD_ccoa, 2015)</v>
      </c>
    </row>
    <row r="545" spans="71:74" x14ac:dyDescent="0.25">
      <c r="BS545" t="s">
        <v>64</v>
      </c>
      <c r="BT545">
        <v>26</v>
      </c>
      <c r="BU545" t="s">
        <v>77</v>
      </c>
      <c r="BV545" t="str" cm="1">
        <f t="array" aca="1" ref="BV545" ca="1">INDIRECT(BU545&amp;BT545)</f>
        <v xml:space="preserve">      series QD_coil = 0.149586799087612 * @elem(QD_coil, 2015)</v>
      </c>
    </row>
    <row r="546" spans="71:74" x14ac:dyDescent="0.25">
      <c r="BS546" t="s">
        <v>64</v>
      </c>
      <c r="BT546">
        <v>26</v>
      </c>
      <c r="BU546" t="s">
        <v>78</v>
      </c>
      <c r="BV546" t="str" cm="1">
        <f t="array" aca="1" ref="BV546" ca="1">INDIRECT(BU546&amp;BT546)</f>
        <v xml:space="preserve">      series QD_cfue = 1.59397155957069 * @elem(QD_cfue, 2015)</v>
      </c>
    </row>
    <row r="547" spans="71:74" x14ac:dyDescent="0.25">
      <c r="BS547" t="s">
        <v>64</v>
      </c>
      <c r="BT547">
        <v>26</v>
      </c>
      <c r="BU547" t="s">
        <v>79</v>
      </c>
      <c r="BV547" t="str" cm="1">
        <f t="array" aca="1" ref="BV547" ca="1">INDIRECT(BU547&amp;BT547)</f>
        <v xml:space="preserve">      series QD_cpch = 1.64845953507896 * @elem(QD_cpch, 2015)</v>
      </c>
    </row>
    <row r="548" spans="71:74" x14ac:dyDescent="0.25">
      <c r="BS548" t="s">
        <v>64</v>
      </c>
      <c r="BT548">
        <v>26</v>
      </c>
      <c r="BU548" t="s">
        <v>80</v>
      </c>
      <c r="BV548" t="str" cm="1">
        <f t="array" aca="1" ref="BV548" ca="1">INDIRECT(BU548&amp;BT548)</f>
        <v xml:space="preserve">      series QD_cele = 1.16109065122317 * @elem(QD_cele, 2015)</v>
      </c>
    </row>
    <row r="549" spans="71:74" x14ac:dyDescent="0.25">
      <c r="BS549" t="s">
        <v>64</v>
      </c>
      <c r="BT549">
        <v>26</v>
      </c>
      <c r="BU549" t="s">
        <v>81</v>
      </c>
      <c r="BV549" t="str" cm="1">
        <f t="array" aca="1" ref="BV549" ca="1">INDIRECT(BU549&amp;BT549)</f>
        <v xml:space="preserve">      series QD_cgas = 1.1837457210034 * @elem(QD_cgas, 2015)</v>
      </c>
    </row>
    <row r="550" spans="71:74" x14ac:dyDescent="0.25">
      <c r="BS550" t="s">
        <v>64</v>
      </c>
      <c r="BT550">
        <v>26</v>
      </c>
      <c r="BU550" t="s">
        <v>82</v>
      </c>
      <c r="BV550" t="str" cm="1">
        <f t="array" aca="1" ref="BV550" ca="1">INDIRECT(BU550&amp;BT550)</f>
        <v xml:space="preserve">      series QD_cmga = 0.620175975172435 * @elem(QD_cmga, 2015)</v>
      </c>
    </row>
    <row r="551" spans="71:74" x14ac:dyDescent="0.25">
      <c r="BS551" t="s">
        <v>64</v>
      </c>
      <c r="BT551">
        <v>26</v>
      </c>
      <c r="BU551" t="s">
        <v>83</v>
      </c>
      <c r="BV551" t="str" cm="1">
        <f t="array" aca="1" ref="BV551" ca="1">INDIRECT(BU551&amp;BT551)</f>
        <v xml:space="preserve">      series QD_cbiog = 0.870382768396248 * @elem(QD_cbiog, 2015)</v>
      </c>
    </row>
    <row r="552" spans="71:74" x14ac:dyDescent="0.25">
      <c r="BS552" t="s">
        <v>64</v>
      </c>
      <c r="BT552">
        <v>26</v>
      </c>
      <c r="BU552" t="s">
        <v>84</v>
      </c>
      <c r="BV552" t="str" cm="1">
        <f t="array" aca="1" ref="BV552" ca="1">INDIRECT(BU552&amp;BT552)</f>
        <v xml:space="preserve">      series QD_cbiom = 0.802401954987637 * @elem(QD_cbiom, 2015)</v>
      </c>
    </row>
    <row r="553" spans="71:74" x14ac:dyDescent="0.25">
      <c r="BS553" t="s">
        <v>64</v>
      </c>
      <c r="BT553">
        <v>26</v>
      </c>
      <c r="BU553" t="s">
        <v>85</v>
      </c>
      <c r="BV553" t="str" cm="1">
        <f t="array" aca="1" ref="BV553" ca="1">INDIRECT(BU553&amp;BT553)</f>
        <v xml:space="preserve">      series QD_cbiof = 1.15442159034196 * @elem(QD_cbiof, 2015)</v>
      </c>
    </row>
    <row r="554" spans="71:74" x14ac:dyDescent="0.25">
      <c r="BS554" t="s">
        <v>64</v>
      </c>
      <c r="BT554">
        <v>26</v>
      </c>
      <c r="BU554" t="s">
        <v>87</v>
      </c>
      <c r="BV554" t="str" cm="1">
        <f t="array" aca="1" ref="BV554" ca="1">INDIRECT(BU554&amp;BT554)</f>
        <v xml:space="preserve">      series QD_chea = 1.17739974181148 * @elem(QD_chea, 2015)</v>
      </c>
    </row>
    <row r="555" spans="71:74" x14ac:dyDescent="0.25">
      <c r="BS555" t="s">
        <v>64</v>
      </c>
      <c r="BT555">
        <v>27</v>
      </c>
      <c r="BU555" t="s">
        <v>65</v>
      </c>
      <c r="BV555" t="str" cm="1">
        <f t="array" aca="1" ref="BV555" ca="1">INDIRECT(BU555&amp;BT555)</f>
        <v xml:space="preserve">      smpl 2039 2039</v>
      </c>
    </row>
    <row r="556" spans="71:74" x14ac:dyDescent="0.25">
      <c r="BS556" t="s">
        <v>64</v>
      </c>
      <c r="BT556">
        <v>27</v>
      </c>
      <c r="BU556" t="s">
        <v>66</v>
      </c>
      <c r="BV556" t="str" cm="1">
        <f t="array" aca="1" ref="BV556" ca="1">INDIRECT(BU556&amp;BT556)</f>
        <v xml:space="preserve">      series QD_cagr = 1.36069517243472 * @elem(QD_cagr, 2015)</v>
      </c>
    </row>
    <row r="557" spans="71:74" x14ac:dyDescent="0.25">
      <c r="BS557" t="s">
        <v>64</v>
      </c>
      <c r="BT557">
        <v>27</v>
      </c>
      <c r="BU557" t="s">
        <v>67</v>
      </c>
      <c r="BV557" t="str" cm="1">
        <f t="array" aca="1" ref="BV557" ca="1">INDIRECT(BU557&amp;BT557)</f>
        <v xml:space="preserve">      series QD_cmet = 1.43431308347672 * @elem(QD_cmet, 2015)</v>
      </c>
    </row>
    <row r="558" spans="71:74" x14ac:dyDescent="0.25">
      <c r="BS558" t="s">
        <v>64</v>
      </c>
      <c r="BT558">
        <v>27</v>
      </c>
      <c r="BU558" t="s">
        <v>68</v>
      </c>
      <c r="BV558" t="str" cm="1">
        <f t="array" aca="1" ref="BV558" ca="1">INDIRECT(BU558&amp;BT558)</f>
        <v xml:space="preserve">      series QD_cchem = 1.2710114543292 * @elem(QD_cchem, 2015)</v>
      </c>
    </row>
    <row r="559" spans="71:74" x14ac:dyDescent="0.25">
      <c r="BS559" t="s">
        <v>64</v>
      </c>
      <c r="BT559">
        <v>27</v>
      </c>
      <c r="BU559" t="s">
        <v>69</v>
      </c>
      <c r="BV559" t="str" cm="1">
        <f t="array" aca="1" ref="BV559" ca="1">INDIRECT(BU559&amp;BT559)</f>
        <v xml:space="preserve">      series QD_cpla = 1.39438662437556 * @elem(QD_cpla, 2015)</v>
      </c>
    </row>
    <row r="560" spans="71:74" x14ac:dyDescent="0.25">
      <c r="BS560" t="s">
        <v>64</v>
      </c>
      <c r="BT560">
        <v>27</v>
      </c>
      <c r="BU560" t="s">
        <v>70</v>
      </c>
      <c r="BV560" t="str" cm="1">
        <f t="array" aca="1" ref="BV560" ca="1">INDIRECT(BU560&amp;BT560)</f>
        <v xml:space="preserve">      series QD_cgla = 1.38414559285014 * @elem(QD_cgla, 2015)</v>
      </c>
    </row>
    <row r="561" spans="71:74" x14ac:dyDescent="0.25">
      <c r="BS561" t="s">
        <v>64</v>
      </c>
      <c r="BT561">
        <v>27</v>
      </c>
      <c r="BU561" t="s">
        <v>71</v>
      </c>
      <c r="BV561" t="str" cm="1">
        <f t="array" aca="1" ref="BV561" ca="1">INDIRECT(BU561&amp;BT561)</f>
        <v xml:space="preserve">      series QD_cpap = 1.34737296000777 * @elem(QD_cpap, 2015)</v>
      </c>
    </row>
    <row r="562" spans="71:74" x14ac:dyDescent="0.25">
      <c r="BS562" t="s">
        <v>64</v>
      </c>
      <c r="BT562">
        <v>27</v>
      </c>
      <c r="BU562" t="s">
        <v>72</v>
      </c>
      <c r="BV562" t="str" cm="1">
        <f t="array" aca="1" ref="BV562" ca="1">INDIRECT(BU562&amp;BT562)</f>
        <v xml:space="preserve">      series QD_cfoo = 1.3648775481347 * @elem(QD_cfoo, 2015)</v>
      </c>
    </row>
    <row r="563" spans="71:74" x14ac:dyDescent="0.25">
      <c r="BS563" t="s">
        <v>64</v>
      </c>
      <c r="BT563">
        <v>27</v>
      </c>
      <c r="BU563" t="s">
        <v>73</v>
      </c>
      <c r="BV563" t="str" cm="1">
        <f t="array" aca="1" ref="BV563" ca="1">INDIRECT(BU563&amp;BT563)</f>
        <v xml:space="preserve">      series QD_cres = 1.43193315441094 * @elem(QD_cres, 2015)</v>
      </c>
    </row>
    <row r="564" spans="71:74" x14ac:dyDescent="0.25">
      <c r="BS564" t="s">
        <v>64</v>
      </c>
      <c r="BT564">
        <v>27</v>
      </c>
      <c r="BU564" t="s">
        <v>74</v>
      </c>
      <c r="BV564" t="str" cm="1">
        <f t="array" aca="1" ref="BV564" ca="1">INDIRECT(BU564&amp;BT564)</f>
        <v xml:space="preserve">      series QD_croa = 1.38701001230488 * @elem(QD_croa, 2015)</v>
      </c>
    </row>
    <row r="565" spans="71:74" x14ac:dyDescent="0.25">
      <c r="BS565" t="s">
        <v>64</v>
      </c>
      <c r="BT565">
        <v>27</v>
      </c>
      <c r="BU565" t="s">
        <v>75</v>
      </c>
      <c r="BV565" t="str" cm="1">
        <f t="array" aca="1" ref="BV565" ca="1">INDIRECT(BU565&amp;BT565)</f>
        <v xml:space="preserve">      series QD_cwat = 1.37974670422714 * @elem(QD_cwat, 2015)</v>
      </c>
    </row>
    <row r="566" spans="71:74" x14ac:dyDescent="0.25">
      <c r="BS566" t="s">
        <v>64</v>
      </c>
      <c r="BT566">
        <v>27</v>
      </c>
      <c r="BU566" t="s">
        <v>86</v>
      </c>
      <c r="BV566" t="str" cm="1">
        <f t="array" aca="1" ref="BV566" ca="1">INDIRECT(BU566&amp;BT566)</f>
        <v xml:space="preserve">      series QD_cair = 1.07682859673429 * @elem(QD_cair, 2015)</v>
      </c>
    </row>
    <row r="567" spans="71:74" x14ac:dyDescent="0.25">
      <c r="BS567" t="s">
        <v>64</v>
      </c>
      <c r="BT567">
        <v>27</v>
      </c>
      <c r="BU567" t="s">
        <v>76</v>
      </c>
      <c r="BV567" t="str" cm="1">
        <f t="array" aca="1" ref="BV567" ca="1">INDIRECT(BU567&amp;BT567)</f>
        <v xml:space="preserve">      series QD_ccoa = 0.0792954686127354 * @elem(QD_ccoa, 2015)</v>
      </c>
    </row>
    <row r="568" spans="71:74" x14ac:dyDescent="0.25">
      <c r="BS568" t="s">
        <v>64</v>
      </c>
      <c r="BT568">
        <v>27</v>
      </c>
      <c r="BU568" t="s">
        <v>77</v>
      </c>
      <c r="BV568" t="str" cm="1">
        <f t="array" aca="1" ref="BV568" ca="1">INDIRECT(BU568&amp;BT568)</f>
        <v xml:space="preserve">      series QD_coil = 0.149256669376248 * @elem(QD_coil, 2015)</v>
      </c>
    </row>
    <row r="569" spans="71:74" x14ac:dyDescent="0.25">
      <c r="BS569" t="s">
        <v>64</v>
      </c>
      <c r="BT569">
        <v>27</v>
      </c>
      <c r="BU569" t="s">
        <v>78</v>
      </c>
      <c r="BV569" t="str" cm="1">
        <f t="array" aca="1" ref="BV569" ca="1">INDIRECT(BU569&amp;BT569)</f>
        <v xml:space="preserve">      series QD_cfue = 1.60967012793063 * @elem(QD_cfue, 2015)</v>
      </c>
    </row>
    <row r="570" spans="71:74" x14ac:dyDescent="0.25">
      <c r="BS570" t="s">
        <v>64</v>
      </c>
      <c r="BT570">
        <v>27</v>
      </c>
      <c r="BU570" t="s">
        <v>79</v>
      </c>
      <c r="BV570" t="str" cm="1">
        <f t="array" aca="1" ref="BV570" ca="1">INDIRECT(BU570&amp;BT570)</f>
        <v xml:space="preserve">      series QD_cpch = 1.66045438363351 * @elem(QD_cpch, 2015)</v>
      </c>
    </row>
    <row r="571" spans="71:74" x14ac:dyDescent="0.25">
      <c r="BS571" t="s">
        <v>64</v>
      </c>
      <c r="BT571">
        <v>27</v>
      </c>
      <c r="BU571" t="s">
        <v>80</v>
      </c>
      <c r="BV571" t="str" cm="1">
        <f t="array" aca="1" ref="BV571" ca="1">INDIRECT(BU571&amp;BT571)</f>
        <v xml:space="preserve">      series QD_cele = 1.1581306586518 * @elem(QD_cele, 2015)</v>
      </c>
    </row>
    <row r="572" spans="71:74" x14ac:dyDescent="0.25">
      <c r="BS572" t="s">
        <v>64</v>
      </c>
      <c r="BT572">
        <v>27</v>
      </c>
      <c r="BU572" t="s">
        <v>81</v>
      </c>
      <c r="BV572" t="str" cm="1">
        <f t="array" aca="1" ref="BV572" ca="1">INDIRECT(BU572&amp;BT572)</f>
        <v xml:space="preserve">      series QD_cgas = 1.18454285916984 * @elem(QD_cgas, 2015)</v>
      </c>
    </row>
    <row r="573" spans="71:74" x14ac:dyDescent="0.25">
      <c r="BS573" t="s">
        <v>64</v>
      </c>
      <c r="BT573">
        <v>27</v>
      </c>
      <c r="BU573" t="s">
        <v>82</v>
      </c>
      <c r="BV573" t="str" cm="1">
        <f t="array" aca="1" ref="BV573" ca="1">INDIRECT(BU573&amp;BT573)</f>
        <v xml:space="preserve">      series QD_cmga = 0.612419629850499 * @elem(QD_cmga, 2015)</v>
      </c>
    </row>
    <row r="574" spans="71:74" x14ac:dyDescent="0.25">
      <c r="BS574" t="s">
        <v>64</v>
      </c>
      <c r="BT574">
        <v>27</v>
      </c>
      <c r="BU574" t="s">
        <v>83</v>
      </c>
      <c r="BV574" t="str" cm="1">
        <f t="array" aca="1" ref="BV574" ca="1">INDIRECT(BU574&amp;BT574)</f>
        <v xml:space="preserve">      series QD_cbiog = 0.849937392558358 * @elem(QD_cbiog, 2015)</v>
      </c>
    </row>
    <row r="575" spans="71:74" x14ac:dyDescent="0.25">
      <c r="BS575" t="s">
        <v>64</v>
      </c>
      <c r="BT575">
        <v>27</v>
      </c>
      <c r="BU575" t="s">
        <v>84</v>
      </c>
      <c r="BV575" t="str" cm="1">
        <f t="array" aca="1" ref="BV575" ca="1">INDIRECT(BU575&amp;BT575)</f>
        <v xml:space="preserve">      series QD_cbiom = 0.783813838920093 * @elem(QD_cbiom, 2015)</v>
      </c>
    </row>
    <row r="576" spans="71:74" x14ac:dyDescent="0.25">
      <c r="BS576" t="s">
        <v>64</v>
      </c>
      <c r="BT576">
        <v>27</v>
      </c>
      <c r="BU576" t="s">
        <v>85</v>
      </c>
      <c r="BV576" t="str" cm="1">
        <f t="array" aca="1" ref="BV576" ca="1">INDIRECT(BU576&amp;BT576)</f>
        <v xml:space="preserve">      series QD_cbiof = 1.15853559879444 * @elem(QD_cbiof, 2015)</v>
      </c>
    </row>
    <row r="577" spans="71:74" x14ac:dyDescent="0.25">
      <c r="BS577" t="s">
        <v>64</v>
      </c>
      <c r="BT577">
        <v>27</v>
      </c>
      <c r="BU577" t="s">
        <v>87</v>
      </c>
      <c r="BV577" t="str" cm="1">
        <f t="array" aca="1" ref="BV577" ca="1">INDIRECT(BU577&amp;BT577)</f>
        <v xml:space="preserve">      series QD_chea = 1.17755002063451 * @elem(QD_chea, 2015)</v>
      </c>
    </row>
    <row r="578" spans="71:74" x14ac:dyDescent="0.25">
      <c r="BS578" t="s">
        <v>64</v>
      </c>
      <c r="BT578">
        <v>28</v>
      </c>
      <c r="BU578" t="s">
        <v>65</v>
      </c>
      <c r="BV578" t="str" cm="1">
        <f t="array" aca="1" ref="BV578" ca="1">INDIRECT(BU578&amp;BT578)</f>
        <v xml:space="preserve">      smpl 2040 2040</v>
      </c>
    </row>
    <row r="579" spans="71:74" x14ac:dyDescent="0.25">
      <c r="BS579" t="s">
        <v>64</v>
      </c>
      <c r="BT579">
        <v>28</v>
      </c>
      <c r="BU579" t="s">
        <v>66</v>
      </c>
      <c r="BV579" t="str" cm="1">
        <f t="array" aca="1" ref="BV579" ca="1">INDIRECT(BU579&amp;BT579)</f>
        <v xml:space="preserve">      series QD_cagr = 1.36959117556 * @elem(QD_cagr, 2015)</v>
      </c>
    </row>
    <row r="580" spans="71:74" x14ac:dyDescent="0.25">
      <c r="BS580" t="s">
        <v>64</v>
      </c>
      <c r="BT580">
        <v>28</v>
      </c>
      <c r="BU580" t="s">
        <v>67</v>
      </c>
      <c r="BV580" t="str" cm="1">
        <f t="array" aca="1" ref="BV580" ca="1">INDIRECT(BU580&amp;BT580)</f>
        <v xml:space="preserve">      series QD_cmet = 1.44231327852464 * @elem(QD_cmet, 2015)</v>
      </c>
    </row>
    <row r="581" spans="71:74" x14ac:dyDescent="0.25">
      <c r="BS581" t="s">
        <v>64</v>
      </c>
      <c r="BT581">
        <v>28</v>
      </c>
      <c r="BU581" t="s">
        <v>68</v>
      </c>
      <c r="BV581" t="str" cm="1">
        <f t="array" aca="1" ref="BV581" ca="1">INDIRECT(BU581&amp;BT581)</f>
        <v xml:space="preserve">      series QD_cchem = 1.27895485372264 * @elem(QD_cchem, 2015)</v>
      </c>
    </row>
    <row r="582" spans="71:74" x14ac:dyDescent="0.25">
      <c r="BS582" t="s">
        <v>64</v>
      </c>
      <c r="BT582">
        <v>28</v>
      </c>
      <c r="BU582" t="s">
        <v>69</v>
      </c>
      <c r="BV582" t="str" cm="1">
        <f t="array" aca="1" ref="BV582" ca="1">INDIRECT(BU582&amp;BT582)</f>
        <v xml:space="preserve">      series QD_cpla = 1.40364377520838 * @elem(QD_cpla, 2015)</v>
      </c>
    </row>
    <row r="583" spans="71:74" x14ac:dyDescent="0.25">
      <c r="BS583" t="s">
        <v>64</v>
      </c>
      <c r="BT583">
        <v>28</v>
      </c>
      <c r="BU583" t="s">
        <v>70</v>
      </c>
      <c r="BV583" t="str" cm="1">
        <f t="array" aca="1" ref="BV583" ca="1">INDIRECT(BU583&amp;BT583)</f>
        <v xml:space="preserve">      series QD_cgla = 1.39209710737688 * @elem(QD_cgla, 2015)</v>
      </c>
    </row>
    <row r="584" spans="71:74" x14ac:dyDescent="0.25">
      <c r="BS584" t="s">
        <v>64</v>
      </c>
      <c r="BT584">
        <v>28</v>
      </c>
      <c r="BU584" t="s">
        <v>71</v>
      </c>
      <c r="BV584" t="str" cm="1">
        <f t="array" aca="1" ref="BV584" ca="1">INDIRECT(BU584&amp;BT584)</f>
        <v xml:space="preserve">      series QD_cpap = 1.35489322421592 * @elem(QD_cpap, 2015)</v>
      </c>
    </row>
    <row r="585" spans="71:74" x14ac:dyDescent="0.25">
      <c r="BS585" t="s">
        <v>64</v>
      </c>
      <c r="BT585">
        <v>28</v>
      </c>
      <c r="BU585" t="s">
        <v>72</v>
      </c>
      <c r="BV585" t="str" cm="1">
        <f t="array" aca="1" ref="BV585" ca="1">INDIRECT(BU585&amp;BT585)</f>
        <v xml:space="preserve">      series QD_cfoo = 1.3740892361646 * @elem(QD_cfoo, 2015)</v>
      </c>
    </row>
    <row r="586" spans="71:74" x14ac:dyDescent="0.25">
      <c r="BS586" t="s">
        <v>64</v>
      </c>
      <c r="BT586">
        <v>28</v>
      </c>
      <c r="BU586" t="s">
        <v>73</v>
      </c>
      <c r="BV586" t="str" cm="1">
        <f t="array" aca="1" ref="BV586" ca="1">INDIRECT(BU586&amp;BT586)</f>
        <v xml:space="preserve">      series QD_cres = 1.44159402983377 * @elem(QD_cres, 2015)</v>
      </c>
    </row>
    <row r="587" spans="71:74" x14ac:dyDescent="0.25">
      <c r="BS587" t="s">
        <v>64</v>
      </c>
      <c r="BT587">
        <v>28</v>
      </c>
      <c r="BU587" t="s">
        <v>74</v>
      </c>
      <c r="BV587" t="str" cm="1">
        <f t="array" aca="1" ref="BV587" ca="1">INDIRECT(BU587&amp;BT587)</f>
        <v xml:space="preserve">      series QD_croa = 1.39842384456292 * @elem(QD_croa, 2015)</v>
      </c>
    </row>
    <row r="588" spans="71:74" x14ac:dyDescent="0.25">
      <c r="BS588" t="s">
        <v>64</v>
      </c>
      <c r="BT588">
        <v>28</v>
      </c>
      <c r="BU588" t="s">
        <v>75</v>
      </c>
      <c r="BV588" t="str" cm="1">
        <f t="array" aca="1" ref="BV588" ca="1">INDIRECT(BU588&amp;BT588)</f>
        <v xml:space="preserve">      series QD_cwat = 1.38954798519078 * @elem(QD_cwat, 2015)</v>
      </c>
    </row>
    <row r="589" spans="71:74" x14ac:dyDescent="0.25">
      <c r="BS589" t="s">
        <v>64</v>
      </c>
      <c r="BT589">
        <v>28</v>
      </c>
      <c r="BU589" t="s">
        <v>86</v>
      </c>
      <c r="BV589" t="str" cm="1">
        <f t="array" aca="1" ref="BV589" ca="1">INDIRECT(BU589&amp;BT589)</f>
        <v xml:space="preserve">      series QD_cair = 1.02985346363187 * @elem(QD_cair, 2015)</v>
      </c>
    </row>
    <row r="590" spans="71:74" x14ac:dyDescent="0.25">
      <c r="BS590" t="s">
        <v>64</v>
      </c>
      <c r="BT590">
        <v>28</v>
      </c>
      <c r="BU590" t="s">
        <v>76</v>
      </c>
      <c r="BV590" t="str" cm="1">
        <f t="array" aca="1" ref="BV590" ca="1">INDIRECT(BU590&amp;BT590)</f>
        <v xml:space="preserve">      series QD_ccoa = 0.0788768228673468 * @elem(QD_ccoa, 2015)</v>
      </c>
    </row>
    <row r="591" spans="71:74" x14ac:dyDescent="0.25">
      <c r="BS591" t="s">
        <v>64</v>
      </c>
      <c r="BT591">
        <v>28</v>
      </c>
      <c r="BU591" t="s">
        <v>77</v>
      </c>
      <c r="BV591" t="str" cm="1">
        <f t="array" aca="1" ref="BV591" ca="1">INDIRECT(BU591&amp;BT591)</f>
        <v xml:space="preserve">      series QD_coil = 0.149084182212418 * @elem(QD_coil, 2015)</v>
      </c>
    </row>
    <row r="592" spans="71:74" x14ac:dyDescent="0.25">
      <c r="BS592" t="s">
        <v>64</v>
      </c>
      <c r="BT592">
        <v>28</v>
      </c>
      <c r="BU592" t="s">
        <v>78</v>
      </c>
      <c r="BV592" t="str" cm="1">
        <f t="array" aca="1" ref="BV592" ca="1">INDIRECT(BU592&amp;BT592)</f>
        <v xml:space="preserve">      series QD_cfue = 1.62525890382245 * @elem(QD_cfue, 2015)</v>
      </c>
    </row>
    <row r="593" spans="71:74" x14ac:dyDescent="0.25">
      <c r="BS593" t="s">
        <v>64</v>
      </c>
      <c r="BT593">
        <v>28</v>
      </c>
      <c r="BU593" t="s">
        <v>79</v>
      </c>
      <c r="BV593" t="str" cm="1">
        <f t="array" aca="1" ref="BV593" ca="1">INDIRECT(BU593&amp;BT593)</f>
        <v xml:space="preserve">      series QD_cpch = 1.67218081149935 * @elem(QD_cpch, 2015)</v>
      </c>
    </row>
    <row r="594" spans="71:74" x14ac:dyDescent="0.25">
      <c r="BS594" t="s">
        <v>64</v>
      </c>
      <c r="BT594">
        <v>28</v>
      </c>
      <c r="BU594" t="s">
        <v>80</v>
      </c>
      <c r="BV594" t="str" cm="1">
        <f t="array" aca="1" ref="BV594" ca="1">INDIRECT(BU594&amp;BT594)</f>
        <v xml:space="preserve">      series QD_cele = 1.15594546225027 * @elem(QD_cele, 2015)</v>
      </c>
    </row>
    <row r="595" spans="71:74" x14ac:dyDescent="0.25">
      <c r="BS595" t="s">
        <v>64</v>
      </c>
      <c r="BT595">
        <v>28</v>
      </c>
      <c r="BU595" t="s">
        <v>81</v>
      </c>
      <c r="BV595" t="str" cm="1">
        <f t="array" aca="1" ref="BV595" ca="1">INDIRECT(BU595&amp;BT595)</f>
        <v xml:space="preserve">      series QD_cgas = 1.18586875771691 * @elem(QD_cgas, 2015)</v>
      </c>
    </row>
    <row r="596" spans="71:74" x14ac:dyDescent="0.25">
      <c r="BS596" t="s">
        <v>64</v>
      </c>
      <c r="BT596">
        <v>28</v>
      </c>
      <c r="BU596" t="s">
        <v>82</v>
      </c>
      <c r="BV596" t="str" cm="1">
        <f t="array" aca="1" ref="BV596" ca="1">INDIRECT(BU596&amp;BT596)</f>
        <v xml:space="preserve">      series QD_cmga = 0.604808382443439 * @elem(QD_cmga, 2015)</v>
      </c>
    </row>
    <row r="597" spans="71:74" x14ac:dyDescent="0.25">
      <c r="BS597" t="s">
        <v>64</v>
      </c>
      <c r="BT597">
        <v>28</v>
      </c>
      <c r="BU597" t="s">
        <v>83</v>
      </c>
      <c r="BV597" t="str" cm="1">
        <f t="array" aca="1" ref="BV597" ca="1">INDIRECT(BU597&amp;BT597)</f>
        <v xml:space="preserve">      series QD_cbiog = 0.82923412402579 * @elem(QD_cbiog, 2015)</v>
      </c>
    </row>
    <row r="598" spans="71:74" x14ac:dyDescent="0.25">
      <c r="BS598" t="s">
        <v>64</v>
      </c>
      <c r="BT598">
        <v>28</v>
      </c>
      <c r="BU598" t="s">
        <v>84</v>
      </c>
      <c r="BV598" t="str" cm="1">
        <f t="array" aca="1" ref="BV598" ca="1">INDIRECT(BU598&amp;BT598)</f>
        <v xml:space="preserve">      series QD_cbiom = 0.764518084748026 * @elem(QD_cbiom, 2015)</v>
      </c>
    </row>
    <row r="599" spans="71:74" x14ac:dyDescent="0.25">
      <c r="BS599" t="s">
        <v>64</v>
      </c>
      <c r="BT599">
        <v>28</v>
      </c>
      <c r="BU599" t="s">
        <v>85</v>
      </c>
      <c r="BV599" t="str" cm="1">
        <f t="array" aca="1" ref="BV599" ca="1">INDIRECT(BU599&amp;BT599)</f>
        <v xml:space="preserve">      series QD_cbiof = 1.16256142777328 * @elem(QD_cbiof, 2015)</v>
      </c>
    </row>
    <row r="600" spans="71:74" x14ac:dyDescent="0.25">
      <c r="BS600" t="s">
        <v>64</v>
      </c>
      <c r="BT600">
        <v>28</v>
      </c>
      <c r="BU600" t="s">
        <v>87</v>
      </c>
      <c r="BV600" t="str" cm="1">
        <f t="array" aca="1" ref="BV600" ca="1">INDIRECT(BU600&amp;BT600)</f>
        <v xml:space="preserve">      series QD_chea = 1.17754777137151 * @elem(QD_chea, 2015)</v>
      </c>
    </row>
    <row r="601" spans="71:74" x14ac:dyDescent="0.25">
      <c r="BS601" t="s">
        <v>64</v>
      </c>
      <c r="BT601">
        <v>29</v>
      </c>
      <c r="BU601" t="s">
        <v>65</v>
      </c>
      <c r="BV601" t="str" cm="1">
        <f t="array" aca="1" ref="BV601" ca="1">INDIRECT(BU601&amp;BT601)</f>
        <v xml:space="preserve">      smpl 2041 2041</v>
      </c>
    </row>
    <row r="602" spans="71:74" x14ac:dyDescent="0.25">
      <c r="BS602" t="s">
        <v>64</v>
      </c>
      <c r="BT602">
        <v>29</v>
      </c>
      <c r="BU602" t="s">
        <v>66</v>
      </c>
      <c r="BV602" t="str" cm="1">
        <f t="array" aca="1" ref="BV602" ca="1">INDIRECT(BU602&amp;BT602)</f>
        <v xml:space="preserve">      series QD_cagr = 1.3789335892307 * @elem(QD_cagr, 2015)</v>
      </c>
    </row>
    <row r="603" spans="71:74" x14ac:dyDescent="0.25">
      <c r="BS603" t="s">
        <v>64</v>
      </c>
      <c r="BT603">
        <v>29</v>
      </c>
      <c r="BU603" t="s">
        <v>67</v>
      </c>
      <c r="BV603" t="str" cm="1">
        <f t="array" aca="1" ref="BV603" ca="1">INDIRECT(BU603&amp;BT603)</f>
        <v xml:space="preserve">      series QD_cmet = 1.45009756781197 * @elem(QD_cmet, 2015)</v>
      </c>
    </row>
    <row r="604" spans="71:74" x14ac:dyDescent="0.25">
      <c r="BS604" t="s">
        <v>64</v>
      </c>
      <c r="BT604">
        <v>29</v>
      </c>
      <c r="BU604" t="s">
        <v>68</v>
      </c>
      <c r="BV604" t="str" cm="1">
        <f t="array" aca="1" ref="BV604" ca="1">INDIRECT(BU604&amp;BT604)</f>
        <v xml:space="preserve">      series QD_cchem = 1.28652412987367 * @elem(QD_cchem, 2015)</v>
      </c>
    </row>
    <row r="605" spans="71:74" x14ac:dyDescent="0.25">
      <c r="BS605" t="s">
        <v>64</v>
      </c>
      <c r="BT605">
        <v>29</v>
      </c>
      <c r="BU605" t="s">
        <v>69</v>
      </c>
      <c r="BV605" t="str" cm="1">
        <f t="array" aca="1" ref="BV605" ca="1">INDIRECT(BU605&amp;BT605)</f>
        <v xml:space="preserve">      series QD_cpla = 1.41306011583433 * @elem(QD_cpla, 2015)</v>
      </c>
    </row>
    <row r="606" spans="71:74" x14ac:dyDescent="0.25">
      <c r="BS606" t="s">
        <v>64</v>
      </c>
      <c r="BT606">
        <v>29</v>
      </c>
      <c r="BU606" t="s">
        <v>70</v>
      </c>
      <c r="BV606" t="str" cm="1">
        <f t="array" aca="1" ref="BV606" ca="1">INDIRECT(BU606&amp;BT606)</f>
        <v xml:space="preserve">      series QD_cgla = 1.39983313117511 * @elem(QD_cgla, 2015)</v>
      </c>
    </row>
    <row r="607" spans="71:74" x14ac:dyDescent="0.25">
      <c r="BS607" t="s">
        <v>64</v>
      </c>
      <c r="BT607">
        <v>29</v>
      </c>
      <c r="BU607" t="s">
        <v>71</v>
      </c>
      <c r="BV607" t="str" cm="1">
        <f t="array" aca="1" ref="BV607" ca="1">INDIRECT(BU607&amp;BT607)</f>
        <v xml:space="preserve">      series QD_cpap = 1.3623317379524 * @elem(QD_cpap, 2015)</v>
      </c>
    </row>
    <row r="608" spans="71:74" x14ac:dyDescent="0.25">
      <c r="BS608" t="s">
        <v>64</v>
      </c>
      <c r="BT608">
        <v>29</v>
      </c>
      <c r="BU608" t="s">
        <v>72</v>
      </c>
      <c r="BV608" t="str" cm="1">
        <f t="array" aca="1" ref="BV608" ca="1">INDIRECT(BU608&amp;BT608)</f>
        <v xml:space="preserve">      series QD_cfoo = 1.38324888123985 * @elem(QD_cfoo, 2015)</v>
      </c>
    </row>
    <row r="609" spans="71:74" x14ac:dyDescent="0.25">
      <c r="BS609" t="s">
        <v>64</v>
      </c>
      <c r="BT609">
        <v>29</v>
      </c>
      <c r="BU609" t="s">
        <v>73</v>
      </c>
      <c r="BV609" t="str" cm="1">
        <f t="array" aca="1" ref="BV609" ca="1">INDIRECT(BU609&amp;BT609)</f>
        <v xml:space="preserve">      series QD_cres = 1.4509944133344 * @elem(QD_cres, 2015)</v>
      </c>
    </row>
    <row r="610" spans="71:74" x14ac:dyDescent="0.25">
      <c r="BS610" t="s">
        <v>64</v>
      </c>
      <c r="BT610">
        <v>29</v>
      </c>
      <c r="BU610" t="s">
        <v>74</v>
      </c>
      <c r="BV610" t="str" cm="1">
        <f t="array" aca="1" ref="BV610" ca="1">INDIRECT(BU610&amp;BT610)</f>
        <v xml:space="preserve">      series QD_croa = 1.4097875520781 * @elem(QD_croa, 2015)</v>
      </c>
    </row>
    <row r="611" spans="71:74" x14ac:dyDescent="0.25">
      <c r="BS611" t="s">
        <v>64</v>
      </c>
      <c r="BT611">
        <v>29</v>
      </c>
      <c r="BU611" t="s">
        <v>75</v>
      </c>
      <c r="BV611" t="str" cm="1">
        <f t="array" aca="1" ref="BV611" ca="1">INDIRECT(BU611&amp;BT611)</f>
        <v xml:space="preserve">      series QD_cwat = 1.39959997900307 * @elem(QD_cwat, 2015)</v>
      </c>
    </row>
    <row r="612" spans="71:74" x14ac:dyDescent="0.25">
      <c r="BS612" t="s">
        <v>64</v>
      </c>
      <c r="BT612">
        <v>29</v>
      </c>
      <c r="BU612" t="s">
        <v>86</v>
      </c>
      <c r="BV612" t="str" cm="1">
        <f t="array" aca="1" ref="BV612" ca="1">INDIRECT(BU612&amp;BT612)</f>
        <v xml:space="preserve">      series QD_cair = 0.99430876199901 * @elem(QD_cair, 2015)</v>
      </c>
    </row>
    <row r="613" spans="71:74" x14ac:dyDescent="0.25">
      <c r="BS613" t="s">
        <v>64</v>
      </c>
      <c r="BT613">
        <v>29</v>
      </c>
      <c r="BU613" t="s">
        <v>76</v>
      </c>
      <c r="BV613" t="str" cm="1">
        <f t="array" aca="1" ref="BV613" ca="1">INDIRECT(BU613&amp;BT613)</f>
        <v xml:space="preserve">      series QD_ccoa = 0.078459136887191 * @elem(QD_ccoa, 2015)</v>
      </c>
    </row>
    <row r="614" spans="71:74" x14ac:dyDescent="0.25">
      <c r="BS614" t="s">
        <v>64</v>
      </c>
      <c r="BT614">
        <v>29</v>
      </c>
      <c r="BU614" t="s">
        <v>77</v>
      </c>
      <c r="BV614" t="str" cm="1">
        <f t="array" aca="1" ref="BV614" ca="1">INDIRECT(BU614&amp;BT614)</f>
        <v xml:space="preserve">      series QD_coil = 0.148765190738221 * @elem(QD_coil, 2015)</v>
      </c>
    </row>
    <row r="615" spans="71:74" x14ac:dyDescent="0.25">
      <c r="BS615" t="s">
        <v>64</v>
      </c>
      <c r="BT615">
        <v>29</v>
      </c>
      <c r="BU615" t="s">
        <v>78</v>
      </c>
      <c r="BV615" t="str" cm="1">
        <f t="array" aca="1" ref="BV615" ca="1">INDIRECT(BU615&amp;BT615)</f>
        <v xml:space="preserve">      series QD_cfue = 1.62543113752442 * @elem(QD_cfue, 2015)</v>
      </c>
    </row>
    <row r="616" spans="71:74" x14ac:dyDescent="0.25">
      <c r="BS616" t="s">
        <v>64</v>
      </c>
      <c r="BT616">
        <v>29</v>
      </c>
      <c r="BU616" t="s">
        <v>79</v>
      </c>
      <c r="BV616" t="str" cm="1">
        <f t="array" aca="1" ref="BV616" ca="1">INDIRECT(BU616&amp;BT616)</f>
        <v xml:space="preserve">      series QD_cpch = 1.67930261394 * @elem(QD_cpch, 2015)</v>
      </c>
    </row>
    <row r="617" spans="71:74" x14ac:dyDescent="0.25">
      <c r="BS617" t="s">
        <v>64</v>
      </c>
      <c r="BT617">
        <v>29</v>
      </c>
      <c r="BU617" t="s">
        <v>80</v>
      </c>
      <c r="BV617" t="str" cm="1">
        <f t="array" aca="1" ref="BV617" ca="1">INDIRECT(BU617&amp;BT617)</f>
        <v xml:space="preserve">      series QD_cele = 1.15663679110831 * @elem(QD_cele, 2015)</v>
      </c>
    </row>
    <row r="618" spans="71:74" x14ac:dyDescent="0.25">
      <c r="BS618" t="s">
        <v>64</v>
      </c>
      <c r="BT618">
        <v>29</v>
      </c>
      <c r="BU618" t="s">
        <v>81</v>
      </c>
      <c r="BV618" t="str" cm="1">
        <f t="array" aca="1" ref="BV618" ca="1">INDIRECT(BU618&amp;BT618)</f>
        <v xml:space="preserve">      series QD_cgas = 1.18774069307037 * @elem(QD_cgas, 2015)</v>
      </c>
    </row>
    <row r="619" spans="71:74" x14ac:dyDescent="0.25">
      <c r="BS619" t="s">
        <v>64</v>
      </c>
      <c r="BT619">
        <v>29</v>
      </c>
      <c r="BU619" t="s">
        <v>82</v>
      </c>
      <c r="BV619" t="str" cm="1">
        <f t="array" aca="1" ref="BV619" ca="1">INDIRECT(BU619&amp;BT619)</f>
        <v xml:space="preserve">      series QD_cmga = 0.622077228859581 * @elem(QD_cmga, 2015)</v>
      </c>
    </row>
    <row r="620" spans="71:74" x14ac:dyDescent="0.25">
      <c r="BS620" t="s">
        <v>64</v>
      </c>
      <c r="BT620">
        <v>29</v>
      </c>
      <c r="BU620" t="s">
        <v>83</v>
      </c>
      <c r="BV620" t="str" cm="1">
        <f t="array" aca="1" ref="BV620" ca="1">INDIRECT(BU620&amp;BT620)</f>
        <v xml:space="preserve">      series QD_cbiog = 0.801555257717778 * @elem(QD_cbiog, 2015)</v>
      </c>
    </row>
    <row r="621" spans="71:74" x14ac:dyDescent="0.25">
      <c r="BS621" t="s">
        <v>64</v>
      </c>
      <c r="BT621">
        <v>29</v>
      </c>
      <c r="BU621" t="s">
        <v>84</v>
      </c>
      <c r="BV621" t="str" cm="1">
        <f t="array" aca="1" ref="BV621" ca="1">INDIRECT(BU621&amp;BT621)</f>
        <v xml:space="preserve">      series QD_cbiom = 0.760136431030254 * @elem(QD_cbiom, 2015)</v>
      </c>
    </row>
    <row r="622" spans="71:74" x14ac:dyDescent="0.25">
      <c r="BS622" t="s">
        <v>64</v>
      </c>
      <c r="BT622">
        <v>29</v>
      </c>
      <c r="BU622" t="s">
        <v>85</v>
      </c>
      <c r="BV622" t="str" cm="1">
        <f t="array" aca="1" ref="BV622" ca="1">INDIRECT(BU622&amp;BT622)</f>
        <v xml:space="preserve">      series QD_cbiof = 1.16615893101212 * @elem(QD_cbiof, 2015)</v>
      </c>
    </row>
    <row r="623" spans="71:74" x14ac:dyDescent="0.25">
      <c r="BS623" t="s">
        <v>64</v>
      </c>
      <c r="BT623">
        <v>29</v>
      </c>
      <c r="BU623" t="s">
        <v>87</v>
      </c>
      <c r="BV623" t="str" cm="1">
        <f t="array" aca="1" ref="BV623" ca="1">INDIRECT(BU623&amp;BT623)</f>
        <v xml:space="preserve">      series QD_chea = 1.17342542945437 * @elem(QD_chea, 2015)</v>
      </c>
    </row>
    <row r="624" spans="71:74" x14ac:dyDescent="0.25">
      <c r="BS624" t="s">
        <v>64</v>
      </c>
      <c r="BT624">
        <v>30</v>
      </c>
      <c r="BU624" t="s">
        <v>65</v>
      </c>
      <c r="BV624" t="str" cm="1">
        <f t="array" aca="1" ref="BV624" ca="1">INDIRECT(BU624&amp;BT624)</f>
        <v xml:space="preserve">      smpl 2042 2042</v>
      </c>
    </row>
    <row r="625" spans="71:74" x14ac:dyDescent="0.25">
      <c r="BS625" t="s">
        <v>64</v>
      </c>
      <c r="BT625">
        <v>30</v>
      </c>
      <c r="BU625" t="s">
        <v>66</v>
      </c>
      <c r="BV625" t="str" cm="1">
        <f t="array" aca="1" ref="BV625" ca="1">INDIRECT(BU625&amp;BT625)</f>
        <v xml:space="preserve">      series QD_cagr = 1.38889713768986 * @elem(QD_cagr, 2015)</v>
      </c>
    </row>
    <row r="626" spans="71:74" x14ac:dyDescent="0.25">
      <c r="BS626" t="s">
        <v>64</v>
      </c>
      <c r="BT626">
        <v>30</v>
      </c>
      <c r="BU626" t="s">
        <v>67</v>
      </c>
      <c r="BV626" t="str" cm="1">
        <f t="array" aca="1" ref="BV626" ca="1">INDIRECT(BU626&amp;BT626)</f>
        <v xml:space="preserve">      series QD_cmet = 1.45790102225832 * @elem(QD_cmet, 2015)</v>
      </c>
    </row>
    <row r="627" spans="71:74" x14ac:dyDescent="0.25">
      <c r="BS627" t="s">
        <v>64</v>
      </c>
      <c r="BT627">
        <v>30</v>
      </c>
      <c r="BU627" t="s">
        <v>68</v>
      </c>
      <c r="BV627" t="str" cm="1">
        <f t="array" aca="1" ref="BV627" ca="1">INDIRECT(BU627&amp;BT627)</f>
        <v xml:space="preserve">      series QD_cchem = 1.29400753920861 * @elem(QD_cchem, 2015)</v>
      </c>
    </row>
    <row r="628" spans="71:74" x14ac:dyDescent="0.25">
      <c r="BS628" t="s">
        <v>64</v>
      </c>
      <c r="BT628">
        <v>30</v>
      </c>
      <c r="BU628" t="s">
        <v>69</v>
      </c>
      <c r="BV628" t="str" cm="1">
        <f t="array" aca="1" ref="BV628" ca="1">INDIRECT(BU628&amp;BT628)</f>
        <v xml:space="preserve">      series QD_cpla = 1.42258762729391 * @elem(QD_cpla, 2015)</v>
      </c>
    </row>
    <row r="629" spans="71:74" x14ac:dyDescent="0.25">
      <c r="BS629" t="s">
        <v>64</v>
      </c>
      <c r="BT629">
        <v>30</v>
      </c>
      <c r="BU629" t="s">
        <v>70</v>
      </c>
      <c r="BV629" t="str" cm="1">
        <f t="array" aca="1" ref="BV629" ca="1">INDIRECT(BU629&amp;BT629)</f>
        <v xml:space="preserve">      series QD_cgla = 1.40761812108546 * @elem(QD_cgla, 2015)</v>
      </c>
    </row>
    <row r="630" spans="71:74" x14ac:dyDescent="0.25">
      <c r="BS630" t="s">
        <v>64</v>
      </c>
      <c r="BT630">
        <v>30</v>
      </c>
      <c r="BU630" t="s">
        <v>71</v>
      </c>
      <c r="BV630" t="str" cm="1">
        <f t="array" aca="1" ref="BV630" ca="1">INDIRECT(BU630&amp;BT630)</f>
        <v xml:space="preserve">      series QD_cpap = 1.36990403801808 * @elem(QD_cpap, 2015)</v>
      </c>
    </row>
    <row r="631" spans="71:74" x14ac:dyDescent="0.25">
      <c r="BS631" t="s">
        <v>64</v>
      </c>
      <c r="BT631">
        <v>30</v>
      </c>
      <c r="BU631" t="s">
        <v>72</v>
      </c>
      <c r="BV631" t="str" cm="1">
        <f t="array" aca="1" ref="BV631" ca="1">INDIRECT(BU631&amp;BT631)</f>
        <v xml:space="preserve">      series QD_cfoo = 1.39258394871025 * @elem(QD_cfoo, 2015)</v>
      </c>
    </row>
    <row r="632" spans="71:74" x14ac:dyDescent="0.25">
      <c r="BS632" t="s">
        <v>64</v>
      </c>
      <c r="BT632">
        <v>30</v>
      </c>
      <c r="BU632" t="s">
        <v>73</v>
      </c>
      <c r="BV632" t="str" cm="1">
        <f t="array" aca="1" ref="BV632" ca="1">INDIRECT(BU632&amp;BT632)</f>
        <v xml:space="preserve">      series QD_cres = 1.46048021020575 * @elem(QD_cres, 2015)</v>
      </c>
    </row>
    <row r="633" spans="71:74" x14ac:dyDescent="0.25">
      <c r="BS633" t="s">
        <v>64</v>
      </c>
      <c r="BT633">
        <v>30</v>
      </c>
      <c r="BU633" t="s">
        <v>74</v>
      </c>
      <c r="BV633" t="str" cm="1">
        <f t="array" aca="1" ref="BV633" ca="1">INDIRECT(BU633&amp;BT633)</f>
        <v xml:space="preserve">      series QD_croa = 1.42163664523885 * @elem(QD_croa, 2015)</v>
      </c>
    </row>
    <row r="634" spans="71:74" x14ac:dyDescent="0.25">
      <c r="BS634" t="s">
        <v>64</v>
      </c>
      <c r="BT634">
        <v>30</v>
      </c>
      <c r="BU634" t="s">
        <v>75</v>
      </c>
      <c r="BV634" t="str" cm="1">
        <f t="array" aca="1" ref="BV634" ca="1">INDIRECT(BU634&amp;BT634)</f>
        <v xml:space="preserve">      series QD_cwat = 1.40988544598466 * @elem(QD_cwat, 2015)</v>
      </c>
    </row>
    <row r="635" spans="71:74" x14ac:dyDescent="0.25">
      <c r="BS635" t="s">
        <v>64</v>
      </c>
      <c r="BT635">
        <v>30</v>
      </c>
      <c r="BU635" t="s">
        <v>86</v>
      </c>
      <c r="BV635" t="str" cm="1">
        <f t="array" aca="1" ref="BV635" ca="1">INDIRECT(BU635&amp;BT635)</f>
        <v xml:space="preserve">      series QD_cair = 0.971377310143493 * @elem(QD_cair, 2015)</v>
      </c>
    </row>
    <row r="636" spans="71:74" x14ac:dyDescent="0.25">
      <c r="BS636" t="s">
        <v>64</v>
      </c>
      <c r="BT636">
        <v>30</v>
      </c>
      <c r="BU636" t="s">
        <v>76</v>
      </c>
      <c r="BV636" t="str" cm="1">
        <f t="array" aca="1" ref="BV636" ca="1">INDIRECT(BU636&amp;BT636)</f>
        <v xml:space="preserve">      series QD_ccoa = 0.0781962649806845 * @elem(QD_ccoa, 2015)</v>
      </c>
    </row>
    <row r="637" spans="71:74" x14ac:dyDescent="0.25">
      <c r="BS637" t="s">
        <v>64</v>
      </c>
      <c r="BT637">
        <v>30</v>
      </c>
      <c r="BU637" t="s">
        <v>77</v>
      </c>
      <c r="BV637" t="str" cm="1">
        <f t="array" aca="1" ref="BV637" ca="1">INDIRECT(BU637&amp;BT637)</f>
        <v xml:space="preserve">      series QD_coil = 0.14868304553001 * @elem(QD_coil, 2015)</v>
      </c>
    </row>
    <row r="638" spans="71:74" x14ac:dyDescent="0.25">
      <c r="BS638" t="s">
        <v>64</v>
      </c>
      <c r="BT638">
        <v>30</v>
      </c>
      <c r="BU638" t="s">
        <v>78</v>
      </c>
      <c r="BV638" t="str" cm="1">
        <f t="array" aca="1" ref="BV638" ca="1">INDIRECT(BU638&amp;BT638)</f>
        <v xml:space="preserve">      series QD_cfue = 1.62821831174698 * @elem(QD_cfue, 2015)</v>
      </c>
    </row>
    <row r="639" spans="71:74" x14ac:dyDescent="0.25">
      <c r="BS639" t="s">
        <v>64</v>
      </c>
      <c r="BT639">
        <v>30</v>
      </c>
      <c r="BU639" t="s">
        <v>79</v>
      </c>
      <c r="BV639" t="str" cm="1">
        <f t="array" aca="1" ref="BV639" ca="1">INDIRECT(BU639&amp;BT639)</f>
        <v xml:space="preserve">      series QD_cpch = 1.6866765647009 * @elem(QD_cpch, 2015)</v>
      </c>
    </row>
    <row r="640" spans="71:74" x14ac:dyDescent="0.25">
      <c r="BS640" t="s">
        <v>64</v>
      </c>
      <c r="BT640">
        <v>30</v>
      </c>
      <c r="BU640" t="s">
        <v>80</v>
      </c>
      <c r="BV640" t="str" cm="1">
        <f t="array" aca="1" ref="BV640" ca="1">INDIRECT(BU640&amp;BT640)</f>
        <v xml:space="preserve">      series QD_cele = 1.16062906394807 * @elem(QD_cele, 2015)</v>
      </c>
    </row>
    <row r="641" spans="71:74" x14ac:dyDescent="0.25">
      <c r="BS641" t="s">
        <v>64</v>
      </c>
      <c r="BT641">
        <v>30</v>
      </c>
      <c r="BU641" t="s">
        <v>81</v>
      </c>
      <c r="BV641" t="str" cm="1">
        <f t="array" aca="1" ref="BV641" ca="1">INDIRECT(BU641&amp;BT641)</f>
        <v xml:space="preserve">      series QD_cgas = 1.1909035865955 * @elem(QD_cgas, 2015)</v>
      </c>
    </row>
    <row r="642" spans="71:74" x14ac:dyDescent="0.25">
      <c r="BS642" t="s">
        <v>64</v>
      </c>
      <c r="BT642">
        <v>30</v>
      </c>
      <c r="BU642" t="s">
        <v>82</v>
      </c>
      <c r="BV642" t="str" cm="1">
        <f t="array" aca="1" ref="BV642" ca="1">INDIRECT(BU642&amp;BT642)</f>
        <v xml:space="preserve">      series QD_cmga = 0.641615955798401 * @elem(QD_cmga, 2015)</v>
      </c>
    </row>
    <row r="643" spans="71:74" x14ac:dyDescent="0.25">
      <c r="BS643" t="s">
        <v>64</v>
      </c>
      <c r="BT643">
        <v>30</v>
      </c>
      <c r="BU643" t="s">
        <v>83</v>
      </c>
      <c r="BV643" t="str" cm="1">
        <f t="array" aca="1" ref="BV643" ca="1">INDIRECT(BU643&amp;BT643)</f>
        <v xml:space="preserve">      series QD_cbiog = 0.783000317607607 * @elem(QD_cbiog, 2015)</v>
      </c>
    </row>
    <row r="644" spans="71:74" x14ac:dyDescent="0.25">
      <c r="BS644" t="s">
        <v>64</v>
      </c>
      <c r="BT644">
        <v>30</v>
      </c>
      <c r="BU644" t="s">
        <v>84</v>
      </c>
      <c r="BV644" t="str" cm="1">
        <f t="array" aca="1" ref="BV644" ca="1">INDIRECT(BU644&amp;BT644)</f>
        <v xml:space="preserve">      series QD_cbiom = 0.756920261086566 * @elem(QD_cbiom, 2015)</v>
      </c>
    </row>
    <row r="645" spans="71:74" x14ac:dyDescent="0.25">
      <c r="BS645" t="s">
        <v>64</v>
      </c>
      <c r="BT645">
        <v>30</v>
      </c>
      <c r="BU645" t="s">
        <v>85</v>
      </c>
      <c r="BV645" t="str" cm="1">
        <f t="array" aca="1" ref="BV645" ca="1">INDIRECT(BU645&amp;BT645)</f>
        <v xml:space="preserve">      series QD_cbiof = 1.17066259001322 * @elem(QD_cbiof, 2015)</v>
      </c>
    </row>
    <row r="646" spans="71:74" x14ac:dyDescent="0.25">
      <c r="BS646" t="s">
        <v>64</v>
      </c>
      <c r="BT646">
        <v>30</v>
      </c>
      <c r="BU646" t="s">
        <v>87</v>
      </c>
      <c r="BV646" t="str" cm="1">
        <f t="array" aca="1" ref="BV646" ca="1">INDIRECT(BU646&amp;BT646)</f>
        <v xml:space="preserve">      series QD_chea = 1.17257881588486 * @elem(QD_chea, 2015)</v>
      </c>
    </row>
    <row r="647" spans="71:74" x14ac:dyDescent="0.25">
      <c r="BS647" t="s">
        <v>64</v>
      </c>
      <c r="BT647">
        <v>31</v>
      </c>
      <c r="BU647" t="s">
        <v>65</v>
      </c>
      <c r="BV647" t="str" cm="1">
        <f t="array" aca="1" ref="BV647" ca="1">INDIRECT(BU647&amp;BT647)</f>
        <v xml:space="preserve">      smpl 2043 2043</v>
      </c>
    </row>
    <row r="648" spans="71:74" x14ac:dyDescent="0.25">
      <c r="BS648" t="s">
        <v>64</v>
      </c>
      <c r="BT648">
        <v>31</v>
      </c>
      <c r="BU648" t="s">
        <v>66</v>
      </c>
      <c r="BV648" t="str" cm="1">
        <f t="array" aca="1" ref="BV648" ca="1">INDIRECT(BU648&amp;BT648)</f>
        <v xml:space="preserve">      series QD_cagr = 1.39929564691328 * @elem(QD_cagr, 2015)</v>
      </c>
    </row>
    <row r="649" spans="71:74" x14ac:dyDescent="0.25">
      <c r="BS649" t="s">
        <v>64</v>
      </c>
      <c r="BT649">
        <v>31</v>
      </c>
      <c r="BU649" t="s">
        <v>67</v>
      </c>
      <c r="BV649" t="str" cm="1">
        <f t="array" aca="1" ref="BV649" ca="1">INDIRECT(BU649&amp;BT649)</f>
        <v xml:space="preserve">      series QD_cmet = 1.46575726849384 * @elem(QD_cmet, 2015)</v>
      </c>
    </row>
    <row r="650" spans="71:74" x14ac:dyDescent="0.25">
      <c r="BS650" t="s">
        <v>64</v>
      </c>
      <c r="BT650">
        <v>31</v>
      </c>
      <c r="BU650" t="s">
        <v>68</v>
      </c>
      <c r="BV650" t="str" cm="1">
        <f t="array" aca="1" ref="BV650" ca="1">INDIRECT(BU650&amp;BT650)</f>
        <v xml:space="preserve">      series QD_cchem = 1.3014278766644 * @elem(QD_cchem, 2015)</v>
      </c>
    </row>
    <row r="651" spans="71:74" x14ac:dyDescent="0.25">
      <c r="BS651" t="s">
        <v>64</v>
      </c>
      <c r="BT651">
        <v>31</v>
      </c>
      <c r="BU651" t="s">
        <v>69</v>
      </c>
      <c r="BV651" t="str" cm="1">
        <f t="array" aca="1" ref="BV651" ca="1">INDIRECT(BU651&amp;BT651)</f>
        <v xml:space="preserve">      series QD_cpla = 1.43214810216285 * @elem(QD_cpla, 2015)</v>
      </c>
    </row>
    <row r="652" spans="71:74" x14ac:dyDescent="0.25">
      <c r="BS652" t="s">
        <v>64</v>
      </c>
      <c r="BT652">
        <v>31</v>
      </c>
      <c r="BU652" t="s">
        <v>70</v>
      </c>
      <c r="BV652" t="str" cm="1">
        <f t="array" aca="1" ref="BV652" ca="1">INDIRECT(BU652&amp;BT652)</f>
        <v xml:space="preserve">      series QD_cgla = 1.41549082021122 * @elem(QD_cgla, 2015)</v>
      </c>
    </row>
    <row r="653" spans="71:74" x14ac:dyDescent="0.25">
      <c r="BS653" t="s">
        <v>64</v>
      </c>
      <c r="BT653">
        <v>31</v>
      </c>
      <c r="BU653" t="s">
        <v>71</v>
      </c>
      <c r="BV653" t="str" cm="1">
        <f t="array" aca="1" ref="BV653" ca="1">INDIRECT(BU653&amp;BT653)</f>
        <v xml:space="preserve">      series QD_cpap = 1.37761380330871 * @elem(QD_cpap, 2015)</v>
      </c>
    </row>
    <row r="654" spans="71:74" x14ac:dyDescent="0.25">
      <c r="BS654" t="s">
        <v>64</v>
      </c>
      <c r="BT654">
        <v>31</v>
      </c>
      <c r="BU654" t="s">
        <v>72</v>
      </c>
      <c r="BV654" t="str" cm="1">
        <f t="array" aca="1" ref="BV654" ca="1">INDIRECT(BU654&amp;BT654)</f>
        <v xml:space="preserve">      series QD_cfoo = 1.40207730953728 * @elem(QD_cfoo, 2015)</v>
      </c>
    </row>
    <row r="655" spans="71:74" x14ac:dyDescent="0.25">
      <c r="BS655" t="s">
        <v>64</v>
      </c>
      <c r="BT655">
        <v>31</v>
      </c>
      <c r="BU655" t="s">
        <v>73</v>
      </c>
      <c r="BV655" t="str" cm="1">
        <f t="array" aca="1" ref="BV655" ca="1">INDIRECT(BU655&amp;BT655)</f>
        <v xml:space="preserve">      series QD_cres = 1.47004810637166 * @elem(QD_cres, 2015)</v>
      </c>
    </row>
    <row r="656" spans="71:74" x14ac:dyDescent="0.25">
      <c r="BS656" t="s">
        <v>64</v>
      </c>
      <c r="BT656">
        <v>31</v>
      </c>
      <c r="BU656" t="s">
        <v>74</v>
      </c>
      <c r="BV656" t="str" cm="1">
        <f t="array" aca="1" ref="BV656" ca="1">INDIRECT(BU656&amp;BT656)</f>
        <v xml:space="preserve">      series QD_croa = 1.43377245226561 * @elem(QD_croa, 2015)</v>
      </c>
    </row>
    <row r="657" spans="71:74" x14ac:dyDescent="0.25">
      <c r="BS657" t="s">
        <v>64</v>
      </c>
      <c r="BT657">
        <v>31</v>
      </c>
      <c r="BU657" t="s">
        <v>75</v>
      </c>
      <c r="BV657" t="str" cm="1">
        <f t="array" aca="1" ref="BV657" ca="1">INDIRECT(BU657&amp;BT657)</f>
        <v xml:space="preserve">      series QD_cwat = 1.42025296654149 * @elem(QD_cwat, 2015)</v>
      </c>
    </row>
    <row r="658" spans="71:74" x14ac:dyDescent="0.25">
      <c r="BS658" t="s">
        <v>64</v>
      </c>
      <c r="BT658">
        <v>31</v>
      </c>
      <c r="BU658" t="s">
        <v>86</v>
      </c>
      <c r="BV658" t="str" cm="1">
        <f t="array" aca="1" ref="BV658" ca="1">INDIRECT(BU658&amp;BT658)</f>
        <v xml:space="preserve">      series QD_cair = 0.958789033349827 * @elem(QD_cair, 2015)</v>
      </c>
    </row>
    <row r="659" spans="71:74" x14ac:dyDescent="0.25">
      <c r="BS659" t="s">
        <v>64</v>
      </c>
      <c r="BT659">
        <v>31</v>
      </c>
      <c r="BU659" t="s">
        <v>76</v>
      </c>
      <c r="BV659" t="str" cm="1">
        <f t="array" aca="1" ref="BV659" ca="1">INDIRECT(BU659&amp;BT659)</f>
        <v xml:space="preserve">      series QD_ccoa = 0.0780671115174584 * @elem(QD_ccoa, 2015)</v>
      </c>
    </row>
    <row r="660" spans="71:74" x14ac:dyDescent="0.25">
      <c r="BS660" t="s">
        <v>64</v>
      </c>
      <c r="BT660">
        <v>31</v>
      </c>
      <c r="BU660" t="s">
        <v>77</v>
      </c>
      <c r="BV660" t="str" cm="1">
        <f t="array" aca="1" ref="BV660" ca="1">INDIRECT(BU660&amp;BT660)</f>
        <v xml:space="preserve">      series QD_coil = 0.148804333386308 * @elem(QD_coil, 2015)</v>
      </c>
    </row>
    <row r="661" spans="71:74" x14ac:dyDescent="0.25">
      <c r="BS661" t="s">
        <v>64</v>
      </c>
      <c r="BT661">
        <v>31</v>
      </c>
      <c r="BU661" t="s">
        <v>78</v>
      </c>
      <c r="BV661" t="str" cm="1">
        <f t="array" aca="1" ref="BV661" ca="1">INDIRECT(BU661&amp;BT661)</f>
        <v xml:space="preserve">      series QD_cfue = 1.63256502846604 * @elem(QD_cfue, 2015)</v>
      </c>
    </row>
    <row r="662" spans="71:74" x14ac:dyDescent="0.25">
      <c r="BS662" t="s">
        <v>64</v>
      </c>
      <c r="BT662">
        <v>31</v>
      </c>
      <c r="BU662" t="s">
        <v>79</v>
      </c>
      <c r="BV662" t="str" cm="1">
        <f t="array" aca="1" ref="BV662" ca="1">INDIRECT(BU662&amp;BT662)</f>
        <v xml:space="preserve">      series QD_cpch = 1.694667815799 * @elem(QD_cpch, 2015)</v>
      </c>
    </row>
    <row r="663" spans="71:74" x14ac:dyDescent="0.25">
      <c r="BS663" t="s">
        <v>64</v>
      </c>
      <c r="BT663">
        <v>31</v>
      </c>
      <c r="BU663" t="s">
        <v>80</v>
      </c>
      <c r="BV663" t="str" cm="1">
        <f t="array" aca="1" ref="BV663" ca="1">INDIRECT(BU663&amp;BT663)</f>
        <v xml:space="preserve">      series QD_cele = 1.16635648940354 * @elem(QD_cele, 2015)</v>
      </c>
    </row>
    <row r="664" spans="71:74" x14ac:dyDescent="0.25">
      <c r="BS664" t="s">
        <v>64</v>
      </c>
      <c r="BT664">
        <v>31</v>
      </c>
      <c r="BU664" t="s">
        <v>81</v>
      </c>
      <c r="BV664" t="str" cm="1">
        <f t="array" aca="1" ref="BV664" ca="1">INDIRECT(BU664&amp;BT664)</f>
        <v xml:space="preserve">      series QD_cgas = 1.19460444214862 * @elem(QD_cgas, 2015)</v>
      </c>
    </row>
    <row r="665" spans="71:74" x14ac:dyDescent="0.25">
      <c r="BS665" t="s">
        <v>64</v>
      </c>
      <c r="BT665">
        <v>31</v>
      </c>
      <c r="BU665" t="s">
        <v>82</v>
      </c>
      <c r="BV665" t="str" cm="1">
        <f t="array" aca="1" ref="BV665" ca="1">INDIRECT(BU665&amp;BT665)</f>
        <v xml:space="preserve">      series QD_cmga = 0.662906689315078 * @elem(QD_cmga, 2015)</v>
      </c>
    </row>
    <row r="666" spans="71:74" x14ac:dyDescent="0.25">
      <c r="BS666" t="s">
        <v>64</v>
      </c>
      <c r="BT666">
        <v>31</v>
      </c>
      <c r="BU666" t="s">
        <v>83</v>
      </c>
      <c r="BV666" t="str" cm="1">
        <f t="array" aca="1" ref="BV666" ca="1">INDIRECT(BU666&amp;BT666)</f>
        <v xml:space="preserve">      series QD_cbiog = 0.769087454831042 * @elem(QD_cbiog, 2015)</v>
      </c>
    </row>
    <row r="667" spans="71:74" x14ac:dyDescent="0.25">
      <c r="BS667" t="s">
        <v>64</v>
      </c>
      <c r="BT667">
        <v>31</v>
      </c>
      <c r="BU667" t="s">
        <v>84</v>
      </c>
      <c r="BV667" t="str" cm="1">
        <f t="array" aca="1" ref="BV667" ca="1">INDIRECT(BU667&amp;BT667)</f>
        <v xml:space="preserve">      series QD_cbiom = 0.753678544664566 * @elem(QD_cbiom, 2015)</v>
      </c>
    </row>
    <row r="668" spans="71:74" x14ac:dyDescent="0.25">
      <c r="BS668" t="s">
        <v>64</v>
      </c>
      <c r="BT668">
        <v>31</v>
      </c>
      <c r="BU668" t="s">
        <v>85</v>
      </c>
      <c r="BV668" t="str" cm="1">
        <f t="array" aca="1" ref="BV668" ca="1">INDIRECT(BU668&amp;BT668)</f>
        <v xml:space="preserve">      series QD_cbiof = 1.17567070284365 * @elem(QD_cbiof, 2015)</v>
      </c>
    </row>
    <row r="669" spans="71:74" x14ac:dyDescent="0.25">
      <c r="BS669" t="s">
        <v>64</v>
      </c>
      <c r="BT669">
        <v>31</v>
      </c>
      <c r="BU669" t="s">
        <v>87</v>
      </c>
      <c r="BV669" t="str" cm="1">
        <f t="array" aca="1" ref="BV669" ca="1">INDIRECT(BU669&amp;BT669)</f>
        <v xml:space="preserve">      series QD_chea = 1.17341783610727 * @elem(QD_chea, 2015)</v>
      </c>
    </row>
    <row r="670" spans="71:74" x14ac:dyDescent="0.25">
      <c r="BS670" t="s">
        <v>64</v>
      </c>
      <c r="BT670">
        <v>32</v>
      </c>
      <c r="BU670" t="s">
        <v>65</v>
      </c>
      <c r="BV670" t="str" cm="1">
        <f t="array" aca="1" ref="BV670" ca="1">INDIRECT(BU670&amp;BT670)</f>
        <v xml:space="preserve">      smpl 2044 2044</v>
      </c>
    </row>
    <row r="671" spans="71:74" x14ac:dyDescent="0.25">
      <c r="BS671" t="s">
        <v>64</v>
      </c>
      <c r="BT671">
        <v>32</v>
      </c>
      <c r="BU671" t="s">
        <v>66</v>
      </c>
      <c r="BV671" t="str" cm="1">
        <f t="array" aca="1" ref="BV671" ca="1">INDIRECT(BU671&amp;BT671)</f>
        <v xml:space="preserve">      series QD_cagr = 1.40987228099268 * @elem(QD_cagr, 2015)</v>
      </c>
    </row>
    <row r="672" spans="71:74" x14ac:dyDescent="0.25">
      <c r="BS672" t="s">
        <v>64</v>
      </c>
      <c r="BT672">
        <v>32</v>
      </c>
      <c r="BU672" t="s">
        <v>67</v>
      </c>
      <c r="BV672" t="str" cm="1">
        <f t="array" aca="1" ref="BV672" ca="1">INDIRECT(BU672&amp;BT672)</f>
        <v xml:space="preserve">      series QD_cmet = 1.47362847500086 * @elem(QD_cmet, 2015)</v>
      </c>
    </row>
    <row r="673" spans="71:74" x14ac:dyDescent="0.25">
      <c r="BS673" t="s">
        <v>64</v>
      </c>
      <c r="BT673">
        <v>32</v>
      </c>
      <c r="BU673" t="s">
        <v>68</v>
      </c>
      <c r="BV673" t="str" cm="1">
        <f t="array" aca="1" ref="BV673" ca="1">INDIRECT(BU673&amp;BT673)</f>
        <v xml:space="preserve">      series QD_cchem = 1.30875632716411 * @elem(QD_cchem, 2015)</v>
      </c>
    </row>
    <row r="674" spans="71:74" x14ac:dyDescent="0.25">
      <c r="BS674" t="s">
        <v>64</v>
      </c>
      <c r="BT674">
        <v>32</v>
      </c>
      <c r="BU674" t="s">
        <v>69</v>
      </c>
      <c r="BV674" t="str" cm="1">
        <f t="array" aca="1" ref="BV674" ca="1">INDIRECT(BU674&amp;BT674)</f>
        <v xml:space="preserve">      series QD_cpla = 1.4416761246357 * @elem(QD_cpla, 2015)</v>
      </c>
    </row>
    <row r="675" spans="71:74" x14ac:dyDescent="0.25">
      <c r="BS675" t="s">
        <v>64</v>
      </c>
      <c r="BT675">
        <v>32</v>
      </c>
      <c r="BU675" t="s">
        <v>70</v>
      </c>
      <c r="BV675" t="str" cm="1">
        <f t="array" aca="1" ref="BV675" ca="1">INDIRECT(BU675&amp;BT675)</f>
        <v xml:space="preserve">      series QD_cgla = 1.42341329163734 * @elem(QD_cgla, 2015)</v>
      </c>
    </row>
    <row r="676" spans="71:74" x14ac:dyDescent="0.25">
      <c r="BS676" t="s">
        <v>64</v>
      </c>
      <c r="BT676">
        <v>32</v>
      </c>
      <c r="BU676" t="s">
        <v>71</v>
      </c>
      <c r="BV676" t="str" cm="1">
        <f t="array" aca="1" ref="BV676" ca="1">INDIRECT(BU676&amp;BT676)</f>
        <v xml:space="preserve">      series QD_cpap = 1.38540200901361 * @elem(QD_cpap, 2015)</v>
      </c>
    </row>
    <row r="677" spans="71:74" x14ac:dyDescent="0.25">
      <c r="BS677" t="s">
        <v>64</v>
      </c>
      <c r="BT677">
        <v>32</v>
      </c>
      <c r="BU677" t="s">
        <v>72</v>
      </c>
      <c r="BV677" t="str" cm="1">
        <f t="array" aca="1" ref="BV677" ca="1">INDIRECT(BU677&amp;BT677)</f>
        <v xml:space="preserve">      series QD_cfoo = 1.41165262002706 * @elem(QD_cfoo, 2015)</v>
      </c>
    </row>
    <row r="678" spans="71:74" x14ac:dyDescent="0.25">
      <c r="BS678" t="s">
        <v>64</v>
      </c>
      <c r="BT678">
        <v>32</v>
      </c>
      <c r="BU678" t="s">
        <v>73</v>
      </c>
      <c r="BV678" t="str" cm="1">
        <f t="array" aca="1" ref="BV678" ca="1">INDIRECT(BU678&amp;BT678)</f>
        <v xml:space="preserve">      series QD_cres = 1.47964236895029 * @elem(QD_cres, 2015)</v>
      </c>
    </row>
    <row r="679" spans="71:74" x14ac:dyDescent="0.25">
      <c r="BS679" t="s">
        <v>64</v>
      </c>
      <c r="BT679">
        <v>32</v>
      </c>
      <c r="BU679" t="s">
        <v>74</v>
      </c>
      <c r="BV679" t="str" cm="1">
        <f t="array" aca="1" ref="BV679" ca="1">INDIRECT(BU679&amp;BT679)</f>
        <v xml:space="preserve">      series QD_croa = 1.44595220691837 * @elem(QD_croa, 2015)</v>
      </c>
    </row>
    <row r="680" spans="71:74" x14ac:dyDescent="0.25">
      <c r="BS680" t="s">
        <v>64</v>
      </c>
      <c r="BT680">
        <v>32</v>
      </c>
      <c r="BU680" t="s">
        <v>75</v>
      </c>
      <c r="BV680" t="str" cm="1">
        <f t="array" aca="1" ref="BV680" ca="1">INDIRECT(BU680&amp;BT680)</f>
        <v xml:space="preserve">      series QD_cwat = 1.43056832426654 * @elem(QD_cwat, 2015)</v>
      </c>
    </row>
    <row r="681" spans="71:74" x14ac:dyDescent="0.25">
      <c r="BS681" t="s">
        <v>64</v>
      </c>
      <c r="BT681">
        <v>32</v>
      </c>
      <c r="BU681" t="s">
        <v>86</v>
      </c>
      <c r="BV681" t="str" cm="1">
        <f t="array" aca="1" ref="BV681" ca="1">INDIRECT(BU681&amp;BT681)</f>
        <v xml:space="preserve">      series QD_cair = 0.953829848391885 * @elem(QD_cair, 2015)</v>
      </c>
    </row>
    <row r="682" spans="71:74" x14ac:dyDescent="0.25">
      <c r="BS682" t="s">
        <v>64</v>
      </c>
      <c r="BT682">
        <v>32</v>
      </c>
      <c r="BU682" t="s">
        <v>76</v>
      </c>
      <c r="BV682" t="str" cm="1">
        <f t="array" aca="1" ref="BV682" ca="1">INDIRECT(BU682&amp;BT682)</f>
        <v xml:space="preserve">      series QD_ccoa = 0.0780397615255077 * @elem(QD_ccoa, 2015)</v>
      </c>
    </row>
    <row r="683" spans="71:74" x14ac:dyDescent="0.25">
      <c r="BS683" t="s">
        <v>64</v>
      </c>
      <c r="BT683">
        <v>32</v>
      </c>
      <c r="BU683" t="s">
        <v>77</v>
      </c>
      <c r="BV683" t="str" cm="1">
        <f t="array" aca="1" ref="BV683" ca="1">INDIRECT(BU683&amp;BT683)</f>
        <v xml:space="preserve">      series QD_coil = 0.149054684467446 * @elem(QD_coil, 2015)</v>
      </c>
    </row>
    <row r="684" spans="71:74" x14ac:dyDescent="0.25">
      <c r="BS684" t="s">
        <v>64</v>
      </c>
      <c r="BT684">
        <v>32</v>
      </c>
      <c r="BU684" t="s">
        <v>78</v>
      </c>
      <c r="BV684" t="str" cm="1">
        <f t="array" aca="1" ref="BV684" ca="1">INDIRECT(BU684&amp;BT684)</f>
        <v xml:space="preserve">      series QD_cfue = 1.63776138471485 * @elem(QD_cfue, 2015)</v>
      </c>
    </row>
    <row r="685" spans="71:74" x14ac:dyDescent="0.25">
      <c r="BS685" t="s">
        <v>64</v>
      </c>
      <c r="BT685">
        <v>32</v>
      </c>
      <c r="BU685" t="s">
        <v>79</v>
      </c>
      <c r="BV685" t="str" cm="1">
        <f t="array" aca="1" ref="BV685" ca="1">INDIRECT(BU685&amp;BT685)</f>
        <v xml:space="preserve">      series QD_cpch = 1.70299477026234 * @elem(QD_cpch, 2015)</v>
      </c>
    </row>
    <row r="686" spans="71:74" x14ac:dyDescent="0.25">
      <c r="BS686" t="s">
        <v>64</v>
      </c>
      <c r="BT686">
        <v>32</v>
      </c>
      <c r="BU686" t="s">
        <v>80</v>
      </c>
      <c r="BV686" t="str" cm="1">
        <f t="array" aca="1" ref="BV686" ca="1">INDIRECT(BU686&amp;BT686)</f>
        <v xml:space="preserve">      series QD_cele = 1.17283737167932 * @elem(QD_cele, 2015)</v>
      </c>
    </row>
    <row r="687" spans="71:74" x14ac:dyDescent="0.25">
      <c r="BS687" t="s">
        <v>64</v>
      </c>
      <c r="BT687">
        <v>32</v>
      </c>
      <c r="BU687" t="s">
        <v>81</v>
      </c>
      <c r="BV687" t="str" cm="1">
        <f t="array" aca="1" ref="BV687" ca="1">INDIRECT(BU687&amp;BT687)</f>
        <v xml:space="preserve">      series QD_cgas = 1.19846665194621 * @elem(QD_cgas, 2015)</v>
      </c>
    </row>
    <row r="688" spans="71:74" x14ac:dyDescent="0.25">
      <c r="BS688" t="s">
        <v>64</v>
      </c>
      <c r="BT688">
        <v>32</v>
      </c>
      <c r="BU688" t="s">
        <v>82</v>
      </c>
      <c r="BV688" t="str" cm="1">
        <f t="array" aca="1" ref="BV688" ca="1">INDIRECT(BU688&amp;BT688)</f>
        <v xml:space="preserve">      series QD_cmga = 0.685747705803612 * @elem(QD_cmga, 2015)</v>
      </c>
    </row>
    <row r="689" spans="71:74" x14ac:dyDescent="0.25">
      <c r="BS689" t="s">
        <v>64</v>
      </c>
      <c r="BT689">
        <v>32</v>
      </c>
      <c r="BU689" t="s">
        <v>83</v>
      </c>
      <c r="BV689" t="str" cm="1">
        <f t="array" aca="1" ref="BV689" ca="1">INDIRECT(BU689&amp;BT689)</f>
        <v xml:space="preserve">      series QD_cbiog = 0.757835065117098 * @elem(QD_cbiog, 2015)</v>
      </c>
    </row>
    <row r="690" spans="71:74" x14ac:dyDescent="0.25">
      <c r="BS690" t="s">
        <v>64</v>
      </c>
      <c r="BT690">
        <v>32</v>
      </c>
      <c r="BU690" t="s">
        <v>84</v>
      </c>
      <c r="BV690" t="str" cm="1">
        <f t="array" aca="1" ref="BV690" ca="1">INDIRECT(BU690&amp;BT690)</f>
        <v xml:space="preserve">      series QD_cbiom = 0.749959674309253 * @elem(QD_cbiom, 2015)</v>
      </c>
    </row>
    <row r="691" spans="71:74" x14ac:dyDescent="0.25">
      <c r="BS691" t="s">
        <v>64</v>
      </c>
      <c r="BT691">
        <v>32</v>
      </c>
      <c r="BU691" t="s">
        <v>85</v>
      </c>
      <c r="BV691" t="str" cm="1">
        <f t="array" aca="1" ref="BV691" ca="1">INDIRECT(BU691&amp;BT691)</f>
        <v xml:space="preserve">      series QD_cbiof = 1.18087788261425 * @elem(QD_cbiof, 2015)</v>
      </c>
    </row>
    <row r="692" spans="71:74" x14ac:dyDescent="0.25">
      <c r="BS692" t="s">
        <v>64</v>
      </c>
      <c r="BT692">
        <v>32</v>
      </c>
      <c r="BU692" t="s">
        <v>87</v>
      </c>
      <c r="BV692" t="str" cm="1">
        <f t="array" aca="1" ref="BV692" ca="1">INDIRECT(BU692&amp;BT692)</f>
        <v xml:space="preserve">      series QD_chea = 1.17468300191388 * @elem(QD_chea, 2015)</v>
      </c>
    </row>
    <row r="693" spans="71:74" x14ac:dyDescent="0.25">
      <c r="BS693" t="s">
        <v>64</v>
      </c>
      <c r="BT693">
        <v>33</v>
      </c>
      <c r="BU693" t="s">
        <v>65</v>
      </c>
      <c r="BV693" t="str" cm="1">
        <f t="array" aca="1" ref="BV693" ca="1">INDIRECT(BU693&amp;BT693)</f>
        <v xml:space="preserve">      smpl 2045 2045</v>
      </c>
    </row>
    <row r="694" spans="71:74" x14ac:dyDescent="0.25">
      <c r="BS694" t="s">
        <v>64</v>
      </c>
      <c r="BT694">
        <v>33</v>
      </c>
      <c r="BU694" t="s">
        <v>66</v>
      </c>
      <c r="BV694" t="str" cm="1">
        <f t="array" aca="1" ref="BV694" ca="1">INDIRECT(BU694&amp;BT694)</f>
        <v xml:space="preserve">      series QD_cagr = 1.42041407778192 * @elem(QD_cagr, 2015)</v>
      </c>
    </row>
    <row r="695" spans="71:74" x14ac:dyDescent="0.25">
      <c r="BS695" t="s">
        <v>64</v>
      </c>
      <c r="BT695">
        <v>33</v>
      </c>
      <c r="BU695" t="s">
        <v>67</v>
      </c>
      <c r="BV695" t="str" cm="1">
        <f t="array" aca="1" ref="BV695" ca="1">INDIRECT(BU695&amp;BT695)</f>
        <v xml:space="preserve">      series QD_cmet = 1.48146677813837 * @elem(QD_cmet, 2015)</v>
      </c>
    </row>
    <row r="696" spans="71:74" x14ac:dyDescent="0.25">
      <c r="BS696" t="s">
        <v>64</v>
      </c>
      <c r="BT696">
        <v>33</v>
      </c>
      <c r="BU696" t="s">
        <v>68</v>
      </c>
      <c r="BV696" t="str" cm="1">
        <f t="array" aca="1" ref="BV696" ca="1">INDIRECT(BU696&amp;BT696)</f>
        <v xml:space="preserve">      series QD_cchem = 1.31596992558835 * @elem(QD_cchem, 2015)</v>
      </c>
    </row>
    <row r="697" spans="71:74" x14ac:dyDescent="0.25">
      <c r="BS697" t="s">
        <v>64</v>
      </c>
      <c r="BT697">
        <v>33</v>
      </c>
      <c r="BU697" t="s">
        <v>69</v>
      </c>
      <c r="BV697" t="str" cm="1">
        <f t="array" aca="1" ref="BV697" ca="1">INDIRECT(BU697&amp;BT697)</f>
        <v xml:space="preserve">      series QD_cpla = 1.45113186621657 * @elem(QD_cpla, 2015)</v>
      </c>
    </row>
    <row r="698" spans="71:74" x14ac:dyDescent="0.25">
      <c r="BS698" t="s">
        <v>64</v>
      </c>
      <c r="BT698">
        <v>33</v>
      </c>
      <c r="BU698" t="s">
        <v>70</v>
      </c>
      <c r="BV698" t="str" cm="1">
        <f t="array" aca="1" ref="BV698" ca="1">INDIRECT(BU698&amp;BT698)</f>
        <v xml:space="preserve">      series QD_cgla = 1.43134093621756 * @elem(QD_cgla, 2015)</v>
      </c>
    </row>
    <row r="699" spans="71:74" x14ac:dyDescent="0.25">
      <c r="BS699" t="s">
        <v>64</v>
      </c>
      <c r="BT699">
        <v>33</v>
      </c>
      <c r="BU699" t="s">
        <v>71</v>
      </c>
      <c r="BV699" t="str" cm="1">
        <f t="array" aca="1" ref="BV699" ca="1">INDIRECT(BU699&amp;BT699)</f>
        <v xml:space="preserve">      series QD_cpap = 1.39320757384074 * @elem(QD_cpap, 2015)</v>
      </c>
    </row>
    <row r="700" spans="71:74" x14ac:dyDescent="0.25">
      <c r="BS700" t="s">
        <v>64</v>
      </c>
      <c r="BT700">
        <v>33</v>
      </c>
      <c r="BU700" t="s">
        <v>72</v>
      </c>
      <c r="BV700" t="str" cm="1">
        <f t="array" aca="1" ref="BV700" ca="1">INDIRECT(BU700&amp;BT700)</f>
        <v xml:space="preserve">      series QD_cfoo = 1.42123816988787 * @elem(QD_cfoo, 2015)</v>
      </c>
    </row>
    <row r="701" spans="71:74" x14ac:dyDescent="0.25">
      <c r="BS701" t="s">
        <v>64</v>
      </c>
      <c r="BT701">
        <v>33</v>
      </c>
      <c r="BU701" t="s">
        <v>73</v>
      </c>
      <c r="BV701" t="str" cm="1">
        <f t="array" aca="1" ref="BV701" ca="1">INDIRECT(BU701&amp;BT701)</f>
        <v xml:space="preserve">      series QD_cres = 1.48922132847301 * @elem(QD_cres, 2015)</v>
      </c>
    </row>
    <row r="702" spans="71:74" x14ac:dyDescent="0.25">
      <c r="BS702" t="s">
        <v>64</v>
      </c>
      <c r="BT702">
        <v>33</v>
      </c>
      <c r="BU702" t="s">
        <v>74</v>
      </c>
      <c r="BV702" t="str" cm="1">
        <f t="array" aca="1" ref="BV702" ca="1">INDIRECT(BU702&amp;BT702)</f>
        <v xml:space="preserve">      series QD_croa = 1.45799704926713 * @elem(QD_croa, 2015)</v>
      </c>
    </row>
    <row r="703" spans="71:74" x14ac:dyDescent="0.25">
      <c r="BS703" t="s">
        <v>64</v>
      </c>
      <c r="BT703">
        <v>33</v>
      </c>
      <c r="BU703" t="s">
        <v>75</v>
      </c>
      <c r="BV703" t="str" cm="1">
        <f t="array" aca="1" ref="BV703" ca="1">INDIRECT(BU703&amp;BT703)</f>
        <v xml:space="preserve">      series QD_cwat = 1.44074917246882 * @elem(QD_cwat, 2015)</v>
      </c>
    </row>
    <row r="704" spans="71:74" x14ac:dyDescent="0.25">
      <c r="BS704" t="s">
        <v>64</v>
      </c>
      <c r="BT704">
        <v>33</v>
      </c>
      <c r="BU704" t="s">
        <v>86</v>
      </c>
      <c r="BV704" t="str" cm="1">
        <f t="array" aca="1" ref="BV704" ca="1">INDIRECT(BU704&amp;BT704)</f>
        <v xml:space="preserve">      series QD_cair = 0.954204566749134 * @elem(QD_cair, 2015)</v>
      </c>
    </row>
    <row r="705" spans="71:74" x14ac:dyDescent="0.25">
      <c r="BS705" t="s">
        <v>64</v>
      </c>
      <c r="BT705">
        <v>33</v>
      </c>
      <c r="BU705" t="s">
        <v>76</v>
      </c>
      <c r="BV705" t="str" cm="1">
        <f t="array" aca="1" ref="BV705" ca="1">INDIRECT(BU705&amp;BT705)</f>
        <v xml:space="preserve">      series QD_ccoa = 0.0780893289313399 * @elem(QD_ccoa, 2015)</v>
      </c>
    </row>
    <row r="706" spans="71:74" x14ac:dyDescent="0.25">
      <c r="BS706" t="s">
        <v>64</v>
      </c>
      <c r="BT706">
        <v>33</v>
      </c>
      <c r="BU706" t="s">
        <v>77</v>
      </c>
      <c r="BV706" t="str" cm="1">
        <f t="array" aca="1" ref="BV706" ca="1">INDIRECT(BU706&amp;BT706)</f>
        <v xml:space="preserve">      series QD_coil = 0.149380531255448 * @elem(QD_coil, 2015)</v>
      </c>
    </row>
    <row r="707" spans="71:74" x14ac:dyDescent="0.25">
      <c r="BS707" t="s">
        <v>64</v>
      </c>
      <c r="BT707">
        <v>33</v>
      </c>
      <c r="BU707" t="s">
        <v>78</v>
      </c>
      <c r="BV707" t="str" cm="1">
        <f t="array" aca="1" ref="BV707" ca="1">INDIRECT(BU707&amp;BT707)</f>
        <v xml:space="preserve">      series QD_cfue = 1.64340675329773 * @elem(QD_cfue, 2015)</v>
      </c>
    </row>
    <row r="708" spans="71:74" x14ac:dyDescent="0.25">
      <c r="BS708" t="s">
        <v>64</v>
      </c>
      <c r="BT708">
        <v>33</v>
      </c>
      <c r="BU708" t="s">
        <v>79</v>
      </c>
      <c r="BV708" t="str" cm="1">
        <f t="array" aca="1" ref="BV708" ca="1">INDIRECT(BU708&amp;BT708)</f>
        <v xml:space="preserve">      series QD_cpch = 1.71144170229462 * @elem(QD_cpch, 2015)</v>
      </c>
    </row>
    <row r="709" spans="71:74" x14ac:dyDescent="0.25">
      <c r="BS709" t="s">
        <v>64</v>
      </c>
      <c r="BT709">
        <v>33</v>
      </c>
      <c r="BU709" t="s">
        <v>80</v>
      </c>
      <c r="BV709" t="str" cm="1">
        <f t="array" aca="1" ref="BV709" ca="1">INDIRECT(BU709&amp;BT709)</f>
        <v xml:space="preserve">      series QD_cele = 1.17954066929713 * @elem(QD_cele, 2015)</v>
      </c>
    </row>
    <row r="710" spans="71:74" x14ac:dyDescent="0.25">
      <c r="BS710" t="s">
        <v>64</v>
      </c>
      <c r="BT710">
        <v>33</v>
      </c>
      <c r="BU710" t="s">
        <v>81</v>
      </c>
      <c r="BV710" t="str" cm="1">
        <f t="array" aca="1" ref="BV710" ca="1">INDIRECT(BU710&amp;BT710)</f>
        <v xml:space="preserve">      series QD_cgas = 1.20231506857038 * @elem(QD_cgas, 2015)</v>
      </c>
    </row>
    <row r="711" spans="71:74" x14ac:dyDescent="0.25">
      <c r="BS711" t="s">
        <v>64</v>
      </c>
      <c r="BT711">
        <v>33</v>
      </c>
      <c r="BU711" t="s">
        <v>82</v>
      </c>
      <c r="BV711" t="str" cm="1">
        <f t="array" aca="1" ref="BV711" ca="1">INDIRECT(BU711&amp;BT711)</f>
        <v xml:space="preserve">      series QD_cmga = 0.710045857992219 * @elem(QD_cmga, 2015)</v>
      </c>
    </row>
    <row r="712" spans="71:74" x14ac:dyDescent="0.25">
      <c r="BS712" t="s">
        <v>64</v>
      </c>
      <c r="BT712">
        <v>33</v>
      </c>
      <c r="BU712" t="s">
        <v>83</v>
      </c>
      <c r="BV712" t="str" cm="1">
        <f t="array" aca="1" ref="BV712" ca="1">INDIRECT(BU712&amp;BT712)</f>
        <v xml:space="preserve">      series QD_cbiog = 0.748335267553307 * @elem(QD_cbiog, 2015)</v>
      </c>
    </row>
    <row r="713" spans="71:74" x14ac:dyDescent="0.25">
      <c r="BS713" t="s">
        <v>64</v>
      </c>
      <c r="BT713">
        <v>33</v>
      </c>
      <c r="BU713" t="s">
        <v>84</v>
      </c>
      <c r="BV713" t="str" cm="1">
        <f t="array" aca="1" ref="BV713" ca="1">INDIRECT(BU713&amp;BT713)</f>
        <v xml:space="preserve">      series QD_cbiom = 0.745672594290982 * @elem(QD_cbiom, 2015)</v>
      </c>
    </row>
    <row r="714" spans="71:74" x14ac:dyDescent="0.25">
      <c r="BS714" t="s">
        <v>64</v>
      </c>
      <c r="BT714">
        <v>33</v>
      </c>
      <c r="BU714" t="s">
        <v>85</v>
      </c>
      <c r="BV714" t="str" cm="1">
        <f t="array" aca="1" ref="BV714" ca="1">INDIRECT(BU714&amp;BT714)</f>
        <v xml:space="preserve">      series QD_cbiof = 1.18610441769495 * @elem(QD_cbiof, 2015)</v>
      </c>
    </row>
    <row r="715" spans="71:74" x14ac:dyDescent="0.25">
      <c r="BS715" t="s">
        <v>64</v>
      </c>
      <c r="BT715">
        <v>33</v>
      </c>
      <c r="BU715" t="s">
        <v>87</v>
      </c>
      <c r="BV715" t="str" cm="1">
        <f t="array" aca="1" ref="BV715" ca="1">INDIRECT(BU715&amp;BT715)</f>
        <v xml:space="preserve">      series QD_chea = 1.17564870576862 * @elem(QD_chea, 2015)</v>
      </c>
    </row>
    <row r="716" spans="71:74" x14ac:dyDescent="0.25">
      <c r="BS716" t="s">
        <v>64</v>
      </c>
      <c r="BT716">
        <v>34</v>
      </c>
      <c r="BU716" t="s">
        <v>65</v>
      </c>
      <c r="BV716" t="str" cm="1">
        <f t="array" aca="1" ref="BV716" ca="1">INDIRECT(BU716&amp;BT716)</f>
        <v xml:space="preserve">      smpl 2046 2046</v>
      </c>
    </row>
    <row r="717" spans="71:74" x14ac:dyDescent="0.25">
      <c r="BS717" t="s">
        <v>64</v>
      </c>
      <c r="BT717">
        <v>34</v>
      </c>
      <c r="BU717" t="s">
        <v>66</v>
      </c>
      <c r="BV717" t="str" cm="1">
        <f t="array" aca="1" ref="BV717" ca="1">INDIRECT(BU717&amp;BT717)</f>
        <v xml:space="preserve">      series QD_cagr = 1.43077900426361 * @elem(QD_cagr, 2015)</v>
      </c>
    </row>
    <row r="718" spans="71:74" x14ac:dyDescent="0.25">
      <c r="BS718" t="s">
        <v>64</v>
      </c>
      <c r="BT718">
        <v>34</v>
      </c>
      <c r="BU718" t="s">
        <v>67</v>
      </c>
      <c r="BV718" t="str" cm="1">
        <f t="array" aca="1" ref="BV718" ca="1">INDIRECT(BU718&amp;BT718)</f>
        <v xml:space="preserve">      series QD_cmet = 1.48923449976983 * @elem(QD_cmet, 2015)</v>
      </c>
    </row>
    <row r="719" spans="71:74" x14ac:dyDescent="0.25">
      <c r="BS719" t="s">
        <v>64</v>
      </c>
      <c r="BT719">
        <v>34</v>
      </c>
      <c r="BU719" t="s">
        <v>68</v>
      </c>
      <c r="BV719" t="str" cm="1">
        <f t="array" aca="1" ref="BV719" ca="1">INDIRECT(BU719&amp;BT719)</f>
        <v xml:space="preserve">      series QD_cchem = 1.32305896408221 * @elem(QD_cchem, 2015)</v>
      </c>
    </row>
    <row r="720" spans="71:74" x14ac:dyDescent="0.25">
      <c r="BS720" t="s">
        <v>64</v>
      </c>
      <c r="BT720">
        <v>34</v>
      </c>
      <c r="BU720" t="s">
        <v>69</v>
      </c>
      <c r="BV720" t="str" cm="1">
        <f t="array" aca="1" ref="BV720" ca="1">INDIRECT(BU720&amp;BT720)</f>
        <v xml:space="preserve">      series QD_cpla = 1.46049698437957 * @elem(QD_cpla, 2015)</v>
      </c>
    </row>
    <row r="721" spans="71:74" x14ac:dyDescent="0.25">
      <c r="BS721" t="s">
        <v>64</v>
      </c>
      <c r="BT721">
        <v>34</v>
      </c>
      <c r="BU721" t="s">
        <v>70</v>
      </c>
      <c r="BV721" t="str" cm="1">
        <f t="array" aca="1" ref="BV721" ca="1">INDIRECT(BU721&amp;BT721)</f>
        <v xml:space="preserve">      series QD_cgla = 1.43924125982363 * @elem(QD_cgla, 2015)</v>
      </c>
    </row>
    <row r="722" spans="71:74" x14ac:dyDescent="0.25">
      <c r="BS722" t="s">
        <v>64</v>
      </c>
      <c r="BT722">
        <v>34</v>
      </c>
      <c r="BU722" t="s">
        <v>71</v>
      </c>
      <c r="BV722" t="str" cm="1">
        <f t="array" aca="1" ref="BV722" ca="1">INDIRECT(BU722&amp;BT722)</f>
        <v xml:space="preserve">      series QD_cpap = 1.40098397909022 * @elem(QD_cpap, 2015)</v>
      </c>
    </row>
    <row r="723" spans="71:74" x14ac:dyDescent="0.25">
      <c r="BS723" t="s">
        <v>64</v>
      </c>
      <c r="BT723">
        <v>34</v>
      </c>
      <c r="BU723" t="s">
        <v>72</v>
      </c>
      <c r="BV723" t="str" cm="1">
        <f t="array" aca="1" ref="BV723" ca="1">INDIRECT(BU723&amp;BT723)</f>
        <v xml:space="preserve">      series QD_cfoo = 1.43078222953526 * @elem(QD_cfoo, 2015)</v>
      </c>
    </row>
    <row r="724" spans="71:74" x14ac:dyDescent="0.25">
      <c r="BS724" t="s">
        <v>64</v>
      </c>
      <c r="BT724">
        <v>34</v>
      </c>
      <c r="BU724" t="s">
        <v>73</v>
      </c>
      <c r="BV724" t="str" cm="1">
        <f t="array" aca="1" ref="BV724" ca="1">INDIRECT(BU724&amp;BT724)</f>
        <v xml:space="preserve">      series QD_cres = 1.4987648937316 * @elem(QD_cres, 2015)</v>
      </c>
    </row>
    <row r="725" spans="71:74" x14ac:dyDescent="0.25">
      <c r="BS725" t="s">
        <v>64</v>
      </c>
      <c r="BT725">
        <v>34</v>
      </c>
      <c r="BU725" t="s">
        <v>74</v>
      </c>
      <c r="BV725" t="str" cm="1">
        <f t="array" aca="1" ref="BV725" ca="1">INDIRECT(BU725&amp;BT725)</f>
        <v xml:space="preserve">      series QD_croa = 1.4697979635162 * @elem(QD_croa, 2015)</v>
      </c>
    </row>
    <row r="726" spans="71:74" x14ac:dyDescent="0.25">
      <c r="BS726" t="s">
        <v>64</v>
      </c>
      <c r="BT726">
        <v>34</v>
      </c>
      <c r="BU726" t="s">
        <v>75</v>
      </c>
      <c r="BV726" t="str" cm="1">
        <f t="array" aca="1" ref="BV726" ca="1">INDIRECT(BU726&amp;BT726)</f>
        <v xml:space="preserve">      series QD_cwat = 1.45075842670868 * @elem(QD_cwat, 2015)</v>
      </c>
    </row>
    <row r="727" spans="71:74" x14ac:dyDescent="0.25">
      <c r="BS727" t="s">
        <v>64</v>
      </c>
      <c r="BT727">
        <v>34</v>
      </c>
      <c r="BU727" t="s">
        <v>86</v>
      </c>
      <c r="BV727" t="str" cm="1">
        <f t="array" aca="1" ref="BV727" ca="1">INDIRECT(BU727&amp;BT727)</f>
        <v xml:space="preserve">      series QD_cair = 0.958183812864918 * @elem(QD_cair, 2015)</v>
      </c>
    </row>
    <row r="728" spans="71:74" x14ac:dyDescent="0.25">
      <c r="BS728" t="s">
        <v>64</v>
      </c>
      <c r="BT728">
        <v>34</v>
      </c>
      <c r="BU728" t="s">
        <v>76</v>
      </c>
      <c r="BV728" t="str" cm="1">
        <f t="array" aca="1" ref="BV728" ca="1">INDIRECT(BU728&amp;BT728)</f>
        <v xml:space="preserve">      series QD_ccoa = 0.0781975934566348 * @elem(QD_ccoa, 2015)</v>
      </c>
    </row>
    <row r="729" spans="71:74" x14ac:dyDescent="0.25">
      <c r="BS729" t="s">
        <v>64</v>
      </c>
      <c r="BT729">
        <v>34</v>
      </c>
      <c r="BU729" t="s">
        <v>77</v>
      </c>
      <c r="BV729" t="str" cm="1">
        <f t="array" aca="1" ref="BV729" ca="1">INDIRECT(BU729&amp;BT729)</f>
        <v xml:space="preserve">      series QD_coil = 0.149748254695568 * @elem(QD_coil, 2015)</v>
      </c>
    </row>
    <row r="730" spans="71:74" x14ac:dyDescent="0.25">
      <c r="BS730" t="s">
        <v>64</v>
      </c>
      <c r="BT730">
        <v>34</v>
      </c>
      <c r="BU730" t="s">
        <v>78</v>
      </c>
      <c r="BV730" t="str" cm="1">
        <f t="array" aca="1" ref="BV730" ca="1">INDIRECT(BU730&amp;BT730)</f>
        <v xml:space="preserve">      series QD_cfue = 1.64928128304699 * @elem(QD_cfue, 2015)</v>
      </c>
    </row>
    <row r="731" spans="71:74" x14ac:dyDescent="0.25">
      <c r="BS731" t="s">
        <v>64</v>
      </c>
      <c r="BT731">
        <v>34</v>
      </c>
      <c r="BU731" t="s">
        <v>79</v>
      </c>
      <c r="BV731" t="str" cm="1">
        <f t="array" aca="1" ref="BV731" ca="1">INDIRECT(BU731&amp;BT731)</f>
        <v xml:space="preserve">      series QD_cpch = 1.71988970276646 * @elem(QD_cpch, 2015)</v>
      </c>
    </row>
    <row r="732" spans="71:74" x14ac:dyDescent="0.25">
      <c r="BS732" t="s">
        <v>64</v>
      </c>
      <c r="BT732">
        <v>34</v>
      </c>
      <c r="BU732" t="s">
        <v>80</v>
      </c>
      <c r="BV732" t="str" cm="1">
        <f t="array" aca="1" ref="BV732" ca="1">INDIRECT(BU732&amp;BT732)</f>
        <v xml:space="preserve">      series QD_cele = 1.18621358590674 * @elem(QD_cele, 2015)</v>
      </c>
    </row>
    <row r="733" spans="71:74" x14ac:dyDescent="0.25">
      <c r="BS733" t="s">
        <v>64</v>
      </c>
      <c r="BT733">
        <v>34</v>
      </c>
      <c r="BU733" t="s">
        <v>81</v>
      </c>
      <c r="BV733" t="str" cm="1">
        <f t="array" aca="1" ref="BV733" ca="1">INDIRECT(BU733&amp;BT733)</f>
        <v xml:space="preserve">      series QD_cgas = 1.20607913738041 * @elem(QD_cgas, 2015)</v>
      </c>
    </row>
    <row r="734" spans="71:74" x14ac:dyDescent="0.25">
      <c r="BS734" t="s">
        <v>64</v>
      </c>
      <c r="BT734">
        <v>34</v>
      </c>
      <c r="BU734" t="s">
        <v>82</v>
      </c>
      <c r="BV734" t="str" cm="1">
        <f t="array" aca="1" ref="BV734" ca="1">INDIRECT(BU734&amp;BT734)</f>
        <v xml:space="preserve">      series QD_cmga = 0.735771306212578 * @elem(QD_cmga, 2015)</v>
      </c>
    </row>
    <row r="735" spans="71:74" x14ac:dyDescent="0.25">
      <c r="BS735" t="s">
        <v>64</v>
      </c>
      <c r="BT735">
        <v>34</v>
      </c>
      <c r="BU735" t="s">
        <v>83</v>
      </c>
      <c r="BV735" t="str" cm="1">
        <f t="array" aca="1" ref="BV735" ca="1">INDIRECT(BU735&amp;BT735)</f>
        <v xml:space="preserve">      series QD_cbiog = 0.740173615428364 * @elem(QD_cbiog, 2015)</v>
      </c>
    </row>
    <row r="736" spans="71:74" x14ac:dyDescent="0.25">
      <c r="BS736" t="s">
        <v>64</v>
      </c>
      <c r="BT736">
        <v>34</v>
      </c>
      <c r="BU736" t="s">
        <v>84</v>
      </c>
      <c r="BV736" t="str" cm="1">
        <f t="array" aca="1" ref="BV736" ca="1">INDIRECT(BU736&amp;BT736)</f>
        <v xml:space="preserve">      series QD_cbiom = 0.740880563886829 * @elem(QD_cbiom, 2015)</v>
      </c>
    </row>
    <row r="737" spans="71:74" x14ac:dyDescent="0.25">
      <c r="BS737" t="s">
        <v>64</v>
      </c>
      <c r="BT737">
        <v>34</v>
      </c>
      <c r="BU737" t="s">
        <v>85</v>
      </c>
      <c r="BV737" t="str" cm="1">
        <f t="array" aca="1" ref="BV737" ca="1">INDIRECT(BU737&amp;BT737)</f>
        <v xml:space="preserve">      series QD_cbiof = 1.19124807736554 * @elem(QD_cbiof, 2015)</v>
      </c>
    </row>
    <row r="738" spans="71:74" x14ac:dyDescent="0.25">
      <c r="BS738" t="s">
        <v>64</v>
      </c>
      <c r="BT738">
        <v>34</v>
      </c>
      <c r="BU738" t="s">
        <v>87</v>
      </c>
      <c r="BV738" t="str" cm="1">
        <f t="array" aca="1" ref="BV738" ca="1">INDIRECT(BU738&amp;BT738)</f>
        <v xml:space="preserve">      series QD_chea = 1.17596519365068 * @elem(QD_chea, 2015)</v>
      </c>
    </row>
    <row r="739" spans="71:74" x14ac:dyDescent="0.25">
      <c r="BS739" t="s">
        <v>64</v>
      </c>
      <c r="BT739">
        <v>35</v>
      </c>
      <c r="BU739" t="s">
        <v>65</v>
      </c>
      <c r="BV739" t="str" cm="1">
        <f t="array" aca="1" ref="BV739" ca="1">INDIRECT(BU739&amp;BT739)</f>
        <v xml:space="preserve">      smpl 2047 2047</v>
      </c>
    </row>
    <row r="740" spans="71:74" x14ac:dyDescent="0.25">
      <c r="BS740" t="s">
        <v>64</v>
      </c>
      <c r="BT740">
        <v>35</v>
      </c>
      <c r="BU740" t="s">
        <v>66</v>
      </c>
      <c r="BV740" t="str" cm="1">
        <f t="array" aca="1" ref="BV740" ca="1">INDIRECT(BU740&amp;BT740)</f>
        <v xml:space="preserve">      series QD_cagr = 1.44088913490449 * @elem(QD_cagr, 2015)</v>
      </c>
    </row>
    <row r="741" spans="71:74" x14ac:dyDescent="0.25">
      <c r="BS741" t="s">
        <v>64</v>
      </c>
      <c r="BT741">
        <v>35</v>
      </c>
      <c r="BU741" t="s">
        <v>67</v>
      </c>
      <c r="BV741" t="str" cm="1">
        <f t="array" aca="1" ref="BV741" ca="1">INDIRECT(BU741&amp;BT741)</f>
        <v xml:space="preserve">      series QD_cmet = 1.49690757651613 * @elem(QD_cmet, 2015)</v>
      </c>
    </row>
    <row r="742" spans="71:74" x14ac:dyDescent="0.25">
      <c r="BS742" t="s">
        <v>64</v>
      </c>
      <c r="BT742">
        <v>35</v>
      </c>
      <c r="BU742" t="s">
        <v>68</v>
      </c>
      <c r="BV742" t="str" cm="1">
        <f t="array" aca="1" ref="BV742" ca="1">INDIRECT(BU742&amp;BT742)</f>
        <v xml:space="preserve">      series QD_cchem = 1.33002373468084 * @elem(QD_cchem, 2015)</v>
      </c>
    </row>
    <row r="743" spans="71:74" x14ac:dyDescent="0.25">
      <c r="BS743" t="s">
        <v>64</v>
      </c>
      <c r="BT743">
        <v>35</v>
      </c>
      <c r="BU743" t="s">
        <v>69</v>
      </c>
      <c r="BV743" t="str" cm="1">
        <f t="array" aca="1" ref="BV743" ca="1">INDIRECT(BU743&amp;BT743)</f>
        <v xml:space="preserve">      series QD_cpla = 1.46976669982735 * @elem(QD_cpla, 2015)</v>
      </c>
    </row>
    <row r="744" spans="71:74" x14ac:dyDescent="0.25">
      <c r="BS744" t="s">
        <v>64</v>
      </c>
      <c r="BT744">
        <v>35</v>
      </c>
      <c r="BU744" t="s">
        <v>70</v>
      </c>
      <c r="BV744" t="str" cm="1">
        <f t="array" aca="1" ref="BV744" ca="1">INDIRECT(BU744&amp;BT744)</f>
        <v xml:space="preserve">      series QD_cgla = 1.4470943977064 * @elem(QD_cgla, 2015)</v>
      </c>
    </row>
    <row r="745" spans="71:74" x14ac:dyDescent="0.25">
      <c r="BS745" t="s">
        <v>64</v>
      </c>
      <c r="BT745">
        <v>35</v>
      </c>
      <c r="BU745" t="s">
        <v>71</v>
      </c>
      <c r="BV745" t="str" cm="1">
        <f t="array" aca="1" ref="BV745" ca="1">INDIRECT(BU745&amp;BT745)</f>
        <v xml:space="preserve">      series QD_cpap = 1.40870028266334 * @elem(QD_cpap, 2015)</v>
      </c>
    </row>
    <row r="746" spans="71:74" x14ac:dyDescent="0.25">
      <c r="BS746" t="s">
        <v>64</v>
      </c>
      <c r="BT746">
        <v>35</v>
      </c>
      <c r="BU746" t="s">
        <v>72</v>
      </c>
      <c r="BV746" t="str" cm="1">
        <f t="array" aca="1" ref="BV746" ca="1">INDIRECT(BU746&amp;BT746)</f>
        <v xml:space="preserve">      series QD_cfoo = 1.44025266621355 * @elem(QD_cfoo, 2015)</v>
      </c>
    </row>
    <row r="747" spans="71:74" x14ac:dyDescent="0.25">
      <c r="BS747" t="s">
        <v>64</v>
      </c>
      <c r="BT747">
        <v>35</v>
      </c>
      <c r="BU747" t="s">
        <v>73</v>
      </c>
      <c r="BV747" t="str" cm="1">
        <f t="array" aca="1" ref="BV747" ca="1">INDIRECT(BU747&amp;BT747)</f>
        <v xml:space="preserve">      series QD_cres = 1.50826748676652 * @elem(QD_cres, 2015)</v>
      </c>
    </row>
    <row r="748" spans="71:74" x14ac:dyDescent="0.25">
      <c r="BS748" t="s">
        <v>64</v>
      </c>
      <c r="BT748">
        <v>35</v>
      </c>
      <c r="BU748" t="s">
        <v>74</v>
      </c>
      <c r="BV748" t="str" cm="1">
        <f t="array" aca="1" ref="BV748" ca="1">INDIRECT(BU748&amp;BT748)</f>
        <v xml:space="preserve">      series QD_croa = 1.48129893451754 * @elem(QD_croa, 2015)</v>
      </c>
    </row>
    <row r="749" spans="71:74" x14ac:dyDescent="0.25">
      <c r="BS749" t="s">
        <v>64</v>
      </c>
      <c r="BT749">
        <v>35</v>
      </c>
      <c r="BU749" t="s">
        <v>75</v>
      </c>
      <c r="BV749" t="str" cm="1">
        <f t="array" aca="1" ref="BV749" ca="1">INDIRECT(BU749&amp;BT749)</f>
        <v xml:space="preserve">      series QD_cwat = 1.46058878381298 * @elem(QD_cwat, 2015)</v>
      </c>
    </row>
    <row r="750" spans="71:74" x14ac:dyDescent="0.25">
      <c r="BS750" t="s">
        <v>64</v>
      </c>
      <c r="BT750">
        <v>35</v>
      </c>
      <c r="BU750" t="s">
        <v>86</v>
      </c>
      <c r="BV750" t="str" cm="1">
        <f t="array" aca="1" ref="BV750" ca="1">INDIRECT(BU750&amp;BT750)</f>
        <v xml:space="preserve">      series QD_cair = 0.964536082731321 * @elem(QD_cair, 2015)</v>
      </c>
    </row>
    <row r="751" spans="71:74" x14ac:dyDescent="0.25">
      <c r="BS751" t="s">
        <v>64</v>
      </c>
      <c r="BT751">
        <v>35</v>
      </c>
      <c r="BU751" t="s">
        <v>76</v>
      </c>
      <c r="BV751" t="str" cm="1">
        <f t="array" aca="1" ref="BV751" ca="1">INDIRECT(BU751&amp;BT751)</f>
        <v xml:space="preserve">      series QD_ccoa = 0.0783511350664851 * @elem(QD_ccoa, 2015)</v>
      </c>
    </row>
    <row r="752" spans="71:74" x14ac:dyDescent="0.25">
      <c r="BS752" t="s">
        <v>64</v>
      </c>
      <c r="BT752">
        <v>35</v>
      </c>
      <c r="BU752" t="s">
        <v>77</v>
      </c>
      <c r="BV752" t="str" cm="1">
        <f t="array" aca="1" ref="BV752" ca="1">INDIRECT(BU752&amp;BT752)</f>
        <v xml:space="preserve">      series QD_coil = 0.150137638029693 * @elem(QD_coil, 2015)</v>
      </c>
    </row>
    <row r="753" spans="71:74" x14ac:dyDescent="0.25">
      <c r="BS753" t="s">
        <v>64</v>
      </c>
      <c r="BT753">
        <v>35</v>
      </c>
      <c r="BU753" t="s">
        <v>78</v>
      </c>
      <c r="BV753" t="str" cm="1">
        <f t="array" aca="1" ref="BV753" ca="1">INDIRECT(BU753&amp;BT753)</f>
        <v xml:space="preserve">      series QD_cfue = 1.65526476837153 * @elem(QD_cfue, 2015)</v>
      </c>
    </row>
    <row r="754" spans="71:74" x14ac:dyDescent="0.25">
      <c r="BS754" t="s">
        <v>64</v>
      </c>
      <c r="BT754">
        <v>35</v>
      </c>
      <c r="BU754" t="s">
        <v>79</v>
      </c>
      <c r="BV754" t="str" cm="1">
        <f t="array" aca="1" ref="BV754" ca="1">INDIRECT(BU754&amp;BT754)</f>
        <v xml:space="preserve">      series QD_cpch = 1.72828126027357 * @elem(QD_cpch, 2015)</v>
      </c>
    </row>
    <row r="755" spans="71:74" x14ac:dyDescent="0.25">
      <c r="BS755" t="s">
        <v>64</v>
      </c>
      <c r="BT755">
        <v>35</v>
      </c>
      <c r="BU755" t="s">
        <v>80</v>
      </c>
      <c r="BV755" t="str" cm="1">
        <f t="array" aca="1" ref="BV755" ca="1">INDIRECT(BU755&amp;BT755)</f>
        <v xml:space="preserve">      series QD_cele = 1.19275823231478 * @elem(QD_cele, 2015)</v>
      </c>
    </row>
    <row r="756" spans="71:74" x14ac:dyDescent="0.25">
      <c r="BS756" t="s">
        <v>64</v>
      </c>
      <c r="BT756">
        <v>35</v>
      </c>
      <c r="BU756" t="s">
        <v>81</v>
      </c>
      <c r="BV756" t="str" cm="1">
        <f t="array" aca="1" ref="BV756" ca="1">INDIRECT(BU756&amp;BT756)</f>
        <v xml:space="preserve">      series QD_cgas = 1.20974062392599 * @elem(QD_cgas, 2015)</v>
      </c>
    </row>
    <row r="757" spans="71:74" x14ac:dyDescent="0.25">
      <c r="BS757" t="s">
        <v>64</v>
      </c>
      <c r="BT757">
        <v>35</v>
      </c>
      <c r="BU757" t="s">
        <v>82</v>
      </c>
      <c r="BV757" t="str" cm="1">
        <f t="array" aca="1" ref="BV757" ca="1">INDIRECT(BU757&amp;BT757)</f>
        <v xml:space="preserve">      series QD_cmga = 0.762934150056105 * @elem(QD_cmga, 2015)</v>
      </c>
    </row>
    <row r="758" spans="71:74" x14ac:dyDescent="0.25">
      <c r="BS758" t="s">
        <v>64</v>
      </c>
      <c r="BT758">
        <v>35</v>
      </c>
      <c r="BU758" t="s">
        <v>83</v>
      </c>
      <c r="BV758" t="str" cm="1">
        <f t="array" aca="1" ref="BV758" ca="1">INDIRECT(BU758&amp;BT758)</f>
        <v xml:space="preserve">      series QD_cbiog = 0.733149554048865 * @elem(QD_cbiog, 2015)</v>
      </c>
    </row>
    <row r="759" spans="71:74" x14ac:dyDescent="0.25">
      <c r="BS759" t="s">
        <v>64</v>
      </c>
      <c r="BT759">
        <v>35</v>
      </c>
      <c r="BU759" t="s">
        <v>84</v>
      </c>
      <c r="BV759" t="str" cm="1">
        <f t="array" aca="1" ref="BV759" ca="1">INDIRECT(BU759&amp;BT759)</f>
        <v xml:space="preserve">      series QD_cbiom = 0.735699031600287 * @elem(QD_cbiom, 2015)</v>
      </c>
    </row>
    <row r="760" spans="71:74" x14ac:dyDescent="0.25">
      <c r="BS760" t="s">
        <v>64</v>
      </c>
      <c r="BT760">
        <v>35</v>
      </c>
      <c r="BU760" t="s">
        <v>85</v>
      </c>
      <c r="BV760" t="str" cm="1">
        <f t="array" aca="1" ref="BV760" ca="1">INDIRECT(BU760&amp;BT760)</f>
        <v xml:space="preserve">      series QD_cbiof = 1.19625148096325 * @elem(QD_cbiof, 2015)</v>
      </c>
    </row>
    <row r="761" spans="71:74" x14ac:dyDescent="0.25">
      <c r="BS761" t="s">
        <v>64</v>
      </c>
      <c r="BT761">
        <v>35</v>
      </c>
      <c r="BU761" t="s">
        <v>87</v>
      </c>
      <c r="BV761" t="str" cm="1">
        <f t="array" aca="1" ref="BV761" ca="1">INDIRECT(BU761&amp;BT761)</f>
        <v xml:space="preserve">      series QD_chea = 1.17551888415446 * @elem(QD_chea, 2015)</v>
      </c>
    </row>
    <row r="762" spans="71:74" x14ac:dyDescent="0.25">
      <c r="BS762" t="s">
        <v>64</v>
      </c>
      <c r="BT762">
        <v>36</v>
      </c>
      <c r="BU762" t="s">
        <v>65</v>
      </c>
      <c r="BV762" t="str" cm="1">
        <f t="array" aca="1" ref="BV762" ca="1">INDIRECT(BU762&amp;BT762)</f>
        <v xml:space="preserve">      smpl 2048 2048</v>
      </c>
    </row>
    <row r="763" spans="71:74" x14ac:dyDescent="0.25">
      <c r="BS763" t="s">
        <v>64</v>
      </c>
      <c r="BT763">
        <v>36</v>
      </c>
      <c r="BU763" t="s">
        <v>66</v>
      </c>
      <c r="BV763" t="str" cm="1">
        <f t="array" aca="1" ref="BV763" ca="1">INDIRECT(BU763&amp;BT763)</f>
        <v xml:space="preserve">      series QD_cagr = 1.45071425634719 * @elem(QD_cagr, 2015)</v>
      </c>
    </row>
    <row r="764" spans="71:74" x14ac:dyDescent="0.25">
      <c r="BS764" t="s">
        <v>64</v>
      </c>
      <c r="BT764">
        <v>36</v>
      </c>
      <c r="BU764" t="s">
        <v>67</v>
      </c>
      <c r="BV764" t="str" cm="1">
        <f t="array" aca="1" ref="BV764" ca="1">INDIRECT(BU764&amp;BT764)</f>
        <v xml:space="preserve">      series QD_cmet = 1.50447355707185 * @elem(QD_cmet, 2015)</v>
      </c>
    </row>
    <row r="765" spans="71:74" x14ac:dyDescent="0.25">
      <c r="BS765" t="s">
        <v>64</v>
      </c>
      <c r="BT765">
        <v>36</v>
      </c>
      <c r="BU765" t="s">
        <v>68</v>
      </c>
      <c r="BV765" t="str" cm="1">
        <f t="array" aca="1" ref="BV765" ca="1">INDIRECT(BU765&amp;BT765)</f>
        <v xml:space="preserve">      series QD_cchem = 1.33687053156424 * @elem(QD_cchem, 2015)</v>
      </c>
    </row>
    <row r="766" spans="71:74" x14ac:dyDescent="0.25">
      <c r="BS766" t="s">
        <v>64</v>
      </c>
      <c r="BT766">
        <v>36</v>
      </c>
      <c r="BU766" t="s">
        <v>69</v>
      </c>
      <c r="BV766" t="str" cm="1">
        <f t="array" aca="1" ref="BV766" ca="1">INDIRECT(BU766&amp;BT766)</f>
        <v xml:space="preserve">      series QD_cpla = 1.47894353403373 * @elem(QD_cpla, 2015)</v>
      </c>
    </row>
    <row r="767" spans="71:74" x14ac:dyDescent="0.25">
      <c r="BS767" t="s">
        <v>64</v>
      </c>
      <c r="BT767">
        <v>36</v>
      </c>
      <c r="BU767" t="s">
        <v>70</v>
      </c>
      <c r="BV767" t="str" cm="1">
        <f t="array" aca="1" ref="BV767" ca="1">INDIRECT(BU767&amp;BT767)</f>
        <v xml:space="preserve">      series QD_cgla = 1.45488968785705 * @elem(QD_cgla, 2015)</v>
      </c>
    </row>
    <row r="768" spans="71:74" x14ac:dyDescent="0.25">
      <c r="BS768" t="s">
        <v>64</v>
      </c>
      <c r="BT768">
        <v>36</v>
      </c>
      <c r="BU768" t="s">
        <v>71</v>
      </c>
      <c r="BV768" t="str" cm="1">
        <f t="array" aca="1" ref="BV768" ca="1">INDIRECT(BU768&amp;BT768)</f>
        <v xml:space="preserve">      series QD_cpap = 1.4163380533161 * @elem(QD_cpap, 2015)</v>
      </c>
    </row>
    <row r="769" spans="71:74" x14ac:dyDescent="0.25">
      <c r="BS769" t="s">
        <v>64</v>
      </c>
      <c r="BT769">
        <v>36</v>
      </c>
      <c r="BU769" t="s">
        <v>72</v>
      </c>
      <c r="BV769" t="str" cm="1">
        <f t="array" aca="1" ref="BV769" ca="1">INDIRECT(BU769&amp;BT769)</f>
        <v xml:space="preserve">      series QD_cfoo = 1.44963273252436 * @elem(QD_cfoo, 2015)</v>
      </c>
    </row>
    <row r="770" spans="71:74" x14ac:dyDescent="0.25">
      <c r="BS770" t="s">
        <v>64</v>
      </c>
      <c r="BT770">
        <v>36</v>
      </c>
      <c r="BU770" t="s">
        <v>73</v>
      </c>
      <c r="BV770" t="str" cm="1">
        <f t="array" aca="1" ref="BV770" ca="1">INDIRECT(BU770&amp;BT770)</f>
        <v xml:space="preserve">      series QD_cres = 1.51773086799148 * @elem(QD_cres, 2015)</v>
      </c>
    </row>
    <row r="771" spans="71:74" x14ac:dyDescent="0.25">
      <c r="BS771" t="s">
        <v>64</v>
      </c>
      <c r="BT771">
        <v>36</v>
      </c>
      <c r="BU771" t="s">
        <v>74</v>
      </c>
      <c r="BV771" t="str" cm="1">
        <f t="array" aca="1" ref="BV771" ca="1">INDIRECT(BU771&amp;BT771)</f>
        <v xml:space="preserve">      series QD_croa = 1.4924792049688 * @elem(QD_croa, 2015)</v>
      </c>
    </row>
    <row r="772" spans="71:74" x14ac:dyDescent="0.25">
      <c r="BS772" t="s">
        <v>64</v>
      </c>
      <c r="BT772">
        <v>36</v>
      </c>
      <c r="BU772" t="s">
        <v>75</v>
      </c>
      <c r="BV772" t="str" cm="1">
        <f t="array" aca="1" ref="BV772" ca="1">INDIRECT(BU772&amp;BT772)</f>
        <v xml:space="preserve">      series QD_cwat = 1.47024930800371 * @elem(QD_cwat, 2015)</v>
      </c>
    </row>
    <row r="773" spans="71:74" x14ac:dyDescent="0.25">
      <c r="BS773" t="s">
        <v>64</v>
      </c>
      <c r="BT773">
        <v>36</v>
      </c>
      <c r="BU773" t="s">
        <v>86</v>
      </c>
      <c r="BV773" t="str" cm="1">
        <f t="array" aca="1" ref="BV773" ca="1">INDIRECT(BU773&amp;BT773)</f>
        <v xml:space="preserve">      series QD_cair = 0.972414088668976 * @elem(QD_cair, 2015)</v>
      </c>
    </row>
    <row r="774" spans="71:74" x14ac:dyDescent="0.25">
      <c r="BS774" t="s">
        <v>64</v>
      </c>
      <c r="BT774">
        <v>36</v>
      </c>
      <c r="BU774" t="s">
        <v>76</v>
      </c>
      <c r="BV774" t="str" cm="1">
        <f t="array" aca="1" ref="BV774" ca="1">INDIRECT(BU774&amp;BT774)</f>
        <v xml:space="preserve">      series QD_ccoa = 0.078539927339345 * @elem(QD_ccoa, 2015)</v>
      </c>
    </row>
    <row r="775" spans="71:74" x14ac:dyDescent="0.25">
      <c r="BS775" t="s">
        <v>64</v>
      </c>
      <c r="BT775">
        <v>36</v>
      </c>
      <c r="BU775" t="s">
        <v>77</v>
      </c>
      <c r="BV775" t="str" cm="1">
        <f t="array" aca="1" ref="BV775" ca="1">INDIRECT(BU775&amp;BT775)</f>
        <v xml:space="preserve">      series QD_coil = 0.150536875140254 * @elem(QD_coil, 2015)</v>
      </c>
    </row>
    <row r="776" spans="71:74" x14ac:dyDescent="0.25">
      <c r="BS776" t="s">
        <v>64</v>
      </c>
      <c r="BT776">
        <v>36</v>
      </c>
      <c r="BU776" t="s">
        <v>78</v>
      </c>
      <c r="BV776" t="str" cm="1">
        <f t="array" aca="1" ref="BV776" ca="1">INDIRECT(BU776&amp;BT776)</f>
        <v xml:space="preserve">      series QD_cfue = 1.66129189482122 * @elem(QD_cfue, 2015)</v>
      </c>
    </row>
    <row r="777" spans="71:74" x14ac:dyDescent="0.25">
      <c r="BS777" t="s">
        <v>64</v>
      </c>
      <c r="BT777">
        <v>36</v>
      </c>
      <c r="BU777" t="s">
        <v>79</v>
      </c>
      <c r="BV777" t="str" cm="1">
        <f t="array" aca="1" ref="BV777" ca="1">INDIRECT(BU777&amp;BT777)</f>
        <v xml:space="preserve">      series QD_cpch = 1.73659310126691 * @elem(QD_cpch, 2015)</v>
      </c>
    </row>
    <row r="778" spans="71:74" x14ac:dyDescent="0.25">
      <c r="BS778" t="s">
        <v>64</v>
      </c>
      <c r="BT778">
        <v>36</v>
      </c>
      <c r="BU778" t="s">
        <v>80</v>
      </c>
      <c r="BV778" t="str" cm="1">
        <f t="array" aca="1" ref="BV778" ca="1">INDIRECT(BU778&amp;BT778)</f>
        <v xml:space="preserve">      series QD_cele = 1.19915100885813 * @elem(QD_cele, 2015)</v>
      </c>
    </row>
    <row r="779" spans="71:74" x14ac:dyDescent="0.25">
      <c r="BS779" t="s">
        <v>64</v>
      </c>
      <c r="BT779">
        <v>36</v>
      </c>
      <c r="BU779" t="s">
        <v>81</v>
      </c>
      <c r="BV779" t="str" cm="1">
        <f t="array" aca="1" ref="BV779" ca="1">INDIRECT(BU779&amp;BT779)</f>
        <v xml:space="preserve">      series QD_cgas = 1.21330573825915 * @elem(QD_cgas, 2015)</v>
      </c>
    </row>
    <row r="780" spans="71:74" x14ac:dyDescent="0.25">
      <c r="BS780" t="s">
        <v>64</v>
      </c>
      <c r="BT780">
        <v>36</v>
      </c>
      <c r="BU780" t="s">
        <v>82</v>
      </c>
      <c r="BV780" t="str" cm="1">
        <f t="array" aca="1" ref="BV780" ca="1">INDIRECT(BU780&amp;BT780)</f>
        <v xml:space="preserve">      series QD_cmga = 0.791568959656982 * @elem(QD_cmga, 2015)</v>
      </c>
    </row>
    <row r="781" spans="71:74" x14ac:dyDescent="0.25">
      <c r="BS781" t="s">
        <v>64</v>
      </c>
      <c r="BT781">
        <v>36</v>
      </c>
      <c r="BU781" t="s">
        <v>83</v>
      </c>
      <c r="BV781" t="str" cm="1">
        <f t="array" aca="1" ref="BV781" ca="1">INDIRECT(BU781&amp;BT781)</f>
        <v xml:space="preserve">      series QD_cbiog = 0.727142807391721 * @elem(QD_cbiog, 2015)</v>
      </c>
    </row>
    <row r="782" spans="71:74" x14ac:dyDescent="0.25">
      <c r="BS782" t="s">
        <v>64</v>
      </c>
      <c r="BT782">
        <v>36</v>
      </c>
      <c r="BU782" t="s">
        <v>84</v>
      </c>
      <c r="BV782" t="str" cm="1">
        <f t="array" aca="1" ref="BV782" ca="1">INDIRECT(BU782&amp;BT782)</f>
        <v xml:space="preserve">      series QD_cbiom = 0.730247594722397 * @elem(QD_cbiom, 2015)</v>
      </c>
    </row>
    <row r="783" spans="71:74" x14ac:dyDescent="0.25">
      <c r="BS783" t="s">
        <v>64</v>
      </c>
      <c r="BT783">
        <v>36</v>
      </c>
      <c r="BU783" t="s">
        <v>85</v>
      </c>
      <c r="BV783" t="str" cm="1">
        <f t="array" aca="1" ref="BV783" ca="1">INDIRECT(BU783&amp;BT783)</f>
        <v xml:space="preserve">      series QD_cbiof = 1.2010841513334 * @elem(QD_cbiof, 2015)</v>
      </c>
    </row>
    <row r="784" spans="71:74" x14ac:dyDescent="0.25">
      <c r="BS784" t="s">
        <v>64</v>
      </c>
      <c r="BT784">
        <v>36</v>
      </c>
      <c r="BU784" t="s">
        <v>87</v>
      </c>
      <c r="BV784" t="str" cm="1">
        <f t="array" aca="1" ref="BV784" ca="1">INDIRECT(BU784&amp;BT784)</f>
        <v xml:space="preserve">      series QD_chea = 1.17433414544022 * @elem(QD_chea, 2015)</v>
      </c>
    </row>
    <row r="785" spans="71:74" x14ac:dyDescent="0.25">
      <c r="BS785" t="s">
        <v>64</v>
      </c>
      <c r="BT785">
        <v>36</v>
      </c>
      <c r="BU785" t="s">
        <v>65</v>
      </c>
      <c r="BV785" t="str" cm="1">
        <f t="array" aca="1" ref="BV785" ca="1">INDIRECT(BU785&amp;BT785)</f>
        <v xml:space="preserve">      smpl 2048 2048</v>
      </c>
    </row>
    <row r="786" spans="71:74" x14ac:dyDescent="0.25">
      <c r="BS786" t="s">
        <v>64</v>
      </c>
      <c r="BT786">
        <v>36</v>
      </c>
      <c r="BU786" t="s">
        <v>66</v>
      </c>
      <c r="BV786" t="str" cm="1">
        <f t="array" aca="1" ref="BV786" ca="1">INDIRECT(BU786&amp;BT786)</f>
        <v xml:space="preserve">      series QD_cagr = 1.45071425634719 * @elem(QD_cagr, 2015)</v>
      </c>
    </row>
    <row r="787" spans="71:74" x14ac:dyDescent="0.25">
      <c r="BS787" t="s">
        <v>64</v>
      </c>
      <c r="BT787">
        <v>36</v>
      </c>
      <c r="BU787" t="s">
        <v>67</v>
      </c>
      <c r="BV787" t="str" cm="1">
        <f t="array" aca="1" ref="BV787" ca="1">INDIRECT(BU787&amp;BT787)</f>
        <v xml:space="preserve">      series QD_cmet = 1.50447355707185 * @elem(QD_cmet, 2015)</v>
      </c>
    </row>
    <row r="788" spans="71:74" x14ac:dyDescent="0.25">
      <c r="BS788" t="s">
        <v>64</v>
      </c>
      <c r="BT788">
        <v>36</v>
      </c>
      <c r="BU788" t="s">
        <v>68</v>
      </c>
      <c r="BV788" t="str" cm="1">
        <f t="array" aca="1" ref="BV788" ca="1">INDIRECT(BU788&amp;BT788)</f>
        <v xml:space="preserve">      series QD_cchem = 1.33687053156424 * @elem(QD_cchem, 2015)</v>
      </c>
    </row>
    <row r="789" spans="71:74" x14ac:dyDescent="0.25">
      <c r="BS789" t="s">
        <v>64</v>
      </c>
      <c r="BT789">
        <v>36</v>
      </c>
      <c r="BU789" t="s">
        <v>69</v>
      </c>
      <c r="BV789" t="str" cm="1">
        <f t="array" aca="1" ref="BV789" ca="1">INDIRECT(BU789&amp;BT789)</f>
        <v xml:space="preserve">      series QD_cpla = 1.47894353403373 * @elem(QD_cpla, 2015)</v>
      </c>
    </row>
    <row r="790" spans="71:74" x14ac:dyDescent="0.25">
      <c r="BS790" t="s">
        <v>64</v>
      </c>
      <c r="BT790">
        <v>36</v>
      </c>
      <c r="BU790" t="s">
        <v>70</v>
      </c>
      <c r="BV790" t="str" cm="1">
        <f t="array" aca="1" ref="BV790" ca="1">INDIRECT(BU790&amp;BT790)</f>
        <v xml:space="preserve">      series QD_cgla = 1.45488968785705 * @elem(QD_cgla, 2015)</v>
      </c>
    </row>
    <row r="791" spans="71:74" x14ac:dyDescent="0.25">
      <c r="BS791" t="s">
        <v>64</v>
      </c>
      <c r="BT791">
        <v>36</v>
      </c>
      <c r="BU791" t="s">
        <v>71</v>
      </c>
      <c r="BV791" t="str" cm="1">
        <f t="array" aca="1" ref="BV791" ca="1">INDIRECT(BU791&amp;BT791)</f>
        <v xml:space="preserve">      series QD_cpap = 1.4163380533161 * @elem(QD_cpap, 2015)</v>
      </c>
    </row>
    <row r="792" spans="71:74" x14ac:dyDescent="0.25">
      <c r="BS792" t="s">
        <v>64</v>
      </c>
      <c r="BT792">
        <v>36</v>
      </c>
      <c r="BU792" t="s">
        <v>72</v>
      </c>
      <c r="BV792" t="str" cm="1">
        <f t="array" aca="1" ref="BV792" ca="1">INDIRECT(BU792&amp;BT792)</f>
        <v xml:space="preserve">      series QD_cfoo = 1.44963273252436 * @elem(QD_cfoo, 2015)</v>
      </c>
    </row>
    <row r="793" spans="71:74" x14ac:dyDescent="0.25">
      <c r="BS793" t="s">
        <v>64</v>
      </c>
      <c r="BT793">
        <v>36</v>
      </c>
      <c r="BU793" t="s">
        <v>73</v>
      </c>
      <c r="BV793" t="str" cm="1">
        <f t="array" aca="1" ref="BV793" ca="1">INDIRECT(BU793&amp;BT793)</f>
        <v xml:space="preserve">      series QD_cres = 1.51773086799148 * @elem(QD_cres, 2015)</v>
      </c>
    </row>
    <row r="794" spans="71:74" x14ac:dyDescent="0.25">
      <c r="BS794" t="s">
        <v>64</v>
      </c>
      <c r="BT794">
        <v>36</v>
      </c>
      <c r="BU794" t="s">
        <v>74</v>
      </c>
      <c r="BV794" t="str" cm="1">
        <f t="array" aca="1" ref="BV794" ca="1">INDIRECT(BU794&amp;BT794)</f>
        <v xml:space="preserve">      series QD_croa = 1.4924792049688 * @elem(QD_croa, 2015)</v>
      </c>
    </row>
    <row r="795" spans="71:74" x14ac:dyDescent="0.25">
      <c r="BS795" t="s">
        <v>64</v>
      </c>
      <c r="BT795">
        <v>36</v>
      </c>
      <c r="BU795" t="s">
        <v>75</v>
      </c>
      <c r="BV795" t="str" cm="1">
        <f t="array" aca="1" ref="BV795" ca="1">INDIRECT(BU795&amp;BT795)</f>
        <v xml:space="preserve">      series QD_cwat = 1.47024930800371 * @elem(QD_cwat, 2015)</v>
      </c>
    </row>
    <row r="796" spans="71:74" x14ac:dyDescent="0.25">
      <c r="BS796" t="s">
        <v>64</v>
      </c>
      <c r="BT796">
        <v>36</v>
      </c>
      <c r="BU796" t="s">
        <v>86</v>
      </c>
      <c r="BV796" t="str" cm="1">
        <f t="array" aca="1" ref="BV796" ca="1">INDIRECT(BU796&amp;BT796)</f>
        <v xml:space="preserve">      series QD_cair = 0.972414088668976 * @elem(QD_cair, 2015)</v>
      </c>
    </row>
    <row r="797" spans="71:74" x14ac:dyDescent="0.25">
      <c r="BS797" t="s">
        <v>64</v>
      </c>
      <c r="BT797">
        <v>36</v>
      </c>
      <c r="BU797" t="s">
        <v>76</v>
      </c>
      <c r="BV797" t="str" cm="1">
        <f t="array" aca="1" ref="BV797" ca="1">INDIRECT(BU797&amp;BT797)</f>
        <v xml:space="preserve">      series QD_ccoa = 0.078539927339345 * @elem(QD_ccoa, 2015)</v>
      </c>
    </row>
    <row r="798" spans="71:74" x14ac:dyDescent="0.25">
      <c r="BS798" t="s">
        <v>64</v>
      </c>
      <c r="BT798">
        <v>36</v>
      </c>
      <c r="BU798" t="s">
        <v>77</v>
      </c>
      <c r="BV798" t="str" cm="1">
        <f t="array" aca="1" ref="BV798" ca="1">INDIRECT(BU798&amp;BT798)</f>
        <v xml:space="preserve">      series QD_coil = 0.150536875140254 * @elem(QD_coil, 2015)</v>
      </c>
    </row>
    <row r="799" spans="71:74" x14ac:dyDescent="0.25">
      <c r="BS799" t="s">
        <v>64</v>
      </c>
      <c r="BT799">
        <v>36</v>
      </c>
      <c r="BU799" t="s">
        <v>78</v>
      </c>
      <c r="BV799" t="str" cm="1">
        <f t="array" aca="1" ref="BV799" ca="1">INDIRECT(BU799&amp;BT799)</f>
        <v xml:space="preserve">      series QD_cfue = 1.66129189482122 * @elem(QD_cfue, 2015)</v>
      </c>
    </row>
    <row r="800" spans="71:74" x14ac:dyDescent="0.25">
      <c r="BS800" t="s">
        <v>64</v>
      </c>
      <c r="BT800">
        <v>36</v>
      </c>
      <c r="BU800" t="s">
        <v>79</v>
      </c>
      <c r="BV800" t="str" cm="1">
        <f t="array" aca="1" ref="BV800" ca="1">INDIRECT(BU800&amp;BT800)</f>
        <v xml:space="preserve">      series QD_cpch = 1.73659310126691 * @elem(QD_cpch, 2015)</v>
      </c>
    </row>
    <row r="801" spans="71:74" x14ac:dyDescent="0.25">
      <c r="BS801" t="s">
        <v>64</v>
      </c>
      <c r="BT801">
        <v>36</v>
      </c>
      <c r="BU801" t="s">
        <v>80</v>
      </c>
      <c r="BV801" t="str" cm="1">
        <f t="array" aca="1" ref="BV801" ca="1">INDIRECT(BU801&amp;BT801)</f>
        <v xml:space="preserve">      series QD_cele = 1.19915100885813 * @elem(QD_cele, 2015)</v>
      </c>
    </row>
    <row r="802" spans="71:74" x14ac:dyDescent="0.25">
      <c r="BS802" t="s">
        <v>64</v>
      </c>
      <c r="BT802">
        <v>36</v>
      </c>
      <c r="BU802" t="s">
        <v>81</v>
      </c>
      <c r="BV802" t="str" cm="1">
        <f t="array" aca="1" ref="BV802" ca="1">INDIRECT(BU802&amp;BT802)</f>
        <v xml:space="preserve">      series QD_cgas = 1.21330573825915 * @elem(QD_cgas, 2015)</v>
      </c>
    </row>
    <row r="803" spans="71:74" x14ac:dyDescent="0.25">
      <c r="BS803" t="s">
        <v>64</v>
      </c>
      <c r="BT803">
        <v>36</v>
      </c>
      <c r="BU803" t="s">
        <v>82</v>
      </c>
      <c r="BV803" t="str" cm="1">
        <f t="array" aca="1" ref="BV803" ca="1">INDIRECT(BU803&amp;BT803)</f>
        <v xml:space="preserve">      series QD_cmga = 0.791568959656982 * @elem(QD_cmga, 2015)</v>
      </c>
    </row>
    <row r="804" spans="71:74" x14ac:dyDescent="0.25">
      <c r="BS804" t="s">
        <v>64</v>
      </c>
      <c r="BT804">
        <v>36</v>
      </c>
      <c r="BU804" t="s">
        <v>83</v>
      </c>
      <c r="BV804" t="str" cm="1">
        <f t="array" aca="1" ref="BV804" ca="1">INDIRECT(BU804&amp;BT804)</f>
        <v xml:space="preserve">      series QD_cbiog = 0.727142807391721 * @elem(QD_cbiog, 2015)</v>
      </c>
    </row>
    <row r="805" spans="71:74" x14ac:dyDescent="0.25">
      <c r="BS805" t="s">
        <v>64</v>
      </c>
      <c r="BT805">
        <v>36</v>
      </c>
      <c r="BU805" t="s">
        <v>84</v>
      </c>
      <c r="BV805" t="str" cm="1">
        <f t="array" aca="1" ref="BV805" ca="1">INDIRECT(BU805&amp;BT805)</f>
        <v xml:space="preserve">      series QD_cbiom = 0.730247594722397 * @elem(QD_cbiom, 2015)</v>
      </c>
    </row>
    <row r="806" spans="71:74" x14ac:dyDescent="0.25">
      <c r="BS806" t="s">
        <v>64</v>
      </c>
      <c r="BT806">
        <v>36</v>
      </c>
      <c r="BU806" t="s">
        <v>85</v>
      </c>
      <c r="BV806" t="str" cm="1">
        <f t="array" aca="1" ref="BV806" ca="1">INDIRECT(BU806&amp;BT806)</f>
        <v xml:space="preserve">      series QD_cbiof = 1.2010841513334 * @elem(QD_cbiof, 2015)</v>
      </c>
    </row>
    <row r="807" spans="71:74" x14ac:dyDescent="0.25">
      <c r="BS807" t="s">
        <v>64</v>
      </c>
      <c r="BT807">
        <v>36</v>
      </c>
      <c r="BU807" t="s">
        <v>87</v>
      </c>
      <c r="BV807" t="str" cm="1">
        <f t="array" aca="1" ref="BV807" ca="1">INDIRECT(BU807&amp;BT807)</f>
        <v xml:space="preserve">      series QD_chea = 1.17433414544022 * @elem(QD_chea, 2015)</v>
      </c>
    </row>
    <row r="808" spans="71:74" x14ac:dyDescent="0.25">
      <c r="BS808" t="s">
        <v>64</v>
      </c>
      <c r="BT808">
        <v>37</v>
      </c>
      <c r="BU808" t="s">
        <v>65</v>
      </c>
      <c r="BV808" t="str" cm="1">
        <f t="array" aca="1" ref="BV808" ca="1">INDIRECT(BU808&amp;BT808)</f>
        <v xml:space="preserve">      smpl 2049 2049</v>
      </c>
    </row>
    <row r="809" spans="71:74" x14ac:dyDescent="0.25">
      <c r="BS809" t="s">
        <v>64</v>
      </c>
      <c r="BT809">
        <v>37</v>
      </c>
      <c r="BU809" t="s">
        <v>66</v>
      </c>
      <c r="BV809" t="str" cm="1">
        <f t="array" aca="1" ref="BV809" ca="1">INDIRECT(BU809&amp;BT809)</f>
        <v xml:space="preserve">      series QD_cagr = 1.46025557689778 * @elem(QD_cagr, 2015)</v>
      </c>
    </row>
    <row r="810" spans="71:74" x14ac:dyDescent="0.25">
      <c r="BS810" t="s">
        <v>64</v>
      </c>
      <c r="BT810">
        <v>37</v>
      </c>
      <c r="BU810" t="s">
        <v>67</v>
      </c>
      <c r="BV810" t="str" cm="1">
        <f t="array" aca="1" ref="BV810" ca="1">INDIRECT(BU810&amp;BT810)</f>
        <v xml:space="preserve">      series QD_cmet = 1.51192855328773 * @elem(QD_cmet, 2015)</v>
      </c>
    </row>
    <row r="811" spans="71:74" x14ac:dyDescent="0.25">
      <c r="BS811" t="s">
        <v>64</v>
      </c>
      <c r="BT811">
        <v>37</v>
      </c>
      <c r="BU811" t="s">
        <v>68</v>
      </c>
      <c r="BV811" t="str" cm="1">
        <f t="array" aca="1" ref="BV811" ca="1">INDIRECT(BU811&amp;BT811)</f>
        <v xml:space="preserve">      series QD_cchem = 1.34360879934438 * @elem(QD_cchem, 2015)</v>
      </c>
    </row>
    <row r="812" spans="71:74" x14ac:dyDescent="0.25">
      <c r="BS812" t="s">
        <v>64</v>
      </c>
      <c r="BT812">
        <v>37</v>
      </c>
      <c r="BU812" t="s">
        <v>69</v>
      </c>
      <c r="BV812" t="str" cm="1">
        <f t="array" aca="1" ref="BV812" ca="1">INDIRECT(BU812&amp;BT812)</f>
        <v xml:space="preserve">      series QD_cpla = 1.4880335102367 * @elem(QD_cpla, 2015)</v>
      </c>
    </row>
    <row r="813" spans="71:74" x14ac:dyDescent="0.25">
      <c r="BS813" t="s">
        <v>64</v>
      </c>
      <c r="BT813">
        <v>37</v>
      </c>
      <c r="BU813" t="s">
        <v>70</v>
      </c>
      <c r="BV813" t="str" cm="1">
        <f t="array" aca="1" ref="BV813" ca="1">INDIRECT(BU813&amp;BT813)</f>
        <v xml:space="preserve">      series QD_cgla = 1.4626225885227 * @elem(QD_cgla, 2015)</v>
      </c>
    </row>
    <row r="814" spans="71:74" x14ac:dyDescent="0.25">
      <c r="BS814" t="s">
        <v>64</v>
      </c>
      <c r="BT814">
        <v>37</v>
      </c>
      <c r="BU814" t="s">
        <v>71</v>
      </c>
      <c r="BV814" t="str" cm="1">
        <f t="array" aca="1" ref="BV814" ca="1">INDIRECT(BU814&amp;BT814)</f>
        <v xml:space="preserve">      series QD_cpap = 1.4238879692817 * @elem(QD_cpap, 2015)</v>
      </c>
    </row>
    <row r="815" spans="71:74" x14ac:dyDescent="0.25">
      <c r="BS815" t="s">
        <v>64</v>
      </c>
      <c r="BT815">
        <v>37</v>
      </c>
      <c r="BU815" t="s">
        <v>72</v>
      </c>
      <c r="BV815" t="str" cm="1">
        <f t="array" aca="1" ref="BV815" ca="1">INDIRECT(BU815&amp;BT815)</f>
        <v xml:space="preserve">      series QD_cfoo = 1.4589166859589 * @elem(QD_cfoo, 2015)</v>
      </c>
    </row>
    <row r="816" spans="71:74" x14ac:dyDescent="0.25">
      <c r="BS816" t="s">
        <v>64</v>
      </c>
      <c r="BT816">
        <v>37</v>
      </c>
      <c r="BU816" t="s">
        <v>73</v>
      </c>
      <c r="BV816" t="str" cm="1">
        <f t="array" aca="1" ref="BV816" ca="1">INDIRECT(BU816&amp;BT816)</f>
        <v xml:space="preserve">      series QD_cres = 1.52715977538484 * @elem(QD_cres, 2015)</v>
      </c>
    </row>
    <row r="817" spans="71:74" x14ac:dyDescent="0.25">
      <c r="BS817" t="s">
        <v>64</v>
      </c>
      <c r="BT817">
        <v>37</v>
      </c>
      <c r="BU817" t="s">
        <v>74</v>
      </c>
      <c r="BV817" t="str" cm="1">
        <f t="array" aca="1" ref="BV817" ca="1">INDIRECT(BU817&amp;BT817)</f>
        <v xml:space="preserve">      series QD_croa = 1.50333975602441 * @elem(QD_croa, 2015)</v>
      </c>
    </row>
    <row r="818" spans="71:74" x14ac:dyDescent="0.25">
      <c r="BS818" t="s">
        <v>64</v>
      </c>
      <c r="BT818">
        <v>37</v>
      </c>
      <c r="BU818" t="s">
        <v>75</v>
      </c>
      <c r="BV818" t="str" cm="1">
        <f t="array" aca="1" ref="BV818" ca="1">INDIRECT(BU818&amp;BT818)</f>
        <v xml:space="preserve">      series QD_cwat = 1.47975643024327 * @elem(QD_cwat, 2015)</v>
      </c>
    </row>
    <row r="819" spans="71:74" x14ac:dyDescent="0.25">
      <c r="BS819" t="s">
        <v>64</v>
      </c>
      <c r="BT819">
        <v>37</v>
      </c>
      <c r="BU819" t="s">
        <v>86</v>
      </c>
      <c r="BV819" t="str" cm="1">
        <f t="array" aca="1" ref="BV819" ca="1">INDIRECT(BU819&amp;BT819)</f>
        <v xml:space="preserve">      series QD_cair = 0.981249131024245 * @elem(QD_cair, 2015)</v>
      </c>
    </row>
    <row r="820" spans="71:74" x14ac:dyDescent="0.25">
      <c r="BS820" t="s">
        <v>64</v>
      </c>
      <c r="BT820">
        <v>37</v>
      </c>
      <c r="BU820" t="s">
        <v>76</v>
      </c>
      <c r="BV820" t="str" cm="1">
        <f t="array" aca="1" ref="BV820" ca="1">INDIRECT(BU820&amp;BT820)</f>
        <v xml:space="preserve">      series QD_ccoa = 0.0787563912170135 * @elem(QD_ccoa, 2015)</v>
      </c>
    </row>
    <row r="821" spans="71:74" x14ac:dyDescent="0.25">
      <c r="BS821" t="s">
        <v>64</v>
      </c>
      <c r="BT821">
        <v>37</v>
      </c>
      <c r="BU821" t="s">
        <v>77</v>
      </c>
      <c r="BV821" t="str" cm="1">
        <f t="array" aca="1" ref="BV821" ca="1">INDIRECT(BU821&amp;BT821)</f>
        <v xml:space="preserve">      series QD_coil = 0.150939307343313 * @elem(QD_coil, 2015)</v>
      </c>
    </row>
    <row r="822" spans="71:74" x14ac:dyDescent="0.25">
      <c r="BS822" t="s">
        <v>64</v>
      </c>
      <c r="BT822">
        <v>37</v>
      </c>
      <c r="BU822" t="s">
        <v>78</v>
      </c>
      <c r="BV822" t="str" cm="1">
        <f t="array" aca="1" ref="BV822" ca="1">INDIRECT(BU822&amp;BT822)</f>
        <v xml:space="preserve">      series QD_cfue = 1.66732813240624 * @elem(QD_cfue, 2015)</v>
      </c>
    </row>
    <row r="823" spans="71:74" x14ac:dyDescent="0.25">
      <c r="BS823" t="s">
        <v>64</v>
      </c>
      <c r="BT823">
        <v>37</v>
      </c>
      <c r="BU823" t="s">
        <v>79</v>
      </c>
      <c r="BV823" t="str" cm="1">
        <f t="array" aca="1" ref="BV823" ca="1">INDIRECT(BU823&amp;BT823)</f>
        <v xml:space="preserve">      series QD_cpch = 1.74482016260604 * @elem(QD_cpch, 2015)</v>
      </c>
    </row>
    <row r="824" spans="71:74" x14ac:dyDescent="0.25">
      <c r="BS824" t="s">
        <v>64</v>
      </c>
      <c r="BT824">
        <v>37</v>
      </c>
      <c r="BU824" t="s">
        <v>80</v>
      </c>
      <c r="BV824" t="str" cm="1">
        <f t="array" aca="1" ref="BV824" ca="1">INDIRECT(BU824&amp;BT824)</f>
        <v xml:space="preserve">      series QD_cele = 1.20539410765416 * @elem(QD_cele, 2015)</v>
      </c>
    </row>
    <row r="825" spans="71:74" x14ac:dyDescent="0.25">
      <c r="BS825" t="s">
        <v>64</v>
      </c>
      <c r="BT825">
        <v>37</v>
      </c>
      <c r="BU825" t="s">
        <v>81</v>
      </c>
      <c r="BV825" t="str" cm="1">
        <f t="array" aca="1" ref="BV825" ca="1">INDIRECT(BU825&amp;BT825)</f>
        <v xml:space="preserve">      series QD_cgas = 1.2167906396062 * @elem(QD_cgas, 2015)</v>
      </c>
    </row>
    <row r="826" spans="71:74" x14ac:dyDescent="0.25">
      <c r="BS826" t="s">
        <v>64</v>
      </c>
      <c r="BT826">
        <v>37</v>
      </c>
      <c r="BU826" t="s">
        <v>82</v>
      </c>
      <c r="BV826" t="str" cm="1">
        <f t="array" aca="1" ref="BV826" ca="1">INDIRECT(BU826&amp;BT826)</f>
        <v xml:space="preserve">      series QD_cmga = 0.821724816246278 * @elem(QD_cmga, 2015)</v>
      </c>
    </row>
    <row r="827" spans="71:74" x14ac:dyDescent="0.25">
      <c r="BS827" t="s">
        <v>64</v>
      </c>
      <c r="BT827">
        <v>37</v>
      </c>
      <c r="BU827" t="s">
        <v>83</v>
      </c>
      <c r="BV827" t="str" cm="1">
        <f t="array" aca="1" ref="BV827" ca="1">INDIRECT(BU827&amp;BT827)</f>
        <v xml:space="preserve">      series QD_cbiog = 0.722056045799265 * @elem(QD_cbiog, 2015)</v>
      </c>
    </row>
    <row r="828" spans="71:74" x14ac:dyDescent="0.25">
      <c r="BS828" t="s">
        <v>64</v>
      </c>
      <c r="BT828">
        <v>37</v>
      </c>
      <c r="BU828" t="s">
        <v>84</v>
      </c>
      <c r="BV828" t="str" cm="1">
        <f t="array" aca="1" ref="BV828" ca="1">INDIRECT(BU828&amp;BT828)</f>
        <v xml:space="preserve">      series QD_cbiom = 0.724630012066862 * @elem(QD_cbiom, 2015)</v>
      </c>
    </row>
    <row r="829" spans="71:74" x14ac:dyDescent="0.25">
      <c r="BS829" t="s">
        <v>64</v>
      </c>
      <c r="BT829">
        <v>37</v>
      </c>
      <c r="BU829" t="s">
        <v>85</v>
      </c>
      <c r="BV829" t="str" cm="1">
        <f t="array" aca="1" ref="BV829" ca="1">INDIRECT(BU829&amp;BT829)</f>
        <v xml:space="preserve">      series QD_cbiof = 1.20573300872427 * @elem(QD_cbiof, 2015)</v>
      </c>
    </row>
    <row r="830" spans="71:74" x14ac:dyDescent="0.25">
      <c r="BS830" t="s">
        <v>64</v>
      </c>
      <c r="BT830">
        <v>37</v>
      </c>
      <c r="BU830" t="s">
        <v>87</v>
      </c>
      <c r="BV830" t="str" cm="1">
        <f t="array" aca="1" ref="BV830" ca="1">INDIRECT(BU830&amp;BT830)</f>
        <v xml:space="preserve">      series QD_chea = 1.1725070179973 * @elem(QD_chea, 2015)</v>
      </c>
    </row>
    <row r="831" spans="71:74" x14ac:dyDescent="0.25">
      <c r="BT831">
        <v>38</v>
      </c>
      <c r="BU831" t="s">
        <v>65</v>
      </c>
      <c r="BV831" t="str" cm="1">
        <f t="array" aca="1" ref="BV831" ca="1">INDIRECT(BU831&amp;BT831)</f>
        <v xml:space="preserve">      smpl 2050 2050</v>
      </c>
    </row>
    <row r="832" spans="71:74" x14ac:dyDescent="0.25">
      <c r="BT832">
        <v>38</v>
      </c>
      <c r="BU832" t="s">
        <v>66</v>
      </c>
      <c r="BV832" t="str" cm="1">
        <f t="array" aca="1" ref="BV832" ca="1">INDIRECT(BU832&amp;BT832)</f>
        <v xml:space="preserve">      series QD_cagr = 1.46953273183046 * @elem(QD_cagr, 2015)</v>
      </c>
    </row>
    <row r="833" spans="72:74" x14ac:dyDescent="0.25">
      <c r="BT833">
        <v>38</v>
      </c>
      <c r="BU833" t="s">
        <v>67</v>
      </c>
      <c r="BV833" t="str" cm="1">
        <f t="array" aca="1" ref="BV833" ca="1">INDIRECT(BU833&amp;BT833)</f>
        <v xml:space="preserve">      series QD_cmet = 1.51927452295541 * @elem(QD_cmet, 2015)</v>
      </c>
    </row>
    <row r="834" spans="72:74" x14ac:dyDescent="0.25">
      <c r="BT834">
        <v>38</v>
      </c>
      <c r="BU834" t="s">
        <v>68</v>
      </c>
      <c r="BV834" t="str" cm="1">
        <f t="array" aca="1" ref="BV834" ca="1">INDIRECT(BU834&amp;BT834)</f>
        <v xml:space="preserve">      series QD_cchem = 1.35024938830944 * @elem(QD_cchem, 2015)</v>
      </c>
    </row>
    <row r="835" spans="72:74" x14ac:dyDescent="0.25">
      <c r="BT835">
        <v>38</v>
      </c>
      <c r="BU835" t="s">
        <v>69</v>
      </c>
      <c r="BV835" t="str" cm="1">
        <f t="array" aca="1" ref="BV835" ca="1">INDIRECT(BU835&amp;BT835)</f>
        <v xml:space="preserve">      series QD_cpla = 1.49704415722929 * @elem(QD_cpla, 2015)</v>
      </c>
    </row>
    <row r="836" spans="72:74" x14ac:dyDescent="0.25">
      <c r="BT836">
        <v>38</v>
      </c>
      <c r="BU836" t="s">
        <v>70</v>
      </c>
      <c r="BV836" t="str" cm="1">
        <f t="array" aca="1" ref="BV836" ca="1">INDIRECT(BU836&amp;BT836)</f>
        <v xml:space="preserve">      series QD_cgla = 1.4702926159904 * @elem(QD_cgla, 2015)</v>
      </c>
    </row>
    <row r="837" spans="72:74" x14ac:dyDescent="0.25">
      <c r="BT837">
        <v>38</v>
      </c>
      <c r="BU837" t="s">
        <v>71</v>
      </c>
      <c r="BV837" t="str" cm="1">
        <f t="array" aca="1" ref="BV837" ca="1">INDIRECT(BU837&amp;BT837)</f>
        <v xml:space="preserve">      series QD_cpap = 1.43134703953013 * @elem(QD_cpap, 2015)</v>
      </c>
    </row>
    <row r="838" spans="72:74" x14ac:dyDescent="0.25">
      <c r="BT838">
        <v>38</v>
      </c>
      <c r="BU838" t="s">
        <v>72</v>
      </c>
      <c r="BV838" t="str" cm="1">
        <f t="array" aca="1" ref="BV838" ca="1">INDIRECT(BU838&amp;BT838)</f>
        <v xml:space="preserve">      series QD_cfoo = 1.46810615268464 * @elem(QD_cfoo, 2015)</v>
      </c>
    </row>
    <row r="839" spans="72:74" x14ac:dyDescent="0.25">
      <c r="BT839">
        <v>38</v>
      </c>
      <c r="BU839" t="s">
        <v>73</v>
      </c>
      <c r="BV839" t="str" cm="1">
        <f t="array" aca="1" ref="BV839" ca="1">INDIRECT(BU839&amp;BT839)</f>
        <v xml:space="preserve">      series QD_cres = 1.53655987687326 * @elem(QD_cres, 2015)</v>
      </c>
    </row>
    <row r="840" spans="72:74" x14ac:dyDescent="0.25">
      <c r="BT840">
        <v>38</v>
      </c>
      <c r="BU840" t="s">
        <v>74</v>
      </c>
      <c r="BV840" t="str" cm="1">
        <f t="array" aca="1" ref="BV840" ca="1">INDIRECT(BU840&amp;BT840)</f>
        <v xml:space="preserve">      series QD_croa = 1.51389417408255 * @elem(QD_croa, 2015)</v>
      </c>
    </row>
    <row r="841" spans="72:74" x14ac:dyDescent="0.25">
      <c r="BT841">
        <v>38</v>
      </c>
      <c r="BU841" t="s">
        <v>75</v>
      </c>
      <c r="BV841" t="str" cm="1">
        <f t="array" aca="1" ref="BV841" ca="1">INDIRECT(BU841&amp;BT841)</f>
        <v xml:space="preserve">      series QD_cwat = 1.48912872747805 * @elem(QD_cwat, 2015)</v>
      </c>
    </row>
    <row r="842" spans="72:74" x14ac:dyDescent="0.25">
      <c r="BT842">
        <v>38</v>
      </c>
      <c r="BU842" t="s">
        <v>86</v>
      </c>
      <c r="BV842" t="str" cm="1">
        <f t="array" aca="1" ref="BV842" ca="1">INDIRECT(BU842&amp;BT842)</f>
        <v xml:space="preserve">      series QD_cair = 0.990667142998516 * @elem(QD_cair, 2015)</v>
      </c>
    </row>
    <row r="843" spans="72:74" x14ac:dyDescent="0.25">
      <c r="BT843">
        <v>38</v>
      </c>
      <c r="BU843" t="s">
        <v>76</v>
      </c>
      <c r="BV843" t="str" cm="1">
        <f t="array" aca="1" ref="BV843" ca="1">INDIRECT(BU843&amp;BT843)</f>
        <v xml:space="preserve">      series QD_ccoa = 0.0789947518816181 * @elem(QD_ccoa, 2015)</v>
      </c>
    </row>
    <row r="844" spans="72:74" x14ac:dyDescent="0.25">
      <c r="BT844">
        <v>38</v>
      </c>
      <c r="BU844" t="s">
        <v>77</v>
      </c>
      <c r="BV844" t="str" cm="1">
        <f t="array" aca="1" ref="BV844" ca="1">INDIRECT(BU844&amp;BT844)</f>
        <v xml:space="preserve">      series QD_coil = 0.151341363100982 * @elem(QD_coil, 2015)</v>
      </c>
    </row>
    <row r="845" spans="72:74" x14ac:dyDescent="0.25">
      <c r="BT845">
        <v>38</v>
      </c>
      <c r="BU845" t="s">
        <v>78</v>
      </c>
      <c r="BV845" t="str" cm="1">
        <f t="array" aca="1" ref="BV845" ca="1">INDIRECT(BU845&amp;BT845)</f>
        <v xml:space="preserve">      series QD_cfue = 1.67335660436661 * @elem(QD_cfue, 2015)</v>
      </c>
    </row>
    <row r="846" spans="72:74" x14ac:dyDescent="0.25">
      <c r="BT846">
        <v>38</v>
      </c>
      <c r="BU846" t="s">
        <v>79</v>
      </c>
      <c r="BV846" t="str" cm="1">
        <f t="array" aca="1" ref="BV846" ca="1">INDIRECT(BU846&amp;BT846)</f>
        <v xml:space="preserve">      series QD_cpch = 1.75296666599258 * @elem(QD_cpch, 2015)</v>
      </c>
    </row>
    <row r="847" spans="72:74" x14ac:dyDescent="0.25">
      <c r="BT847">
        <v>38</v>
      </c>
      <c r="BU847" t="s">
        <v>80</v>
      </c>
      <c r="BV847" t="str" cm="1">
        <f t="array" aca="1" ref="BV847" ca="1">INDIRECT(BU847&amp;BT847)</f>
        <v xml:space="preserve">      series QD_cele = 1.21149009374301 * @elem(QD_cele, 2015)</v>
      </c>
    </row>
    <row r="848" spans="72:74" x14ac:dyDescent="0.25">
      <c r="BT848">
        <v>38</v>
      </c>
      <c r="BU848" t="s">
        <v>81</v>
      </c>
      <c r="BV848" t="str" cm="1">
        <f t="array" aca="1" ref="BV848" ca="1">INDIRECT(BU848&amp;BT848)</f>
        <v xml:space="preserve">      series QD_cgas = 1.2202142853987 * @elem(QD_cgas, 2015)</v>
      </c>
    </row>
    <row r="849" spans="72:74" x14ac:dyDescent="0.25">
      <c r="BT849">
        <v>38</v>
      </c>
      <c r="BU849" t="s">
        <v>82</v>
      </c>
      <c r="BV849" t="str" cm="1">
        <f t="array" aca="1" ref="BV849" ca="1">INDIRECT(BU849&amp;BT849)</f>
        <v xml:space="preserve">      series QD_cmga = 0.853459371360702 * @elem(QD_cmga, 2015)</v>
      </c>
    </row>
    <row r="850" spans="72:74" x14ac:dyDescent="0.25">
      <c r="BT850">
        <v>38</v>
      </c>
      <c r="BU850" t="s">
        <v>83</v>
      </c>
      <c r="BV850" t="str" cm="1">
        <f t="array" aca="1" ref="BV850" ca="1">INDIRECT(BU850&amp;BT850)</f>
        <v xml:space="preserve">      series QD_cbiog = 0.717795555773571 * @elem(QD_cbiog, 2015)</v>
      </c>
    </row>
    <row r="851" spans="72:74" x14ac:dyDescent="0.25">
      <c r="BT851">
        <v>38</v>
      </c>
      <c r="BU851" t="s">
        <v>84</v>
      </c>
      <c r="BV851" t="str" cm="1">
        <f t="array" aca="1" ref="BV851" ca="1">INDIRECT(BU851&amp;BT851)</f>
        <v xml:space="preserve">      series QD_cbiom = 0.718928277213283 * @elem(QD_cbiom, 2015)</v>
      </c>
    </row>
    <row r="852" spans="72:74" x14ac:dyDescent="0.25">
      <c r="BT852">
        <v>38</v>
      </c>
      <c r="BU852" t="s">
        <v>85</v>
      </c>
      <c r="BV852" t="str" cm="1">
        <f t="array" aca="1" ref="BV852" ca="1">INDIRECT(BU852&amp;BT852)</f>
        <v xml:space="preserve">      series QD_cbiof = 1.21019727090538 * @elem(QD_cbiof, 2015)</v>
      </c>
    </row>
    <row r="853" spans="72:74" x14ac:dyDescent="0.25">
      <c r="BT853">
        <v>38</v>
      </c>
      <c r="BU853" t="s">
        <v>87</v>
      </c>
      <c r="BV853" t="str" cm="1">
        <f t="array" aca="1" ref="BV853" ca="1">INDIRECT(BU853&amp;BT853)</f>
        <v xml:space="preserve">      series QD_chea = 1.17016249728461 * @elem(QD_chea, 2015)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baseline_dom_gas_use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H.J. Boonman MSc</dc:creator>
  <cp:lastModifiedBy>H.J. Boonman MSc</cp:lastModifiedBy>
  <dcterms:created xsi:type="dcterms:W3CDTF">2022-12-01T14:10:56Z</dcterms:created>
  <dcterms:modified xsi:type="dcterms:W3CDTF">2023-01-30T12:40:55Z</dcterms:modified>
</cp:coreProperties>
</file>