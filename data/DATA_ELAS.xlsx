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32760" yWindow="500" windowWidth="28800" windowHeight="17510"/>
  </bookViews>
  <sheets>
    <sheet name="ELAS" sheetId="42" r:id="rId1"/>
    <sheet name="Panel of elasticites" sheetId="43" r:id="rId2"/>
  </sheets>
  <externalReferences>
    <externalReference r:id="rId3"/>
    <externalReference r:id="rId4"/>
  </externalReferences>
  <definedNames>
    <definedName name="df" localSheetId="1" hidden="1">#REF!</definedName>
    <definedName name="df" hidden="1">#REF!</definedName>
    <definedName name="formatResults">[1]ResultsEXR10!$A$50</definedName>
    <definedName name="solver_eng" hidden="1">1</definedName>
    <definedName name="solver_lhs3" localSheetId="1" hidden="1">#REF!</definedName>
    <definedName name="solver_lhs3" hidden="1">#REF!</definedName>
    <definedName name="solver_lhs3_old" localSheetId="1" hidden="1">#REF!</definedName>
    <definedName name="solver_lhs3_old" hidden="1">#REF!</definedName>
    <definedName name="solver_lhs4" localSheetId="1" hidden="1">#REF!</definedName>
    <definedName name="solver_lhs4" hidden="1">#REF!</definedName>
    <definedName name="solver_lhs4_old" localSheetId="1" hidden="1">#REF!</definedName>
    <definedName name="solver_lhs4_old" hidden="1">#REF!</definedName>
    <definedName name="solver_lhs5" localSheetId="1" hidden="1">#REF!</definedName>
    <definedName name="solver_lhs5" hidden="1">#REF!</definedName>
    <definedName name="solver_lhs5_old" localSheetId="1" hidden="1">#REF!</definedName>
    <definedName name="solver_lhs5_old" hidden="1">#REF!</definedName>
    <definedName name="solver_lhs6" localSheetId="1" hidden="1">#REF!</definedName>
    <definedName name="solver_lhs6" hidden="1">#REF!</definedName>
    <definedName name="solver_lhs6_old" localSheetId="1" hidden="1">#REF!</definedName>
    <definedName name="solver_lhs6_old" hidden="1">#REF!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od" hidden="1">2147483647</definedName>
    <definedName name="solver_rbv" hidden="1">1</definedName>
    <definedName name="solver_rel3" hidden="1">2</definedName>
    <definedName name="solver_rel4" hidden="1">2</definedName>
    <definedName name="solver_rel5" hidden="1">3</definedName>
    <definedName name="solver_rel6" hidden="1">2</definedName>
    <definedName name="solver_rhs3" hidden="1">0</definedName>
    <definedName name="solver_rhs4" hidden="1">0</definedName>
    <definedName name="solver_rhs5" localSheetId="1" hidden="1">#REF!</definedName>
    <definedName name="solver_rhs5" hidden="1">#REF!</definedName>
    <definedName name="solver_rhs5_old" localSheetId="1" hidden="1">#REF!</definedName>
    <definedName name="solver_rhs5_old" hidden="1">#REF!</definedName>
    <definedName name="solver_rhs6" localSheetId="1" hidden="1">#REF!</definedName>
    <definedName name="solver_rhs6" hidden="1">#REF!</definedName>
    <definedName name="solver_rhs6_old" localSheetId="1" hidden="1">#REF!</definedName>
    <definedName name="solver_rhs6_old" hidden="1">#REF!</definedName>
    <definedName name="Solver_rhs9" localSheetId="1" hidden="1">#REF!</definedName>
    <definedName name="Solver_rhs9" hidden="1">#REF!</definedName>
    <definedName name="solver_rlx" hidden="1">2</definedName>
    <definedName name="solver_rsd" hidden="1">0</definedName>
    <definedName name="solver_ssz" hidden="1">100</definedName>
    <definedName name="solver_ver" hidden="1">2</definedName>
  </definedNames>
  <calcPr calcId="162913"/>
  <fileRecoveryPr autoRecover="0"/>
</workbook>
</file>

<file path=xl/calcChain.xml><?xml version="1.0" encoding="utf-8"?>
<calcChain xmlns="http://schemas.openxmlformats.org/spreadsheetml/2006/main">
  <c r="G34" i="42" l="1"/>
  <c r="F34" i="42"/>
  <c r="E34" i="42"/>
  <c r="D34" i="42"/>
  <c r="C34" i="42"/>
  <c r="B34" i="42"/>
  <c r="G33" i="42"/>
  <c r="F33" i="42"/>
  <c r="E33" i="42"/>
  <c r="D33" i="42"/>
  <c r="C33" i="42"/>
  <c r="B33" i="42"/>
  <c r="G32" i="42"/>
  <c r="F32" i="42"/>
  <c r="E32" i="42"/>
  <c r="D32" i="42"/>
  <c r="C32" i="42"/>
  <c r="B32" i="42"/>
  <c r="G31" i="42"/>
  <c r="F31" i="42"/>
  <c r="E31" i="42"/>
  <c r="D31" i="42"/>
  <c r="C31" i="42"/>
  <c r="B31" i="42"/>
  <c r="G30" i="42"/>
  <c r="F30" i="42"/>
  <c r="E30" i="42"/>
  <c r="D30" i="42"/>
  <c r="C30" i="42"/>
  <c r="B30" i="42"/>
  <c r="G29" i="42"/>
  <c r="F29" i="42"/>
  <c r="E29" i="42"/>
  <c r="D29" i="42"/>
  <c r="C29" i="42"/>
  <c r="B29" i="42"/>
  <c r="G28" i="42"/>
  <c r="F28" i="42"/>
  <c r="E28" i="42"/>
  <c r="D28" i="42"/>
  <c r="C28" i="42"/>
  <c r="B28" i="42"/>
  <c r="G27" i="42"/>
  <c r="F27" i="42"/>
  <c r="E27" i="42"/>
  <c r="D27" i="42"/>
  <c r="C27" i="42"/>
  <c r="B27" i="42"/>
  <c r="G26" i="42"/>
  <c r="F26" i="42"/>
  <c r="E26" i="42"/>
  <c r="D26" i="42"/>
  <c r="C26" i="42"/>
  <c r="B26" i="42"/>
  <c r="G25" i="42"/>
  <c r="F25" i="42"/>
  <c r="E25" i="42"/>
  <c r="D25" i="42"/>
  <c r="C25" i="42"/>
  <c r="B25" i="42"/>
  <c r="G24" i="42"/>
  <c r="F24" i="42"/>
  <c r="E24" i="42"/>
  <c r="D24" i="42"/>
  <c r="C24" i="42"/>
  <c r="B24" i="42"/>
  <c r="G23" i="42"/>
  <c r="F23" i="42"/>
  <c r="E23" i="42"/>
  <c r="D23" i="42"/>
  <c r="C23" i="42"/>
  <c r="B23" i="42"/>
  <c r="G22" i="42"/>
  <c r="F22" i="42"/>
  <c r="E22" i="42"/>
  <c r="D22" i="42"/>
  <c r="C22" i="42"/>
  <c r="B22" i="42"/>
  <c r="G21" i="42"/>
  <c r="F21" i="42"/>
  <c r="E21" i="42"/>
  <c r="D21" i="42"/>
  <c r="C21" i="42"/>
  <c r="B21" i="42"/>
  <c r="G20" i="42"/>
  <c r="F20" i="42"/>
  <c r="E20" i="42"/>
  <c r="D20" i="42"/>
  <c r="C20" i="42"/>
  <c r="B20" i="42"/>
  <c r="G19" i="42"/>
  <c r="F19" i="42"/>
  <c r="E19" i="42"/>
  <c r="D19" i="42"/>
  <c r="C19" i="42"/>
  <c r="B19" i="42"/>
  <c r="G18" i="42"/>
  <c r="F18" i="42"/>
  <c r="E18" i="42"/>
  <c r="D18" i="42"/>
  <c r="C18" i="42"/>
  <c r="B18" i="42"/>
  <c r="G17" i="42"/>
  <c r="F17" i="42"/>
  <c r="E17" i="42"/>
  <c r="D17" i="42"/>
  <c r="C17" i="42"/>
  <c r="B17" i="42"/>
  <c r="G16" i="42"/>
  <c r="F16" i="42"/>
  <c r="E16" i="42"/>
  <c r="D16" i="42"/>
  <c r="C16" i="42"/>
  <c r="B16" i="42"/>
  <c r="G15" i="42"/>
  <c r="F15" i="42"/>
  <c r="E15" i="42"/>
  <c r="D15" i="42"/>
  <c r="C15" i="42"/>
  <c r="B15" i="42"/>
  <c r="G14" i="42"/>
  <c r="F14" i="42"/>
  <c r="E14" i="42"/>
  <c r="D14" i="42"/>
  <c r="C14" i="42"/>
  <c r="B14" i="42"/>
  <c r="G13" i="42"/>
  <c r="F13" i="42"/>
  <c r="E13" i="42"/>
  <c r="D13" i="42"/>
  <c r="C13" i="42"/>
  <c r="B13" i="42"/>
  <c r="G12" i="42"/>
  <c r="F12" i="42"/>
  <c r="E12" i="42"/>
  <c r="D12" i="42"/>
  <c r="C12" i="42"/>
  <c r="B12" i="42"/>
  <c r="G11" i="42"/>
  <c r="F11" i="42"/>
  <c r="E11" i="42"/>
  <c r="D11" i="42"/>
  <c r="C11" i="42"/>
  <c r="B11" i="42"/>
  <c r="G10" i="42"/>
  <c r="F10" i="42"/>
  <c r="E10" i="42"/>
  <c r="D10" i="42"/>
  <c r="C10" i="42"/>
  <c r="B10" i="42"/>
  <c r="G9" i="42"/>
  <c r="F9" i="42"/>
  <c r="E9" i="42"/>
  <c r="D9" i="42"/>
  <c r="C9" i="42"/>
  <c r="B9" i="42"/>
  <c r="G8" i="42"/>
  <c r="F8" i="42"/>
  <c r="E8" i="42"/>
  <c r="D8" i="42"/>
  <c r="C8" i="42"/>
  <c r="B8" i="42"/>
  <c r="G7" i="42"/>
  <c r="F7" i="42"/>
  <c r="E7" i="42"/>
  <c r="D7" i="42"/>
  <c r="C7" i="42"/>
  <c r="B7" i="42"/>
  <c r="G6" i="42"/>
  <c r="F6" i="42"/>
  <c r="E6" i="42"/>
  <c r="D6" i="42"/>
  <c r="C6" i="42"/>
  <c r="B6" i="42"/>
  <c r="G5" i="42"/>
  <c r="F5" i="42"/>
  <c r="E5" i="42"/>
  <c r="D5" i="42"/>
  <c r="C5" i="42"/>
  <c r="B5" i="42"/>
  <c r="G4" i="42"/>
  <c r="F4" i="42"/>
  <c r="E4" i="42"/>
  <c r="D4" i="42"/>
  <c r="C4" i="42"/>
  <c r="B4" i="42"/>
  <c r="G3" i="42"/>
  <c r="F3" i="42"/>
  <c r="E3" i="42"/>
  <c r="D3" i="42"/>
  <c r="C3" i="42"/>
  <c r="B3" i="42"/>
  <c r="E29" i="43"/>
  <c r="E30" i="43" s="1"/>
  <c r="E31" i="43" s="1"/>
  <c r="E32" i="43" s="1"/>
  <c r="E33" i="43" s="1"/>
  <c r="E34" i="43" s="1"/>
  <c r="D29" i="43"/>
  <c r="D30" i="43" s="1"/>
  <c r="D31" i="43" s="1"/>
  <c r="D32" i="43" s="1"/>
  <c r="D33" i="43" s="1"/>
  <c r="D34" i="43" s="1"/>
  <c r="G28" i="43"/>
  <c r="G29" i="43" s="1"/>
  <c r="G30" i="43" s="1"/>
  <c r="G31" i="43" s="1"/>
  <c r="G32" i="43" s="1"/>
  <c r="G33" i="43" s="1"/>
  <c r="G34" i="43" s="1"/>
  <c r="F28" i="43"/>
  <c r="F29" i="43" s="1"/>
  <c r="F30" i="43" s="1"/>
  <c r="F31" i="43" s="1"/>
  <c r="F32" i="43" s="1"/>
  <c r="F33" i="43" s="1"/>
  <c r="F34" i="43" s="1"/>
  <c r="E28" i="43"/>
  <c r="D28" i="43"/>
  <c r="C28" i="43"/>
  <c r="C29" i="43" s="1"/>
  <c r="C30" i="43" s="1"/>
  <c r="C31" i="43" s="1"/>
  <c r="C32" i="43" s="1"/>
  <c r="C33" i="43" s="1"/>
  <c r="C34" i="43" s="1"/>
  <c r="B28" i="43"/>
  <c r="B29" i="43" s="1"/>
  <c r="B30" i="43" s="1"/>
  <c r="B31" i="43" s="1"/>
  <c r="B32" i="43" s="1"/>
  <c r="B33" i="43" s="1"/>
  <c r="B34" i="43" s="1"/>
  <c r="G27" i="43"/>
  <c r="F27" i="43"/>
  <c r="E27" i="43"/>
  <c r="D27" i="43"/>
  <c r="C27" i="43"/>
  <c r="B27" i="43"/>
  <c r="G26" i="43"/>
  <c r="F26" i="43"/>
  <c r="E26" i="43"/>
  <c r="D26" i="43"/>
  <c r="C26" i="43"/>
  <c r="B26" i="43"/>
  <c r="G25" i="43"/>
  <c r="F25" i="43"/>
  <c r="E25" i="43"/>
  <c r="D25" i="43"/>
  <c r="C25" i="43"/>
  <c r="B25" i="43"/>
  <c r="G24" i="43"/>
  <c r="F24" i="43"/>
  <c r="E24" i="43"/>
  <c r="D24" i="43"/>
  <c r="C24" i="43"/>
  <c r="B24" i="43"/>
  <c r="G23" i="43"/>
  <c r="F23" i="43"/>
  <c r="E23" i="43"/>
  <c r="D23" i="43"/>
  <c r="C23" i="43"/>
  <c r="B23" i="43"/>
  <c r="G22" i="43"/>
  <c r="F22" i="43"/>
  <c r="E22" i="43"/>
  <c r="D22" i="43"/>
  <c r="C22" i="43"/>
  <c r="B22" i="43"/>
  <c r="G21" i="43"/>
  <c r="F21" i="43"/>
  <c r="E21" i="43"/>
  <c r="D21" i="43"/>
  <c r="C21" i="43"/>
  <c r="B21" i="43"/>
  <c r="G20" i="43"/>
  <c r="F20" i="43"/>
  <c r="E20" i="43"/>
  <c r="D20" i="43"/>
  <c r="C20" i="43"/>
  <c r="B20" i="43"/>
  <c r="G19" i="43"/>
  <c r="F19" i="43"/>
  <c r="E19" i="43"/>
  <c r="D19" i="43"/>
  <c r="C19" i="43"/>
  <c r="B19" i="43"/>
  <c r="G18" i="43"/>
  <c r="F18" i="43"/>
  <c r="E18" i="43"/>
  <c r="D18" i="43"/>
  <c r="C18" i="43"/>
  <c r="B18" i="43"/>
  <c r="G17" i="43"/>
  <c r="F17" i="43"/>
  <c r="E17" i="43"/>
  <c r="D17" i="43"/>
  <c r="C17" i="43"/>
  <c r="B17" i="43"/>
  <c r="G16" i="43"/>
  <c r="F16" i="43"/>
  <c r="E16" i="43"/>
  <c r="D16" i="43"/>
  <c r="C16" i="43"/>
  <c r="B16" i="43"/>
  <c r="G15" i="43"/>
  <c r="F15" i="43"/>
  <c r="E15" i="43"/>
  <c r="D15" i="43"/>
  <c r="C15" i="43"/>
  <c r="B15" i="43"/>
  <c r="G14" i="43"/>
  <c r="F14" i="43"/>
  <c r="E14" i="43"/>
  <c r="D14" i="43"/>
  <c r="C14" i="43"/>
  <c r="B14" i="43"/>
  <c r="G13" i="43"/>
  <c r="F13" i="43"/>
  <c r="E13" i="43"/>
  <c r="D13" i="43"/>
  <c r="C13" i="43"/>
  <c r="B13" i="43"/>
  <c r="G12" i="43"/>
  <c r="F12" i="43"/>
  <c r="E12" i="43"/>
  <c r="D12" i="43"/>
  <c r="C12" i="43"/>
  <c r="B12" i="43"/>
  <c r="G11" i="43"/>
  <c r="F11" i="43"/>
  <c r="E11" i="43"/>
  <c r="D11" i="43"/>
  <c r="C11" i="43"/>
  <c r="B11" i="43"/>
  <c r="G10" i="43"/>
  <c r="F10" i="43"/>
  <c r="E10" i="43"/>
  <c r="D10" i="43"/>
  <c r="C10" i="43"/>
  <c r="B10" i="43"/>
  <c r="G9" i="43"/>
  <c r="F9" i="43"/>
  <c r="E9" i="43"/>
  <c r="D9" i="43"/>
  <c r="C9" i="43"/>
  <c r="B9" i="43"/>
  <c r="G8" i="43"/>
  <c r="F8" i="43"/>
  <c r="E8" i="43"/>
  <c r="D8" i="43"/>
  <c r="C8" i="43"/>
  <c r="B8" i="43"/>
  <c r="G7" i="43"/>
  <c r="F7" i="43"/>
  <c r="E7" i="43"/>
  <c r="D7" i="43"/>
  <c r="C7" i="43"/>
  <c r="B7" i="43"/>
  <c r="F6" i="43"/>
  <c r="E6" i="43"/>
  <c r="D6" i="43"/>
  <c r="C6" i="43"/>
  <c r="B6" i="43"/>
  <c r="F5" i="43"/>
  <c r="E5" i="43"/>
  <c r="D5" i="43"/>
  <c r="C5" i="43"/>
  <c r="B5" i="43"/>
  <c r="F4" i="43"/>
  <c r="E4" i="43"/>
  <c r="D4" i="43"/>
  <c r="C4" i="43"/>
  <c r="B4" i="43"/>
  <c r="F3" i="43"/>
  <c r="E3" i="43"/>
  <c r="D3" i="43"/>
  <c r="C3" i="43"/>
  <c r="B3" i="43"/>
</calcChain>
</file>

<file path=xl/sharedStrings.xml><?xml version="1.0" encoding="utf-8"?>
<sst xmlns="http://schemas.openxmlformats.org/spreadsheetml/2006/main" count="86" uniqueCount="42">
  <si>
    <t>KL</t>
  </si>
  <si>
    <t>KE</t>
  </si>
  <si>
    <t>KM</t>
  </si>
  <si>
    <t>LE</t>
  </si>
  <si>
    <t>LM</t>
  </si>
  <si>
    <t>EM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</si>
  <si>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</si>
  <si>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</si>
  <si>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</si>
  <si>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</si>
  <si>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</si>
  <si>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</si>
  <si>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</si>
  <si>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</si>
  <si>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</si>
  <si>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</si>
  <si>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</si>
  <si>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</si>
  <si>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</si>
  <si>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</si>
  <si>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</si>
  <si>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</si>
  <si>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</si>
  <si>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</si>
  <si>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Mining</t>
  </si>
  <si>
    <t>Production of refined oil</t>
  </si>
  <si>
    <t>Production of biofuel</t>
  </si>
  <si>
    <t>Distribution of natural gas</t>
  </si>
  <si>
    <t>Production and distribution of biogas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</si>
  <si>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</si>
  <si>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</si>
  <si>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</si>
  <si>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</si>
  <si>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</si>
  <si>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</si>
  <si>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</si>
  <si>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</si>
  <si>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</si>
  <si>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Version</t>
  </si>
  <si>
    <t>0 pour calibrage V2, 1 pour calibrage OFCE</t>
  </si>
  <si>
    <t>Elasticités V2</t>
  </si>
  <si>
    <t>Elasticités estimées par l'OFCE (Malliet,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</si>
</sst>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61"/>
    </font>
    <font>
      <sz val="10"/>
      <name val="MS Sans Serif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3" fillId="0" borderId="0"/>
    <xf numFmtId="0" fontId="1" fillId="0" borderId="0"/>
    <xf numFmtId="0" fontId="6" fillId="0" borderId="0"/>
    <xf numFmtId="0" fontId="5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7">
    <xf numFmtId="0" fontId="0" fillId="0" borderId="0" xfId="0"/>
    <xf numFmtId="0" fontId="6" fillId="0" borderId="0" xfId="10"/>
    <xf numFmtId="4" fontId="0" fillId="0" borderId="0" xfId="0" applyNumberFormat="1"/>
    <xf numFmtId="0" fontId="6" fillId="0" borderId="0" xfId="10" applyAlignment="1">
      <alignment horizontal="center"/>
    </xf>
    <xf numFmtId="0" fontId="0" fillId="0" borderId="0" xfId="0" applyAlignment="1">
      <alignment horizontal="center"/>
    </xf>
    <xf numFmtId="0" fontId="8" fillId="0" borderId="0" xfId="10" applyFont="1" applyAlignment="1">
      <alignment vertical="center" wrapText="1"/>
    </xf>
    <xf numFmtId="4" fontId="6" fillId="0" borderId="0" xfId="10" applyNumberFormat="1"/>
  </cellXfs>
  <cellStyles count="16">
    <cellStyle name="Comma 2" xfId="1"/>
    <cellStyle name="Comma 2 2" xfId="2"/>
    <cellStyle name="Milliers 2" xfId="15"/>
    <cellStyle name="Motif 2" xfId="3"/>
    <cellStyle name="Normal" xfId="0" builtinId="0"/>
    <cellStyle name="Normal 2" xfId="4"/>
    <cellStyle name="Normal 2 2" xfId="5"/>
    <cellStyle name="Normal 2 3" xfId="6"/>
    <cellStyle name="Normal 3" xfId="7"/>
    <cellStyle name="Normal 4" xfId="8"/>
    <cellStyle name="Normal 4 2" xfId="9"/>
    <cellStyle name="Normal 5" xfId="10"/>
    <cellStyle name="Normal 6" xfId="11"/>
    <cellStyle name="Percent 2" xfId="12"/>
    <cellStyle name="Pourcentage 2" xfId="13"/>
    <cellStyle name="Pourcentage 3" xfId="1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CQUETINF/Documents/documents/ThreeME_V3-ADEME/results/2020-02-29%2012-02-00%20-%20Standard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ELAS_3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asticities"/>
      <sheetName val="Elas V2"/>
      <sheetName val="ELAS"/>
      <sheetName val="produits-secteurs V2-V3"/>
    </sheetNames>
    <sheetDataSet>
      <sheetData sheetId="0">
        <row r="3">
          <cell r="B3">
            <v>0.5</v>
          </cell>
        </row>
      </sheetData>
      <sheetData sheetId="1">
        <row r="2">
          <cell r="C2">
            <v>0.5</v>
          </cell>
          <cell r="D2">
            <v>3.4839883156742073</v>
          </cell>
          <cell r="E2">
            <v>0</v>
          </cell>
          <cell r="F2">
            <v>0.29404797605318139</v>
          </cell>
          <cell r="G2">
            <v>0.15</v>
          </cell>
        </row>
        <row r="3">
          <cell r="C3">
            <v>0.5</v>
          </cell>
          <cell r="D3">
            <v>9.521477866939037</v>
          </cell>
          <cell r="E3">
            <v>0</v>
          </cell>
          <cell r="F3">
            <v>0.57419698494963189</v>
          </cell>
          <cell r="G3">
            <v>0.15</v>
          </cell>
        </row>
        <row r="4">
          <cell r="C4">
            <v>0.5</v>
          </cell>
          <cell r="D4">
            <v>13.909639188754333</v>
          </cell>
          <cell r="E4">
            <v>0</v>
          </cell>
          <cell r="F4">
            <v>0.78625421240416438</v>
          </cell>
          <cell r="G4">
            <v>0.15</v>
          </cell>
        </row>
        <row r="5">
          <cell r="C5">
            <v>0.5</v>
          </cell>
          <cell r="D5">
            <v>2.458822823767306</v>
          </cell>
          <cell r="E5">
            <v>0</v>
          </cell>
          <cell r="F5">
            <v>0.24454980595849762</v>
          </cell>
          <cell r="G5">
            <v>0.15</v>
          </cell>
          <cell r="H5">
            <v>0</v>
          </cell>
        </row>
        <row r="7">
          <cell r="C7">
            <v>0.5</v>
          </cell>
          <cell r="D7">
            <v>1.2949615398539969</v>
          </cell>
          <cell r="E7">
            <v>0</v>
          </cell>
          <cell r="F7">
            <v>0.37586402508037553</v>
          </cell>
          <cell r="G7">
            <v>0.15</v>
          </cell>
          <cell r="H7">
            <v>0</v>
          </cell>
        </row>
        <row r="8">
          <cell r="C8">
            <v>0.5</v>
          </cell>
          <cell r="D8">
            <v>1.0564153684076472</v>
          </cell>
          <cell r="E8">
            <v>0</v>
          </cell>
          <cell r="F8">
            <v>0.25523581279974628</v>
          </cell>
          <cell r="G8">
            <v>0.15</v>
          </cell>
          <cell r="H8">
            <v>0</v>
          </cell>
        </row>
        <row r="10">
          <cell r="C10">
            <v>0.5</v>
          </cell>
          <cell r="D10">
            <v>6.9778722921333429</v>
          </cell>
          <cell r="E10">
            <v>0</v>
          </cell>
          <cell r="F10">
            <v>0.36003551831598596</v>
          </cell>
          <cell r="G10">
            <v>0.15</v>
          </cell>
          <cell r="H10">
            <v>0</v>
          </cell>
        </row>
        <row r="11">
          <cell r="C11">
            <v>0.5</v>
          </cell>
          <cell r="D11">
            <v>0.98764224803587597</v>
          </cell>
          <cell r="E11">
            <v>0</v>
          </cell>
          <cell r="F11">
            <v>0.57172935517187284</v>
          </cell>
          <cell r="G11">
            <v>0.15</v>
          </cell>
          <cell r="H11">
            <v>0</v>
          </cell>
        </row>
        <row r="13">
          <cell r="C13">
            <v>0.5</v>
          </cell>
          <cell r="D13">
            <v>5.058071044240001</v>
          </cell>
          <cell r="E13">
            <v>0</v>
          </cell>
          <cell r="F13">
            <v>0.41545771946199461</v>
          </cell>
          <cell r="G13">
            <v>0.15</v>
          </cell>
          <cell r="H13">
            <v>0</v>
          </cell>
        </row>
        <row r="14">
          <cell r="C14">
            <v>0.5</v>
          </cell>
          <cell r="D14">
            <v>6.165900586412997</v>
          </cell>
          <cell r="E14">
            <v>0</v>
          </cell>
          <cell r="F14">
            <v>0.29460709994798551</v>
          </cell>
          <cell r="G14">
            <v>0.15</v>
          </cell>
          <cell r="H14">
            <v>0.1</v>
          </cell>
        </row>
        <row r="15">
          <cell r="C15">
            <v>0.5</v>
          </cell>
          <cell r="D15">
            <v>1.1322249386651302</v>
          </cell>
          <cell r="E15">
            <v>0</v>
          </cell>
          <cell r="F15">
            <v>0</v>
          </cell>
          <cell r="G15">
            <v>0.15</v>
          </cell>
          <cell r="H15">
            <v>0.1</v>
          </cell>
        </row>
        <row r="16">
          <cell r="C16">
            <v>0.5</v>
          </cell>
          <cell r="D16">
            <v>0.85406930292218641</v>
          </cell>
          <cell r="E16">
            <v>0</v>
          </cell>
          <cell r="F16">
            <v>0</v>
          </cell>
          <cell r="G16">
            <v>0.15</v>
          </cell>
          <cell r="H16">
            <v>0.1</v>
          </cell>
        </row>
        <row r="18">
          <cell r="C18">
            <v>0.5</v>
          </cell>
          <cell r="D18">
            <v>1.1010167128814041</v>
          </cell>
          <cell r="E18">
            <v>0</v>
          </cell>
          <cell r="F18">
            <v>0</v>
          </cell>
          <cell r="G18">
            <v>0.15</v>
          </cell>
          <cell r="H18">
            <v>0.1</v>
          </cell>
        </row>
        <row r="19">
          <cell r="C19">
            <v>0.5</v>
          </cell>
          <cell r="D19">
            <v>0.8149324233932117</v>
          </cell>
          <cell r="E19">
            <v>0</v>
          </cell>
          <cell r="F19">
            <v>0</v>
          </cell>
          <cell r="G19">
            <v>0.15</v>
          </cell>
          <cell r="H19">
            <v>0.1</v>
          </cell>
        </row>
        <row r="20">
          <cell r="C20">
            <v>0.5</v>
          </cell>
          <cell r="D20">
            <v>5.604062014060502</v>
          </cell>
          <cell r="E20">
            <v>0</v>
          </cell>
          <cell r="F20">
            <v>0.24229441121240614</v>
          </cell>
          <cell r="G20">
            <v>0.15</v>
          </cell>
          <cell r="H20">
            <v>0.1</v>
          </cell>
        </row>
        <row r="21">
          <cell r="C21">
            <v>0.5</v>
          </cell>
          <cell r="D21">
            <v>4.9089640420981544</v>
          </cell>
          <cell r="E21">
            <v>0</v>
          </cell>
          <cell r="F21">
            <v>0.16040155767615122</v>
          </cell>
          <cell r="G21">
            <v>0.15</v>
          </cell>
          <cell r="H21">
            <v>0.1</v>
          </cell>
        </row>
        <row r="22">
          <cell r="C22">
            <v>0.3</v>
          </cell>
          <cell r="D22">
            <v>0.42406131096915778</v>
          </cell>
          <cell r="E22">
            <v>0</v>
          </cell>
          <cell r="F22">
            <v>0</v>
          </cell>
          <cell r="G22">
            <v>0.15</v>
          </cell>
          <cell r="H22">
            <v>0</v>
          </cell>
        </row>
        <row r="23">
          <cell r="C23">
            <v>0.3</v>
          </cell>
          <cell r="D23">
            <v>0</v>
          </cell>
          <cell r="E23">
            <v>0</v>
          </cell>
          <cell r="F23">
            <v>0</v>
          </cell>
          <cell r="G23">
            <v>0.15</v>
          </cell>
          <cell r="H23">
            <v>0</v>
          </cell>
        </row>
        <row r="24">
          <cell r="C24">
            <v>0.3</v>
          </cell>
          <cell r="D24">
            <v>0</v>
          </cell>
          <cell r="E24">
            <v>0</v>
          </cell>
          <cell r="F24">
            <v>0</v>
          </cell>
          <cell r="G24">
            <v>0.15</v>
          </cell>
          <cell r="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C26">
            <v>0.3</v>
          </cell>
          <cell r="D26">
            <v>0</v>
          </cell>
          <cell r="E26">
            <v>0</v>
          </cell>
          <cell r="F26">
            <v>0</v>
          </cell>
          <cell r="G26">
            <v>0.15</v>
          </cell>
          <cell r="H26">
            <v>0</v>
          </cell>
        </row>
        <row r="33">
          <cell r="C33">
            <v>0.3</v>
          </cell>
          <cell r="D33">
            <v>0</v>
          </cell>
          <cell r="E33">
            <v>0</v>
          </cell>
          <cell r="F33">
            <v>0</v>
          </cell>
          <cell r="G33">
            <v>0.15</v>
          </cell>
          <cell r="H33">
            <v>0</v>
          </cell>
        </row>
        <row r="35">
          <cell r="C35">
            <v>0.3</v>
          </cell>
          <cell r="D35">
            <v>0</v>
          </cell>
          <cell r="E35">
            <v>0</v>
          </cell>
          <cell r="F35">
            <v>0</v>
          </cell>
          <cell r="G35">
            <v>0.15</v>
          </cell>
          <cell r="H35">
            <v>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G34"/>
  <sheetViews>
    <sheetView tabSelected="1" workbookViewId="0">
      <selection activeCell="B2" sqref="B2"/>
    </sheetView>
  </sheetViews>
  <sheetFormatPr baseColWidth="10" defaultRowHeight="14.5" x14ac:dyDescent="0.35"/>
  <sheetData>
    <row r="1" spans="1:7" x14ac:dyDescent="0.35">
      <c r="A1" t="s">
        <v>38</v>
      </c>
      <c r="B1">
        <v>0</v>
      </c>
      <c r="C1" t="s">
        <v>39</v>
      </c>
    </row>
    <row r="2" spans="1:7" ht="15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35">
      <c r="A3" t="s">
        <v>6</v>
      </c>
      <c r="B3" s="2">
        <f ca="1">OFFSET('Panel of elasticites'!B3,0,6*$B$1)</f>
        <v>0.5</v>
      </c>
      <c r="C3" s="2">
        <f ca="1">OFFSET('Panel of elasticites'!C3,0,6*$B$1)</f>
        <v>3.4839883156742073</v>
      </c>
      <c r="D3" s="2">
        <f ca="1">OFFSET('Panel of elasticites'!D3,0,6*$B$1)</f>
        <v>0</v>
      </c>
      <c r="E3" s="2">
        <f ca="1">OFFSET('Panel of elasticites'!E3,0,6*$B$1)</f>
        <v>0.29404797605318139</v>
      </c>
      <c r="F3" s="2">
        <f ca="1">OFFSET('Panel of elasticites'!F3,0,6*$B$1)</f>
        <v>0.15</v>
      </c>
      <c r="G3" s="2">
        <f ca="1">OFFSET('Panel of elasticites'!G3,0,6*$B$1)</f>
        <v>17.81467717083234</v>
      </c>
    </row>
    <row r="4" spans="1:7" x14ac:dyDescent="0.35">
      <c r="A4" t="s">
        <v>7</v>
      </c>
      <c r="B4" s="2">
        <f ca="1">OFFSET('Panel of elasticites'!B4,0,6*$B$1)</f>
        <v>0.5</v>
      </c>
      <c r="C4" s="2">
        <f ca="1">OFFSET('Panel of elasticites'!C4,0,6*$B$1)</f>
        <v>3.4839883156742073</v>
      </c>
      <c r="D4" s="2">
        <f ca="1">OFFSET('Panel of elasticites'!D4,0,6*$B$1)</f>
        <v>0</v>
      </c>
      <c r="E4" s="2">
        <f ca="1">OFFSET('Panel of elasticites'!E4,0,6*$B$1)</f>
        <v>0.29404797605318139</v>
      </c>
      <c r="F4" s="2">
        <f ca="1">OFFSET('Panel of elasticites'!F4,0,6*$B$1)</f>
        <v>0.15</v>
      </c>
      <c r="G4" s="2">
        <f ca="1">OFFSET('Panel of elasticites'!G4,0,6*$B$1)</f>
        <v>-6.0545740630814402</v>
      </c>
    </row>
    <row r="5" spans="1:7" x14ac:dyDescent="0.35">
      <c r="A5" t="s">
        <v>8</v>
      </c>
      <c r="B5" s="2">
        <f ca="1">OFFSET('Panel of elasticites'!B5,0,6*$B$1)</f>
        <v>0.5</v>
      </c>
      <c r="C5" s="2">
        <f ca="1">OFFSET('Panel of elasticites'!C5,0,6*$B$1)</f>
        <v>9.521477866939037</v>
      </c>
      <c r="D5" s="2">
        <f ca="1">OFFSET('Panel of elasticites'!D5,0,6*$B$1)</f>
        <v>0</v>
      </c>
      <c r="E5" s="2">
        <f ca="1">OFFSET('Panel of elasticites'!E5,0,6*$B$1)</f>
        <v>0.57419698494963189</v>
      </c>
      <c r="F5" s="2">
        <f ca="1">OFFSET('Panel of elasticites'!F5,0,6*$B$1)</f>
        <v>0.15</v>
      </c>
      <c r="G5" s="2">
        <f ca="1">OFFSET('Panel of elasticites'!G5,0,6*$B$1)</f>
        <v>-0.38968346574436702</v>
      </c>
    </row>
    <row r="6" spans="1:7" x14ac:dyDescent="0.35">
      <c r="A6" t="s">
        <v>9</v>
      </c>
      <c r="B6" s="2">
        <f ca="1">OFFSET('Panel of elasticites'!B6,0,6*$B$1)</f>
        <v>0.5</v>
      </c>
      <c r="C6" s="2">
        <f ca="1">OFFSET('Panel of elasticites'!C6,0,6*$B$1)</f>
        <v>13.909639188754333</v>
      </c>
      <c r="D6" s="2">
        <f ca="1">OFFSET('Panel of elasticites'!D6,0,6*$B$1)</f>
        <v>0</v>
      </c>
      <c r="E6" s="2">
        <f ca="1">OFFSET('Panel of elasticites'!E6,0,6*$B$1)</f>
        <v>0.78625421240416438</v>
      </c>
      <c r="F6" s="2">
        <f ca="1">OFFSET('Panel of elasticites'!F6,0,6*$B$1)</f>
        <v>0.15</v>
      </c>
      <c r="G6" s="2">
        <f ca="1">OFFSET('Panel of elasticites'!G6,0,6*$B$1)</f>
        <v>-3.3413199464890102</v>
      </c>
    </row>
    <row r="7" spans="1:7" x14ac:dyDescent="0.35">
      <c r="A7" t="s">
        <v>10</v>
      </c>
      <c r="B7" s="2">
        <f ca="1">OFFSET('Panel of elasticites'!B7,0,6*$B$1)</f>
        <v>0.5</v>
      </c>
      <c r="C7" s="2">
        <f ca="1">OFFSET('Panel of elasticites'!C7,0,6*$B$1)</f>
        <v>2.458822823767306</v>
      </c>
      <c r="D7" s="2">
        <f ca="1">OFFSET('Panel of elasticites'!D7,0,6*$B$1)</f>
        <v>0</v>
      </c>
      <c r="E7" s="2">
        <f ca="1">OFFSET('Panel of elasticites'!E7,0,6*$B$1)</f>
        <v>0.24454980595849762</v>
      </c>
      <c r="F7" s="2">
        <f ca="1">OFFSET('Panel of elasticites'!F7,0,6*$B$1)</f>
        <v>0.15</v>
      </c>
      <c r="G7" s="2">
        <f ca="1">OFFSET('Panel of elasticites'!G7,0,6*$B$1)</f>
        <v>0</v>
      </c>
    </row>
    <row r="8" spans="1:7" x14ac:dyDescent="0.35">
      <c r="A8" t="s">
        <v>11</v>
      </c>
      <c r="B8" s="2">
        <f ca="1">OFFSET('Panel of elasticites'!B8,0,6*$B$1)</f>
        <v>0.5</v>
      </c>
      <c r="C8" s="2">
        <f ca="1">OFFSET('Panel of elasticites'!C8,0,6*$B$1)</f>
        <v>1.2949615398539969</v>
      </c>
      <c r="D8" s="2">
        <f ca="1">OFFSET('Panel of elasticites'!D8,0,6*$B$1)</f>
        <v>0</v>
      </c>
      <c r="E8" s="2">
        <f ca="1">OFFSET('Panel of elasticites'!E8,0,6*$B$1)</f>
        <v>0.37586402508037553</v>
      </c>
      <c r="F8" s="2">
        <f ca="1">OFFSET('Panel of elasticites'!F8,0,6*$B$1)</f>
        <v>0.15</v>
      </c>
      <c r="G8" s="2">
        <f ca="1">OFFSET('Panel of elasticites'!G8,0,6*$B$1)</f>
        <v>0</v>
      </c>
    </row>
    <row r="9" spans="1:7" x14ac:dyDescent="0.35">
      <c r="A9" t="s">
        <v>12</v>
      </c>
      <c r="B9" s="2">
        <f ca="1">OFFSET('Panel of elasticites'!B9,0,6*$B$1)</f>
        <v>0.5</v>
      </c>
      <c r="C9" s="2">
        <f ca="1">OFFSET('Panel of elasticites'!C9,0,6*$B$1)</f>
        <v>1.0564153684076472</v>
      </c>
      <c r="D9" s="2">
        <f ca="1">OFFSET('Panel of elasticites'!D9,0,6*$B$1)</f>
        <v>0</v>
      </c>
      <c r="E9" s="2">
        <f ca="1">OFFSET('Panel of elasticites'!E9,0,6*$B$1)</f>
        <v>0.25523581279974628</v>
      </c>
      <c r="F9" s="2">
        <f ca="1">OFFSET('Panel of elasticites'!F9,0,6*$B$1)</f>
        <v>0.15</v>
      </c>
      <c r="G9" s="2">
        <f ca="1">OFFSET('Panel of elasticites'!G9,0,6*$B$1)</f>
        <v>0</v>
      </c>
    </row>
    <row r="10" spans="1:7" x14ac:dyDescent="0.35">
      <c r="A10" t="s">
        <v>13</v>
      </c>
      <c r="B10" s="2">
        <f ca="1">OFFSET('Panel of elasticites'!B10,0,6*$B$1)</f>
        <v>0.5</v>
      </c>
      <c r="C10" s="2">
        <f ca="1">OFFSET('Panel of elasticites'!C10,0,6*$B$1)</f>
        <v>6.9778722921333429</v>
      </c>
      <c r="D10" s="2">
        <f ca="1">OFFSET('Panel of elasticites'!D10,0,6*$B$1)</f>
        <v>0</v>
      </c>
      <c r="E10" s="2">
        <f ca="1">OFFSET('Panel of elasticites'!E10,0,6*$B$1)</f>
        <v>0.36003551831598596</v>
      </c>
      <c r="F10" s="2">
        <f ca="1">OFFSET('Panel of elasticites'!F10,0,6*$B$1)</f>
        <v>0.15</v>
      </c>
      <c r="G10" s="2">
        <f ca="1">OFFSET('Panel of elasticites'!G10,0,6*$B$1)</f>
        <v>0</v>
      </c>
    </row>
    <row r="11" spans="1:7" x14ac:dyDescent="0.35">
      <c r="A11" t="s">
        <v>14</v>
      </c>
      <c r="B11" s="2">
        <f ca="1">OFFSET('Panel of elasticites'!B11,0,6*$B$1)</f>
        <v>0.5</v>
      </c>
      <c r="C11" s="2">
        <f ca="1">OFFSET('Panel of elasticites'!C11,0,6*$B$1)</f>
        <v>0.98764224803587597</v>
      </c>
      <c r="D11" s="2">
        <f ca="1">OFFSET('Panel of elasticites'!D11,0,6*$B$1)</f>
        <v>0</v>
      </c>
      <c r="E11" s="2">
        <f ca="1">OFFSET('Panel of elasticites'!E11,0,6*$B$1)</f>
        <v>0.57172935517187284</v>
      </c>
      <c r="F11" s="2">
        <f ca="1">OFFSET('Panel of elasticites'!F11,0,6*$B$1)</f>
        <v>0.15</v>
      </c>
      <c r="G11" s="2">
        <f ca="1">OFFSET('Panel of elasticites'!G11,0,6*$B$1)</f>
        <v>0</v>
      </c>
    </row>
    <row r="12" spans="1:7" x14ac:dyDescent="0.35">
      <c r="A12" t="s">
        <v>15</v>
      </c>
      <c r="B12" s="2">
        <f ca="1">OFFSET('Panel of elasticites'!B12,0,6*$B$1)</f>
        <v>0.5</v>
      </c>
      <c r="C12" s="2">
        <f ca="1">OFFSET('Panel of elasticites'!C12,0,6*$B$1)</f>
        <v>5.058071044240001</v>
      </c>
      <c r="D12" s="2">
        <f ca="1">OFFSET('Panel of elasticites'!D12,0,6*$B$1)</f>
        <v>0</v>
      </c>
      <c r="E12" s="2">
        <f ca="1">OFFSET('Panel of elasticites'!E12,0,6*$B$1)</f>
        <v>0.41545771946199461</v>
      </c>
      <c r="F12" s="2">
        <f ca="1">OFFSET('Panel of elasticites'!F12,0,6*$B$1)</f>
        <v>0.15</v>
      </c>
      <c r="G12" s="2">
        <f ca="1">OFFSET('Panel of elasticites'!G12,0,6*$B$1)</f>
        <v>0</v>
      </c>
    </row>
    <row r="13" spans="1:7" x14ac:dyDescent="0.35">
      <c r="A13" t="s">
        <v>16</v>
      </c>
      <c r="B13" s="2">
        <f ca="1">OFFSET('Panel of elasticites'!B13,0,6*$B$1)</f>
        <v>0.5</v>
      </c>
      <c r="C13" s="2">
        <f ca="1">OFFSET('Panel of elasticites'!C13,0,6*$B$1)</f>
        <v>5.058071044240001</v>
      </c>
      <c r="D13" s="2">
        <f ca="1">OFFSET('Panel of elasticites'!D13,0,6*$B$1)</f>
        <v>0</v>
      </c>
      <c r="E13" s="2">
        <f ca="1">OFFSET('Panel of elasticites'!E13,0,6*$B$1)</f>
        <v>0.41545771946199461</v>
      </c>
      <c r="F13" s="2">
        <f ca="1">OFFSET('Panel of elasticites'!F13,0,6*$B$1)</f>
        <v>0.15</v>
      </c>
      <c r="G13" s="2">
        <f ca="1">OFFSET('Panel of elasticites'!G13,0,6*$B$1)</f>
        <v>0</v>
      </c>
    </row>
    <row r="14" spans="1:7" x14ac:dyDescent="0.35">
      <c r="A14" t="s">
        <v>17</v>
      </c>
      <c r="B14" s="2">
        <f ca="1">OFFSET('Panel of elasticites'!B14,0,6*$B$1)</f>
        <v>0.5</v>
      </c>
      <c r="C14" s="2">
        <f ca="1">OFFSET('Panel of elasticites'!C14,0,6*$B$1)</f>
        <v>6.165900586412997</v>
      </c>
      <c r="D14" s="2">
        <f ca="1">OFFSET('Panel of elasticites'!D14,0,6*$B$1)</f>
        <v>0</v>
      </c>
      <c r="E14" s="2">
        <f ca="1">OFFSET('Panel of elasticites'!E14,0,6*$B$1)</f>
        <v>0.29460709994798551</v>
      </c>
      <c r="F14" s="2">
        <f ca="1">OFFSET('Panel of elasticites'!F14,0,6*$B$1)</f>
        <v>0.15</v>
      </c>
      <c r="G14" s="2">
        <f ca="1">OFFSET('Panel of elasticites'!G14,0,6*$B$1)</f>
        <v>0.1</v>
      </c>
    </row>
    <row r="15" spans="1:7" x14ac:dyDescent="0.35">
      <c r="A15" t="s">
        <v>18</v>
      </c>
      <c r="B15" s="2">
        <f ca="1">OFFSET('Panel of elasticites'!B15,0,6*$B$1)</f>
        <v>0.5</v>
      </c>
      <c r="C15" s="2">
        <f ca="1">OFFSET('Panel of elasticites'!C15,0,6*$B$1)</f>
        <v>1.1322249386651302</v>
      </c>
      <c r="D15" s="2">
        <f ca="1">OFFSET('Panel of elasticites'!D15,0,6*$B$1)</f>
        <v>0</v>
      </c>
      <c r="E15" s="2">
        <f ca="1">OFFSET('Panel of elasticites'!E15,0,6*$B$1)</f>
        <v>0</v>
      </c>
      <c r="F15" s="2">
        <f ca="1">OFFSET('Panel of elasticites'!F15,0,6*$B$1)</f>
        <v>0.15</v>
      </c>
      <c r="G15" s="2">
        <f ca="1">OFFSET('Panel of elasticites'!G15,0,6*$B$1)</f>
        <v>0.1</v>
      </c>
    </row>
    <row r="16" spans="1:7" x14ac:dyDescent="0.35">
      <c r="A16" t="s">
        <v>19</v>
      </c>
      <c r="B16" s="2">
        <f ca="1">OFFSET('Panel of elasticites'!B16,0,6*$B$1)</f>
        <v>0.5</v>
      </c>
      <c r="C16" s="2">
        <f ca="1">OFFSET('Panel of elasticites'!C16,0,6*$B$1)</f>
        <v>0.85406930292218641</v>
      </c>
      <c r="D16" s="2">
        <f ca="1">OFFSET('Panel of elasticites'!D16,0,6*$B$1)</f>
        <v>0</v>
      </c>
      <c r="E16" s="2">
        <f ca="1">OFFSET('Panel of elasticites'!E16,0,6*$B$1)</f>
        <v>0</v>
      </c>
      <c r="F16" s="2">
        <f ca="1">OFFSET('Panel of elasticites'!F16,0,6*$B$1)</f>
        <v>0.15</v>
      </c>
      <c r="G16" s="2">
        <f ca="1">OFFSET('Panel of elasticites'!G16,0,6*$B$1)</f>
        <v>0.1</v>
      </c>
    </row>
    <row r="17" spans="1:7" x14ac:dyDescent="0.35">
      <c r="A17" t="s">
        <v>20</v>
      </c>
      <c r="B17" s="2">
        <f ca="1">OFFSET('Panel of elasticites'!B17,0,6*$B$1)</f>
        <v>0.5</v>
      </c>
      <c r="C17" s="2">
        <f ca="1">OFFSET('Panel of elasticites'!C17,0,6*$B$1)</f>
        <v>1.1010167128814041</v>
      </c>
      <c r="D17" s="2">
        <f ca="1">OFFSET('Panel of elasticites'!D17,0,6*$B$1)</f>
        <v>0</v>
      </c>
      <c r="E17" s="2">
        <f ca="1">OFFSET('Panel of elasticites'!E17,0,6*$B$1)</f>
        <v>0</v>
      </c>
      <c r="F17" s="2">
        <f ca="1">OFFSET('Panel of elasticites'!F17,0,6*$B$1)</f>
        <v>0.15</v>
      </c>
      <c r="G17" s="2">
        <f ca="1">OFFSET('Panel of elasticites'!G17,0,6*$B$1)</f>
        <v>0.1</v>
      </c>
    </row>
    <row r="18" spans="1:7" x14ac:dyDescent="0.35">
      <c r="A18" t="s">
        <v>21</v>
      </c>
      <c r="B18" s="2">
        <f ca="1">OFFSET('Panel of elasticites'!B18,0,6*$B$1)</f>
        <v>0.5</v>
      </c>
      <c r="C18" s="2">
        <f ca="1">OFFSET('Panel of elasticites'!C18,0,6*$B$1)</f>
        <v>0.8149324233932117</v>
      </c>
      <c r="D18" s="2">
        <f ca="1">OFFSET('Panel of elasticites'!D18,0,6*$B$1)</f>
        <v>0</v>
      </c>
      <c r="E18" s="2">
        <f ca="1">OFFSET('Panel of elasticites'!E18,0,6*$B$1)</f>
        <v>0</v>
      </c>
      <c r="F18" s="2">
        <f ca="1">OFFSET('Panel of elasticites'!F18,0,6*$B$1)</f>
        <v>0.15</v>
      </c>
      <c r="G18" s="2">
        <f ca="1">OFFSET('Panel of elasticites'!G18,0,6*$B$1)</f>
        <v>0.1</v>
      </c>
    </row>
    <row r="19" spans="1:7" x14ac:dyDescent="0.35">
      <c r="A19" t="s">
        <v>22</v>
      </c>
      <c r="B19" s="2">
        <f ca="1">OFFSET('Panel of elasticites'!B19,0,6*$B$1)</f>
        <v>0.5</v>
      </c>
      <c r="C19" s="2">
        <f ca="1">OFFSET('Panel of elasticites'!C19,0,6*$B$1)</f>
        <v>5.604062014060502</v>
      </c>
      <c r="D19" s="2">
        <f ca="1">OFFSET('Panel of elasticites'!D19,0,6*$B$1)</f>
        <v>0</v>
      </c>
      <c r="E19" s="2">
        <f ca="1">OFFSET('Panel of elasticites'!E19,0,6*$B$1)</f>
        <v>0.24229441121240614</v>
      </c>
      <c r="F19" s="2">
        <f ca="1">OFFSET('Panel of elasticites'!F19,0,6*$B$1)</f>
        <v>0.15</v>
      </c>
      <c r="G19" s="2">
        <f ca="1">OFFSET('Panel of elasticites'!G19,0,6*$B$1)</f>
        <v>0.1</v>
      </c>
    </row>
    <row r="20" spans="1:7" x14ac:dyDescent="0.35">
      <c r="A20" t="s">
        <v>23</v>
      </c>
      <c r="B20" s="2">
        <f ca="1">OFFSET('Panel of elasticites'!B20,0,6*$B$1)</f>
        <v>0.5</v>
      </c>
      <c r="C20" s="2">
        <f ca="1">OFFSET('Panel of elasticites'!C20,0,6*$B$1)</f>
        <v>4.9089640420981544</v>
      </c>
      <c r="D20" s="2">
        <f ca="1">OFFSET('Panel of elasticites'!D20,0,6*$B$1)</f>
        <v>0</v>
      </c>
      <c r="E20" s="2">
        <f ca="1">OFFSET('Panel of elasticites'!E20,0,6*$B$1)</f>
        <v>0.16040155767615122</v>
      </c>
      <c r="F20" s="2">
        <f ca="1">OFFSET('Panel of elasticites'!F20,0,6*$B$1)</f>
        <v>0.15</v>
      </c>
      <c r="G20" s="2">
        <f ca="1">OFFSET('Panel of elasticites'!G20,0,6*$B$1)</f>
        <v>0.1</v>
      </c>
    </row>
    <row r="21" spans="1:7" x14ac:dyDescent="0.35">
      <c r="A21" t="s">
        <v>24</v>
      </c>
      <c r="B21" s="2">
        <f ca="1">OFFSET('Panel of elasticites'!B21,0,6*$B$1)</f>
        <v>0.3</v>
      </c>
      <c r="C21" s="2">
        <f ca="1">OFFSET('Panel of elasticites'!C21,0,6*$B$1)</f>
        <v>0.42406131096915778</v>
      </c>
      <c r="D21" s="2">
        <f ca="1">OFFSET('Panel of elasticites'!D21,0,6*$B$1)</f>
        <v>0</v>
      </c>
      <c r="E21" s="2">
        <f ca="1">OFFSET('Panel of elasticites'!E21,0,6*$B$1)</f>
        <v>0</v>
      </c>
      <c r="F21" s="2">
        <f ca="1">OFFSET('Panel of elasticites'!F21,0,6*$B$1)</f>
        <v>0.15</v>
      </c>
      <c r="G21" s="2">
        <f ca="1">OFFSET('Panel of elasticites'!G21,0,6*$B$1)</f>
        <v>0</v>
      </c>
    </row>
    <row r="22" spans="1:7" x14ac:dyDescent="0.35">
      <c r="A22" t="s">
        <v>25</v>
      </c>
      <c r="B22" s="2">
        <f ca="1">OFFSET('Panel of elasticites'!B22,0,6*$B$1)</f>
        <v>0.3</v>
      </c>
      <c r="C22" s="2">
        <f ca="1">OFFSET('Panel of elasticites'!C22,0,6*$B$1)</f>
        <v>0</v>
      </c>
      <c r="D22" s="2">
        <f ca="1">OFFSET('Panel of elasticites'!D22,0,6*$B$1)</f>
        <v>0</v>
      </c>
      <c r="E22" s="2">
        <f ca="1">OFFSET('Panel of elasticites'!E22,0,6*$B$1)</f>
        <v>0</v>
      </c>
      <c r="F22" s="2">
        <f ca="1">OFFSET('Panel of elasticites'!F22,0,6*$B$1)</f>
        <v>0.15</v>
      </c>
      <c r="G22" s="2">
        <f ca="1">OFFSET('Panel of elasticites'!G22,0,6*$B$1)</f>
        <v>0</v>
      </c>
    </row>
    <row r="23" spans="1:7" x14ac:dyDescent="0.35">
      <c r="A23" t="s">
        <v>26</v>
      </c>
      <c r="B23" s="2">
        <f ca="1">OFFSET('Panel of elasticites'!B23,0,6*$B$1)</f>
        <v>0.3</v>
      </c>
      <c r="C23" s="2">
        <f ca="1">OFFSET('Panel of elasticites'!C23,0,6*$B$1)</f>
        <v>0</v>
      </c>
      <c r="D23" s="2">
        <f ca="1">OFFSET('Panel of elasticites'!D23,0,6*$B$1)</f>
        <v>0</v>
      </c>
      <c r="E23" s="2">
        <f ca="1">OFFSET('Panel of elasticites'!E23,0,6*$B$1)</f>
        <v>0</v>
      </c>
      <c r="F23" s="2">
        <f ca="1">OFFSET('Panel of elasticites'!F23,0,6*$B$1)</f>
        <v>0.15</v>
      </c>
      <c r="G23" s="2">
        <f ca="1">OFFSET('Panel of elasticites'!G23,0,6*$B$1)</f>
        <v>0</v>
      </c>
    </row>
    <row r="24" spans="1:7" x14ac:dyDescent="0.35">
      <c r="A24" t="s">
        <v>27</v>
      </c>
      <c r="B24" s="2">
        <f ca="1">OFFSET('Panel of elasticites'!B24,0,6*$B$1)</f>
        <v>0.3</v>
      </c>
      <c r="C24" s="2">
        <f ca="1">OFFSET('Panel of elasticites'!C24,0,6*$B$1)</f>
        <v>0</v>
      </c>
      <c r="D24" s="2">
        <f ca="1">OFFSET('Panel of elasticites'!D24,0,6*$B$1)</f>
        <v>0</v>
      </c>
      <c r="E24" s="2">
        <f ca="1">OFFSET('Panel of elasticites'!E24,0,6*$B$1)</f>
        <v>0</v>
      </c>
      <c r="F24" s="2">
        <f ca="1">OFFSET('Panel of elasticites'!F24,0,6*$B$1)</f>
        <v>0.15</v>
      </c>
      <c r="G24" s="2">
        <f ca="1">OFFSET('Panel of elasticites'!G24,0,6*$B$1)</f>
        <v>0</v>
      </c>
    </row>
    <row r="25" spans="1:7" x14ac:dyDescent="0.35">
      <c r="A25" t="s">
        <v>28</v>
      </c>
      <c r="B25" s="2">
        <f ca="1">OFFSET('Panel of elasticites'!B25,0,6*$B$1)</f>
        <v>0.3</v>
      </c>
      <c r="C25" s="2">
        <f ca="1">OFFSET('Panel of elasticites'!C25,0,6*$B$1)</f>
        <v>0</v>
      </c>
      <c r="D25" s="2">
        <f ca="1">OFFSET('Panel of elasticites'!D25,0,6*$B$1)</f>
        <v>0</v>
      </c>
      <c r="E25" s="2">
        <f ca="1">OFFSET('Panel of elasticites'!E25,0,6*$B$1)</f>
        <v>0</v>
      </c>
      <c r="F25" s="2">
        <f ca="1">OFFSET('Panel of elasticites'!F25,0,6*$B$1)</f>
        <v>0.15</v>
      </c>
      <c r="G25" s="2">
        <f ca="1">OFFSET('Panel of elasticites'!G25,0,6*$B$1)</f>
        <v>0</v>
      </c>
    </row>
    <row r="26" spans="1:7" x14ac:dyDescent="0.35">
      <c r="A26" t="s">
        <v>29</v>
      </c>
      <c r="B26" s="2">
        <f ca="1">OFFSET('Panel of elasticites'!B26,0,6*$B$1)</f>
        <v>0</v>
      </c>
      <c r="C26" s="2">
        <f ca="1">OFFSET('Panel of elasticites'!C26,0,6*$B$1)</f>
        <v>0</v>
      </c>
      <c r="D26" s="2">
        <f ca="1">OFFSET('Panel of elasticites'!D26,0,6*$B$1)</f>
        <v>0</v>
      </c>
      <c r="E26" s="2">
        <f ca="1">OFFSET('Panel of elasticites'!E26,0,6*$B$1)</f>
        <v>0</v>
      </c>
      <c r="F26" s="2">
        <f ca="1">OFFSET('Panel of elasticites'!F26,0,6*$B$1)</f>
        <v>0</v>
      </c>
      <c r="G26" s="2">
        <f ca="1">OFFSET('Panel of elasticites'!G26,0,6*$B$1)</f>
        <v>0</v>
      </c>
    </row>
    <row r="27" spans="1:7" x14ac:dyDescent="0.35">
      <c r="A27" t="s">
        <v>30</v>
      </c>
      <c r="B27" s="2">
        <f ca="1">OFFSET('Panel of elasticites'!B27,0,6*$B$1)</f>
        <v>0.3</v>
      </c>
      <c r="C27" s="2">
        <f ca="1">OFFSET('Panel of elasticites'!C27,0,6*$B$1)</f>
        <v>0</v>
      </c>
      <c r="D27" s="2">
        <f ca="1">OFFSET('Panel of elasticites'!D27,0,6*$B$1)</f>
        <v>0</v>
      </c>
      <c r="E27" s="2">
        <f ca="1">OFFSET('Panel of elasticites'!E27,0,6*$B$1)</f>
        <v>0</v>
      </c>
      <c r="F27" s="2">
        <f ca="1">OFFSET('Panel of elasticites'!F27,0,6*$B$1)</f>
        <v>0.15</v>
      </c>
      <c r="G27" s="2">
        <f ca="1">OFFSET('Panel of elasticites'!G27,0,6*$B$1)</f>
        <v>0</v>
      </c>
    </row>
    <row r="28" spans="1:7" x14ac:dyDescent="0.35">
      <c r="A28" t="s">
        <v>31</v>
      </c>
      <c r="B28" s="2">
        <f ca="1">OFFSET('Panel of elasticites'!B28,0,6*$B$1)</f>
        <v>0.3</v>
      </c>
      <c r="C28" s="2">
        <f ca="1">OFFSET('Panel of elasticites'!C28,0,6*$B$1)</f>
        <v>0</v>
      </c>
      <c r="D28" s="2">
        <f ca="1">OFFSET('Panel of elasticites'!D28,0,6*$B$1)</f>
        <v>0</v>
      </c>
      <c r="E28" s="2">
        <f ca="1">OFFSET('Panel of elasticites'!E28,0,6*$B$1)</f>
        <v>0</v>
      </c>
      <c r="F28" s="2">
        <f ca="1">OFFSET('Panel of elasticites'!F28,0,6*$B$1)</f>
        <v>0.15</v>
      </c>
      <c r="G28" s="2">
        <f ca="1">OFFSET('Panel of elasticites'!G28,0,6*$B$1)</f>
        <v>0</v>
      </c>
    </row>
    <row r="29" spans="1:7" x14ac:dyDescent="0.35">
      <c r="A29" t="s">
        <v>32</v>
      </c>
      <c r="B29" s="2">
        <f ca="1">OFFSET('Panel of elasticites'!B29,0,6*$B$1)</f>
        <v>0.3</v>
      </c>
      <c r="C29" s="2">
        <f ca="1">OFFSET('Panel of elasticites'!C29,0,6*$B$1)</f>
        <v>0</v>
      </c>
      <c r="D29" s="2">
        <f ca="1">OFFSET('Panel of elasticites'!D29,0,6*$B$1)</f>
        <v>0</v>
      </c>
      <c r="E29" s="2">
        <f ca="1">OFFSET('Panel of elasticites'!E29,0,6*$B$1)</f>
        <v>0</v>
      </c>
      <c r="F29" s="2">
        <f ca="1">OFFSET('Panel of elasticites'!F29,0,6*$B$1)</f>
        <v>0.15</v>
      </c>
      <c r="G29" s="2">
        <f ca="1">OFFSET('Panel of elasticites'!G29,0,6*$B$1)</f>
        <v>0</v>
      </c>
    </row>
    <row r="30" spans="1:7" x14ac:dyDescent="0.35">
      <c r="A30" t="s">
        <v>33</v>
      </c>
      <c r="B30" s="2">
        <f ca="1">OFFSET('Panel of elasticites'!B30,0,6*$B$1)</f>
        <v>0.3</v>
      </c>
      <c r="C30" s="2">
        <f ca="1">OFFSET('Panel of elasticites'!C30,0,6*$B$1)</f>
        <v>0</v>
      </c>
      <c r="D30" s="2">
        <f ca="1">OFFSET('Panel of elasticites'!D30,0,6*$B$1)</f>
        <v>0</v>
      </c>
      <c r="E30" s="2">
        <f ca="1">OFFSET('Panel of elasticites'!E30,0,6*$B$1)</f>
        <v>0</v>
      </c>
      <c r="F30" s="2">
        <f ca="1">OFFSET('Panel of elasticites'!F30,0,6*$B$1)</f>
        <v>0.15</v>
      </c>
      <c r="G30" s="2">
        <f ca="1">OFFSET('Panel of elasticites'!G30,0,6*$B$1)</f>
        <v>0</v>
      </c>
    </row>
    <row r="31" spans="1:7" x14ac:dyDescent="0.35">
      <c r="A31" t="s">
        <v>34</v>
      </c>
      <c r="B31" s="2">
        <f ca="1">OFFSET('Panel of elasticites'!B31,0,6*$B$1)</f>
        <v>0.3</v>
      </c>
      <c r="C31" s="2">
        <f ca="1">OFFSET('Panel of elasticites'!C31,0,6*$B$1)</f>
        <v>0</v>
      </c>
      <c r="D31" s="2">
        <f ca="1">OFFSET('Panel of elasticites'!D31,0,6*$B$1)</f>
        <v>0</v>
      </c>
      <c r="E31" s="2">
        <f ca="1">OFFSET('Panel of elasticites'!E31,0,6*$B$1)</f>
        <v>0</v>
      </c>
      <c r="F31" s="2">
        <f ca="1">OFFSET('Panel of elasticites'!F31,0,6*$B$1)</f>
        <v>0.15</v>
      </c>
      <c r="G31" s="2">
        <f ca="1">OFFSET('Panel of elasticites'!G31,0,6*$B$1)</f>
        <v>0</v>
      </c>
    </row>
    <row r="32" spans="1:7" x14ac:dyDescent="0.35">
      <c r="A32" t="s">
        <v>35</v>
      </c>
      <c r="B32" s="2">
        <f ca="1">OFFSET('Panel of elasticites'!B32,0,6*$B$1)</f>
        <v>0.3</v>
      </c>
      <c r="C32" s="2">
        <f ca="1">OFFSET('Panel of elasticites'!C32,0,6*$B$1)</f>
        <v>0</v>
      </c>
      <c r="D32" s="2">
        <f ca="1">OFFSET('Panel of elasticites'!D32,0,6*$B$1)</f>
        <v>0</v>
      </c>
      <c r="E32" s="2">
        <f ca="1">OFFSET('Panel of elasticites'!E32,0,6*$B$1)</f>
        <v>0</v>
      </c>
      <c r="F32" s="2">
        <f ca="1">OFFSET('Panel of elasticites'!F32,0,6*$B$1)</f>
        <v>0.15</v>
      </c>
      <c r="G32" s="2">
        <f ca="1">OFFSET('Panel of elasticites'!G32,0,6*$B$1)</f>
        <v>0</v>
      </c>
    </row>
    <row r="33" spans="1:7" x14ac:dyDescent="0.35">
      <c r="A33" t="s">
        <v>36</v>
      </c>
      <c r="B33" s="2">
        <f ca="1">OFFSET('Panel of elasticites'!B33,0,6*$B$1)</f>
        <v>0.3</v>
      </c>
      <c r="C33" s="2">
        <f ca="1">OFFSET('Panel of elasticites'!C33,0,6*$B$1)</f>
        <v>0</v>
      </c>
      <c r="D33" s="2">
        <f ca="1">OFFSET('Panel of elasticites'!D33,0,6*$B$1)</f>
        <v>0</v>
      </c>
      <c r="E33" s="2">
        <f ca="1">OFFSET('Panel of elasticites'!E33,0,6*$B$1)</f>
        <v>0</v>
      </c>
      <c r="F33" s="2">
        <f ca="1">OFFSET('Panel of elasticites'!F33,0,6*$B$1)</f>
        <v>0.15</v>
      </c>
      <c r="G33" s="2">
        <f ca="1">OFFSET('Panel of elasticites'!G33,0,6*$B$1)</f>
        <v>0</v>
      </c>
    </row>
    <row r="34" spans="1:7" x14ac:dyDescent="0.35">
      <c r="A34" t="s">
        <v>37</v>
      </c>
      <c r="B34" s="2">
        <f ca="1">OFFSET('Panel of elasticites'!B34,0,6*$B$1)</f>
        <v>0.3</v>
      </c>
      <c r="C34" s="2">
        <f ca="1">OFFSET('Panel of elasticites'!C34,0,6*$B$1)</f>
        <v>0</v>
      </c>
      <c r="D34" s="2">
        <f ca="1">OFFSET('Panel of elasticites'!D34,0,6*$B$1)</f>
        <v>0</v>
      </c>
      <c r="E34" s="2">
        <f ca="1">OFFSET('Panel of elasticites'!E34,0,6*$B$1)</f>
        <v>0</v>
      </c>
      <c r="F34" s="2">
        <f ca="1">OFFSET('Panel of elasticites'!F34,0,6*$B$1)</f>
        <v>0.15</v>
      </c>
      <c r="G34" s="2">
        <f ca="1">OFFSET('Panel of elasticites'!G34,0,6*$B$1)</f>
        <v>0</v>
      </c>
    </row>
  </sheetData>
  <conditionalFormatting sqref="B3:G34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O34"/>
  <sheetViews>
    <sheetView workbookViewId="0">
      <selection activeCell="G3" sqref="G3"/>
    </sheetView>
  </sheetViews>
  <sheetFormatPr baseColWidth="10" defaultRowHeight="15.5" x14ac:dyDescent="0.35"/>
  <cols>
    <col min="1" max="1" width="44.6328125" style="1" customWidth="1"/>
    <col min="2" max="7" width="10.90625" style="1"/>
    <col min="16" max="16384" width="10.90625" style="1"/>
  </cols>
  <sheetData>
    <row r="1" spans="1:14" x14ac:dyDescent="0.35">
      <c r="B1" s="3" t="s">
        <v>40</v>
      </c>
      <c r="C1" s="3"/>
      <c r="D1" s="3"/>
      <c r="E1" s="3"/>
      <c r="F1" s="3"/>
      <c r="G1" s="3"/>
      <c r="I1" s="4" t="s">
        <v>41</v>
      </c>
      <c r="J1" s="4"/>
      <c r="K1" s="4"/>
      <c r="L1" s="4"/>
      <c r="M1" s="4"/>
      <c r="N1" s="4"/>
    </row>
    <row r="2" spans="1:14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</row>
    <row r="3" spans="1:14" x14ac:dyDescent="0.35">
      <c r="A3" s="5" t="s">
        <v>6</v>
      </c>
      <c r="B3" s="6">
        <f>'[2]Elas V2'!C2</f>
        <v>0.5</v>
      </c>
      <c r="C3" s="6">
        <f>'[2]Elas V2'!D2</f>
        <v>3.4839883156742073</v>
      </c>
      <c r="D3" s="6">
        <f>'[2]Elas V2'!E2</f>
        <v>0</v>
      </c>
      <c r="E3" s="6">
        <f>'[2]Elas V2'!F2</f>
        <v>0.29404797605318139</v>
      </c>
      <c r="F3" s="6">
        <f>'[2]Elas V2'!G2</f>
        <v>0.15</v>
      </c>
      <c r="G3" s="6">
        <v>17.81467717083234</v>
      </c>
      <c r="I3" s="6">
        <v>-1.3532678071760209</v>
      </c>
      <c r="J3" s="6">
        <v>1.2190106562347198</v>
      </c>
      <c r="K3" s="6">
        <v>0.74856674437089099</v>
      </c>
      <c r="L3" s="6">
        <v>26.821276335742901</v>
      </c>
      <c r="M3" s="6">
        <v>0.36277673822878381</v>
      </c>
      <c r="N3" s="6">
        <v>-17.81467717083234</v>
      </c>
    </row>
    <row r="4" spans="1:14" x14ac:dyDescent="0.35">
      <c r="A4" s="5" t="s">
        <v>7</v>
      </c>
      <c r="B4" s="6">
        <f>B3</f>
        <v>0.5</v>
      </c>
      <c r="C4" s="6">
        <f>C3</f>
        <v>3.4839883156742073</v>
      </c>
      <c r="D4" s="6">
        <f>D3</f>
        <v>0</v>
      </c>
      <c r="E4" s="6">
        <f>E3</f>
        <v>0.29404797605318139</v>
      </c>
      <c r="F4" s="6">
        <f>F3</f>
        <v>0.15</v>
      </c>
      <c r="G4" s="6">
        <v>-6.0545740630814402</v>
      </c>
      <c r="I4" s="6">
        <v>0.64417518391449902</v>
      </c>
      <c r="J4" s="6">
        <v>-1.89728749042491</v>
      </c>
      <c r="K4" s="6">
        <v>0.62980054620403503</v>
      </c>
      <c r="L4" s="6">
        <v>-0.75269493753205796</v>
      </c>
      <c r="M4" s="6">
        <v>0.41463909145362399</v>
      </c>
      <c r="N4" s="6">
        <v>6.0545740630814402</v>
      </c>
    </row>
    <row r="5" spans="1:14" x14ac:dyDescent="0.35">
      <c r="A5" s="5" t="s">
        <v>8</v>
      </c>
      <c r="B5" s="6">
        <f>'[2]Elas V2'!C3</f>
        <v>0.5</v>
      </c>
      <c r="C5" s="6">
        <f>'[2]Elas V2'!D3</f>
        <v>9.521477866939037</v>
      </c>
      <c r="D5" s="6">
        <f>'[2]Elas V2'!E3</f>
        <v>0</v>
      </c>
      <c r="E5" s="6">
        <f>'[2]Elas V2'!F3</f>
        <v>0.57419698494963189</v>
      </c>
      <c r="F5" s="6">
        <f>'[2]Elas V2'!G3</f>
        <v>0.15</v>
      </c>
      <c r="G5" s="6">
        <v>-0.38968346574436702</v>
      </c>
      <c r="I5" s="6">
        <v>0.40614676113623999</v>
      </c>
      <c r="J5" s="6">
        <v>1.51873541652644</v>
      </c>
      <c r="K5" s="6">
        <v>0.62635141344800804</v>
      </c>
      <c r="L5" s="6">
        <v>2.0896776448688099</v>
      </c>
      <c r="M5" s="6">
        <v>0.56421323804090295</v>
      </c>
      <c r="N5" s="6">
        <v>0.38968346574436702</v>
      </c>
    </row>
    <row r="6" spans="1:14" ht="29" x14ac:dyDescent="0.35">
      <c r="A6" s="5" t="s">
        <v>9</v>
      </c>
      <c r="B6" s="6">
        <f>'[2]Elas V2'!C4</f>
        <v>0.5</v>
      </c>
      <c r="C6" s="6">
        <f>'[2]Elas V2'!D4</f>
        <v>13.909639188754333</v>
      </c>
      <c r="D6" s="6">
        <f>'[2]Elas V2'!E4</f>
        <v>0</v>
      </c>
      <c r="E6" s="6">
        <f>'[2]Elas V2'!F4</f>
        <v>0.78625421240416438</v>
      </c>
      <c r="F6" s="6">
        <f>'[2]Elas V2'!G4</f>
        <v>0.15</v>
      </c>
      <c r="G6" s="6">
        <v>-3.3413199464890102</v>
      </c>
      <c r="I6" s="6">
        <v>-1.1517845839440976E-2</v>
      </c>
      <c r="J6" s="6">
        <v>-2.2248907340419219E-2</v>
      </c>
      <c r="K6" s="6">
        <v>-1.7644513313450428E-3</v>
      </c>
      <c r="L6" s="6">
        <v>4.5883197048288196</v>
      </c>
      <c r="M6" s="6">
        <v>2.269263520661537</v>
      </c>
      <c r="N6" s="6">
        <v>3.3413199464890102</v>
      </c>
    </row>
    <row r="7" spans="1:14" x14ac:dyDescent="0.35">
      <c r="A7" s="5" t="s">
        <v>10</v>
      </c>
      <c r="B7" s="6">
        <f>'[2]Elas V2'!C5</f>
        <v>0.5</v>
      </c>
      <c r="C7" s="6">
        <f>'[2]Elas V2'!D5</f>
        <v>2.458822823767306</v>
      </c>
      <c r="D7" s="6">
        <f>'[2]Elas V2'!E5</f>
        <v>0</v>
      </c>
      <c r="E7" s="6">
        <f>'[2]Elas V2'!F5</f>
        <v>0.24454980595849762</v>
      </c>
      <c r="F7" s="6">
        <f>'[2]Elas V2'!G5</f>
        <v>0.15</v>
      </c>
      <c r="G7" s="6">
        <f>'[2]Elas V2'!H5</f>
        <v>0</v>
      </c>
      <c r="I7" s="6">
        <v>0.87455949665588895</v>
      </c>
      <c r="J7" s="6">
        <v>0.85574640308355698</v>
      </c>
      <c r="K7" s="6">
        <v>0.65204359924914101</v>
      </c>
      <c r="L7" s="6">
        <v>-0.59852349728252496</v>
      </c>
      <c r="M7" s="6">
        <v>0.41465781739825203</v>
      </c>
      <c r="N7" s="6">
        <v>1.4270128061716401</v>
      </c>
    </row>
    <row r="8" spans="1:14" x14ac:dyDescent="0.35">
      <c r="A8" s="5" t="s">
        <v>11</v>
      </c>
      <c r="B8" s="6">
        <f>'[2]Elas V2'!C7</f>
        <v>0.5</v>
      </c>
      <c r="C8" s="6">
        <f>'[2]Elas V2'!D7</f>
        <v>1.2949615398539969</v>
      </c>
      <c r="D8" s="6">
        <f>'[2]Elas V2'!E7</f>
        <v>0</v>
      </c>
      <c r="E8" s="6">
        <f>'[2]Elas V2'!F7</f>
        <v>0.37586402508037553</v>
      </c>
      <c r="F8" s="6">
        <f>'[2]Elas V2'!G7</f>
        <v>0.15</v>
      </c>
      <c r="G8" s="6">
        <f>'[2]Elas V2'!H7</f>
        <v>0</v>
      </c>
      <c r="I8" s="6">
        <v>1.5345360259129799</v>
      </c>
      <c r="J8" s="6">
        <v>4.43808519778886</v>
      </c>
      <c r="K8" s="6">
        <v>2.3821868614157271</v>
      </c>
      <c r="L8" s="6">
        <v>-2.8824855368558611</v>
      </c>
      <c r="M8" s="6">
        <v>0.66299289206241419</v>
      </c>
      <c r="N8" s="6">
        <v>2.4542725967212964E-2</v>
      </c>
    </row>
    <row r="9" spans="1:14" x14ac:dyDescent="0.35">
      <c r="A9" s="5" t="s">
        <v>12</v>
      </c>
      <c r="B9" s="6">
        <f>'[2]Elas V2'!C8</f>
        <v>0.5</v>
      </c>
      <c r="C9" s="6">
        <f>'[2]Elas V2'!D8</f>
        <v>1.0564153684076472</v>
      </c>
      <c r="D9" s="6">
        <f>'[2]Elas V2'!E8</f>
        <v>0</v>
      </c>
      <c r="E9" s="6">
        <f>'[2]Elas V2'!F8</f>
        <v>0.25523581279974628</v>
      </c>
      <c r="F9" s="6">
        <f>'[2]Elas V2'!G8</f>
        <v>0.15</v>
      </c>
      <c r="G9" s="6">
        <f>'[2]Elas V2'!H8</f>
        <v>0</v>
      </c>
      <c r="I9" s="6">
        <v>1.0172523065442789</v>
      </c>
      <c r="J9" s="6">
        <v>1.5502188068595331</v>
      </c>
      <c r="K9" s="6">
        <v>2.2097206927448299</v>
      </c>
      <c r="L9" s="6">
        <v>0.70225743143284902</v>
      </c>
      <c r="M9" s="6">
        <v>0.85283663395971299</v>
      </c>
      <c r="N9" s="6">
        <v>3.6041733426275195</v>
      </c>
    </row>
    <row r="10" spans="1:14" x14ac:dyDescent="0.35">
      <c r="A10" s="5" t="s">
        <v>13</v>
      </c>
      <c r="B10" s="6">
        <f>'[2]Elas V2'!C10</f>
        <v>0.5</v>
      </c>
      <c r="C10" s="6">
        <f>'[2]Elas V2'!D10</f>
        <v>6.9778722921333429</v>
      </c>
      <c r="D10" s="6">
        <f>'[2]Elas V2'!E10</f>
        <v>0</v>
      </c>
      <c r="E10" s="6">
        <f>'[2]Elas V2'!F10</f>
        <v>0.36003551831598596</v>
      </c>
      <c r="F10" s="6">
        <f>'[2]Elas V2'!G10</f>
        <v>0.15</v>
      </c>
      <c r="G10" s="6">
        <f>'[2]Elas V2'!H10</f>
        <v>0</v>
      </c>
      <c r="I10" s="6">
        <v>0.70951634615110004</v>
      </c>
      <c r="J10" s="6">
        <v>0.61076879731682299</v>
      </c>
      <c r="K10" s="6">
        <v>0.86938428244168497</v>
      </c>
      <c r="L10" s="6">
        <v>-2.0583658054415999</v>
      </c>
      <c r="M10" s="6">
        <v>0.69568365522949505</v>
      </c>
      <c r="N10" s="6">
        <v>2.3974471122189498</v>
      </c>
    </row>
    <row r="11" spans="1:14" x14ac:dyDescent="0.35">
      <c r="A11" s="5" t="s">
        <v>14</v>
      </c>
      <c r="B11" s="6">
        <f>'[2]Elas V2'!C11</f>
        <v>0.5</v>
      </c>
      <c r="C11" s="6">
        <f>'[2]Elas V2'!D11</f>
        <v>0.98764224803587597</v>
      </c>
      <c r="D11" s="6">
        <f>'[2]Elas V2'!E11</f>
        <v>0</v>
      </c>
      <c r="E11" s="6">
        <f>'[2]Elas V2'!F11</f>
        <v>0.57172935517187284</v>
      </c>
      <c r="F11" s="6">
        <f>'[2]Elas V2'!G11</f>
        <v>0.15</v>
      </c>
      <c r="G11" s="6">
        <f>'[2]Elas V2'!H11</f>
        <v>0</v>
      </c>
      <c r="I11" s="6">
        <v>1.738365985877163</v>
      </c>
      <c r="J11" s="6">
        <v>1.6396056214916999</v>
      </c>
      <c r="K11" s="6">
        <v>1.313553300974839</v>
      </c>
      <c r="L11" s="6">
        <v>-0.29610008359264262</v>
      </c>
      <c r="M11" s="6">
        <v>0.46487485454343902</v>
      </c>
      <c r="N11" s="6">
        <v>2.1376487227996881</v>
      </c>
    </row>
    <row r="12" spans="1:14" x14ac:dyDescent="0.35">
      <c r="A12" s="5" t="s">
        <v>15</v>
      </c>
      <c r="B12" s="6">
        <f>'[2]Elas V2'!C13</f>
        <v>0.5</v>
      </c>
      <c r="C12" s="6">
        <f>'[2]Elas V2'!D13</f>
        <v>5.058071044240001</v>
      </c>
      <c r="D12" s="6">
        <f>'[2]Elas V2'!E13</f>
        <v>0</v>
      </c>
      <c r="E12" s="6">
        <f>'[2]Elas V2'!F13</f>
        <v>0.41545771946199461</v>
      </c>
      <c r="F12" s="6">
        <f>'[2]Elas V2'!G13</f>
        <v>0.15</v>
      </c>
      <c r="G12" s="6">
        <f>'[2]Elas V2'!H13</f>
        <v>0</v>
      </c>
      <c r="I12" s="6">
        <v>1.6082715872252915</v>
      </c>
      <c r="J12" s="6">
        <v>2.8286594608891482</v>
      </c>
      <c r="K12" s="6">
        <v>1.934863383282561</v>
      </c>
      <c r="L12" s="6">
        <v>6.1539386936450118</v>
      </c>
      <c r="M12" s="6">
        <v>3.0924630635814019</v>
      </c>
      <c r="N12" s="6">
        <v>9.4654460766798287</v>
      </c>
    </row>
    <row r="13" spans="1:14" x14ac:dyDescent="0.35">
      <c r="A13" s="5" t="s">
        <v>16</v>
      </c>
      <c r="B13" s="6">
        <f>'[2]Elas V2'!C13</f>
        <v>0.5</v>
      </c>
      <c r="C13" s="6">
        <f>'[2]Elas V2'!D13</f>
        <v>5.058071044240001</v>
      </c>
      <c r="D13" s="6">
        <f>'[2]Elas V2'!E13</f>
        <v>0</v>
      </c>
      <c r="E13" s="6">
        <f>'[2]Elas V2'!F13</f>
        <v>0.41545771946199461</v>
      </c>
      <c r="F13" s="6">
        <f>'[2]Elas V2'!G13</f>
        <v>0.15</v>
      </c>
      <c r="G13" s="6">
        <f>'[2]Elas V2'!H13</f>
        <v>0</v>
      </c>
      <c r="I13" s="6">
        <v>0.56622787694690102</v>
      </c>
      <c r="J13" s="6">
        <v>0.39159638145214698</v>
      </c>
      <c r="K13" s="6">
        <v>0.63785138902726801</v>
      </c>
      <c r="L13" s="6">
        <v>1.42125663581319</v>
      </c>
      <c r="M13" s="6">
        <v>0.59115365499169903</v>
      </c>
      <c r="N13" s="6">
        <v>2.4800694767979001</v>
      </c>
    </row>
    <row r="14" spans="1:14" x14ac:dyDescent="0.35">
      <c r="A14" s="5" t="s">
        <v>17</v>
      </c>
      <c r="B14" s="6">
        <f>'[2]Elas V2'!C14</f>
        <v>0.5</v>
      </c>
      <c r="C14" s="6">
        <f>'[2]Elas V2'!D14</f>
        <v>6.165900586412997</v>
      </c>
      <c r="D14" s="6">
        <f>'[2]Elas V2'!E14</f>
        <v>0</v>
      </c>
      <c r="E14" s="6">
        <f>'[2]Elas V2'!F14</f>
        <v>0.29460709994798551</v>
      </c>
      <c r="F14" s="6">
        <f>'[2]Elas V2'!G14</f>
        <v>0.15</v>
      </c>
      <c r="G14" s="6">
        <f>'[2]Elas V2'!H14</f>
        <v>0.1</v>
      </c>
      <c r="I14" s="6">
        <v>2.0076235035762919</v>
      </c>
      <c r="J14" s="6">
        <v>-0.10686135735468699</v>
      </c>
      <c r="K14" s="6">
        <v>0.78503017230531491</v>
      </c>
      <c r="L14" s="6">
        <v>0.866037295299103</v>
      </c>
      <c r="M14" s="6">
        <v>0.34255536761253103</v>
      </c>
      <c r="N14" s="6">
        <v>8.1868507586088999</v>
      </c>
    </row>
    <row r="15" spans="1:14" x14ac:dyDescent="0.35">
      <c r="A15" s="5" t="s">
        <v>18</v>
      </c>
      <c r="B15" s="6">
        <f>'[2]Elas V2'!C15</f>
        <v>0.5</v>
      </c>
      <c r="C15" s="6">
        <f>'[2]Elas V2'!D15</f>
        <v>1.1322249386651302</v>
      </c>
      <c r="D15" s="6">
        <f>'[2]Elas V2'!E15</f>
        <v>0</v>
      </c>
      <c r="E15" s="6">
        <f>'[2]Elas V2'!F15</f>
        <v>0</v>
      </c>
      <c r="F15" s="6">
        <f>'[2]Elas V2'!G15</f>
        <v>0.15</v>
      </c>
      <c r="G15" s="6">
        <f>'[2]Elas V2'!H15</f>
        <v>0.1</v>
      </c>
      <c r="I15" s="6">
        <v>0.40333807493616203</v>
      </c>
      <c r="J15" s="6">
        <v>0.17358482493698599</v>
      </c>
      <c r="K15" s="6">
        <v>-2.32014493630836E-2</v>
      </c>
      <c r="L15" s="6">
        <v>9.3559179844212997E-2</v>
      </c>
      <c r="M15" s="6">
        <v>0.42325069124331099</v>
      </c>
      <c r="N15" s="6">
        <v>1.93312791574959</v>
      </c>
    </row>
    <row r="16" spans="1:14" x14ac:dyDescent="0.35">
      <c r="A16" s="5" t="s">
        <v>19</v>
      </c>
      <c r="B16" s="6">
        <f>'[2]Elas V2'!C16</f>
        <v>0.5</v>
      </c>
      <c r="C16" s="6">
        <f>'[2]Elas V2'!D16</f>
        <v>0.85406930292218641</v>
      </c>
      <c r="D16" s="6">
        <f>'[2]Elas V2'!E16</f>
        <v>0</v>
      </c>
      <c r="E16" s="6">
        <f>'[2]Elas V2'!F16</f>
        <v>0</v>
      </c>
      <c r="F16" s="6">
        <f>'[2]Elas V2'!G16</f>
        <v>0.15</v>
      </c>
      <c r="G16" s="6">
        <f>'[2]Elas V2'!H16</f>
        <v>0.1</v>
      </c>
      <c r="I16" s="6">
        <v>0.40333807493616203</v>
      </c>
      <c r="J16" s="6">
        <v>0.17358482493698599</v>
      </c>
      <c r="K16" s="6">
        <v>-2.32014493630836E-2</v>
      </c>
      <c r="L16" s="6">
        <v>9.3559179844212997E-2</v>
      </c>
      <c r="M16" s="6">
        <v>0.42325069124331099</v>
      </c>
      <c r="N16" s="6">
        <v>1.93312791574959</v>
      </c>
    </row>
    <row r="17" spans="1:14" x14ac:dyDescent="0.35">
      <c r="A17" s="5" t="s">
        <v>20</v>
      </c>
      <c r="B17" s="6">
        <f>'[2]Elas V2'!C18</f>
        <v>0.5</v>
      </c>
      <c r="C17" s="6">
        <f>'[2]Elas V2'!D18</f>
        <v>1.1010167128814041</v>
      </c>
      <c r="D17" s="6">
        <f>'[2]Elas V2'!E18</f>
        <v>0</v>
      </c>
      <c r="E17" s="6">
        <f>'[2]Elas V2'!F18</f>
        <v>0</v>
      </c>
      <c r="F17" s="6">
        <f>'[2]Elas V2'!G18</f>
        <v>0.15</v>
      </c>
      <c r="G17" s="6">
        <f>'[2]Elas V2'!H18</f>
        <v>0.1</v>
      </c>
      <c r="I17" s="6">
        <v>0.167235472002047</v>
      </c>
      <c r="J17" s="6">
        <v>6.7303240700959097E-2</v>
      </c>
      <c r="K17" s="6">
        <v>-1.4453684208628101E-2</v>
      </c>
      <c r="L17" s="6">
        <v>-5.8835322094810703E-2</v>
      </c>
      <c r="M17" s="6">
        <v>0.107647474665804</v>
      </c>
      <c r="N17" s="6">
        <v>3.1314893036437601</v>
      </c>
    </row>
    <row r="18" spans="1:14" x14ac:dyDescent="0.35">
      <c r="A18" s="5" t="s">
        <v>21</v>
      </c>
      <c r="B18" s="6">
        <f>'[2]Elas V2'!C19</f>
        <v>0.5</v>
      </c>
      <c r="C18" s="6">
        <f>'[2]Elas V2'!D19</f>
        <v>0.8149324233932117</v>
      </c>
      <c r="D18" s="6">
        <f>'[2]Elas V2'!E19</f>
        <v>0</v>
      </c>
      <c r="E18" s="6">
        <f>'[2]Elas V2'!F19</f>
        <v>0</v>
      </c>
      <c r="F18" s="6">
        <f>'[2]Elas V2'!G19</f>
        <v>0.15</v>
      </c>
      <c r="G18" s="6">
        <f>'[2]Elas V2'!H19</f>
        <v>0.1</v>
      </c>
      <c r="I18" s="6">
        <v>2.3051281650455508</v>
      </c>
      <c r="J18" s="6">
        <v>2.7482434119862451</v>
      </c>
      <c r="K18" s="6">
        <v>1.9057093977173238</v>
      </c>
      <c r="L18" s="6">
        <v>6.9532555576096229</v>
      </c>
      <c r="M18" s="6">
        <v>1.1147717111502535</v>
      </c>
      <c r="N18" s="6">
        <v>5.9413301825811375</v>
      </c>
    </row>
    <row r="19" spans="1:14" x14ac:dyDescent="0.35">
      <c r="A19" s="5" t="s">
        <v>22</v>
      </c>
      <c r="B19" s="6">
        <f>'[2]Elas V2'!C20</f>
        <v>0.5</v>
      </c>
      <c r="C19" s="6">
        <f>'[2]Elas V2'!D20</f>
        <v>5.604062014060502</v>
      </c>
      <c r="D19" s="6">
        <f>'[2]Elas V2'!E20</f>
        <v>0</v>
      </c>
      <c r="E19" s="6">
        <f>'[2]Elas V2'!F20</f>
        <v>0.24229441121240614</v>
      </c>
      <c r="F19" s="6">
        <f>'[2]Elas V2'!G20</f>
        <v>0.15</v>
      </c>
      <c r="G19" s="6">
        <f>'[2]Elas V2'!H20</f>
        <v>0.1</v>
      </c>
      <c r="I19" s="6">
        <v>8.6594371598843711</v>
      </c>
      <c r="J19" s="6">
        <v>8.9171009621607134</v>
      </c>
      <c r="K19" s="6">
        <v>6.5923895765147229</v>
      </c>
      <c r="L19" s="6">
        <v>3.070790628311177</v>
      </c>
      <c r="M19" s="6">
        <v>7.4838365517751502</v>
      </c>
      <c r="N19" s="6">
        <v>75.441058760311336</v>
      </c>
    </row>
    <row r="20" spans="1:14" x14ac:dyDescent="0.35">
      <c r="A20" s="5" t="s">
        <v>23</v>
      </c>
      <c r="B20" s="6">
        <f>'[2]Elas V2'!C21</f>
        <v>0.5</v>
      </c>
      <c r="C20" s="6">
        <f>'[2]Elas V2'!D21</f>
        <v>4.9089640420981544</v>
      </c>
      <c r="D20" s="6">
        <f>'[2]Elas V2'!E21</f>
        <v>0</v>
      </c>
      <c r="E20" s="6">
        <f>'[2]Elas V2'!F21</f>
        <v>0.16040155767615122</v>
      </c>
      <c r="F20" s="6">
        <f>'[2]Elas V2'!G21</f>
        <v>0.15</v>
      </c>
      <c r="G20" s="6">
        <f>'[2]Elas V2'!H21</f>
        <v>0.1</v>
      </c>
      <c r="I20" s="6">
        <v>1.9450404146144931</v>
      </c>
      <c r="J20" s="6">
        <v>15.389646760663606</v>
      </c>
      <c r="K20" s="6">
        <v>1.278849701054217</v>
      </c>
      <c r="L20" s="6">
        <v>15.463367798260661</v>
      </c>
      <c r="M20" s="6">
        <v>2.2363629663482127</v>
      </c>
      <c r="N20" s="6">
        <v>13.911130076609478</v>
      </c>
    </row>
    <row r="21" spans="1:14" x14ac:dyDescent="0.35">
      <c r="A21" s="5" t="s">
        <v>24</v>
      </c>
      <c r="B21" s="6">
        <f>'[2]Elas V2'!C22</f>
        <v>0.3</v>
      </c>
      <c r="C21" s="6">
        <f>'[2]Elas V2'!D22</f>
        <v>0.42406131096915778</v>
      </c>
      <c r="D21" s="6">
        <f>'[2]Elas V2'!E22</f>
        <v>0</v>
      </c>
      <c r="E21" s="6">
        <f>'[2]Elas V2'!F22</f>
        <v>0</v>
      </c>
      <c r="F21" s="6">
        <f>'[2]Elas V2'!G22</f>
        <v>0.15</v>
      </c>
      <c r="G21" s="6">
        <f>'[2]Elas V2'!H22</f>
        <v>0</v>
      </c>
      <c r="I21" s="6">
        <v>1.62324607113894</v>
      </c>
      <c r="J21" s="6">
        <v>1.1393520019633101</v>
      </c>
      <c r="K21" s="6">
        <v>0.46016056276742701</v>
      </c>
      <c r="L21" s="6">
        <v>-3.73935991130061</v>
      </c>
      <c r="M21" s="6">
        <v>-0.51902037009872204</v>
      </c>
      <c r="N21" s="6">
        <v>1.21071496380594</v>
      </c>
    </row>
    <row r="22" spans="1:14" x14ac:dyDescent="0.35">
      <c r="A22" s="5" t="s">
        <v>25</v>
      </c>
      <c r="B22" s="6">
        <f>'[2]Elas V2'!C23</f>
        <v>0.3</v>
      </c>
      <c r="C22" s="6">
        <f>'[2]Elas V2'!D23</f>
        <v>0</v>
      </c>
      <c r="D22" s="6">
        <f>'[2]Elas V2'!E23</f>
        <v>0</v>
      </c>
      <c r="E22" s="6">
        <f>'[2]Elas V2'!F23</f>
        <v>0</v>
      </c>
      <c r="F22" s="6">
        <f>'[2]Elas V2'!G23</f>
        <v>0.15</v>
      </c>
      <c r="G22" s="6">
        <f>'[2]Elas V2'!H23</f>
        <v>0</v>
      </c>
      <c r="I22" s="6">
        <v>0.173427036956776</v>
      </c>
      <c r="J22" s="6">
        <v>0.19568185520611001</v>
      </c>
      <c r="K22" s="6">
        <v>5.3895097144285198E-2</v>
      </c>
      <c r="L22" s="6">
        <v>0.69661570571638598</v>
      </c>
      <c r="M22" s="6">
        <v>0.11767250744322499</v>
      </c>
      <c r="N22" s="6">
        <v>0.44548427706895699</v>
      </c>
    </row>
    <row r="23" spans="1:14" x14ac:dyDescent="0.35">
      <c r="A23" s="5" t="s">
        <v>26</v>
      </c>
      <c r="B23" s="6">
        <f>'[2]Elas V2'!C24</f>
        <v>0.3</v>
      </c>
      <c r="C23" s="6">
        <f>'[2]Elas V2'!D24</f>
        <v>0</v>
      </c>
      <c r="D23" s="6">
        <f>'[2]Elas V2'!E24</f>
        <v>0</v>
      </c>
      <c r="E23" s="6">
        <f>'[2]Elas V2'!F24</f>
        <v>0</v>
      </c>
      <c r="F23" s="6">
        <f>'[2]Elas V2'!G24</f>
        <v>0.15</v>
      </c>
      <c r="G23" s="6">
        <f>'[2]Elas V2'!H24</f>
        <v>0</v>
      </c>
      <c r="I23" s="6">
        <v>0.173427036956776</v>
      </c>
      <c r="J23" s="6">
        <v>0.19568185520611001</v>
      </c>
      <c r="K23" s="6">
        <v>5.3895097144285198E-2</v>
      </c>
      <c r="L23" s="6">
        <v>0.69661570571638598</v>
      </c>
      <c r="M23" s="6">
        <v>0.11767250744322499</v>
      </c>
      <c r="N23" s="6">
        <v>0.44548427706895699</v>
      </c>
    </row>
    <row r="24" spans="1:14" x14ac:dyDescent="0.35">
      <c r="A24" s="5" t="s">
        <v>27</v>
      </c>
      <c r="B24" s="6">
        <f>'[2]Elas V2'!C33</f>
        <v>0.3</v>
      </c>
      <c r="C24" s="6">
        <f>'[2]Elas V2'!D33</f>
        <v>0</v>
      </c>
      <c r="D24" s="6">
        <f>'[2]Elas V2'!E33</f>
        <v>0</v>
      </c>
      <c r="E24" s="6">
        <f>'[2]Elas V2'!F33</f>
        <v>0</v>
      </c>
      <c r="F24" s="6">
        <f>'[2]Elas V2'!G33</f>
        <v>0.15</v>
      </c>
      <c r="G24" s="6">
        <f>'[2]Elas V2'!H33</f>
        <v>0</v>
      </c>
      <c r="I24" s="6">
        <v>0.173427036956776</v>
      </c>
      <c r="J24" s="6">
        <v>0.19568185520611001</v>
      </c>
      <c r="K24" s="6">
        <v>5.3895097144285198E-2</v>
      </c>
      <c r="L24" s="6">
        <v>0.69661570571638598</v>
      </c>
      <c r="M24" s="6">
        <v>0.11767250744322499</v>
      </c>
      <c r="N24" s="6">
        <v>0.44548427706895699</v>
      </c>
    </row>
    <row r="25" spans="1:14" x14ac:dyDescent="0.35">
      <c r="A25" s="5" t="s">
        <v>28</v>
      </c>
      <c r="B25" s="6">
        <f>'[2]Elas V2'!C35</f>
        <v>0.3</v>
      </c>
      <c r="C25" s="6">
        <f>'[2]Elas V2'!D35</f>
        <v>0</v>
      </c>
      <c r="D25" s="6">
        <f>'[2]Elas V2'!E35</f>
        <v>0</v>
      </c>
      <c r="E25" s="6">
        <f>'[2]Elas V2'!F35</f>
        <v>0</v>
      </c>
      <c r="F25" s="6">
        <f>'[2]Elas V2'!G35</f>
        <v>0.15</v>
      </c>
      <c r="G25" s="6">
        <f>'[2]Elas V2'!H35</f>
        <v>0</v>
      </c>
      <c r="I25" s="6">
        <v>0.173427036956776</v>
      </c>
      <c r="J25" s="6">
        <v>0.19568185520611001</v>
      </c>
      <c r="K25" s="6">
        <v>5.3895097144285198E-2</v>
      </c>
      <c r="L25" s="6">
        <v>0.69661570571638598</v>
      </c>
      <c r="M25" s="6">
        <v>0.11767250744322499</v>
      </c>
      <c r="N25" s="6">
        <v>0.44548427706895699</v>
      </c>
    </row>
    <row r="26" spans="1:14" x14ac:dyDescent="0.35">
      <c r="A26" s="5" t="s">
        <v>29</v>
      </c>
      <c r="B26" s="6">
        <f>'[2]Elas V2'!C25</f>
        <v>0</v>
      </c>
      <c r="C26" s="6">
        <f>'[2]Elas V2'!D25</f>
        <v>0</v>
      </c>
      <c r="D26" s="6">
        <f>'[2]Elas V2'!E25</f>
        <v>0</v>
      </c>
      <c r="E26" s="6">
        <f>'[2]Elas V2'!F25</f>
        <v>0</v>
      </c>
      <c r="F26" s="6">
        <f>'[2]Elas V2'!G25</f>
        <v>0</v>
      </c>
      <c r="G26" s="6">
        <f>'[2]Elas V2'!H25</f>
        <v>0</v>
      </c>
      <c r="I26" s="6">
        <v>5.8731935299934799</v>
      </c>
      <c r="J26" s="6">
        <v>0.68512135116740602</v>
      </c>
      <c r="K26" s="6">
        <v>7.7267571267363694E-2</v>
      </c>
      <c r="L26" s="6">
        <v>-1.28903386481436</v>
      </c>
      <c r="M26" s="6">
        <v>1.41308119509442</v>
      </c>
      <c r="N26" s="6">
        <v>0.69859948122877502</v>
      </c>
    </row>
    <row r="27" spans="1:14" x14ac:dyDescent="0.35">
      <c r="A27" s="5" t="s">
        <v>30</v>
      </c>
      <c r="B27" s="6">
        <f>'[2]Elas V2'!C26</f>
        <v>0.3</v>
      </c>
      <c r="C27" s="6">
        <f>'[2]Elas V2'!D26</f>
        <v>0</v>
      </c>
      <c r="D27" s="6">
        <f>'[2]Elas V2'!E26</f>
        <v>0</v>
      </c>
      <c r="E27" s="6">
        <f>'[2]Elas V2'!F26</f>
        <v>0</v>
      </c>
      <c r="F27" s="6">
        <f>'[2]Elas V2'!G26</f>
        <v>0.15</v>
      </c>
      <c r="G27" s="6">
        <f>'[2]Elas V2'!H26</f>
        <v>0</v>
      </c>
      <c r="I27" s="6">
        <v>5.8731935299934799</v>
      </c>
      <c r="J27" s="6">
        <v>0.68512135116740602</v>
      </c>
      <c r="K27" s="6">
        <v>7.7267571267363694E-2</v>
      </c>
      <c r="L27" s="6">
        <v>-1.28903386481436</v>
      </c>
      <c r="M27" s="6">
        <v>1.41308119509442</v>
      </c>
      <c r="N27" s="6">
        <v>0.69859948122877502</v>
      </c>
    </row>
    <row r="28" spans="1:14" x14ac:dyDescent="0.35">
      <c r="A28" s="5" t="s">
        <v>31</v>
      </c>
      <c r="B28" s="6">
        <f t="shared" ref="B28:G34" si="0">B27</f>
        <v>0.3</v>
      </c>
      <c r="C28" s="6">
        <f t="shared" si="0"/>
        <v>0</v>
      </c>
      <c r="D28" s="6">
        <f t="shared" si="0"/>
        <v>0</v>
      </c>
      <c r="E28" s="6">
        <f t="shared" si="0"/>
        <v>0</v>
      </c>
      <c r="F28" s="6">
        <f t="shared" si="0"/>
        <v>0.15</v>
      </c>
      <c r="G28" s="6">
        <f t="shared" si="0"/>
        <v>0</v>
      </c>
      <c r="I28" s="6">
        <v>5.8731935299934799</v>
      </c>
      <c r="J28" s="6">
        <v>0.68512135116740602</v>
      </c>
      <c r="K28" s="6">
        <v>7.7267571267363694E-2</v>
      </c>
      <c r="L28" s="6">
        <v>-1.28903386481436</v>
      </c>
      <c r="M28" s="6">
        <v>1.41308119509442</v>
      </c>
      <c r="N28" s="6">
        <v>0.69859948122877502</v>
      </c>
    </row>
    <row r="29" spans="1:14" x14ac:dyDescent="0.35">
      <c r="A29" s="5" t="s">
        <v>32</v>
      </c>
      <c r="B29" s="6">
        <f t="shared" si="0"/>
        <v>0.3</v>
      </c>
      <c r="C29" s="6">
        <f t="shared" si="0"/>
        <v>0</v>
      </c>
      <c r="D29" s="6">
        <f t="shared" si="0"/>
        <v>0</v>
      </c>
      <c r="E29" s="6">
        <f t="shared" si="0"/>
        <v>0</v>
      </c>
      <c r="F29" s="6">
        <f t="shared" si="0"/>
        <v>0.15</v>
      </c>
      <c r="G29" s="6">
        <f t="shared" si="0"/>
        <v>0</v>
      </c>
      <c r="I29" s="6">
        <v>5.8731935299934799</v>
      </c>
      <c r="J29" s="6">
        <v>0.68512135116740602</v>
      </c>
      <c r="K29" s="6">
        <v>7.7267571267363694E-2</v>
      </c>
      <c r="L29" s="6">
        <v>-1.28903386481436</v>
      </c>
      <c r="M29" s="6">
        <v>1.41308119509442</v>
      </c>
      <c r="N29" s="6">
        <v>0.69859948122877502</v>
      </c>
    </row>
    <row r="30" spans="1:14" x14ac:dyDescent="0.35">
      <c r="A30" s="5" t="s">
        <v>33</v>
      </c>
      <c r="B30" s="6">
        <f t="shared" si="0"/>
        <v>0.3</v>
      </c>
      <c r="C30" s="6">
        <f t="shared" si="0"/>
        <v>0</v>
      </c>
      <c r="D30" s="6">
        <f t="shared" si="0"/>
        <v>0</v>
      </c>
      <c r="E30" s="6">
        <f t="shared" si="0"/>
        <v>0</v>
      </c>
      <c r="F30" s="6">
        <f t="shared" si="0"/>
        <v>0.15</v>
      </c>
      <c r="G30" s="6">
        <f t="shared" si="0"/>
        <v>0</v>
      </c>
      <c r="I30" s="6">
        <v>5.8731935299934799</v>
      </c>
      <c r="J30" s="6">
        <v>0.68512135116740602</v>
      </c>
      <c r="K30" s="6">
        <v>7.7267571267363694E-2</v>
      </c>
      <c r="L30" s="6">
        <v>-1.28903386481436</v>
      </c>
      <c r="M30" s="6">
        <v>1.41308119509442</v>
      </c>
      <c r="N30" s="6">
        <v>0.69859948122877502</v>
      </c>
    </row>
    <row r="31" spans="1:14" x14ac:dyDescent="0.35">
      <c r="A31" s="5" t="s">
        <v>34</v>
      </c>
      <c r="B31" s="6">
        <f t="shared" si="0"/>
        <v>0.3</v>
      </c>
      <c r="C31" s="6">
        <f t="shared" si="0"/>
        <v>0</v>
      </c>
      <c r="D31" s="6">
        <f t="shared" si="0"/>
        <v>0</v>
      </c>
      <c r="E31" s="6">
        <f t="shared" si="0"/>
        <v>0</v>
      </c>
      <c r="F31" s="6">
        <f t="shared" si="0"/>
        <v>0.15</v>
      </c>
      <c r="G31" s="6">
        <f t="shared" si="0"/>
        <v>0</v>
      </c>
      <c r="I31" s="6">
        <v>5.8731935299934799</v>
      </c>
      <c r="J31" s="6">
        <v>0.68512135116740602</v>
      </c>
      <c r="K31" s="6">
        <v>7.7267571267363694E-2</v>
      </c>
      <c r="L31" s="6">
        <v>-1.28903386481436</v>
      </c>
      <c r="M31" s="6">
        <v>1.41308119509442</v>
      </c>
      <c r="N31" s="6">
        <v>0.69859948122877502</v>
      </c>
    </row>
    <row r="32" spans="1:14" x14ac:dyDescent="0.35">
      <c r="A32" s="5" t="s">
        <v>35</v>
      </c>
      <c r="B32" s="6">
        <f t="shared" si="0"/>
        <v>0.3</v>
      </c>
      <c r="C32" s="6">
        <f t="shared" si="0"/>
        <v>0</v>
      </c>
      <c r="D32" s="6">
        <f t="shared" si="0"/>
        <v>0</v>
      </c>
      <c r="E32" s="6">
        <f t="shared" si="0"/>
        <v>0</v>
      </c>
      <c r="F32" s="6">
        <f t="shared" si="0"/>
        <v>0.15</v>
      </c>
      <c r="G32" s="6">
        <f t="shared" si="0"/>
        <v>0</v>
      </c>
      <c r="I32" s="6">
        <v>5.8731935299934799</v>
      </c>
      <c r="J32" s="6">
        <v>0.68512135116740602</v>
      </c>
      <c r="K32" s="6">
        <v>7.7267571267363694E-2</v>
      </c>
      <c r="L32" s="6">
        <v>-1.28903386481436</v>
      </c>
      <c r="M32" s="6">
        <v>1.41308119509442</v>
      </c>
      <c r="N32" s="6">
        <v>0.69859948122877502</v>
      </c>
    </row>
    <row r="33" spans="1:14" ht="29" x14ac:dyDescent="0.35">
      <c r="A33" s="5" t="s">
        <v>36</v>
      </c>
      <c r="B33" s="6">
        <f t="shared" si="0"/>
        <v>0.3</v>
      </c>
      <c r="C33" s="6">
        <f t="shared" si="0"/>
        <v>0</v>
      </c>
      <c r="D33" s="6">
        <f t="shared" si="0"/>
        <v>0</v>
      </c>
      <c r="E33" s="6">
        <f t="shared" si="0"/>
        <v>0</v>
      </c>
      <c r="F33" s="6">
        <f t="shared" si="0"/>
        <v>0.15</v>
      </c>
      <c r="G33" s="6">
        <f t="shared" si="0"/>
        <v>0</v>
      </c>
      <c r="I33" s="6">
        <v>5.8731935299934799</v>
      </c>
      <c r="J33" s="6">
        <v>0.68512135116740602</v>
      </c>
      <c r="K33" s="6">
        <v>7.7267571267363694E-2</v>
      </c>
      <c r="L33" s="6">
        <v>-1.28903386481436</v>
      </c>
      <c r="M33" s="6">
        <v>1.41308119509442</v>
      </c>
      <c r="N33" s="6">
        <v>0.69859948122877502</v>
      </c>
    </row>
    <row r="34" spans="1:14" x14ac:dyDescent="0.35">
      <c r="A34" s="5" t="s">
        <v>37</v>
      </c>
      <c r="B34" s="6">
        <f t="shared" si="0"/>
        <v>0.3</v>
      </c>
      <c r="C34" s="6">
        <f t="shared" si="0"/>
        <v>0</v>
      </c>
      <c r="D34" s="6">
        <f t="shared" si="0"/>
        <v>0</v>
      </c>
      <c r="E34" s="6">
        <f t="shared" si="0"/>
        <v>0</v>
      </c>
      <c r="F34" s="6">
        <f t="shared" si="0"/>
        <v>0.15</v>
      </c>
      <c r="G34" s="6">
        <f t="shared" si="0"/>
        <v>0</v>
      </c>
      <c r="I34" s="6">
        <v>5.8731935299934799</v>
      </c>
      <c r="J34" s="6">
        <v>0.68512135116740602</v>
      </c>
      <c r="K34" s="6">
        <v>7.7267571267363694E-2</v>
      </c>
      <c r="L34" s="6">
        <v>-1.28903386481436</v>
      </c>
      <c r="M34" s="6">
        <v>1.41308119509442</v>
      </c>
      <c r="N34" s="6">
        <v>0.69859948122877502</v>
      </c>
    </row>
  </sheetData>
  <mergeCells count="2">
    <mergeCell ref="B1:G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ELAS</vt:lpstr>
      <vt:lpstr>Panel of elasticites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2021-11-29T11:59:31Z</dcterms:modified>
</cp:coreProperties>
</file>