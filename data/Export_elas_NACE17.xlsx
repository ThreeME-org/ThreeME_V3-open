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/Desktop/"/>
    </mc:Choice>
  </mc:AlternateContent>
  <xr:revisionPtr revIDLastSave="0" documentId="13_ncr:1_{8E7BD091-EF08-DE4E-A266-92A06D69AE75}" xr6:coauthVersionLast="47" xr6:coauthVersionMax="47" xr10:uidLastSave="{00000000-0000-0000-0000-000000000000}"/>
  <bookViews>
    <workbookView xWindow="-30040" yWindow="-1920" windowWidth="27640" windowHeight="16540" activeTab="7" xr2:uid="{1134451B-F26C-A94C-B7FF-DA039F72379F}"/>
  </bookViews>
  <sheets>
    <sheet name="Elasticities_WIOD" sheetId="1" r:id="rId1"/>
    <sheet name="Pond.Inputs" sheetId="4" r:id="rId2"/>
    <sheet name="WIOD.NAF17" sheetId="11" r:id="rId3"/>
    <sheet name="WIOD.ThreeME_V3" sheetId="3" r:id="rId4"/>
    <sheet name="WIOD.ThreeME_V3.pond" sheetId="8" r:id="rId5"/>
    <sheet name="WIOD.NAF17.pond" sheetId="14" r:id="rId6"/>
    <sheet name="Elasticities_ThreeME_V3" sheetId="6" r:id="rId7"/>
    <sheet name="Elasticities_NAF17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5" l="1" a="1"/>
  <c r="B2" i="15" s="1"/>
  <c r="AG2" i="8"/>
  <c r="AG3" i="8"/>
  <c r="AG4" i="8"/>
  <c r="AG5" i="8"/>
  <c r="AG6" i="8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2" i="14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2" i="8"/>
  <c r="B2" i="6" l="1" a="1"/>
  <c r="B2" i="6" s="1"/>
  <c r="E31" i="6" l="1"/>
  <c r="G27" i="6"/>
  <c r="C23" i="6"/>
  <c r="G17" i="6"/>
  <c r="E12" i="6"/>
  <c r="E30" i="6"/>
  <c r="B27" i="6"/>
  <c r="G21" i="6"/>
  <c r="E16" i="6"/>
  <c r="C11" i="6"/>
  <c r="C33" i="6"/>
  <c r="F29" i="6"/>
  <c r="G25" i="6"/>
  <c r="E20" i="6"/>
  <c r="C15" i="6"/>
  <c r="G9" i="6"/>
  <c r="D32" i="6"/>
  <c r="G28" i="6"/>
  <c r="E24" i="6"/>
  <c r="C19" i="6"/>
  <c r="G13" i="6"/>
  <c r="E8" i="6"/>
  <c r="C7" i="6"/>
  <c r="G5" i="6"/>
  <c r="E4" i="6"/>
  <c r="C3" i="6"/>
  <c r="G33" i="6"/>
  <c r="B33" i="6"/>
  <c r="C32" i="6"/>
  <c r="C31" i="6"/>
  <c r="D30" i="6"/>
  <c r="E29" i="6"/>
  <c r="E28" i="6"/>
  <c r="F27" i="6"/>
  <c r="G26" i="6"/>
  <c r="F25" i="6"/>
  <c r="D24" i="6"/>
  <c r="B23" i="6"/>
  <c r="F21" i="6"/>
  <c r="D20" i="6"/>
  <c r="B19" i="6"/>
  <c r="F17" i="6"/>
  <c r="D16" i="6"/>
  <c r="B15" i="6"/>
  <c r="F13" i="6"/>
  <c r="D12" i="6"/>
  <c r="B11" i="6"/>
  <c r="F9" i="6"/>
  <c r="D8" i="6"/>
  <c r="B7" i="6"/>
  <c r="F5" i="6"/>
  <c r="D4" i="6"/>
  <c r="B3" i="6"/>
  <c r="F33" i="6"/>
  <c r="G32" i="6"/>
  <c r="G31" i="6"/>
  <c r="B31" i="6"/>
  <c r="C30" i="6"/>
  <c r="C29" i="6"/>
  <c r="D28" i="6"/>
  <c r="E27" i="6"/>
  <c r="E26" i="6"/>
  <c r="C25" i="6"/>
  <c r="G23" i="6"/>
  <c r="E22" i="6"/>
  <c r="C21" i="6"/>
  <c r="G19" i="6"/>
  <c r="E18" i="6"/>
  <c r="C17" i="6"/>
  <c r="G15" i="6"/>
  <c r="E14" i="6"/>
  <c r="C13" i="6"/>
  <c r="G11" i="6"/>
  <c r="E10" i="6"/>
  <c r="C9" i="6"/>
  <c r="G7" i="6"/>
  <c r="E6" i="6"/>
  <c r="C5" i="6"/>
  <c r="G3" i="6"/>
  <c r="E2" i="6"/>
  <c r="E33" i="6"/>
  <c r="E32" i="6"/>
  <c r="F31" i="6"/>
  <c r="G30" i="6"/>
  <c r="G29" i="6"/>
  <c r="B29" i="6"/>
  <c r="C28" i="6"/>
  <c r="C27" i="6"/>
  <c r="D26" i="6"/>
  <c r="B25" i="6"/>
  <c r="F23" i="6"/>
  <c r="D22" i="6"/>
  <c r="B21" i="6"/>
  <c r="F19" i="6"/>
  <c r="D18" i="6"/>
  <c r="B17" i="6"/>
  <c r="F15" i="6"/>
  <c r="D14" i="6"/>
  <c r="B13" i="6"/>
  <c r="F11" i="6"/>
  <c r="D10" i="6"/>
  <c r="B9" i="6"/>
  <c r="F7" i="6"/>
  <c r="D6" i="6"/>
  <c r="B5" i="6"/>
  <c r="F3" i="6"/>
  <c r="D2" i="6"/>
  <c r="C26" i="6"/>
  <c r="E25" i="6"/>
  <c r="G24" i="6"/>
  <c r="C24" i="6"/>
  <c r="E23" i="6"/>
  <c r="G22" i="6"/>
  <c r="C22" i="6"/>
  <c r="E21" i="6"/>
  <c r="G20" i="6"/>
  <c r="C20" i="6"/>
  <c r="E19" i="6"/>
  <c r="G18" i="6"/>
  <c r="C18" i="6"/>
  <c r="E17" i="6"/>
  <c r="G16" i="6"/>
  <c r="C16" i="6"/>
  <c r="E15" i="6"/>
  <c r="G14" i="6"/>
  <c r="C14" i="6"/>
  <c r="E13" i="6"/>
  <c r="G12" i="6"/>
  <c r="C12" i="6"/>
  <c r="E11" i="6"/>
  <c r="G10" i="6"/>
  <c r="C10" i="6"/>
  <c r="E9" i="6"/>
  <c r="G8" i="6"/>
  <c r="C8" i="6"/>
  <c r="E7" i="6"/>
  <c r="G6" i="6"/>
  <c r="C6" i="6"/>
  <c r="E5" i="6"/>
  <c r="G4" i="6"/>
  <c r="C4" i="6"/>
  <c r="E3" i="6"/>
  <c r="G2" i="6"/>
  <c r="C2" i="6"/>
  <c r="D33" i="6"/>
  <c r="F32" i="6"/>
  <c r="B32" i="6"/>
  <c r="D31" i="6"/>
  <c r="F30" i="6"/>
  <c r="B30" i="6"/>
  <c r="D29" i="6"/>
  <c r="F28" i="6"/>
  <c r="B28" i="6"/>
  <c r="D27" i="6"/>
  <c r="F26" i="6"/>
  <c r="B26" i="6"/>
  <c r="D25" i="6"/>
  <c r="F24" i="6"/>
  <c r="B24" i="6"/>
  <c r="D23" i="6"/>
  <c r="F22" i="6"/>
  <c r="B22" i="6"/>
  <c r="D21" i="6"/>
  <c r="F20" i="6"/>
  <c r="B20" i="6"/>
  <c r="D19" i="6"/>
  <c r="F18" i="6"/>
  <c r="B18" i="6"/>
  <c r="D17" i="6"/>
  <c r="F16" i="6"/>
  <c r="B16" i="6"/>
  <c r="D15" i="6"/>
  <c r="F14" i="6"/>
  <c r="B14" i="6"/>
  <c r="D13" i="6"/>
  <c r="F12" i="6"/>
  <c r="B12" i="6"/>
  <c r="D11" i="6"/>
  <c r="F10" i="6"/>
  <c r="B10" i="6"/>
  <c r="D9" i="6"/>
  <c r="F8" i="6"/>
  <c r="B8" i="6"/>
  <c r="D7" i="6"/>
  <c r="F6" i="6"/>
  <c r="B6" i="6"/>
  <c r="D5" i="6"/>
  <c r="F4" i="6"/>
  <c r="B4" i="6"/>
  <c r="D3" i="6"/>
  <c r="F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<sst xmlns="http://schemas.openxmlformats.org/spreadsheetml/2006/main" count="904" uniqueCount="170">
  <si>
    <t>Rail transport</t>
  </si>
  <si>
    <t>Road transport</t>
  </si>
  <si>
    <t>Water transport</t>
  </si>
  <si>
    <t>Air transport</t>
  </si>
  <si>
    <t>Business services</t>
  </si>
  <si>
    <t>Public services</t>
  </si>
  <si>
    <t>Production and distribution of biogas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</si>
  <si>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</si>
  <si>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</si>
  <si>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</si>
  <si>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</si>
  <si>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</si>
  <si>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</si>
  <si>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</si>
  <si>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</si>
  <si>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Crop and animal production, hunting and related service activities</t>
  </si>
  <si>
    <t>Forestry and logging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</si>
  <si>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</si>
  <si>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</si>
  <si>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</si>
  <si>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</si>
  <si>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</si>
  <si>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</si>
  <si>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</si>
  <si>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</si>
  <si>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</si>
  <si>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</si>
  <si>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</si>
  <si>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</si>
  <si>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</si>
  <si>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</si>
  <si>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</si>
  <si>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</si>
  <si>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</si>
  <si>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</si>
  <si>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</si>
  <si>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</si>
  <si>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</si>
  <si>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</si>
  <si>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</si>
  <si>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</si>
  <si>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</si>
  <si>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</si>
  <si>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</si>
  <si>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</si>
  <si>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</si>
  <si>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</si>
  <si>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</si>
  <si>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</si>
  <si>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</si>
  <si>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</si>
  <si>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</si>
  <si>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</si>
  <si>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</si>
  <si>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</si>
  <si>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</si>
  <si>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</si>
  <si>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</si>
  <si>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</si>
  <si>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</si>
  <si>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</si>
  <si>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</si>
  <si>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</si>
  <si>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</si>
  <si>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</si>
  <si>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</si>
  <si>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</si>
  <si>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</si>
  <si>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</si>
  <si>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Y</t>
  </si>
  <si>
    <t>KL</t>
  </si>
  <si>
    <t>KE</t>
  </si>
  <si>
    <t>KM</t>
  </si>
  <si>
    <t>LE</t>
  </si>
  <si>
    <t>LM</t>
  </si>
  <si>
    <t>EM</t>
  </si>
  <si>
    <t>Agriculture and fishing</t>
  </si>
  <si>
    <t>Forestry</t>
  </si>
  <si>
    <t>Manufacture of food products and beverages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</si>
  <si>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</si>
  <si>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</si>
  <si>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</si>
  <si>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</si>
  <si>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</si>
  <si>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</si>
  <si>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</si>
  <si>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</si>
  <si>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</si>
  <si>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Production of refined oil</t>
  </si>
  <si>
    <t>Production of biofuel</t>
  </si>
  <si>
    <t>Distribution of natural gas</t>
  </si>
  <si>
    <t>Electricity - Others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</si>
  <si>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</si>
  <si>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</si>
  <si>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</si>
  <si>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</si>
  <si>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</si>
  <si>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</si>
  <si>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</si>
  <si>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</si>
  <si>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</si>
  <si>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</si>
  <si>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</si>
  <si>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</si>
  <si>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</si>
  <si>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</si>
  <si>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</si>
  <si>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</si>
  <si>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</si>
  <si>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</si>
  <si>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</si>
  <si>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</si>
  <si>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</si>
  <si>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</si>
  <si>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</si>
  <si>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</si>
  <si>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</si>
  <si>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</si>
  <si>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</si>
  <si>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</si>
  <si>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</si>
  <si>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</si>
  <si>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</si>
  <si>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</si>
  <si>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</si>
  <si>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</si>
  <si>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</si>
  <si>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</si>
  <si>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</si>
  <si>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</si>
  <si>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</si>
  <si>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</si>
  <si>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</si>
  <si>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</si>
  <si>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</si>
  <si>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</si>
  <si>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</si>
  <si>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</si>
  <si>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</si>
  <si>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</si>
  <si>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</si>
  <si>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</si>
  <si>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</si>
  <si>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</si>
  <si>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</si>
  <si>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Code</t>
  </si>
  <si>
    <t>Std error</t>
  </si>
  <si>
    <t>***</t>
  </si>
  <si>
    <t xml:space="preserve"> </t>
  </si>
  <si>
    <t>*</t>
  </si>
  <si>
    <t>**</t>
  </si>
  <si>
    <t>.</t>
  </si>
  <si>
    <t>Stars</t>
  </si>
  <si>
    <t xml:space="preserve">Gross output 2014 (source WIOD_SEA16) </t>
  </si>
  <si>
    <t>Agriculture, sylviculture et pêche</t>
  </si>
  <si>
    <t>Industries extractives, énergie, eau, gestion des déchets et dépollution</t>
  </si>
  <si>
    <t>Fabrication de denrées alimentaires, de boissons et de produits à base de tabac</t>
  </si>
  <si>
    <t>Cokéfaction et raffinage</t>
  </si>
  <si>
    <t>Fabrication d'équipements électriques, électroniques, informatiques ; fabrication de machines</t>
  </si>
  <si>
    <t>Fabrication de matériels de transport</t>
  </si>
  <si>
    <t>Fabrication d'autres produits industriels</t>
  </si>
  <si>
    <t>Commerce ; réparation d'automobiles et de motocycles</t>
  </si>
  <si>
    <t>Transports et entreposage</t>
  </si>
  <si>
    <t>Hébergement et restauration</t>
  </si>
  <si>
    <t>Information et communication</t>
  </si>
  <si>
    <t>Activités financières et d'assurance</t>
  </si>
  <si>
    <t>Activités immobilières</t>
  </si>
  <si>
    <t>Activités spécialisées, scientifiques et techniques et activités de services administratifs et de soutien</t>
  </si>
  <si>
    <t>Administration publique, enseignement, santé humaine et action sociale</t>
  </si>
  <si>
    <t>Autres activités de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</si>
</sst>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8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5" fillId="3" borderId="0" applyNumberFormat="0" applyBorder="0" applyAlignment="0" applyProtection="0"/>
    <xf numFmtId="0" fontId="7" fillId="0" borderId="0"/>
  </cellStyleXfs>
  <cellXfs count="12">
    <xf numFmtId="0" fontId="0" fillId="0" borderId="0" xfId="0"/>
    <xf numFmtId="0" fontId="3" fillId="2" borderId="0" xfId="0" applyFont="1" applyFill="1"/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2" fillId="4" borderId="0" xfId="2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3" applyFill="1" applyAlignment="1">
      <alignment horizontal="center"/>
    </xf>
    <xf numFmtId="0" fontId="5" fillId="0" borderId="0" xfId="3" applyFill="1" applyBorder="1" applyAlignment="1">
      <alignment horizontal="center"/>
    </xf>
    <xf numFmtId="0" fontId="6" fillId="0" borderId="0" xfId="0" applyFont="1"/>
    <xf numFmtId="171" fontId="0" fillId="0" borderId="0" xfId="0" applyNumberFormat="1"/>
  </cellXfs>
  <cellStyles count="5">
    <cellStyle name="20 % - Accent2" xfId="3" builtinId="34"/>
    <cellStyle name="Normal" xfId="0" builtinId="0"/>
    <cellStyle name="Normal 2" xfId="4" xr:uid="{FD1A3501-E238-B14E-BFDC-B6DD597A66AD}"/>
    <cellStyle name="Normal 3" xfId="1" xr:uid="{89AB6981-9EC7-3046-939C-421B637DC00F}"/>
    <cellStyle name="Normal 4" xfId="2" xr:uid="{F27D9DC2-CCD4-E94A-BD15-A371696C8EFD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9511-3986-5643-A068-50CAA24EDBC0}">
  <sheetPr>
    <tabColor rgb="FFC00000"/>
  </sheetPr>
  <dimension ref="A1:V57"/>
  <sheetViews>
    <sheetView topLeftCell="A28" workbookViewId="0">
      <selection activeCell="C2" sqref="C2"/>
    </sheetView>
  </sheetViews>
  <sheetFormatPr baseColWidth="10" defaultRowHeight="16" x14ac:dyDescent="0.2"/>
  <cols>
    <col min="1" max="1" width="86.6640625" bestFit="1" customWidth="1"/>
  </cols>
  <sheetData>
    <row r="1" spans="1:22" x14ac:dyDescent="0.2">
      <c r="B1" t="s">
        <v>145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146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152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</row>
    <row r="2" spans="1:22" x14ac:dyDescent="0.2">
      <c r="A2" s="1" t="s">
        <v>15</v>
      </c>
      <c r="B2" t="s">
        <v>92</v>
      </c>
      <c r="C2">
        <v>2</v>
      </c>
      <c r="D2">
        <v>-7.9433542573229807E-2</v>
      </c>
      <c r="E2">
        <v>-0.332992639322851</v>
      </c>
      <c r="F2">
        <v>-14.5589733635511</v>
      </c>
      <c r="G2">
        <v>-0.373459358803234</v>
      </c>
      <c r="H2">
        <v>4.5542470151696399</v>
      </c>
      <c r="J2">
        <v>3.7716328190257303E-2</v>
      </c>
      <c r="K2">
        <v>0.496500504082246</v>
      </c>
      <c r="L2">
        <v>3.7043056039782897E-2</v>
      </c>
      <c r="M2">
        <v>7.2518072010333396</v>
      </c>
      <c r="N2">
        <v>8.8262693662368094E-2</v>
      </c>
      <c r="O2">
        <v>2.4365450797257702</v>
      </c>
      <c r="Q2" t="s">
        <v>147</v>
      </c>
      <c r="R2" t="s">
        <v>148</v>
      </c>
      <c r="S2" t="s">
        <v>147</v>
      </c>
      <c r="T2" t="s">
        <v>149</v>
      </c>
      <c r="U2" t="s">
        <v>147</v>
      </c>
      <c r="V2" t="s">
        <v>151</v>
      </c>
    </row>
    <row r="3" spans="1:22" x14ac:dyDescent="0.2">
      <c r="A3" s="1" t="s">
        <v>16</v>
      </c>
      <c r="B3" t="s">
        <v>93</v>
      </c>
      <c r="C3">
        <v>-0.64417518391449902</v>
      </c>
      <c r="D3">
        <v>1.89728749042491</v>
      </c>
      <c r="E3">
        <v>-0.62980054620403503</v>
      </c>
      <c r="F3">
        <v>0.75269493753205796</v>
      </c>
      <c r="G3">
        <v>-0.41463909145362399</v>
      </c>
      <c r="H3">
        <v>-6.0545740630814402</v>
      </c>
      <c r="J3">
        <v>5.5353151574587603E-2</v>
      </c>
      <c r="K3">
        <v>0.80678736968436804</v>
      </c>
      <c r="L3">
        <v>0.100008773106322</v>
      </c>
      <c r="M3">
        <v>2.81798511380478</v>
      </c>
      <c r="N3">
        <v>0.140384952161412</v>
      </c>
      <c r="O3">
        <v>3.7606683579782598</v>
      </c>
      <c r="Q3" t="s">
        <v>147</v>
      </c>
      <c r="R3" t="s">
        <v>149</v>
      </c>
      <c r="S3" t="s">
        <v>147</v>
      </c>
      <c r="T3" t="s">
        <v>148</v>
      </c>
      <c r="U3" t="s">
        <v>150</v>
      </c>
      <c r="V3" t="s">
        <v>148</v>
      </c>
    </row>
    <row r="4" spans="1:22" x14ac:dyDescent="0.2">
      <c r="A4" s="1" t="s">
        <v>17</v>
      </c>
      <c r="B4" t="s">
        <v>94</v>
      </c>
      <c r="C4">
        <v>-0.64673219282397898</v>
      </c>
      <c r="D4">
        <v>-1.1395771136614901</v>
      </c>
      <c r="E4">
        <v>-0.41557410504803999</v>
      </c>
      <c r="F4">
        <v>-12.262302972191801</v>
      </c>
      <c r="G4">
        <v>1.06826205744502E-2</v>
      </c>
      <c r="H4">
        <v>13.2604301556627</v>
      </c>
      <c r="J4">
        <v>7.1039328691299197E-2</v>
      </c>
      <c r="K4">
        <v>4.7204101891316501</v>
      </c>
      <c r="L4">
        <v>0.102227836503584</v>
      </c>
      <c r="M4">
        <v>10.561322687121599</v>
      </c>
      <c r="N4">
        <v>0.137488174013528</v>
      </c>
      <c r="O4">
        <v>18.421011523014698</v>
      </c>
      <c r="Q4" t="s">
        <v>147</v>
      </c>
      <c r="R4" t="s">
        <v>148</v>
      </c>
      <c r="S4" t="s">
        <v>147</v>
      </c>
      <c r="T4" t="s">
        <v>148</v>
      </c>
      <c r="U4" t="s">
        <v>148</v>
      </c>
      <c r="V4" t="s">
        <v>148</v>
      </c>
    </row>
    <row r="5" spans="1:22" x14ac:dyDescent="0.2">
      <c r="A5" s="1" t="s">
        <v>18</v>
      </c>
      <c r="B5" t="s">
        <v>95</v>
      </c>
      <c r="C5">
        <v>-1.62324607113894</v>
      </c>
      <c r="D5">
        <v>-1.1393520019633101</v>
      </c>
      <c r="E5">
        <v>-0.46016056276742701</v>
      </c>
      <c r="F5">
        <v>3.73935991130061</v>
      </c>
      <c r="G5">
        <v>0.51902037009872204</v>
      </c>
      <c r="H5">
        <v>-1.21071496380594</v>
      </c>
      <c r="J5">
        <v>0.32657445973757498</v>
      </c>
      <c r="K5">
        <v>0.139848046448659</v>
      </c>
      <c r="L5">
        <v>8.0570408146514894E-2</v>
      </c>
      <c r="M5">
        <v>0.989756101602696</v>
      </c>
      <c r="N5">
        <v>0.42444461427899699</v>
      </c>
      <c r="O5">
        <v>0.201564662953063</v>
      </c>
      <c r="Q5" t="s">
        <v>147</v>
      </c>
      <c r="R5" t="s">
        <v>147</v>
      </c>
      <c r="S5" t="s">
        <v>147</v>
      </c>
      <c r="T5" t="s">
        <v>147</v>
      </c>
      <c r="U5" t="s">
        <v>148</v>
      </c>
      <c r="V5" t="s">
        <v>147</v>
      </c>
    </row>
    <row r="6" spans="1:22" x14ac:dyDescent="0.2">
      <c r="A6" s="1" t="s">
        <v>19</v>
      </c>
      <c r="B6" t="s">
        <v>96</v>
      </c>
      <c r="C6">
        <v>-0.40614676113623999</v>
      </c>
      <c r="D6">
        <v>-1.51873541652644</v>
      </c>
      <c r="E6">
        <v>-0.62635141344800804</v>
      </c>
      <c r="F6">
        <v>-2.0896776448688099</v>
      </c>
      <c r="G6">
        <v>-0.56421323804090295</v>
      </c>
      <c r="H6">
        <v>-0.38968346574436702</v>
      </c>
      <c r="J6">
        <v>3.7617584958140701E-2</v>
      </c>
      <c r="K6">
        <v>0.58800129427167303</v>
      </c>
      <c r="L6">
        <v>6.4843413191449595E-2</v>
      </c>
      <c r="M6">
        <v>2.2864181347135499</v>
      </c>
      <c r="N6">
        <v>6.8369988306189802E-2</v>
      </c>
      <c r="O6">
        <v>1.1305014574753001</v>
      </c>
      <c r="Q6" t="s">
        <v>147</v>
      </c>
      <c r="R6" t="s">
        <v>150</v>
      </c>
      <c r="S6" t="s">
        <v>147</v>
      </c>
      <c r="T6" t="s">
        <v>148</v>
      </c>
      <c r="U6" t="s">
        <v>147</v>
      </c>
      <c r="V6" t="s">
        <v>148</v>
      </c>
    </row>
    <row r="7" spans="1:22" x14ac:dyDescent="0.2">
      <c r="A7" s="1" t="s">
        <v>20</v>
      </c>
      <c r="B7" t="s">
        <v>97</v>
      </c>
      <c r="C7">
        <v>-0.69112445841302494</v>
      </c>
      <c r="D7">
        <v>-0.85248273606048497</v>
      </c>
      <c r="E7">
        <v>-1.0416057355823101</v>
      </c>
      <c r="F7">
        <v>0.54931913751793704</v>
      </c>
      <c r="G7">
        <v>-0.40470943994139402</v>
      </c>
      <c r="H7">
        <v>-1.8119718145742301</v>
      </c>
      <c r="J7">
        <v>6.0036571282531502E-2</v>
      </c>
      <c r="K7">
        <v>0.239249693601778</v>
      </c>
      <c r="L7">
        <v>0.11532485304248501</v>
      </c>
      <c r="M7">
        <v>0.56168313048530205</v>
      </c>
      <c r="N7">
        <v>0.138379617890771</v>
      </c>
      <c r="O7">
        <v>0.58336827981203399</v>
      </c>
      <c r="Q7" t="s">
        <v>147</v>
      </c>
      <c r="R7" t="s">
        <v>147</v>
      </c>
      <c r="S7" t="s">
        <v>147</v>
      </c>
      <c r="T7" t="s">
        <v>148</v>
      </c>
      <c r="U7" t="s">
        <v>150</v>
      </c>
      <c r="V7" t="s">
        <v>150</v>
      </c>
    </row>
    <row r="8" spans="1:22" x14ac:dyDescent="0.2">
      <c r="A8" s="1" t="s">
        <v>21</v>
      </c>
      <c r="B8" t="s">
        <v>98</v>
      </c>
      <c r="C8">
        <v>-0.715228750737819</v>
      </c>
      <c r="D8">
        <v>-0.75225286638340705</v>
      </c>
      <c r="E8">
        <v>-0.60689908281243998</v>
      </c>
      <c r="F8">
        <v>-3.28661399359591</v>
      </c>
      <c r="G8">
        <v>-0.37163974400752797</v>
      </c>
      <c r="H8">
        <v>-0.23105727445656199</v>
      </c>
      <c r="J8">
        <v>7.9297898364377298E-2</v>
      </c>
      <c r="K8">
        <v>0.69189223644130304</v>
      </c>
      <c r="L8">
        <v>4.5522740876035701E-2</v>
      </c>
      <c r="M8">
        <v>1.9898965743900101</v>
      </c>
      <c r="N8">
        <v>7.02466267969305E-2</v>
      </c>
      <c r="O8">
        <v>1.0013481168587499</v>
      </c>
      <c r="Q8" t="s">
        <v>147</v>
      </c>
      <c r="R8" t="s">
        <v>148</v>
      </c>
      <c r="S8" t="s">
        <v>147</v>
      </c>
      <c r="T8" t="s">
        <v>151</v>
      </c>
      <c r="U8" t="s">
        <v>147</v>
      </c>
      <c r="V8" t="s">
        <v>148</v>
      </c>
    </row>
    <row r="9" spans="1:22" x14ac:dyDescent="0.2">
      <c r="A9" s="1" t="s">
        <v>22</v>
      </c>
      <c r="B9" t="s">
        <v>99</v>
      </c>
      <c r="C9">
        <v>-0.55590806393913095</v>
      </c>
      <c r="D9">
        <v>-2.2579812946537898</v>
      </c>
      <c r="E9">
        <v>-1.55653635179609</v>
      </c>
      <c r="F9">
        <v>0.45688136234627102</v>
      </c>
      <c r="G9">
        <v>-9.9162744299557196E-2</v>
      </c>
      <c r="H9">
        <v>0.48430504703872701</v>
      </c>
      <c r="J9">
        <v>9.6529149607739104E-2</v>
      </c>
      <c r="K9">
        <v>0.55876211736432402</v>
      </c>
      <c r="L9">
        <v>9.78943374979864E-2</v>
      </c>
      <c r="M9">
        <v>1.0234283690872401</v>
      </c>
      <c r="N9">
        <v>7.4364151892823402E-2</v>
      </c>
      <c r="O9">
        <v>0.73515384223682601</v>
      </c>
      <c r="Q9" t="s">
        <v>147</v>
      </c>
      <c r="R9" t="s">
        <v>147</v>
      </c>
      <c r="S9" t="s">
        <v>147</v>
      </c>
      <c r="T9" t="s">
        <v>148</v>
      </c>
      <c r="U9" t="s">
        <v>148</v>
      </c>
      <c r="V9" t="s">
        <v>148</v>
      </c>
    </row>
    <row r="10" spans="1:22" x14ac:dyDescent="0.2">
      <c r="A10" s="1" t="s">
        <v>23</v>
      </c>
      <c r="B10" t="s">
        <v>100</v>
      </c>
      <c r="C10">
        <v>-0.97862796197384905</v>
      </c>
      <c r="D10">
        <v>-2.1801039031350702</v>
      </c>
      <c r="E10">
        <v>-0.82565050961963704</v>
      </c>
      <c r="F10">
        <v>2.4256041745095902</v>
      </c>
      <c r="G10">
        <v>-0.563830147762857</v>
      </c>
      <c r="H10">
        <v>-0.50884777300593997</v>
      </c>
      <c r="J10">
        <v>0.108249789469252</v>
      </c>
      <c r="K10">
        <v>0.91710124514937497</v>
      </c>
      <c r="L10">
        <v>5.7617639308519597E-2</v>
      </c>
      <c r="M10">
        <v>2.1738537073720101</v>
      </c>
      <c r="N10">
        <v>9.84768529419245E-2</v>
      </c>
      <c r="O10">
        <v>1.23995029482809</v>
      </c>
      <c r="Q10" t="s">
        <v>147</v>
      </c>
      <c r="R10" t="s">
        <v>149</v>
      </c>
      <c r="S10" t="s">
        <v>147</v>
      </c>
      <c r="T10" t="s">
        <v>148</v>
      </c>
      <c r="U10" t="s">
        <v>147</v>
      </c>
      <c r="V10" t="s">
        <v>148</v>
      </c>
    </row>
    <row r="11" spans="1:22" x14ac:dyDescent="0.2">
      <c r="A11" s="1" t="s">
        <v>24</v>
      </c>
      <c r="B11" t="s">
        <v>101</v>
      </c>
      <c r="C11">
        <v>-0.173427036956776</v>
      </c>
      <c r="D11">
        <v>-0.19568185520611001</v>
      </c>
      <c r="E11">
        <v>-5.3895097144285198E-2</v>
      </c>
      <c r="F11">
        <v>-0.69661570571638598</v>
      </c>
      <c r="G11">
        <v>-0.11767250744322499</v>
      </c>
      <c r="H11">
        <v>-0.44548427706895699</v>
      </c>
      <c r="J11">
        <v>5.0118806842770702E-2</v>
      </c>
      <c r="K11">
        <v>0.105945229036706</v>
      </c>
      <c r="L11">
        <v>6.1769137195074098E-2</v>
      </c>
      <c r="M11">
        <v>0.32060003001277199</v>
      </c>
      <c r="N11">
        <v>7.3523632867272398E-2</v>
      </c>
      <c r="O11">
        <v>0.34391756617053398</v>
      </c>
      <c r="Q11" t="s">
        <v>147</v>
      </c>
      <c r="R11" t="s">
        <v>151</v>
      </c>
      <c r="S11" t="s">
        <v>148</v>
      </c>
      <c r="T11" t="s">
        <v>149</v>
      </c>
      <c r="U11" t="s">
        <v>148</v>
      </c>
      <c r="V11" t="s">
        <v>148</v>
      </c>
    </row>
    <row r="12" spans="1:22" x14ac:dyDescent="0.2">
      <c r="A12" s="1" t="s">
        <v>25</v>
      </c>
      <c r="B12" t="s">
        <v>102</v>
      </c>
      <c r="C12">
        <v>-0.57986595910610095</v>
      </c>
      <c r="D12">
        <v>-0.66408955394961999</v>
      </c>
      <c r="E12">
        <v>-1.0546637714014899</v>
      </c>
      <c r="F12">
        <v>-0.80633487410660698</v>
      </c>
      <c r="G12">
        <v>-0.404885282835585</v>
      </c>
      <c r="H12">
        <v>-1.5281693833721099</v>
      </c>
      <c r="J12">
        <v>9.3363215578891295E-2</v>
      </c>
      <c r="K12">
        <v>0.43507472961764798</v>
      </c>
      <c r="L12">
        <v>6.3711876854401897E-2</v>
      </c>
      <c r="M12">
        <v>1.23196311839265</v>
      </c>
      <c r="N12">
        <v>8.6685584140632405E-2</v>
      </c>
      <c r="O12">
        <v>0.87957327408520003</v>
      </c>
      <c r="Q12" t="s">
        <v>147</v>
      </c>
      <c r="R12" t="s">
        <v>148</v>
      </c>
      <c r="S12" t="s">
        <v>147</v>
      </c>
      <c r="T12" t="s">
        <v>148</v>
      </c>
      <c r="U12" t="s">
        <v>147</v>
      </c>
      <c r="V12" t="s">
        <v>151</v>
      </c>
    </row>
    <row r="13" spans="1:22" x14ac:dyDescent="0.2">
      <c r="A13" s="1" t="s">
        <v>26</v>
      </c>
      <c r="B13" t="s">
        <v>103</v>
      </c>
      <c r="C13">
        <v>-0.437386347438178</v>
      </c>
      <c r="D13">
        <v>-0.88612925290991296</v>
      </c>
      <c r="E13">
        <v>-1.1550569213433399</v>
      </c>
      <c r="F13">
        <v>0.104077442673758</v>
      </c>
      <c r="G13">
        <v>-0.44795135112412798</v>
      </c>
      <c r="H13">
        <v>-2.0760039592554098</v>
      </c>
      <c r="J13">
        <v>7.1313432408181499E-2</v>
      </c>
      <c r="K13">
        <v>0.287552169565777</v>
      </c>
      <c r="L13">
        <v>8.5688065281106701E-2</v>
      </c>
      <c r="M13">
        <v>0.65721742080753598</v>
      </c>
      <c r="N13">
        <v>9.9860675890392298E-2</v>
      </c>
      <c r="O13">
        <v>0.84110967662700897</v>
      </c>
      <c r="Q13" t="s">
        <v>147</v>
      </c>
      <c r="R13" t="s">
        <v>150</v>
      </c>
      <c r="S13" t="s">
        <v>147</v>
      </c>
      <c r="T13" t="s">
        <v>148</v>
      </c>
      <c r="U13" t="s">
        <v>147</v>
      </c>
      <c r="V13" t="s">
        <v>149</v>
      </c>
    </row>
    <row r="14" spans="1:22" x14ac:dyDescent="0.2">
      <c r="A14" s="1" t="s">
        <v>27</v>
      </c>
      <c r="B14" t="s">
        <v>104</v>
      </c>
      <c r="C14">
        <v>-0.70951634615110004</v>
      </c>
      <c r="D14">
        <v>-0.61076879731682299</v>
      </c>
      <c r="E14">
        <v>-0.86938428244168497</v>
      </c>
      <c r="F14">
        <v>2.0583658054415999</v>
      </c>
      <c r="G14">
        <v>-0.69568365522949505</v>
      </c>
      <c r="H14">
        <v>-2.3974471122189498</v>
      </c>
      <c r="J14">
        <v>8.5939917728966905E-2</v>
      </c>
      <c r="K14">
        <v>0.48252907779986398</v>
      </c>
      <c r="L14">
        <v>6.3122259746503498E-2</v>
      </c>
      <c r="M14">
        <v>1.3637197171332001</v>
      </c>
      <c r="N14">
        <v>9.3802521114119797E-2</v>
      </c>
      <c r="O14">
        <v>0.832212310877115</v>
      </c>
      <c r="Q14" t="s">
        <v>147</v>
      </c>
      <c r="R14" t="s">
        <v>148</v>
      </c>
      <c r="S14" t="s">
        <v>147</v>
      </c>
      <c r="T14" t="s">
        <v>148</v>
      </c>
      <c r="U14" t="s">
        <v>147</v>
      </c>
      <c r="V14" t="s">
        <v>150</v>
      </c>
    </row>
    <row r="15" spans="1:22" x14ac:dyDescent="0.2">
      <c r="A15" s="1" t="s">
        <v>28</v>
      </c>
      <c r="B15" t="s">
        <v>105</v>
      </c>
      <c r="C15">
        <v>-0.87455949665588895</v>
      </c>
      <c r="D15">
        <v>-0.85574640308355698</v>
      </c>
      <c r="E15">
        <v>-0.65204359924914101</v>
      </c>
      <c r="F15">
        <v>0.59852349728252496</v>
      </c>
      <c r="G15">
        <v>-0.41465781739825203</v>
      </c>
      <c r="H15">
        <v>-1.4270128061716401</v>
      </c>
      <c r="J15">
        <v>7.4439636775912504E-2</v>
      </c>
      <c r="K15">
        <v>0.29247106523692601</v>
      </c>
      <c r="L15">
        <v>6.0010766427270303E-2</v>
      </c>
      <c r="M15">
        <v>0.93568570388616301</v>
      </c>
      <c r="N15">
        <v>8.6502352105225597E-2</v>
      </c>
      <c r="O15">
        <v>0.41776074668951102</v>
      </c>
      <c r="Q15" t="s">
        <v>147</v>
      </c>
      <c r="R15" t="s">
        <v>150</v>
      </c>
      <c r="S15" t="s">
        <v>147</v>
      </c>
      <c r="T15" t="s">
        <v>148</v>
      </c>
      <c r="U15" t="s">
        <v>147</v>
      </c>
      <c r="V15" t="s">
        <v>147</v>
      </c>
    </row>
    <row r="16" spans="1:22" x14ac:dyDescent="0.2">
      <c r="A16" s="1" t="s">
        <v>29</v>
      </c>
      <c r="B16" t="s">
        <v>106</v>
      </c>
      <c r="C16">
        <v>-0.97355220959461697</v>
      </c>
      <c r="D16">
        <v>-0.87055770120221099</v>
      </c>
      <c r="E16">
        <v>-0.53307664136620303</v>
      </c>
      <c r="F16">
        <v>-4.5069310166349401E-2</v>
      </c>
      <c r="G16">
        <v>0.175215358054749</v>
      </c>
      <c r="H16">
        <v>-1.2796321265032899</v>
      </c>
      <c r="J16">
        <v>0.153017962696992</v>
      </c>
      <c r="K16">
        <v>0.23526800854060501</v>
      </c>
      <c r="L16">
        <v>6.4072350001162806E-2</v>
      </c>
      <c r="M16">
        <v>0.36144253552714001</v>
      </c>
      <c r="N16">
        <v>7.40486731091482E-2</v>
      </c>
      <c r="O16">
        <v>0.26874346851737302</v>
      </c>
      <c r="Q16" t="s">
        <v>147</v>
      </c>
      <c r="R16" t="s">
        <v>147</v>
      </c>
      <c r="S16" t="s">
        <v>147</v>
      </c>
      <c r="T16" t="s">
        <v>148</v>
      </c>
      <c r="U16" t="s">
        <v>149</v>
      </c>
      <c r="V16" t="s">
        <v>147</v>
      </c>
    </row>
    <row r="17" spans="1:22" x14ac:dyDescent="0.2">
      <c r="A17" s="1" t="s">
        <v>30</v>
      </c>
      <c r="B17" t="s">
        <v>107</v>
      </c>
      <c r="C17">
        <v>-0.76481377628254599</v>
      </c>
      <c r="D17">
        <v>-0.76904792028948898</v>
      </c>
      <c r="E17">
        <v>-0.78047665960863599</v>
      </c>
      <c r="F17">
        <v>0.34116939375899202</v>
      </c>
      <c r="G17">
        <v>-0.64009021259818799</v>
      </c>
      <c r="H17">
        <v>-0.85801659629639804</v>
      </c>
      <c r="J17">
        <v>7.3508886038738896E-2</v>
      </c>
      <c r="K17">
        <v>0.22652698267778501</v>
      </c>
      <c r="L17">
        <v>6.2036205617167002E-2</v>
      </c>
      <c r="M17">
        <v>0.68925200126624098</v>
      </c>
      <c r="N17">
        <v>8.4363883443522206E-2</v>
      </c>
      <c r="O17">
        <v>0.38358543618730101</v>
      </c>
      <c r="Q17" t="s">
        <v>147</v>
      </c>
      <c r="R17" t="s">
        <v>147</v>
      </c>
      <c r="S17" t="s">
        <v>147</v>
      </c>
      <c r="T17" t="s">
        <v>148</v>
      </c>
      <c r="U17" t="s">
        <v>147</v>
      </c>
      <c r="V17" t="s">
        <v>149</v>
      </c>
    </row>
    <row r="18" spans="1:22" x14ac:dyDescent="0.2">
      <c r="A18" s="1" t="s">
        <v>31</v>
      </c>
      <c r="B18" t="s">
        <v>108</v>
      </c>
      <c r="C18">
        <v>-2.5300725247048698E-3</v>
      </c>
      <c r="D18">
        <v>4.8244443794869703E-2</v>
      </c>
      <c r="E18">
        <v>5.1246305239051999E-2</v>
      </c>
      <c r="F18">
        <v>0.14776992312848</v>
      </c>
      <c r="G18">
        <v>-0.73941472981432699</v>
      </c>
      <c r="H18">
        <v>-2.5443724805955599</v>
      </c>
      <c r="J18">
        <v>1.00142295028405E-2</v>
      </c>
      <c r="K18">
        <v>2.4854947998094699E-2</v>
      </c>
      <c r="L18">
        <v>1.7068315220137801E-2</v>
      </c>
      <c r="M18">
        <v>0.44529665288777898</v>
      </c>
      <c r="N18">
        <v>6.0706565184068598E-2</v>
      </c>
      <c r="O18">
        <v>0.64424259717832399</v>
      </c>
      <c r="Q18" t="s">
        <v>148</v>
      </c>
      <c r="R18" t="s">
        <v>151</v>
      </c>
      <c r="S18" t="s">
        <v>150</v>
      </c>
      <c r="T18" t="s">
        <v>148</v>
      </c>
      <c r="U18" t="s">
        <v>147</v>
      </c>
      <c r="V18" t="s">
        <v>147</v>
      </c>
    </row>
    <row r="19" spans="1:22" x14ac:dyDescent="0.2">
      <c r="A19" s="1" t="s">
        <v>32</v>
      </c>
      <c r="B19" t="s">
        <v>109</v>
      </c>
      <c r="C19">
        <v>-6.4274333124298103E-2</v>
      </c>
      <c r="D19">
        <v>5.1552315275731203E-2</v>
      </c>
      <c r="E19">
        <v>-4.4797076657741299E-4</v>
      </c>
      <c r="F19">
        <v>-0.18812035397770299</v>
      </c>
      <c r="G19">
        <v>-0.88243220886306795</v>
      </c>
      <c r="H19">
        <v>-2.4761575208342301</v>
      </c>
      <c r="J19">
        <v>9.3764755531101102E-3</v>
      </c>
      <c r="K19">
        <v>1.31180171572078E-2</v>
      </c>
      <c r="L19">
        <v>6.8432091936411902E-3</v>
      </c>
      <c r="M19">
        <v>0.32881978801453698</v>
      </c>
      <c r="N19">
        <v>5.6947801847464702E-2</v>
      </c>
      <c r="O19">
        <v>0.36929251037034599</v>
      </c>
      <c r="Q19" t="s">
        <v>147</v>
      </c>
      <c r="R19" t="s">
        <v>147</v>
      </c>
      <c r="S19" t="s">
        <v>148</v>
      </c>
      <c r="T19" t="s">
        <v>148</v>
      </c>
      <c r="U19" t="s">
        <v>147</v>
      </c>
      <c r="V19" t="s">
        <v>147</v>
      </c>
    </row>
    <row r="20" spans="1:22" x14ac:dyDescent="0.2">
      <c r="A20" s="1" t="s">
        <v>33</v>
      </c>
      <c r="B20" t="s">
        <v>110</v>
      </c>
      <c r="C20">
        <v>-0.47245456092668198</v>
      </c>
      <c r="D20">
        <v>-0.42397373885172601</v>
      </c>
      <c r="E20">
        <v>-0.78857749567818303</v>
      </c>
      <c r="F20">
        <v>-0.68241678670966099</v>
      </c>
      <c r="G20">
        <v>-0.52603848704176603</v>
      </c>
      <c r="H20">
        <v>-2.06345370848467</v>
      </c>
      <c r="J20">
        <v>4.0737938972042698E-2</v>
      </c>
      <c r="K20">
        <v>0.13195861478537399</v>
      </c>
      <c r="L20">
        <v>4.40189296962923E-2</v>
      </c>
      <c r="M20">
        <v>0.49482911033503801</v>
      </c>
      <c r="N20">
        <v>8.0912369816781404E-2</v>
      </c>
      <c r="O20">
        <v>0.63143255622109895</v>
      </c>
      <c r="Q20" t="s">
        <v>147</v>
      </c>
      <c r="R20" t="s">
        <v>150</v>
      </c>
      <c r="S20" t="s">
        <v>147</v>
      </c>
      <c r="T20" t="s">
        <v>148</v>
      </c>
      <c r="U20" t="s">
        <v>147</v>
      </c>
      <c r="V20" t="s">
        <v>150</v>
      </c>
    </row>
    <row r="21" spans="1:22" x14ac:dyDescent="0.2">
      <c r="A21" s="1" t="s">
        <v>34</v>
      </c>
      <c r="B21" t="s">
        <v>111</v>
      </c>
      <c r="C21">
        <v>-5.6361636830682402E-4</v>
      </c>
      <c r="D21">
        <v>1.22944614900572E-3</v>
      </c>
      <c r="E21">
        <v>-4.9445868747078703E-4</v>
      </c>
      <c r="F21">
        <v>-1.3057559017032601</v>
      </c>
      <c r="G21">
        <v>-0.97813444066439703</v>
      </c>
      <c r="H21">
        <v>-1.9597559104818301</v>
      </c>
      <c r="J21">
        <v>1.5821583860066799E-3</v>
      </c>
      <c r="K21">
        <v>6.1010340306899896E-3</v>
      </c>
      <c r="L21">
        <v>2.65409094328279E-3</v>
      </c>
      <c r="M21">
        <v>0.787093455434694</v>
      </c>
      <c r="N21">
        <v>9.2153869923168194E-2</v>
      </c>
      <c r="O21">
        <v>1.00818205779002</v>
      </c>
      <c r="Q21" t="s">
        <v>148</v>
      </c>
      <c r="R21" t="s">
        <v>148</v>
      </c>
      <c r="S21" t="s">
        <v>148</v>
      </c>
      <c r="T21" t="s">
        <v>151</v>
      </c>
      <c r="U21" t="s">
        <v>147</v>
      </c>
      <c r="V21" t="s">
        <v>151</v>
      </c>
    </row>
    <row r="22" spans="1:22" x14ac:dyDescent="0.2">
      <c r="A22" s="1" t="s">
        <v>35</v>
      </c>
      <c r="B22" t="s">
        <v>112</v>
      </c>
      <c r="C22">
        <v>1.2081462207747799E-2</v>
      </c>
      <c r="D22">
        <v>2.1019461191413499E-2</v>
      </c>
      <c r="E22">
        <v>2.2589100188158298E-3</v>
      </c>
      <c r="F22">
        <v>-3.28256380312556</v>
      </c>
      <c r="G22">
        <v>-1.29112907999714</v>
      </c>
      <c r="H22">
        <v>-1.3815640360071799</v>
      </c>
      <c r="J22">
        <v>1.2265394205585801E-2</v>
      </c>
      <c r="K22">
        <v>1.76145950087657E-2</v>
      </c>
      <c r="L22">
        <v>1.01415393506783E-2</v>
      </c>
      <c r="M22">
        <v>0.44517078682954703</v>
      </c>
      <c r="N22">
        <v>0.14093276315074099</v>
      </c>
      <c r="O22">
        <v>1.20350997780811</v>
      </c>
      <c r="Q22" t="s">
        <v>148</v>
      </c>
      <c r="R22" t="s">
        <v>148</v>
      </c>
      <c r="S22" t="s">
        <v>148</v>
      </c>
      <c r="T22" t="s">
        <v>147</v>
      </c>
      <c r="U22" t="s">
        <v>147</v>
      </c>
      <c r="V22" t="s">
        <v>148</v>
      </c>
    </row>
    <row r="23" spans="1:22" x14ac:dyDescent="0.2">
      <c r="A23" s="1" t="s">
        <v>36</v>
      </c>
      <c r="B23" t="s">
        <v>113</v>
      </c>
      <c r="C23">
        <v>-0.56622787694690102</v>
      </c>
      <c r="D23">
        <v>-0.39159638145214698</v>
      </c>
      <c r="E23">
        <v>-0.63785138902726801</v>
      </c>
      <c r="F23">
        <v>-1.42125663581319</v>
      </c>
      <c r="G23">
        <v>-0.59115365499169903</v>
      </c>
      <c r="H23">
        <v>-2.4800694767979001</v>
      </c>
      <c r="J23">
        <v>5.9555471711321702E-2</v>
      </c>
      <c r="K23">
        <v>0.47305731541007701</v>
      </c>
      <c r="L23">
        <v>7.2269227211906997E-2</v>
      </c>
      <c r="M23">
        <v>1.2791580398425499</v>
      </c>
      <c r="N23">
        <v>9.9064202261412604E-2</v>
      </c>
      <c r="O23">
        <v>1.45609287146122</v>
      </c>
      <c r="Q23" t="s">
        <v>147</v>
      </c>
      <c r="R23" t="s">
        <v>148</v>
      </c>
      <c r="S23" t="s">
        <v>147</v>
      </c>
      <c r="T23" t="s">
        <v>148</v>
      </c>
      <c r="U23" t="s">
        <v>147</v>
      </c>
      <c r="V23" t="s">
        <v>151</v>
      </c>
    </row>
    <row r="24" spans="1:22" x14ac:dyDescent="0.2">
      <c r="A24" s="1" t="s">
        <v>37</v>
      </c>
      <c r="B24" t="s">
        <v>114</v>
      </c>
      <c r="C24">
        <v>5.2362891224452202E-2</v>
      </c>
      <c r="D24">
        <v>-0.23349419819817599</v>
      </c>
      <c r="E24">
        <v>3.6166274183595602E-2</v>
      </c>
      <c r="F24">
        <v>-5.48798376214088E-2</v>
      </c>
      <c r="G24">
        <v>-8.7246558138104092E-3</v>
      </c>
      <c r="H24">
        <v>-1.7607216265644401</v>
      </c>
      <c r="J24">
        <v>3.12003663970962E-2</v>
      </c>
      <c r="K24">
        <v>0.26961224170383802</v>
      </c>
      <c r="L24">
        <v>3.5033581560796903E-2</v>
      </c>
      <c r="M24">
        <v>0.191329785243818</v>
      </c>
      <c r="N24">
        <v>2.3126249184652801E-2</v>
      </c>
      <c r="O24">
        <v>0.55256716959631802</v>
      </c>
      <c r="Q24" t="s">
        <v>151</v>
      </c>
      <c r="R24" t="s">
        <v>148</v>
      </c>
      <c r="S24" t="s">
        <v>148</v>
      </c>
      <c r="T24" t="s">
        <v>148</v>
      </c>
      <c r="U24" t="s">
        <v>148</v>
      </c>
      <c r="V24" t="s">
        <v>150</v>
      </c>
    </row>
    <row r="25" spans="1:22" x14ac:dyDescent="0.2">
      <c r="A25" s="1" t="s">
        <v>38</v>
      </c>
      <c r="B25" t="s">
        <v>115</v>
      </c>
      <c r="C25">
        <v>-5.8731935299934799</v>
      </c>
      <c r="D25">
        <v>-0.68512135116740602</v>
      </c>
      <c r="E25">
        <v>-7.7267571267363694E-2</v>
      </c>
      <c r="F25">
        <v>1.28903386481436</v>
      </c>
      <c r="G25">
        <v>-1.41308119509442</v>
      </c>
      <c r="H25">
        <v>-0.69859948122877502</v>
      </c>
      <c r="J25">
        <v>0.783504866858307</v>
      </c>
      <c r="K25">
        <v>0.15662894683280801</v>
      </c>
      <c r="L25">
        <v>3.1741233948005702E-2</v>
      </c>
      <c r="M25">
        <v>2.8184065067182802</v>
      </c>
      <c r="N25">
        <v>0.44059124827657198</v>
      </c>
      <c r="O25">
        <v>0.19257026925856099</v>
      </c>
      <c r="Q25" t="s">
        <v>147</v>
      </c>
      <c r="R25" t="s">
        <v>147</v>
      </c>
      <c r="S25" t="s">
        <v>149</v>
      </c>
      <c r="T25" t="s">
        <v>148</v>
      </c>
      <c r="U25" t="s">
        <v>150</v>
      </c>
      <c r="V25" t="s">
        <v>147</v>
      </c>
    </row>
    <row r="26" spans="1:22" x14ac:dyDescent="0.2">
      <c r="A26" s="1" t="s">
        <v>39</v>
      </c>
      <c r="B26" t="s">
        <v>116</v>
      </c>
      <c r="C26">
        <v>-1.5021409970783099</v>
      </c>
      <c r="D26">
        <v>-0.220287821769033</v>
      </c>
      <c r="E26">
        <v>-0.12441359824447699</v>
      </c>
      <c r="F26">
        <v>-0.79006801426496698</v>
      </c>
      <c r="G26">
        <v>0.140726421892335</v>
      </c>
      <c r="H26">
        <v>-4.6556045867993703</v>
      </c>
      <c r="J26">
        <v>0.106126777675319</v>
      </c>
      <c r="K26">
        <v>0.136747867081668</v>
      </c>
      <c r="L26">
        <v>3.1777869612776899E-2</v>
      </c>
      <c r="M26">
        <v>1.07392735360003</v>
      </c>
      <c r="N26">
        <v>0.24524929517525099</v>
      </c>
      <c r="O26">
        <v>1.6138456517515101</v>
      </c>
      <c r="Q26" t="s">
        <v>147</v>
      </c>
      <c r="R26" t="s">
        <v>148</v>
      </c>
      <c r="S26" t="s">
        <v>147</v>
      </c>
      <c r="T26" t="s">
        <v>148</v>
      </c>
      <c r="U26" t="s">
        <v>148</v>
      </c>
      <c r="V26" t="s">
        <v>150</v>
      </c>
    </row>
    <row r="27" spans="1:22" x14ac:dyDescent="0.2">
      <c r="A27" s="1" t="s">
        <v>40</v>
      </c>
      <c r="B27" t="s">
        <v>117</v>
      </c>
      <c r="C27">
        <v>-0.65689984707306204</v>
      </c>
      <c r="D27">
        <v>-13.929156621126699</v>
      </c>
      <c r="E27">
        <v>-0.2396686076124</v>
      </c>
      <c r="F27">
        <v>-13.0982526889099</v>
      </c>
      <c r="G27">
        <v>-0.30050555561029801</v>
      </c>
      <c r="H27">
        <v>0.41724337681770302</v>
      </c>
      <c r="J27">
        <v>5.0556892273647402E-2</v>
      </c>
      <c r="K27">
        <v>2.11177368074364</v>
      </c>
      <c r="L27">
        <v>4.4349666078392601E-2</v>
      </c>
      <c r="M27">
        <v>2.59775297405234</v>
      </c>
      <c r="N27">
        <v>9.3037533721888402E-2</v>
      </c>
      <c r="O27">
        <v>2.5648618555459501</v>
      </c>
      <c r="Q27" t="s">
        <v>147</v>
      </c>
      <c r="R27" t="s">
        <v>147</v>
      </c>
      <c r="S27" t="s">
        <v>147</v>
      </c>
      <c r="T27" t="s">
        <v>147</v>
      </c>
      <c r="U27" t="s">
        <v>150</v>
      </c>
      <c r="V27" t="s">
        <v>148</v>
      </c>
    </row>
    <row r="28" spans="1:22" x14ac:dyDescent="0.2">
      <c r="A28" s="1" t="s">
        <v>41</v>
      </c>
      <c r="B28" t="s">
        <v>118</v>
      </c>
      <c r="C28">
        <v>-0.50548250649798199</v>
      </c>
      <c r="D28">
        <v>0.32714917912371999</v>
      </c>
      <c r="E28">
        <v>-0.66061657406083796</v>
      </c>
      <c r="F28">
        <v>-7.5969281034135999E-2</v>
      </c>
      <c r="G28">
        <v>-0.483281789504866</v>
      </c>
      <c r="H28">
        <v>-3.53124617180953</v>
      </c>
      <c r="J28">
        <v>4.4485650989294002E-2</v>
      </c>
      <c r="K28">
        <v>0.30829587398020297</v>
      </c>
      <c r="L28">
        <v>5.22944672599275E-2</v>
      </c>
      <c r="M28">
        <v>0.61285672761104304</v>
      </c>
      <c r="N28">
        <v>7.3665168746488902E-2</v>
      </c>
      <c r="O28">
        <v>0.57683147281674296</v>
      </c>
      <c r="Q28" t="s">
        <v>147</v>
      </c>
      <c r="R28" t="s">
        <v>148</v>
      </c>
      <c r="S28" t="s">
        <v>147</v>
      </c>
      <c r="T28" t="s">
        <v>148</v>
      </c>
      <c r="U28" t="s">
        <v>147</v>
      </c>
      <c r="V28" t="s">
        <v>147</v>
      </c>
    </row>
    <row r="29" spans="1:22" x14ac:dyDescent="0.2">
      <c r="A29" s="1" t="s">
        <v>42</v>
      </c>
      <c r="B29" t="s">
        <v>119</v>
      </c>
      <c r="C29">
        <v>-0.75254590445592795</v>
      </c>
      <c r="D29">
        <v>-0.97192915438858396</v>
      </c>
      <c r="E29">
        <v>-0.82529727836719302</v>
      </c>
      <c r="F29">
        <v>-1.27580031373415</v>
      </c>
      <c r="G29">
        <v>-7.6544304126488494E-2</v>
      </c>
      <c r="H29">
        <v>-1.14671657190123</v>
      </c>
      <c r="J29">
        <v>5.7718283545745597E-2</v>
      </c>
      <c r="K29">
        <v>0.32044595530096298</v>
      </c>
      <c r="L29">
        <v>4.7249989387967303E-2</v>
      </c>
      <c r="M29">
        <v>0.65096035131466301</v>
      </c>
      <c r="N29">
        <v>6.6083552656160102E-2</v>
      </c>
      <c r="O29">
        <v>0.48627380784776603</v>
      </c>
      <c r="Q29" t="s">
        <v>147</v>
      </c>
      <c r="R29" t="s">
        <v>150</v>
      </c>
      <c r="S29" t="s">
        <v>147</v>
      </c>
      <c r="T29" t="s">
        <v>151</v>
      </c>
      <c r="U29" t="s">
        <v>148</v>
      </c>
      <c r="V29" t="s">
        <v>149</v>
      </c>
    </row>
    <row r="30" spans="1:22" x14ac:dyDescent="0.2">
      <c r="A30" s="1" t="s">
        <v>43</v>
      </c>
      <c r="B30" t="s">
        <v>120</v>
      </c>
      <c r="C30">
        <v>-0.32606852011388399</v>
      </c>
      <c r="D30">
        <v>-0.51951831998606202</v>
      </c>
      <c r="E30">
        <v>-0.64931201963171303</v>
      </c>
      <c r="F30">
        <v>-1.17567352194476</v>
      </c>
      <c r="G30">
        <v>-0.183454183066528</v>
      </c>
      <c r="H30">
        <v>-1.73674370391247</v>
      </c>
      <c r="J30">
        <v>3.6616572054670803E-2</v>
      </c>
      <c r="K30">
        <v>0.267141505544922</v>
      </c>
      <c r="L30">
        <v>9.6513447879052305E-2</v>
      </c>
      <c r="M30">
        <v>0.55959293461430304</v>
      </c>
      <c r="N30">
        <v>9.0355854779379505E-2</v>
      </c>
      <c r="O30">
        <v>0.64067384596378196</v>
      </c>
      <c r="Q30" t="s">
        <v>147</v>
      </c>
      <c r="R30" t="s">
        <v>151</v>
      </c>
      <c r="S30" t="s">
        <v>147</v>
      </c>
      <c r="T30" t="s">
        <v>149</v>
      </c>
      <c r="U30" t="s">
        <v>149</v>
      </c>
      <c r="V30" t="s">
        <v>150</v>
      </c>
    </row>
    <row r="31" spans="1:22" x14ac:dyDescent="0.2">
      <c r="A31" s="1" t="s">
        <v>44</v>
      </c>
      <c r="B31" t="s">
        <v>121</v>
      </c>
      <c r="C31">
        <v>-0.383778510981506</v>
      </c>
      <c r="D31">
        <v>-0.49306217980726003</v>
      </c>
      <c r="E31">
        <v>-0.238890371776599</v>
      </c>
      <c r="F31">
        <v>-0.43438208135238299</v>
      </c>
      <c r="G31">
        <v>-0.55872060608721497</v>
      </c>
      <c r="H31">
        <v>-2.24724900110624</v>
      </c>
      <c r="J31">
        <v>4.81395031225842E-2</v>
      </c>
      <c r="K31">
        <v>0.150914273392703</v>
      </c>
      <c r="L31">
        <v>2.5773966282751599E-2</v>
      </c>
      <c r="M31">
        <v>0.75882157163320896</v>
      </c>
      <c r="N31">
        <v>9.7022387174017205E-2</v>
      </c>
      <c r="O31">
        <v>0.60865421853371804</v>
      </c>
      <c r="Q31" t="s">
        <v>147</v>
      </c>
      <c r="R31" t="s">
        <v>150</v>
      </c>
      <c r="S31" t="s">
        <v>147</v>
      </c>
      <c r="T31" t="s">
        <v>148</v>
      </c>
      <c r="U31" t="s">
        <v>147</v>
      </c>
      <c r="V31" t="s">
        <v>147</v>
      </c>
    </row>
    <row r="32" spans="1:22" x14ac:dyDescent="0.2">
      <c r="A32" s="1" t="s">
        <v>45</v>
      </c>
      <c r="B32" t="s">
        <v>122</v>
      </c>
      <c r="C32">
        <v>-0.40333807493616203</v>
      </c>
      <c r="D32">
        <v>-0.17358482493698599</v>
      </c>
      <c r="E32">
        <v>2.32014493630836E-2</v>
      </c>
      <c r="F32">
        <v>-9.3559179844212997E-2</v>
      </c>
      <c r="G32">
        <v>-0.42325069124331099</v>
      </c>
      <c r="H32">
        <v>-1.93312791574959</v>
      </c>
      <c r="J32">
        <v>0.110996605455477</v>
      </c>
      <c r="K32">
        <v>5.2896748566551202E-2</v>
      </c>
      <c r="L32">
        <v>2.3936575594002099E-2</v>
      </c>
      <c r="M32">
        <v>0.49299833227117101</v>
      </c>
      <c r="N32">
        <v>0.19001418756651001</v>
      </c>
      <c r="O32">
        <v>0.31213651034498602</v>
      </c>
      <c r="Q32" t="s">
        <v>147</v>
      </c>
      <c r="R32" t="s">
        <v>150</v>
      </c>
      <c r="S32" t="s">
        <v>148</v>
      </c>
      <c r="T32" t="s">
        <v>148</v>
      </c>
      <c r="U32" t="s">
        <v>149</v>
      </c>
      <c r="V32" t="s">
        <v>147</v>
      </c>
    </row>
    <row r="33" spans="1:22" x14ac:dyDescent="0.2">
      <c r="A33" s="1" t="s">
        <v>2</v>
      </c>
      <c r="B33" t="s">
        <v>123</v>
      </c>
      <c r="C33">
        <v>-0.167235472002047</v>
      </c>
      <c r="D33">
        <v>-6.7303240700959097E-2</v>
      </c>
      <c r="E33">
        <v>1.4453684208628101E-2</v>
      </c>
      <c r="F33">
        <v>5.8835322094810703E-2</v>
      </c>
      <c r="G33">
        <v>-0.107647474665804</v>
      </c>
      <c r="H33">
        <v>-3.1314893036437601</v>
      </c>
      <c r="J33">
        <v>4.3299971157082701E-2</v>
      </c>
      <c r="K33">
        <v>4.7442901134146197E-2</v>
      </c>
      <c r="L33">
        <v>2.08448224553512E-2</v>
      </c>
      <c r="M33">
        <v>0.19716894994876599</v>
      </c>
      <c r="N33">
        <v>7.7345556354721401E-2</v>
      </c>
      <c r="O33">
        <v>0.49813017135797899</v>
      </c>
      <c r="Q33" t="s">
        <v>147</v>
      </c>
      <c r="R33" t="s">
        <v>148</v>
      </c>
      <c r="S33" t="s">
        <v>148</v>
      </c>
      <c r="T33" t="s">
        <v>148</v>
      </c>
      <c r="U33" t="s">
        <v>148</v>
      </c>
      <c r="V33" t="s">
        <v>147</v>
      </c>
    </row>
    <row r="34" spans="1:22" x14ac:dyDescent="0.2">
      <c r="A34" s="1" t="s">
        <v>3</v>
      </c>
      <c r="B34" t="s">
        <v>124</v>
      </c>
      <c r="C34">
        <v>-0.84273522949423296</v>
      </c>
      <c r="D34">
        <v>-0.76373375780433905</v>
      </c>
      <c r="E34">
        <v>-0.19220972794181901</v>
      </c>
      <c r="F34">
        <v>-4.0673996405783299</v>
      </c>
      <c r="G34">
        <v>-0.29605261787002202</v>
      </c>
      <c r="H34">
        <v>-0.81062090566119704</v>
      </c>
      <c r="J34">
        <v>6.7310181898395494E-2</v>
      </c>
      <c r="K34">
        <v>0.20465207882516501</v>
      </c>
      <c r="L34">
        <v>2.66938949952388E-2</v>
      </c>
      <c r="M34">
        <v>1.0276721436699701</v>
      </c>
      <c r="N34">
        <v>9.8809529063601798E-2</v>
      </c>
      <c r="O34">
        <v>0.66988859843257198</v>
      </c>
      <c r="Q34" t="s">
        <v>147</v>
      </c>
      <c r="R34" t="s">
        <v>147</v>
      </c>
      <c r="S34" t="s">
        <v>147</v>
      </c>
      <c r="T34" t="s">
        <v>147</v>
      </c>
      <c r="U34" t="s">
        <v>150</v>
      </c>
      <c r="V34" t="s">
        <v>148</v>
      </c>
    </row>
    <row r="35" spans="1:22" x14ac:dyDescent="0.2">
      <c r="A35" s="1" t="s">
        <v>46</v>
      </c>
      <c r="B35" t="s">
        <v>125</v>
      </c>
      <c r="C35">
        <v>-0.213834725506197</v>
      </c>
      <c r="D35">
        <v>-8.2720805438946401E-2</v>
      </c>
      <c r="E35">
        <v>-0.26486266220117999</v>
      </c>
      <c r="F35">
        <v>-0.23704143176261699</v>
      </c>
      <c r="G35">
        <v>-7.3383485999701297E-3</v>
      </c>
      <c r="H35">
        <v>-3.2692223870047998</v>
      </c>
      <c r="J35">
        <v>5.7160652856651603E-2</v>
      </c>
      <c r="K35">
        <v>0.129610042849401</v>
      </c>
      <c r="L35">
        <v>3.6836588154263002E-2</v>
      </c>
      <c r="M35">
        <v>0.122808196048904</v>
      </c>
      <c r="N35">
        <v>2.9583550980235501E-2</v>
      </c>
      <c r="O35">
        <v>0.35451216172709998</v>
      </c>
      <c r="Q35" t="s">
        <v>147</v>
      </c>
      <c r="R35" t="s">
        <v>148</v>
      </c>
      <c r="S35" t="s">
        <v>147</v>
      </c>
      <c r="T35" t="s">
        <v>151</v>
      </c>
      <c r="U35" t="s">
        <v>148</v>
      </c>
      <c r="V35" t="s">
        <v>147</v>
      </c>
    </row>
    <row r="36" spans="1:22" x14ac:dyDescent="0.2">
      <c r="A36" s="1" t="s">
        <v>47</v>
      </c>
      <c r="B36" t="s">
        <v>126</v>
      </c>
      <c r="C36">
        <v>-0.48582372221020798</v>
      </c>
      <c r="D36">
        <v>-0.34423399194427801</v>
      </c>
      <c r="E36">
        <v>-0.36556059111033701</v>
      </c>
      <c r="F36">
        <v>-0.14953751397180301</v>
      </c>
      <c r="G36">
        <v>-0.31706768619092801</v>
      </c>
      <c r="H36">
        <v>-4.0141807968596002</v>
      </c>
      <c r="J36">
        <v>3.5725079114120498E-2</v>
      </c>
      <c r="K36">
        <v>0.209104964668683</v>
      </c>
      <c r="L36">
        <v>9.5600293627952596E-2</v>
      </c>
      <c r="M36">
        <v>0.53599640443847496</v>
      </c>
      <c r="N36">
        <v>0.14329502926748</v>
      </c>
      <c r="O36">
        <v>0.83262454494632898</v>
      </c>
      <c r="Q36" t="s">
        <v>147</v>
      </c>
      <c r="R36" t="s">
        <v>151</v>
      </c>
      <c r="S36" t="s">
        <v>147</v>
      </c>
      <c r="T36" t="s">
        <v>148</v>
      </c>
      <c r="U36" t="s">
        <v>149</v>
      </c>
      <c r="V36" t="s">
        <v>147</v>
      </c>
    </row>
    <row r="37" spans="1:22" x14ac:dyDescent="0.2">
      <c r="A37" s="1" t="s">
        <v>48</v>
      </c>
      <c r="B37" t="s">
        <v>127</v>
      </c>
      <c r="C37">
        <v>-0.455270780456344</v>
      </c>
      <c r="D37">
        <v>-0.25185593100681097</v>
      </c>
      <c r="E37">
        <v>-0.62637322562240005</v>
      </c>
      <c r="F37">
        <v>-0.24348303007512601</v>
      </c>
      <c r="G37">
        <v>-0.43495676514829501</v>
      </c>
      <c r="H37">
        <v>-1.84523739784618</v>
      </c>
      <c r="J37">
        <v>6.5831080881900803E-2</v>
      </c>
      <c r="K37">
        <v>0.18604969999850801</v>
      </c>
      <c r="L37">
        <v>7.9355598122227394E-2</v>
      </c>
      <c r="M37">
        <v>0.28341589272402201</v>
      </c>
      <c r="N37">
        <v>7.5552738810727396E-2</v>
      </c>
      <c r="O37">
        <v>0.32505992301424302</v>
      </c>
      <c r="Q37" t="s">
        <v>147</v>
      </c>
      <c r="R37" t="s">
        <v>148</v>
      </c>
      <c r="S37" t="s">
        <v>147</v>
      </c>
      <c r="T37" t="s">
        <v>148</v>
      </c>
      <c r="U37" t="s">
        <v>147</v>
      </c>
      <c r="V37" t="s">
        <v>147</v>
      </c>
    </row>
    <row r="38" spans="1:22" x14ac:dyDescent="0.2">
      <c r="A38" s="1" t="s">
        <v>49</v>
      </c>
      <c r="B38" t="s">
        <v>128</v>
      </c>
      <c r="C38">
        <v>-0.61551615735490495</v>
      </c>
      <c r="D38">
        <v>-1.8560056506268601</v>
      </c>
      <c r="E38">
        <v>-0.62788929746942501</v>
      </c>
      <c r="F38">
        <v>-1.37983118507813</v>
      </c>
      <c r="G38">
        <v>-6.6649705368908199E-2</v>
      </c>
      <c r="H38">
        <v>-2.3811178113281399</v>
      </c>
      <c r="J38">
        <v>5.7990318852573101E-2</v>
      </c>
      <c r="K38">
        <v>0.97584849074155899</v>
      </c>
      <c r="L38">
        <v>6.2847663136218701E-2</v>
      </c>
      <c r="M38">
        <v>2.3739885231873501</v>
      </c>
      <c r="N38">
        <v>9.0403932034910497E-2</v>
      </c>
      <c r="O38">
        <v>1.74502668920517</v>
      </c>
      <c r="Q38" t="s">
        <v>147</v>
      </c>
      <c r="R38" t="s">
        <v>151</v>
      </c>
      <c r="S38" t="s">
        <v>147</v>
      </c>
      <c r="T38" t="s">
        <v>148</v>
      </c>
      <c r="U38" t="s">
        <v>148</v>
      </c>
      <c r="V38" t="s">
        <v>148</v>
      </c>
    </row>
    <row r="39" spans="1:22" x14ac:dyDescent="0.2">
      <c r="A39" s="1" t="s">
        <v>50</v>
      </c>
      <c r="B39" t="s">
        <v>129</v>
      </c>
      <c r="C39">
        <v>-0.72059819897259902</v>
      </c>
      <c r="D39">
        <v>-0.60628009938068095</v>
      </c>
      <c r="E39">
        <v>-0.17591035776289099</v>
      </c>
      <c r="F39">
        <v>0.13628406019426201</v>
      </c>
      <c r="G39">
        <v>-2.4281610553888101E-2</v>
      </c>
      <c r="H39">
        <v>-0.66570700186869702</v>
      </c>
      <c r="J39">
        <v>5.42483033002059E-2</v>
      </c>
      <c r="K39">
        <v>0.12752125542010101</v>
      </c>
      <c r="L39">
        <v>3.2462363016331701E-2</v>
      </c>
      <c r="M39">
        <v>0.628685252088105</v>
      </c>
      <c r="N39">
        <v>0.114499898524569</v>
      </c>
      <c r="O39">
        <v>0.49026608873553201</v>
      </c>
      <c r="Q39" t="s">
        <v>147</v>
      </c>
      <c r="R39" t="s">
        <v>147</v>
      </c>
      <c r="S39" t="s">
        <v>147</v>
      </c>
      <c r="T39" t="s">
        <v>148</v>
      </c>
      <c r="U39" t="s">
        <v>148</v>
      </c>
      <c r="V39" t="s">
        <v>148</v>
      </c>
    </row>
    <row r="40" spans="1:22" x14ac:dyDescent="0.2">
      <c r="A40" s="1" t="s">
        <v>51</v>
      </c>
      <c r="B40" t="s">
        <v>130</v>
      </c>
      <c r="C40">
        <v>-0.99525107555678105</v>
      </c>
      <c r="D40">
        <v>-0.15270063199042899</v>
      </c>
      <c r="E40">
        <v>-0.78043517196300505</v>
      </c>
      <c r="F40">
        <v>-5.41442918215979E-3</v>
      </c>
      <c r="G40">
        <v>-0.158227768585953</v>
      </c>
      <c r="H40">
        <v>-1.96771201733056</v>
      </c>
      <c r="J40">
        <v>6.4423597065413396E-2</v>
      </c>
      <c r="K40">
        <v>0.125498322042012</v>
      </c>
      <c r="L40">
        <v>5.6475627580599701E-2</v>
      </c>
      <c r="M40">
        <v>0.14510216957441499</v>
      </c>
      <c r="N40">
        <v>6.1550883454974302E-2</v>
      </c>
      <c r="O40">
        <v>0.31132262479983402</v>
      </c>
      <c r="Q40" t="s">
        <v>147</v>
      </c>
      <c r="R40" t="s">
        <v>148</v>
      </c>
      <c r="S40" t="s">
        <v>147</v>
      </c>
      <c r="T40" t="s">
        <v>148</v>
      </c>
      <c r="U40" t="s">
        <v>149</v>
      </c>
      <c r="V40" t="s">
        <v>147</v>
      </c>
    </row>
    <row r="41" spans="1:22" x14ac:dyDescent="0.2">
      <c r="A41" s="1" t="s">
        <v>52</v>
      </c>
      <c r="B41" t="s">
        <v>131</v>
      </c>
      <c r="C41">
        <v>-0.57188391572955</v>
      </c>
      <c r="D41">
        <v>-0.57823395517785803</v>
      </c>
      <c r="E41">
        <v>-0.264083561424587</v>
      </c>
      <c r="F41">
        <v>-0.340162918789983</v>
      </c>
      <c r="G41">
        <v>-0.250892596701628</v>
      </c>
      <c r="H41">
        <v>-1.5677620453921699</v>
      </c>
      <c r="J41">
        <v>5.1391528793128201E-2</v>
      </c>
      <c r="K41">
        <v>0.200639671669226</v>
      </c>
      <c r="L41">
        <v>4.0864249216290401E-2</v>
      </c>
      <c r="M41">
        <v>0.44838583378378699</v>
      </c>
      <c r="N41">
        <v>4.4732074451851803E-2</v>
      </c>
      <c r="O41">
        <v>0.26957601703772599</v>
      </c>
      <c r="Q41" t="s">
        <v>147</v>
      </c>
      <c r="R41" t="s">
        <v>150</v>
      </c>
      <c r="S41" t="s">
        <v>147</v>
      </c>
      <c r="T41" t="s">
        <v>148</v>
      </c>
      <c r="U41" t="s">
        <v>147</v>
      </c>
      <c r="V41" t="s">
        <v>147</v>
      </c>
    </row>
    <row r="42" spans="1:22" x14ac:dyDescent="0.2">
      <c r="A42" s="1" t="s">
        <v>53</v>
      </c>
      <c r="B42" t="s">
        <v>132</v>
      </c>
      <c r="C42">
        <v>-0.518920930971845</v>
      </c>
      <c r="D42">
        <v>-0.96508583048889696</v>
      </c>
      <c r="E42">
        <v>-0.84902783686167904</v>
      </c>
      <c r="F42">
        <v>-1.0577149498659799</v>
      </c>
      <c r="G42">
        <v>-0.57012067379634901</v>
      </c>
      <c r="H42">
        <v>-0.99791309689712504</v>
      </c>
      <c r="J42">
        <v>9.1648539077399893E-2</v>
      </c>
      <c r="K42">
        <v>0.26203572705647998</v>
      </c>
      <c r="L42">
        <v>9.8464105425769E-2</v>
      </c>
      <c r="M42">
        <v>0.47337731166386698</v>
      </c>
      <c r="N42">
        <v>8.9794119971785005E-2</v>
      </c>
      <c r="O42">
        <v>0.47599720843377102</v>
      </c>
      <c r="Q42" t="s">
        <v>147</v>
      </c>
      <c r="R42" t="s">
        <v>147</v>
      </c>
      <c r="S42" t="s">
        <v>147</v>
      </c>
      <c r="T42" t="s">
        <v>149</v>
      </c>
      <c r="U42" t="s">
        <v>147</v>
      </c>
      <c r="V42" t="s">
        <v>149</v>
      </c>
    </row>
    <row r="43" spans="1:22" x14ac:dyDescent="0.2">
      <c r="A43" s="1" t="s">
        <v>54</v>
      </c>
      <c r="B43" t="s">
        <v>133</v>
      </c>
      <c r="C43">
        <v>-0.84204223140297796</v>
      </c>
      <c r="D43">
        <v>-0.87103526076409299</v>
      </c>
      <c r="E43">
        <v>-0.29613623040348502</v>
      </c>
      <c r="F43">
        <v>0.14694496554702599</v>
      </c>
      <c r="G43">
        <v>-0.27343439135946201</v>
      </c>
      <c r="H43">
        <v>-0.67783987167674098</v>
      </c>
      <c r="J43">
        <v>0.13859996155870899</v>
      </c>
      <c r="K43">
        <v>0.36448710775081999</v>
      </c>
      <c r="L43">
        <v>5.2411933328643801E-2</v>
      </c>
      <c r="M43">
        <v>0.44888809375810801</v>
      </c>
      <c r="N43">
        <v>5.5604918150321099E-2</v>
      </c>
      <c r="O43">
        <v>0.37608052053198598</v>
      </c>
      <c r="Q43" t="s">
        <v>147</v>
      </c>
      <c r="R43" t="s">
        <v>149</v>
      </c>
      <c r="S43" t="s">
        <v>147</v>
      </c>
      <c r="T43" t="s">
        <v>148</v>
      </c>
      <c r="U43" t="s">
        <v>147</v>
      </c>
      <c r="V43" t="s">
        <v>151</v>
      </c>
    </row>
    <row r="44" spans="1:22" x14ac:dyDescent="0.2">
      <c r="A44" s="1" t="s">
        <v>55</v>
      </c>
      <c r="B44" t="s">
        <v>134</v>
      </c>
      <c r="C44">
        <v>-0.210082109582029</v>
      </c>
      <c r="D44">
        <v>-0.21541541843120601</v>
      </c>
      <c r="E44">
        <v>-6.6065268989388901E-2</v>
      </c>
      <c r="F44">
        <v>1.06290360067454</v>
      </c>
      <c r="G44">
        <v>0.37360204439889699</v>
      </c>
      <c r="H44">
        <v>-15.8809267943231</v>
      </c>
      <c r="J44">
        <v>3.72398332111906E-2</v>
      </c>
      <c r="K44">
        <v>0.100499813180865</v>
      </c>
      <c r="L44">
        <v>2.1163920023830499E-2</v>
      </c>
      <c r="M44">
        <v>5.7611667372575903</v>
      </c>
      <c r="N44">
        <v>0.65578922275921003</v>
      </c>
      <c r="O44">
        <v>5.3188239559586803</v>
      </c>
      <c r="Q44" t="s">
        <v>147</v>
      </c>
      <c r="R44" t="s">
        <v>149</v>
      </c>
      <c r="S44" t="s">
        <v>150</v>
      </c>
      <c r="T44" t="s">
        <v>148</v>
      </c>
      <c r="U44" t="s">
        <v>148</v>
      </c>
      <c r="V44" t="s">
        <v>150</v>
      </c>
    </row>
    <row r="45" spans="1:22" x14ac:dyDescent="0.2">
      <c r="A45" s="1" t="s">
        <v>56</v>
      </c>
      <c r="B45" t="s">
        <v>135</v>
      </c>
      <c r="C45">
        <v>-0.889687323361252</v>
      </c>
      <c r="D45">
        <v>-0.84602954497002003</v>
      </c>
      <c r="E45">
        <v>-0.97809301370123802</v>
      </c>
      <c r="F45">
        <v>2.7037125598525499E-2</v>
      </c>
      <c r="G45">
        <v>-0.13771405741435999</v>
      </c>
      <c r="H45">
        <v>-0.82317311300502505</v>
      </c>
      <c r="J45">
        <v>8.1414020240270196E-2</v>
      </c>
      <c r="K45">
        <v>1.09253045429424</v>
      </c>
      <c r="L45">
        <v>6.0918718058795299E-2</v>
      </c>
      <c r="M45">
        <v>1.2020663210898901</v>
      </c>
      <c r="N45">
        <v>4.8177814688348503E-2</v>
      </c>
      <c r="O45">
        <v>0.8230304765941</v>
      </c>
      <c r="Q45" t="s">
        <v>147</v>
      </c>
      <c r="R45" t="s">
        <v>148</v>
      </c>
      <c r="S45" t="s">
        <v>147</v>
      </c>
      <c r="T45" t="s">
        <v>148</v>
      </c>
      <c r="U45" t="s">
        <v>150</v>
      </c>
      <c r="V45" t="s">
        <v>148</v>
      </c>
    </row>
    <row r="46" spans="1:22" x14ac:dyDescent="0.2">
      <c r="A46" s="1" t="s">
        <v>57</v>
      </c>
      <c r="B46" t="s">
        <v>136</v>
      </c>
      <c r="C46">
        <v>-1.37100178519881E-2</v>
      </c>
      <c r="D46">
        <v>-7.1014987775790503E-2</v>
      </c>
      <c r="E46">
        <v>-3.2576393714268903E-2</v>
      </c>
      <c r="F46">
        <v>0.189379415021381</v>
      </c>
      <c r="G46">
        <v>-0.59019818475869701</v>
      </c>
      <c r="H46">
        <v>-1.6069479486593601</v>
      </c>
      <c r="J46">
        <v>1.39949812670044E-2</v>
      </c>
      <c r="K46">
        <v>3.06906038971336E-2</v>
      </c>
      <c r="L46">
        <v>1.6252695191300001E-2</v>
      </c>
      <c r="M46">
        <v>0.33249218793073299</v>
      </c>
      <c r="N46">
        <v>5.5217713954651297E-2</v>
      </c>
      <c r="O46">
        <v>0.33486616173948502</v>
      </c>
      <c r="Q46" t="s">
        <v>148</v>
      </c>
      <c r="R46" t="s">
        <v>149</v>
      </c>
      <c r="S46" t="s">
        <v>149</v>
      </c>
      <c r="T46" t="s">
        <v>148</v>
      </c>
      <c r="U46" t="s">
        <v>147</v>
      </c>
      <c r="V46" t="s">
        <v>147</v>
      </c>
    </row>
    <row r="47" spans="1:22" x14ac:dyDescent="0.2">
      <c r="A47" s="1" t="s">
        <v>58</v>
      </c>
      <c r="B47" t="s">
        <v>137</v>
      </c>
      <c r="C47">
        <v>-3.5491526213451099E-2</v>
      </c>
      <c r="D47">
        <v>-6.5003266945245997E-2</v>
      </c>
      <c r="E47">
        <v>-3.0642206983627499E-3</v>
      </c>
      <c r="F47">
        <v>-0.92585146363196902</v>
      </c>
      <c r="G47">
        <v>-0.66073037173483895</v>
      </c>
      <c r="H47">
        <v>-1.7092076873380599</v>
      </c>
      <c r="J47">
        <v>1.9508667218233099E-2</v>
      </c>
      <c r="K47">
        <v>3.15301396786812E-2</v>
      </c>
      <c r="L47">
        <v>2.2051535949924601E-2</v>
      </c>
      <c r="M47">
        <v>0.187921799060459</v>
      </c>
      <c r="N47">
        <v>8.58424581391668E-2</v>
      </c>
      <c r="O47">
        <v>0.69202088917612803</v>
      </c>
      <c r="Q47" t="s">
        <v>151</v>
      </c>
      <c r="R47" t="s">
        <v>149</v>
      </c>
      <c r="S47" t="s">
        <v>148</v>
      </c>
      <c r="T47" t="s">
        <v>147</v>
      </c>
      <c r="U47" t="s">
        <v>147</v>
      </c>
      <c r="V47" t="s">
        <v>149</v>
      </c>
    </row>
    <row r="48" spans="1:22" x14ac:dyDescent="0.2">
      <c r="A48" s="1" t="s">
        <v>59</v>
      </c>
      <c r="B48" t="s">
        <v>138</v>
      </c>
      <c r="C48">
        <v>-1.3699521932755301</v>
      </c>
      <c r="D48">
        <v>-1.16595006843801</v>
      </c>
      <c r="E48">
        <v>-0.39207918461826502</v>
      </c>
      <c r="F48">
        <v>0.64792089716989498</v>
      </c>
      <c r="G48">
        <v>-0.21822122620933199</v>
      </c>
      <c r="H48">
        <v>-1.19688946254048</v>
      </c>
      <c r="J48">
        <v>0.137529118355114</v>
      </c>
      <c r="K48">
        <v>0.33069090005933899</v>
      </c>
      <c r="L48">
        <v>4.6514075595938099E-2</v>
      </c>
      <c r="M48">
        <v>0.30172925904898001</v>
      </c>
      <c r="N48">
        <v>4.4516255290130903E-2</v>
      </c>
      <c r="O48">
        <v>0.18660075353665001</v>
      </c>
      <c r="Q48" t="s">
        <v>147</v>
      </c>
      <c r="R48" t="s">
        <v>147</v>
      </c>
      <c r="S48" t="s">
        <v>147</v>
      </c>
      <c r="T48" t="s">
        <v>149</v>
      </c>
      <c r="U48" t="s">
        <v>147</v>
      </c>
      <c r="V48" t="s">
        <v>147</v>
      </c>
    </row>
    <row r="49" spans="1:22" x14ac:dyDescent="0.2">
      <c r="A49" s="1" t="s">
        <v>60</v>
      </c>
      <c r="B49" t="s">
        <v>139</v>
      </c>
      <c r="C49">
        <v>-0.486193724115146</v>
      </c>
      <c r="D49">
        <v>-0.71716115153461701</v>
      </c>
      <c r="E49">
        <v>-0.83275404469207603</v>
      </c>
      <c r="F49">
        <v>-0.17059908081316799</v>
      </c>
      <c r="G49">
        <v>-0.24715991718861499</v>
      </c>
      <c r="H49">
        <v>-0.88908394170601002</v>
      </c>
      <c r="J49">
        <v>5.8961651113909802E-2</v>
      </c>
      <c r="K49">
        <v>0.131290632145217</v>
      </c>
      <c r="L49">
        <v>3.9462763744101403E-2</v>
      </c>
      <c r="M49">
        <v>0.14794769220567799</v>
      </c>
      <c r="N49">
        <v>3.9727603026557298E-2</v>
      </c>
      <c r="O49">
        <v>0.219726614906948</v>
      </c>
      <c r="Q49" t="s">
        <v>147</v>
      </c>
      <c r="R49" t="s">
        <v>147</v>
      </c>
      <c r="S49" t="s">
        <v>147</v>
      </c>
      <c r="T49" t="s">
        <v>148</v>
      </c>
      <c r="U49" t="s">
        <v>147</v>
      </c>
      <c r="V49" t="s">
        <v>147</v>
      </c>
    </row>
    <row r="50" spans="1:22" x14ac:dyDescent="0.2">
      <c r="A50" s="1" t="s">
        <v>61</v>
      </c>
      <c r="B50" t="s">
        <v>140</v>
      </c>
      <c r="C50">
        <v>-1.4124539242197499E-3</v>
      </c>
      <c r="D50">
        <v>-1.6603605343053999E-2</v>
      </c>
      <c r="E50">
        <v>1.4995722477723599E-3</v>
      </c>
      <c r="F50">
        <v>0.11846211208532</v>
      </c>
      <c r="G50">
        <v>-0.64411138186806205</v>
      </c>
      <c r="H50">
        <v>-1.86055865188849</v>
      </c>
      <c r="J50">
        <v>7.4254000270681199E-3</v>
      </c>
      <c r="K50">
        <v>1.6716140272682301E-2</v>
      </c>
      <c r="L50">
        <v>1.0635268944091201E-2</v>
      </c>
      <c r="M50">
        <v>0.49341058414318201</v>
      </c>
      <c r="N50">
        <v>8.6111413825937594E-2</v>
      </c>
      <c r="O50">
        <v>0.31897493490042</v>
      </c>
      <c r="Q50" t="s">
        <v>148</v>
      </c>
      <c r="R50" t="s">
        <v>148</v>
      </c>
      <c r="S50" t="s">
        <v>148</v>
      </c>
      <c r="T50" t="s">
        <v>148</v>
      </c>
      <c r="U50" t="s">
        <v>147</v>
      </c>
      <c r="V50" t="s">
        <v>147</v>
      </c>
    </row>
    <row r="51" spans="1:22" x14ac:dyDescent="0.2">
      <c r="A51" s="1" t="s">
        <v>62</v>
      </c>
      <c r="B51" t="s">
        <v>141</v>
      </c>
      <c r="C51">
        <v>-0.23376607339934899</v>
      </c>
      <c r="D51">
        <v>-0.11177076190391599</v>
      </c>
      <c r="E51">
        <v>-3.8978087529906599E-2</v>
      </c>
      <c r="F51">
        <v>-0.89008680143119101</v>
      </c>
      <c r="G51">
        <v>-3.2563339106947602</v>
      </c>
      <c r="H51">
        <v>-34.087578734646797</v>
      </c>
      <c r="J51">
        <v>1.67410749714152E-2</v>
      </c>
      <c r="K51">
        <v>0.72319160759904699</v>
      </c>
      <c r="L51">
        <v>8.7861952394380702E-2</v>
      </c>
      <c r="M51">
        <v>5.3484104687255698</v>
      </c>
      <c r="N51">
        <v>0.600761520710417</v>
      </c>
      <c r="O51">
        <v>42.665288651042303</v>
      </c>
      <c r="Q51" t="s">
        <v>147</v>
      </c>
      <c r="R51" t="s">
        <v>148</v>
      </c>
      <c r="S51" t="s">
        <v>148</v>
      </c>
      <c r="T51" t="s">
        <v>148</v>
      </c>
      <c r="U51" t="s">
        <v>147</v>
      </c>
      <c r="V51" t="s">
        <v>148</v>
      </c>
    </row>
    <row r="52" spans="1:22" x14ac:dyDescent="0.2">
      <c r="A52" s="1" t="s">
        <v>63</v>
      </c>
      <c r="B52" t="s">
        <v>142</v>
      </c>
      <c r="C52">
        <v>-0.43045535343602498</v>
      </c>
      <c r="D52">
        <v>-0.35256488650332801</v>
      </c>
      <c r="E52">
        <v>-0.33245270037628399</v>
      </c>
      <c r="F52">
        <v>-1.34861054499155</v>
      </c>
      <c r="G52">
        <v>-0.75853476883840898</v>
      </c>
      <c r="H52">
        <v>-6.1511427283993303</v>
      </c>
      <c r="J52">
        <v>2.7650147881589999E-2</v>
      </c>
      <c r="K52">
        <v>0.313775431766809</v>
      </c>
      <c r="L52">
        <v>7.0825882408486293E-2</v>
      </c>
      <c r="M52">
        <v>0.71963259927602896</v>
      </c>
      <c r="N52">
        <v>0.177561828783904</v>
      </c>
      <c r="O52">
        <v>6.1679163288332397</v>
      </c>
      <c r="Q52" t="s">
        <v>147</v>
      </c>
      <c r="R52" t="s">
        <v>148</v>
      </c>
      <c r="S52" t="s">
        <v>147</v>
      </c>
      <c r="T52" t="s">
        <v>151</v>
      </c>
      <c r="U52" t="s">
        <v>147</v>
      </c>
      <c r="V52" t="s">
        <v>148</v>
      </c>
    </row>
    <row r="53" spans="1:22" x14ac:dyDescent="0.2">
      <c r="A53" s="1" t="s">
        <v>64</v>
      </c>
      <c r="B53" t="s">
        <v>143</v>
      </c>
      <c r="C53">
        <v>-0.39733927323841201</v>
      </c>
      <c r="D53">
        <v>-0.81672067601035003</v>
      </c>
      <c r="E53">
        <v>-0.31153673587021602</v>
      </c>
      <c r="F53">
        <v>7.10996982910866E-3</v>
      </c>
      <c r="G53">
        <v>-0.35769918127989098</v>
      </c>
      <c r="H53">
        <v>-4.0105076446288699</v>
      </c>
      <c r="J53">
        <v>2.92965212796844E-2</v>
      </c>
      <c r="K53">
        <v>0.212017695396617</v>
      </c>
      <c r="L53">
        <v>8.99827864325492E-2</v>
      </c>
      <c r="M53">
        <v>0.479185447775683</v>
      </c>
      <c r="N53">
        <v>0.18562259585393101</v>
      </c>
      <c r="O53">
        <v>3.40767961202762</v>
      </c>
      <c r="Q53" t="s">
        <v>147</v>
      </c>
      <c r="R53" t="s">
        <v>147</v>
      </c>
      <c r="S53" t="s">
        <v>147</v>
      </c>
      <c r="T53" t="s">
        <v>148</v>
      </c>
      <c r="U53" t="s">
        <v>151</v>
      </c>
      <c r="V53" t="s">
        <v>148</v>
      </c>
    </row>
    <row r="54" spans="1:22" x14ac:dyDescent="0.2">
      <c r="A54" s="1" t="s">
        <v>65</v>
      </c>
      <c r="B54" t="s">
        <v>144</v>
      </c>
      <c r="C54">
        <v>-0.46034594086699399</v>
      </c>
      <c r="D54">
        <v>-0.291204577023227</v>
      </c>
      <c r="E54">
        <v>-0.39519165719531701</v>
      </c>
      <c r="F54">
        <v>-1.02361453418832</v>
      </c>
      <c r="G54">
        <v>-0.819623460619615</v>
      </c>
      <c r="H54">
        <v>-4.1667230803989801</v>
      </c>
      <c r="J54">
        <v>3.2784836375873802E-2</v>
      </c>
      <c r="K54">
        <v>0.162689600615711</v>
      </c>
      <c r="L54">
        <v>7.0548852396151995E-2</v>
      </c>
      <c r="M54">
        <v>0.63004962860618896</v>
      </c>
      <c r="N54">
        <v>0.170377148559752</v>
      </c>
      <c r="O54">
        <v>0.79959500642466397</v>
      </c>
      <c r="Q54" t="s">
        <v>147</v>
      </c>
      <c r="R54" t="s">
        <v>151</v>
      </c>
      <c r="S54" t="s">
        <v>147</v>
      </c>
      <c r="T54" t="s">
        <v>148</v>
      </c>
      <c r="U54" t="s">
        <v>147</v>
      </c>
      <c r="V54" t="s">
        <v>147</v>
      </c>
    </row>
    <row r="55" spans="1:22" x14ac:dyDescent="0.2">
      <c r="A55" s="1" t="s">
        <v>66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22" x14ac:dyDescent="0.2">
      <c r="A56" s="1" t="s">
        <v>67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22" x14ac:dyDescent="0.2">
      <c r="A57" s="1" t="s">
        <v>68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EB8E-FFAD-8A40-BE39-8BB6CCF0864F}">
  <sheetPr>
    <tabColor rgb="FFC00000"/>
  </sheetPr>
  <dimension ref="A1:B57"/>
  <sheetViews>
    <sheetView workbookViewId="0">
      <selection activeCell="E23" sqref="E23"/>
    </sheetView>
  </sheetViews>
  <sheetFormatPr baseColWidth="10" defaultRowHeight="16" x14ac:dyDescent="0.2"/>
  <cols>
    <col min="1" max="1" width="86.6640625" bestFit="1" customWidth="1"/>
  </cols>
  <sheetData>
    <row r="1" spans="1:2" x14ac:dyDescent="0.2">
      <c r="A1" t="s">
        <v>153</v>
      </c>
      <c r="B1" t="s">
        <v>69</v>
      </c>
    </row>
    <row r="2" spans="1:2" x14ac:dyDescent="0.2">
      <c r="A2" s="1" t="s">
        <v>15</v>
      </c>
      <c r="B2" s="4">
        <v>79226</v>
      </c>
    </row>
    <row r="3" spans="1:2" x14ac:dyDescent="0.2">
      <c r="A3" s="1" t="s">
        <v>16</v>
      </c>
      <c r="B3" s="4">
        <v>5048</v>
      </c>
    </row>
    <row r="4" spans="1:2" x14ac:dyDescent="0.2">
      <c r="A4" s="1" t="s">
        <v>17</v>
      </c>
      <c r="B4" s="4">
        <v>2294</v>
      </c>
    </row>
    <row r="5" spans="1:2" x14ac:dyDescent="0.2">
      <c r="A5" s="1" t="s">
        <v>18</v>
      </c>
      <c r="B5" s="4">
        <v>5437</v>
      </c>
    </row>
    <row r="6" spans="1:2" x14ac:dyDescent="0.2">
      <c r="A6" s="1" t="s">
        <v>19</v>
      </c>
      <c r="B6" s="4">
        <v>155159</v>
      </c>
    </row>
    <row r="7" spans="1:2" x14ac:dyDescent="0.2">
      <c r="A7" s="1" t="s">
        <v>20</v>
      </c>
      <c r="B7" s="4">
        <v>16283</v>
      </c>
    </row>
    <row r="8" spans="1:2" x14ac:dyDescent="0.2">
      <c r="A8" s="1" t="s">
        <v>21</v>
      </c>
      <c r="B8" s="4">
        <v>10330</v>
      </c>
    </row>
    <row r="9" spans="1:2" x14ac:dyDescent="0.2">
      <c r="A9" s="1" t="s">
        <v>22</v>
      </c>
      <c r="B9" s="4">
        <v>16334</v>
      </c>
    </row>
    <row r="10" spans="1:2" x14ac:dyDescent="0.2">
      <c r="A10" s="1" t="s">
        <v>23</v>
      </c>
      <c r="B10" s="4">
        <v>9540</v>
      </c>
    </row>
    <row r="11" spans="1:2" x14ac:dyDescent="0.2">
      <c r="A11" s="1" t="s">
        <v>24</v>
      </c>
      <c r="B11" s="4">
        <v>48374</v>
      </c>
    </row>
    <row r="12" spans="1:2" x14ac:dyDescent="0.2">
      <c r="A12" s="1" t="s">
        <v>25</v>
      </c>
      <c r="B12" s="4">
        <v>67379</v>
      </c>
    </row>
    <row r="13" spans="1:2" x14ac:dyDescent="0.2">
      <c r="A13" s="1" t="s">
        <v>26</v>
      </c>
      <c r="B13" s="4">
        <v>24817</v>
      </c>
    </row>
    <row r="14" spans="1:2" x14ac:dyDescent="0.2">
      <c r="A14" s="1" t="s">
        <v>27</v>
      </c>
      <c r="B14" s="4">
        <v>30411</v>
      </c>
    </row>
    <row r="15" spans="1:2" x14ac:dyDescent="0.2">
      <c r="A15" s="1" t="s">
        <v>28</v>
      </c>
      <c r="B15" s="4">
        <v>23923</v>
      </c>
    </row>
    <row r="16" spans="1:2" x14ac:dyDescent="0.2">
      <c r="A16" s="1" t="s">
        <v>29</v>
      </c>
      <c r="B16" s="4">
        <v>32448</v>
      </c>
    </row>
    <row r="17" spans="1:2" x14ac:dyDescent="0.2">
      <c r="A17" s="1" t="s">
        <v>30</v>
      </c>
      <c r="B17" s="4">
        <v>48977</v>
      </c>
    </row>
    <row r="18" spans="1:2" x14ac:dyDescent="0.2">
      <c r="A18" s="1" t="s">
        <v>31</v>
      </c>
      <c r="B18" s="4">
        <v>22590</v>
      </c>
    </row>
    <row r="19" spans="1:2" x14ac:dyDescent="0.2">
      <c r="A19" s="1" t="s">
        <v>32</v>
      </c>
      <c r="B19" s="4">
        <v>20279</v>
      </c>
    </row>
    <row r="20" spans="1:2" x14ac:dyDescent="0.2">
      <c r="A20" s="1" t="s">
        <v>33</v>
      </c>
      <c r="B20" s="4">
        <v>37399</v>
      </c>
    </row>
    <row r="21" spans="1:2" x14ac:dyDescent="0.2">
      <c r="A21" s="1" t="s">
        <v>34</v>
      </c>
      <c r="B21" s="4">
        <v>52939</v>
      </c>
    </row>
    <row r="22" spans="1:2" x14ac:dyDescent="0.2">
      <c r="A22" s="1" t="s">
        <v>35</v>
      </c>
      <c r="B22" s="4">
        <v>58742</v>
      </c>
    </row>
    <row r="23" spans="1:2" x14ac:dyDescent="0.2">
      <c r="A23" s="1" t="s">
        <v>36</v>
      </c>
      <c r="B23" s="4">
        <v>16311</v>
      </c>
    </row>
    <row r="24" spans="1:2" x14ac:dyDescent="0.2">
      <c r="A24" s="1" t="s">
        <v>37</v>
      </c>
      <c r="B24" s="4">
        <v>51375</v>
      </c>
    </row>
    <row r="25" spans="1:2" x14ac:dyDescent="0.2">
      <c r="A25" s="1" t="s">
        <v>38</v>
      </c>
      <c r="B25" s="4">
        <v>107434</v>
      </c>
    </row>
    <row r="26" spans="1:2" x14ac:dyDescent="0.2">
      <c r="A26" s="1" t="s">
        <v>39</v>
      </c>
      <c r="B26" s="4">
        <v>9655</v>
      </c>
    </row>
    <row r="27" spans="1:2" x14ac:dyDescent="0.2">
      <c r="A27" s="1" t="s">
        <v>40</v>
      </c>
      <c r="B27" s="4">
        <v>28099</v>
      </c>
    </row>
    <row r="28" spans="1:2" x14ac:dyDescent="0.2">
      <c r="A28" s="1" t="s">
        <v>41</v>
      </c>
      <c r="B28" s="4">
        <v>275204</v>
      </c>
    </row>
    <row r="29" spans="1:2" x14ac:dyDescent="0.2">
      <c r="A29" s="1" t="s">
        <v>42</v>
      </c>
      <c r="B29" s="4">
        <v>45571</v>
      </c>
    </row>
    <row r="30" spans="1:2" x14ac:dyDescent="0.2">
      <c r="A30" s="1" t="s">
        <v>43</v>
      </c>
      <c r="B30" s="4">
        <v>206357</v>
      </c>
    </row>
    <row r="31" spans="1:2" x14ac:dyDescent="0.2">
      <c r="A31" s="1" t="s">
        <v>44</v>
      </c>
      <c r="B31" s="4">
        <v>136520</v>
      </c>
    </row>
    <row r="32" spans="1:2" x14ac:dyDescent="0.2">
      <c r="A32" s="1" t="s">
        <v>45</v>
      </c>
      <c r="B32" s="4">
        <v>81765</v>
      </c>
    </row>
    <row r="33" spans="1:2" x14ac:dyDescent="0.2">
      <c r="A33" s="1" t="s">
        <v>2</v>
      </c>
      <c r="B33" s="4">
        <v>14348</v>
      </c>
    </row>
    <row r="34" spans="1:2" x14ac:dyDescent="0.2">
      <c r="A34" s="1" t="s">
        <v>3</v>
      </c>
      <c r="B34" s="4">
        <v>19559</v>
      </c>
    </row>
    <row r="35" spans="1:2" x14ac:dyDescent="0.2">
      <c r="A35" s="1" t="s">
        <v>46</v>
      </c>
      <c r="B35" s="4">
        <v>58229</v>
      </c>
    </row>
    <row r="36" spans="1:2" x14ac:dyDescent="0.2">
      <c r="A36" s="1" t="s">
        <v>47</v>
      </c>
      <c r="B36" s="4">
        <v>12336</v>
      </c>
    </row>
    <row r="37" spans="1:2" x14ac:dyDescent="0.2">
      <c r="A37" s="1" t="s">
        <v>48</v>
      </c>
      <c r="B37" s="4">
        <v>95961</v>
      </c>
    </row>
    <row r="38" spans="1:2" x14ac:dyDescent="0.2">
      <c r="A38" s="1" t="s">
        <v>49</v>
      </c>
      <c r="B38" s="4">
        <v>24715</v>
      </c>
    </row>
    <row r="39" spans="1:2" x14ac:dyDescent="0.2">
      <c r="A39" s="1" t="s">
        <v>50</v>
      </c>
      <c r="B39" s="4">
        <v>26241</v>
      </c>
    </row>
    <row r="40" spans="1:2" x14ac:dyDescent="0.2">
      <c r="A40" s="1" t="s">
        <v>51</v>
      </c>
      <c r="B40" s="4">
        <v>58698</v>
      </c>
    </row>
    <row r="41" spans="1:2" x14ac:dyDescent="0.2">
      <c r="A41" s="1" t="s">
        <v>52</v>
      </c>
      <c r="B41" s="4">
        <v>72914</v>
      </c>
    </row>
    <row r="42" spans="1:2" x14ac:dyDescent="0.2">
      <c r="A42" s="1" t="s">
        <v>53</v>
      </c>
      <c r="B42" s="4">
        <v>116103</v>
      </c>
    </row>
    <row r="43" spans="1:2" x14ac:dyDescent="0.2">
      <c r="A43" s="1" t="s">
        <v>54</v>
      </c>
      <c r="B43" s="4">
        <v>58207</v>
      </c>
    </row>
    <row r="44" spans="1:2" x14ac:dyDescent="0.2">
      <c r="A44" s="1" t="s">
        <v>55</v>
      </c>
      <c r="B44" s="4">
        <v>37517</v>
      </c>
    </row>
    <row r="45" spans="1:2" x14ac:dyDescent="0.2">
      <c r="A45" s="1" t="s">
        <v>56</v>
      </c>
      <c r="B45" s="4">
        <v>303395</v>
      </c>
    </row>
    <row r="46" spans="1:2" x14ac:dyDescent="0.2">
      <c r="A46" s="1" t="s">
        <v>57</v>
      </c>
      <c r="B46" s="4">
        <v>152250</v>
      </c>
    </row>
    <row r="47" spans="1:2" x14ac:dyDescent="0.2">
      <c r="A47" s="1" t="s">
        <v>58</v>
      </c>
      <c r="B47" s="4">
        <v>61391</v>
      </c>
    </row>
    <row r="48" spans="1:2" x14ac:dyDescent="0.2">
      <c r="A48" s="1" t="s">
        <v>59</v>
      </c>
      <c r="B48" s="4">
        <v>60084</v>
      </c>
    </row>
    <row r="49" spans="1:2" x14ac:dyDescent="0.2">
      <c r="A49" s="1" t="s">
        <v>60</v>
      </c>
      <c r="B49" s="4">
        <v>18708</v>
      </c>
    </row>
    <row r="50" spans="1:2" x14ac:dyDescent="0.2">
      <c r="A50" s="1" t="s">
        <v>61</v>
      </c>
      <c r="B50" s="4">
        <v>12679</v>
      </c>
    </row>
    <row r="51" spans="1:2" x14ac:dyDescent="0.2">
      <c r="A51" s="1" t="s">
        <v>62</v>
      </c>
      <c r="B51" s="4">
        <v>178599</v>
      </c>
    </row>
    <row r="52" spans="1:2" x14ac:dyDescent="0.2">
      <c r="A52" s="1" t="s">
        <v>63</v>
      </c>
      <c r="B52" s="4">
        <v>215644</v>
      </c>
    </row>
    <row r="53" spans="1:2" x14ac:dyDescent="0.2">
      <c r="A53" s="1" t="s">
        <v>64</v>
      </c>
      <c r="B53" s="4">
        <v>126890</v>
      </c>
    </row>
    <row r="54" spans="1:2" x14ac:dyDescent="0.2">
      <c r="A54" s="1" t="s">
        <v>65</v>
      </c>
      <c r="B54" s="4">
        <v>233431</v>
      </c>
    </row>
    <row r="55" spans="1:2" x14ac:dyDescent="0.2">
      <c r="A55" s="1" t="s">
        <v>66</v>
      </c>
      <c r="B55" s="4">
        <v>91202</v>
      </c>
    </row>
    <row r="56" spans="1:2" x14ac:dyDescent="0.2">
      <c r="A56" s="1" t="s">
        <v>67</v>
      </c>
      <c r="B56" s="4">
        <v>3477</v>
      </c>
    </row>
    <row r="57" spans="1:2" x14ac:dyDescent="0.2">
      <c r="A57" s="1" t="s">
        <v>68</v>
      </c>
      <c r="B57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CC70-F1E7-9C43-84FB-937DC9483F54}">
  <dimension ref="A1:T82"/>
  <sheetViews>
    <sheetView workbookViewId="0">
      <selection activeCell="B2" sqref="B2"/>
    </sheetView>
  </sheetViews>
  <sheetFormatPr baseColWidth="10" defaultColWidth="9.1640625" defaultRowHeight="16" x14ac:dyDescent="0.2"/>
  <cols>
    <col min="1" max="1" width="41.6640625" customWidth="1"/>
    <col min="2" max="11" width="11.1640625" customWidth="1"/>
    <col min="12" max="12" width="11" customWidth="1"/>
  </cols>
  <sheetData>
    <row r="1" spans="1:20" ht="80" customHeight="1" x14ac:dyDescent="0.2">
      <c r="B1" s="5" t="s">
        <v>154</v>
      </c>
      <c r="C1" s="5" t="s">
        <v>155</v>
      </c>
      <c r="D1" s="5" t="s">
        <v>156</v>
      </c>
      <c r="E1" s="5" t="s">
        <v>157</v>
      </c>
      <c r="F1" s="5" t="s">
        <v>158</v>
      </c>
      <c r="G1" s="5" t="s">
        <v>159</v>
      </c>
      <c r="H1" s="5" t="s">
        <v>160</v>
      </c>
      <c r="I1" s="5" t="s">
        <v>41</v>
      </c>
      <c r="J1" s="5" t="s">
        <v>161</v>
      </c>
      <c r="K1" s="5" t="s">
        <v>162</v>
      </c>
      <c r="L1" s="5" t="s">
        <v>163</v>
      </c>
      <c r="M1" s="6" t="s">
        <v>164</v>
      </c>
      <c r="N1" s="6" t="s">
        <v>165</v>
      </c>
      <c r="O1" s="6" t="s">
        <v>166</v>
      </c>
      <c r="P1" s="6" t="s">
        <v>167</v>
      </c>
      <c r="Q1" s="6" t="s">
        <v>168</v>
      </c>
      <c r="R1" s="6" t="s">
        <v>169</v>
      </c>
      <c r="S1" s="7"/>
      <c r="T1" s="7"/>
    </row>
    <row r="2" spans="1:20" x14ac:dyDescent="0.2">
      <c r="A2" s="1" t="s">
        <v>15</v>
      </c>
      <c r="B2" s="8">
        <v>1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</row>
    <row r="3" spans="1:20" x14ac:dyDescent="0.2">
      <c r="A3" s="1" t="s">
        <v>16</v>
      </c>
      <c r="B3" s="8">
        <v>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</row>
    <row r="4" spans="1:20" x14ac:dyDescent="0.2">
      <c r="A4" s="1" t="s">
        <v>17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</row>
    <row r="5" spans="1:20" x14ac:dyDescent="0.2">
      <c r="A5" s="1" t="s">
        <v>18</v>
      </c>
      <c r="B5" s="8">
        <v>0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</row>
    <row r="6" spans="1:20" x14ac:dyDescent="0.2">
      <c r="A6" s="1" t="s">
        <v>19</v>
      </c>
      <c r="B6" s="8">
        <v>0</v>
      </c>
      <c r="C6" s="9">
        <v>0</v>
      </c>
      <c r="D6" s="8">
        <v>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</row>
    <row r="7" spans="1:20" x14ac:dyDescent="0.2">
      <c r="A7" s="1" t="s">
        <v>20</v>
      </c>
      <c r="B7" s="8">
        <v>0</v>
      </c>
      <c r="C7" s="9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0</v>
      </c>
      <c r="J7" s="8">
        <v>0</v>
      </c>
      <c r="K7" s="8">
        <v>0</v>
      </c>
      <c r="L7" s="8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</row>
    <row r="8" spans="1:20" x14ac:dyDescent="0.2">
      <c r="A8" s="1" t="s">
        <v>21</v>
      </c>
      <c r="B8" s="8">
        <v>0</v>
      </c>
      <c r="C8" s="9">
        <v>0</v>
      </c>
      <c r="D8" s="8">
        <v>0</v>
      </c>
      <c r="E8" s="8">
        <v>0</v>
      </c>
      <c r="F8" s="8">
        <v>0</v>
      </c>
      <c r="G8" s="8">
        <v>0</v>
      </c>
      <c r="H8" s="8">
        <v>1</v>
      </c>
      <c r="I8" s="8">
        <v>0</v>
      </c>
      <c r="J8" s="8">
        <v>0</v>
      </c>
      <c r="K8" s="8">
        <v>0</v>
      </c>
      <c r="L8" s="8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</row>
    <row r="9" spans="1:20" x14ac:dyDescent="0.2">
      <c r="A9" s="1" t="s">
        <v>22</v>
      </c>
      <c r="B9" s="8">
        <v>0</v>
      </c>
      <c r="C9" s="9">
        <v>0</v>
      </c>
      <c r="D9" s="8">
        <v>0</v>
      </c>
      <c r="E9" s="8">
        <v>0</v>
      </c>
      <c r="F9" s="8">
        <v>0</v>
      </c>
      <c r="G9" s="8">
        <v>0</v>
      </c>
      <c r="H9" s="8">
        <v>1</v>
      </c>
      <c r="I9" s="8">
        <v>0</v>
      </c>
      <c r="J9" s="8">
        <v>0</v>
      </c>
      <c r="K9" s="8">
        <v>0</v>
      </c>
      <c r="L9" s="8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</row>
    <row r="10" spans="1:20" x14ac:dyDescent="0.2">
      <c r="A10" s="1" t="s">
        <v>23</v>
      </c>
      <c r="B10" s="8">
        <v>0</v>
      </c>
      <c r="C10" s="9">
        <v>0</v>
      </c>
      <c r="D10" s="8">
        <v>0</v>
      </c>
      <c r="E10" s="8">
        <v>0</v>
      </c>
      <c r="F10" s="8">
        <v>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</row>
    <row r="11" spans="1:20" x14ac:dyDescent="0.2">
      <c r="A11" s="1" t="s">
        <v>24</v>
      </c>
      <c r="B11" s="8">
        <v>0</v>
      </c>
      <c r="C11" s="9">
        <v>0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</row>
    <row r="12" spans="1:20" x14ac:dyDescent="0.2">
      <c r="A12" s="1" t="s">
        <v>25</v>
      </c>
      <c r="B12" s="8">
        <v>0</v>
      </c>
      <c r="C12" s="9">
        <v>0</v>
      </c>
      <c r="D12" s="8">
        <v>0</v>
      </c>
      <c r="E12" s="8">
        <v>0</v>
      </c>
      <c r="F12" s="8">
        <v>0</v>
      </c>
      <c r="G12" s="8">
        <v>0</v>
      </c>
      <c r="H12" s="8">
        <v>1</v>
      </c>
      <c r="I12" s="8">
        <v>0</v>
      </c>
      <c r="J12" s="8">
        <v>0</v>
      </c>
      <c r="K12" s="8">
        <v>0</v>
      </c>
      <c r="L12" s="8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20" x14ac:dyDescent="0.2">
      <c r="A13" s="1" t="s">
        <v>26</v>
      </c>
      <c r="B13" s="8">
        <v>0</v>
      </c>
      <c r="C13" s="9">
        <v>0</v>
      </c>
      <c r="D13" s="8">
        <v>0</v>
      </c>
      <c r="E13" s="8">
        <v>0</v>
      </c>
      <c r="F13" s="8">
        <v>0</v>
      </c>
      <c r="G13" s="8">
        <v>0</v>
      </c>
      <c r="H13" s="8">
        <v>1</v>
      </c>
      <c r="I13" s="8">
        <v>0</v>
      </c>
      <c r="J13" s="8">
        <v>0</v>
      </c>
      <c r="K13" s="8">
        <v>0</v>
      </c>
      <c r="L13" s="8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</row>
    <row r="14" spans="1:20" x14ac:dyDescent="0.2">
      <c r="A14" s="1" t="s">
        <v>27</v>
      </c>
      <c r="B14" s="8">
        <v>0</v>
      </c>
      <c r="C14" s="9">
        <v>0</v>
      </c>
      <c r="D14" s="8">
        <v>0</v>
      </c>
      <c r="E14" s="8">
        <v>0</v>
      </c>
      <c r="F14" s="8">
        <v>0</v>
      </c>
      <c r="G14" s="8">
        <v>0</v>
      </c>
      <c r="H14" s="8">
        <v>1</v>
      </c>
      <c r="I14" s="8">
        <v>0</v>
      </c>
      <c r="J14" s="8">
        <v>0</v>
      </c>
      <c r="K14" s="8">
        <v>0</v>
      </c>
      <c r="L14" s="8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</row>
    <row r="15" spans="1:20" x14ac:dyDescent="0.2">
      <c r="A15" s="1" t="s">
        <v>28</v>
      </c>
      <c r="B15" s="8">
        <v>0</v>
      </c>
      <c r="C15" s="9">
        <v>0</v>
      </c>
      <c r="D15" s="8">
        <v>0</v>
      </c>
      <c r="E15" s="8">
        <v>0</v>
      </c>
      <c r="F15" s="8">
        <v>0</v>
      </c>
      <c r="G15" s="8">
        <v>0</v>
      </c>
      <c r="H15" s="8">
        <v>1</v>
      </c>
      <c r="I15" s="8">
        <v>0</v>
      </c>
      <c r="J15" s="8">
        <v>0</v>
      </c>
      <c r="K15" s="8">
        <v>0</v>
      </c>
      <c r="L15" s="8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</row>
    <row r="16" spans="1:20" x14ac:dyDescent="0.2">
      <c r="A16" s="1" t="s">
        <v>29</v>
      </c>
      <c r="B16" s="8">
        <v>0</v>
      </c>
      <c r="C16" s="9">
        <v>0</v>
      </c>
      <c r="D16" s="8">
        <v>0</v>
      </c>
      <c r="E16" s="8">
        <v>0</v>
      </c>
      <c r="F16" s="8">
        <v>0</v>
      </c>
      <c r="G16" s="8">
        <v>0</v>
      </c>
      <c r="H16" s="8">
        <v>1</v>
      </c>
      <c r="I16" s="8">
        <v>0</v>
      </c>
      <c r="J16" s="8">
        <v>0</v>
      </c>
      <c r="K16" s="8">
        <v>0</v>
      </c>
      <c r="L16" s="8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</row>
    <row r="17" spans="1:18" x14ac:dyDescent="0.2">
      <c r="A17" s="1" t="s">
        <v>30</v>
      </c>
      <c r="B17" s="8">
        <v>0</v>
      </c>
      <c r="C17" s="9">
        <v>0</v>
      </c>
      <c r="D17" s="8">
        <v>0</v>
      </c>
      <c r="E17" s="8">
        <v>0</v>
      </c>
      <c r="F17" s="8">
        <v>0</v>
      </c>
      <c r="G17" s="8">
        <v>0</v>
      </c>
      <c r="H17" s="8">
        <v>1</v>
      </c>
      <c r="I17" s="8">
        <v>0</v>
      </c>
      <c r="J17" s="8">
        <v>0</v>
      </c>
      <c r="K17" s="8">
        <v>0</v>
      </c>
      <c r="L17" s="8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</row>
    <row r="18" spans="1:18" x14ac:dyDescent="0.2">
      <c r="A18" s="1" t="s">
        <v>31</v>
      </c>
      <c r="B18" s="8">
        <v>0</v>
      </c>
      <c r="C18" s="9">
        <v>0</v>
      </c>
      <c r="D18" s="8">
        <v>0</v>
      </c>
      <c r="E18" s="8">
        <v>0</v>
      </c>
      <c r="F18" s="8">
        <v>1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 x14ac:dyDescent="0.2">
      <c r="A19" s="1" t="s">
        <v>32</v>
      </c>
      <c r="B19" s="8">
        <v>0</v>
      </c>
      <c r="C19" s="9">
        <v>0</v>
      </c>
      <c r="D19" s="8">
        <v>0</v>
      </c>
      <c r="E19" s="8">
        <v>0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</row>
    <row r="20" spans="1:18" x14ac:dyDescent="0.2">
      <c r="A20" s="1" t="s">
        <v>33</v>
      </c>
      <c r="B20" s="8">
        <v>0</v>
      </c>
      <c r="C20" s="9">
        <v>0</v>
      </c>
      <c r="D20" s="8">
        <v>0</v>
      </c>
      <c r="E20" s="8">
        <v>0</v>
      </c>
      <c r="F20" s="8">
        <v>1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</row>
    <row r="21" spans="1:18" x14ac:dyDescent="0.2">
      <c r="A21" s="1" t="s">
        <v>34</v>
      </c>
      <c r="B21" s="8">
        <v>0</v>
      </c>
      <c r="C21" s="9">
        <v>0</v>
      </c>
      <c r="D21" s="8">
        <v>0</v>
      </c>
      <c r="E21" s="8">
        <v>0</v>
      </c>
      <c r="F21" s="8">
        <v>0</v>
      </c>
      <c r="G21" s="8">
        <v>1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</row>
    <row r="22" spans="1:18" x14ac:dyDescent="0.2">
      <c r="A22" s="1" t="s">
        <v>35</v>
      </c>
      <c r="B22" s="8">
        <v>0</v>
      </c>
      <c r="C22" s="9">
        <v>0</v>
      </c>
      <c r="D22" s="8">
        <v>0</v>
      </c>
      <c r="E22" s="8">
        <v>0</v>
      </c>
      <c r="F22" s="8">
        <v>0</v>
      </c>
      <c r="G22" s="8">
        <v>1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</row>
    <row r="23" spans="1:18" x14ac:dyDescent="0.2">
      <c r="A23" s="1" t="s">
        <v>36</v>
      </c>
      <c r="B23" s="8">
        <v>0</v>
      </c>
      <c r="C23" s="9">
        <v>0</v>
      </c>
      <c r="D23" s="8">
        <v>0</v>
      </c>
      <c r="E23" s="8">
        <v>0</v>
      </c>
      <c r="F23" s="8">
        <v>0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8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</row>
    <row r="24" spans="1:18" x14ac:dyDescent="0.2">
      <c r="A24" s="1" t="s">
        <v>37</v>
      </c>
      <c r="B24" s="8">
        <v>0</v>
      </c>
      <c r="C24" s="9">
        <v>0</v>
      </c>
      <c r="D24" s="8">
        <v>0</v>
      </c>
      <c r="E24" s="8">
        <v>0</v>
      </c>
      <c r="F24" s="8">
        <v>0</v>
      </c>
      <c r="G24" s="8">
        <v>0</v>
      </c>
      <c r="H24" s="8">
        <v>1</v>
      </c>
      <c r="I24" s="8">
        <v>0</v>
      </c>
      <c r="J24" s="8">
        <v>0</v>
      </c>
      <c r="K24" s="8">
        <v>0</v>
      </c>
      <c r="L24" s="8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</row>
    <row r="25" spans="1:18" x14ac:dyDescent="0.2">
      <c r="A25" s="1" t="s">
        <v>38</v>
      </c>
      <c r="B25" s="8">
        <v>0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</row>
    <row r="26" spans="1:18" x14ac:dyDescent="0.2">
      <c r="A26" s="1" t="s">
        <v>39</v>
      </c>
      <c r="B26" s="8">
        <v>0</v>
      </c>
      <c r="C26" s="8">
        <v>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</row>
    <row r="27" spans="1:18" x14ac:dyDescent="0.2">
      <c r="A27" s="1" t="s">
        <v>40</v>
      </c>
      <c r="B27" s="8">
        <v>0</v>
      </c>
      <c r="C27" s="8">
        <v>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</row>
    <row r="28" spans="1:18" x14ac:dyDescent="0.2">
      <c r="A28" s="1" t="s">
        <v>41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1</v>
      </c>
      <c r="J28" s="8">
        <v>0</v>
      </c>
      <c r="K28" s="8">
        <v>0</v>
      </c>
      <c r="L28" s="8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</row>
    <row r="29" spans="1:18" x14ac:dyDescent="0.2">
      <c r="A29" s="1" t="s">
        <v>42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</v>
      </c>
      <c r="K29" s="8">
        <v>0</v>
      </c>
      <c r="L29" s="8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</row>
    <row r="30" spans="1:18" x14ac:dyDescent="0.2">
      <c r="A30" s="1" t="s">
        <v>43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</v>
      </c>
      <c r="K30" s="8">
        <v>0</v>
      </c>
      <c r="L30" s="8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18" x14ac:dyDescent="0.2">
      <c r="A31" s="1" t="s">
        <v>44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1</v>
      </c>
      <c r="K31" s="8">
        <v>0</v>
      </c>
      <c r="L31" s="8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</row>
    <row r="32" spans="1:18" x14ac:dyDescent="0.2">
      <c r="A32" s="1" t="s">
        <v>45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1</v>
      </c>
      <c r="L32" s="8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 x14ac:dyDescent="0.2">
      <c r="A33" s="1" t="s">
        <v>2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1</v>
      </c>
      <c r="L33" s="8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</row>
    <row r="34" spans="1:18" x14ac:dyDescent="0.2">
      <c r="A34" s="1" t="s">
        <v>3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1</v>
      </c>
      <c r="L34" s="8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 x14ac:dyDescent="0.2">
      <c r="A35" s="1" t="s">
        <v>46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1</v>
      </c>
      <c r="L35" s="8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</row>
    <row r="36" spans="1:18" x14ac:dyDescent="0.2">
      <c r="A36" s="1" t="s">
        <v>47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1</v>
      </c>
      <c r="L36" s="8">
        <v>0</v>
      </c>
      <c r="M36" s="8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</row>
    <row r="37" spans="1:18" x14ac:dyDescent="0.2">
      <c r="A37" s="1" t="s">
        <v>48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</row>
    <row r="38" spans="1:18" x14ac:dyDescent="0.2">
      <c r="A38" s="1" t="s">
        <v>49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1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</row>
    <row r="39" spans="1:18" x14ac:dyDescent="0.2">
      <c r="A39" s="1" t="s">
        <v>50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1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</row>
    <row r="40" spans="1:18" x14ac:dyDescent="0.2">
      <c r="A40" s="1" t="s">
        <v>51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1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</row>
    <row r="41" spans="1:18" x14ac:dyDescent="0.2">
      <c r="A41" s="1" t="s">
        <v>52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1</v>
      </c>
      <c r="N41" s="9">
        <v>0</v>
      </c>
      <c r="O41" s="9">
        <v>0</v>
      </c>
      <c r="P41" s="8">
        <v>0</v>
      </c>
      <c r="Q41" s="9">
        <v>0</v>
      </c>
      <c r="R41" s="9">
        <v>0</v>
      </c>
    </row>
    <row r="42" spans="1:18" x14ac:dyDescent="0.2">
      <c r="A42" s="1" t="s">
        <v>53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1</v>
      </c>
      <c r="O42" s="9">
        <v>0</v>
      </c>
      <c r="P42" s="9">
        <v>0</v>
      </c>
      <c r="Q42" s="9">
        <v>0</v>
      </c>
      <c r="R42" s="9">
        <v>0</v>
      </c>
    </row>
    <row r="43" spans="1:18" x14ac:dyDescent="0.2">
      <c r="A43" s="1" t="s">
        <v>54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</v>
      </c>
      <c r="O43" s="9">
        <v>0</v>
      </c>
      <c r="P43" s="9">
        <v>0</v>
      </c>
      <c r="Q43" s="9">
        <v>0</v>
      </c>
      <c r="R43" s="9">
        <v>0</v>
      </c>
    </row>
    <row r="44" spans="1:18" x14ac:dyDescent="0.2">
      <c r="A44" s="1" t="s">
        <v>55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1</v>
      </c>
      <c r="O44" s="9">
        <v>0</v>
      </c>
      <c r="P44" s="9">
        <v>0</v>
      </c>
      <c r="Q44" s="9">
        <v>0</v>
      </c>
      <c r="R44" s="9">
        <v>0</v>
      </c>
    </row>
    <row r="45" spans="1:18" x14ac:dyDescent="0.2">
      <c r="A45" s="1" t="s">
        <v>56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1</v>
      </c>
      <c r="P45" s="9">
        <v>0</v>
      </c>
      <c r="Q45" s="9">
        <v>0</v>
      </c>
      <c r="R45" s="9">
        <v>0</v>
      </c>
    </row>
    <row r="46" spans="1:18" x14ac:dyDescent="0.2">
      <c r="A46" s="1" t="s">
        <v>57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9">
        <v>0</v>
      </c>
      <c r="P46" s="9">
        <v>1</v>
      </c>
      <c r="Q46" s="9">
        <v>0</v>
      </c>
      <c r="R46" s="9">
        <v>0</v>
      </c>
    </row>
    <row r="47" spans="1:18" x14ac:dyDescent="0.2">
      <c r="A47" s="1" t="s">
        <v>58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9">
        <v>0</v>
      </c>
      <c r="P47" s="9">
        <v>1</v>
      </c>
      <c r="Q47" s="9">
        <v>0</v>
      </c>
      <c r="R47" s="8">
        <v>0</v>
      </c>
    </row>
    <row r="48" spans="1:18" x14ac:dyDescent="0.2">
      <c r="A48" s="1" t="s">
        <v>59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9">
        <v>0</v>
      </c>
      <c r="P48" s="8">
        <v>1</v>
      </c>
      <c r="Q48" s="9">
        <v>0</v>
      </c>
      <c r="R48" s="9">
        <v>0</v>
      </c>
    </row>
    <row r="49" spans="1:18" x14ac:dyDescent="0.2">
      <c r="A49" s="1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9">
        <v>0</v>
      </c>
      <c r="P49" s="9">
        <v>1</v>
      </c>
      <c r="Q49" s="9">
        <v>0</v>
      </c>
      <c r="R49" s="8">
        <v>0</v>
      </c>
    </row>
    <row r="50" spans="1:18" x14ac:dyDescent="0.2">
      <c r="A50" s="1" t="s">
        <v>61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9">
        <v>0</v>
      </c>
      <c r="P50" s="8">
        <v>1</v>
      </c>
      <c r="Q50" s="9">
        <v>0</v>
      </c>
      <c r="R50" s="9">
        <v>0</v>
      </c>
    </row>
    <row r="51" spans="1:18" x14ac:dyDescent="0.2">
      <c r="A51" s="1" t="s">
        <v>62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9">
        <v>0</v>
      </c>
      <c r="P51" s="8">
        <v>1</v>
      </c>
      <c r="Q51" s="9">
        <v>0</v>
      </c>
      <c r="R51" s="9">
        <v>0</v>
      </c>
    </row>
    <row r="52" spans="1:18" x14ac:dyDescent="0.2">
      <c r="A52" s="1" t="s">
        <v>63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9">
        <v>0</v>
      </c>
      <c r="P52" s="9">
        <v>0</v>
      </c>
      <c r="Q52" s="8">
        <v>1</v>
      </c>
      <c r="R52" s="9">
        <v>0</v>
      </c>
    </row>
    <row r="53" spans="1:18" x14ac:dyDescent="0.2">
      <c r="A53" s="1" t="s">
        <v>64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9">
        <v>0</v>
      </c>
      <c r="P53" s="9">
        <v>0</v>
      </c>
      <c r="Q53" s="8">
        <v>1</v>
      </c>
      <c r="R53" s="9">
        <v>0</v>
      </c>
    </row>
    <row r="54" spans="1:18" x14ac:dyDescent="0.2">
      <c r="A54" s="1" t="s">
        <v>65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9">
        <v>0</v>
      </c>
      <c r="P54" s="9">
        <v>0</v>
      </c>
      <c r="Q54" s="8">
        <v>1</v>
      </c>
      <c r="R54" s="9">
        <v>0</v>
      </c>
    </row>
    <row r="55" spans="1:18" x14ac:dyDescent="0.2">
      <c r="A55" s="1" t="s">
        <v>66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9">
        <v>0</v>
      </c>
      <c r="P55" s="9">
        <v>0</v>
      </c>
      <c r="Q55" s="9">
        <v>0</v>
      </c>
      <c r="R55" s="8">
        <v>1</v>
      </c>
    </row>
    <row r="56" spans="1:18" x14ac:dyDescent="0.2">
      <c r="A56" s="1" t="s">
        <v>67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9">
        <v>0</v>
      </c>
      <c r="P56" s="9">
        <v>0</v>
      </c>
      <c r="Q56" s="9">
        <v>0</v>
      </c>
      <c r="R56" s="8">
        <v>1</v>
      </c>
    </row>
    <row r="57" spans="1:18" x14ac:dyDescent="0.2">
      <c r="A57" s="1" t="s">
        <v>68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9">
        <v>0</v>
      </c>
      <c r="P57" s="9">
        <v>0</v>
      </c>
      <c r="Q57" s="9">
        <v>0</v>
      </c>
      <c r="R57" s="8">
        <v>1</v>
      </c>
    </row>
    <row r="58" spans="1:18" x14ac:dyDescent="0.2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8" x14ac:dyDescent="0.2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8" x14ac:dyDescent="0.2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8" x14ac:dyDescent="0.2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8" x14ac:dyDescent="0.2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8" x14ac:dyDescent="0.2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8" x14ac:dyDescent="0.2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2:12" x14ac:dyDescent="0.2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2:12" x14ac:dyDescent="0.2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2:12" x14ac:dyDescent="0.2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2:12" x14ac:dyDescent="0.2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2:12" x14ac:dyDescent="0.2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2:12" x14ac:dyDescent="0.2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2:12" x14ac:dyDescent="0.2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2:12" x14ac:dyDescent="0.2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2:12" x14ac:dyDescent="0.2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2:12" x14ac:dyDescent="0.2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2:12" x14ac:dyDescent="0.2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2:12" x14ac:dyDescent="0.2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2:12" x14ac:dyDescent="0.2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2:12" x14ac:dyDescent="0.2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2:12" x14ac:dyDescent="0.2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2:12" x14ac:dyDescent="0.2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2:12" x14ac:dyDescent="0.2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2:12" x14ac:dyDescent="0.2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</sheetData>
  <conditionalFormatting sqref="B2:R57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3DDC-08F3-2C4C-AA90-277F49CA6AC0}">
  <sheetPr>
    <tabColor theme="5"/>
  </sheetPr>
  <dimension ref="A1:AG57"/>
  <sheetViews>
    <sheetView zoomScale="112" workbookViewId="0">
      <selection activeCell="W16" sqref="W16"/>
    </sheetView>
  </sheetViews>
  <sheetFormatPr baseColWidth="10" defaultRowHeight="16" x14ac:dyDescent="0.2"/>
  <cols>
    <col min="1" max="1" width="44.1640625" customWidth="1"/>
  </cols>
  <sheetData>
    <row r="1" spans="1:33" ht="96" x14ac:dyDescent="0.2">
      <c r="B1" s="2" t="s">
        <v>76</v>
      </c>
      <c r="C1" s="2" t="s">
        <v>77</v>
      </c>
      <c r="D1" s="2" t="s">
        <v>78</v>
      </c>
      <c r="E1" s="2" t="s">
        <v>34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91</v>
      </c>
    </row>
    <row r="2" spans="1:33" x14ac:dyDescent="0.2">
      <c r="A2" s="1" t="s">
        <v>15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</row>
    <row r="3" spans="1:33" x14ac:dyDescent="0.2">
      <c r="A3" s="1" t="s">
        <v>16</v>
      </c>
      <c r="B3" s="3">
        <v>0</v>
      </c>
      <c r="C3" s="3">
        <v>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</row>
    <row r="4" spans="1:33" x14ac:dyDescent="0.2">
      <c r="A4" s="1" t="s">
        <v>17</v>
      </c>
      <c r="B4" s="3">
        <v>1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</row>
    <row r="5" spans="1:33" x14ac:dyDescent="0.2">
      <c r="A5" s="1" t="s">
        <v>18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1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</row>
    <row r="6" spans="1:33" x14ac:dyDescent="0.2">
      <c r="A6" s="1" t="s">
        <v>19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spans="1:33" x14ac:dyDescent="0.2">
      <c r="A7" s="1" t="s">
        <v>20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</row>
    <row r="8" spans="1:33" x14ac:dyDescent="0.2">
      <c r="A8" s="1" t="s">
        <v>21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A9" s="1" t="s">
        <v>22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spans="1:33" x14ac:dyDescent="0.2">
      <c r="A10" s="1" t="s">
        <v>23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</row>
    <row r="11" spans="1:33" x14ac:dyDescent="0.2">
      <c r="A11" s="1" t="s">
        <v>24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</v>
      </c>
      <c r="V11" s="3">
        <v>1</v>
      </c>
      <c r="W11" s="3">
        <v>1</v>
      </c>
      <c r="X11" s="3">
        <v>1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</row>
    <row r="12" spans="1:33" x14ac:dyDescent="0.2">
      <c r="A12" s="1" t="s">
        <v>25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</row>
    <row r="13" spans="1:33" x14ac:dyDescent="0.2">
      <c r="A13" s="1" t="s">
        <v>26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A14" s="1" t="s">
        <v>27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A15" s="1" t="s">
        <v>28</v>
      </c>
      <c r="B15" s="3">
        <v>0</v>
      </c>
      <c r="C15" s="3">
        <v>0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A16" s="1" t="s">
        <v>29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</row>
    <row r="17" spans="1:33" x14ac:dyDescent="0.2">
      <c r="A17" s="1" t="s">
        <v>30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1:33" x14ac:dyDescent="0.2">
      <c r="A18" s="1" t="s">
        <v>31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1:33" x14ac:dyDescent="0.2">
      <c r="A19" s="1" t="s">
        <v>32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</row>
    <row r="20" spans="1:33" x14ac:dyDescent="0.2">
      <c r="A20" s="1" t="s">
        <v>33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1:33" x14ac:dyDescent="0.2">
      <c r="A21" s="1" t="s">
        <v>34</v>
      </c>
      <c r="B21" s="3">
        <v>0</v>
      </c>
      <c r="C21" s="3">
        <v>0</v>
      </c>
      <c r="D21" s="3">
        <v>0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</row>
    <row r="22" spans="1:33" x14ac:dyDescent="0.2">
      <c r="A22" s="1" t="s">
        <v>35</v>
      </c>
      <c r="B22" s="3">
        <v>0</v>
      </c>
      <c r="C22" s="3">
        <v>0</v>
      </c>
      <c r="D22" s="3">
        <v>0</v>
      </c>
      <c r="E22" s="3">
        <v>1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1:33" x14ac:dyDescent="0.2">
      <c r="A23" s="1" t="s">
        <v>36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1:33" x14ac:dyDescent="0.2">
      <c r="A24" s="1" t="s">
        <v>37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1:33" x14ac:dyDescent="0.2">
      <c r="A25" s="1" t="s">
        <v>38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</row>
    <row r="26" spans="1:33" x14ac:dyDescent="0.2">
      <c r="A26" s="1" t="s">
        <v>39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1:33" x14ac:dyDescent="0.2">
      <c r="A27" s="1" t="s">
        <v>40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1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1:33" x14ac:dyDescent="0.2">
      <c r="A28" s="1" t="s">
        <v>41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1:33" x14ac:dyDescent="0.2">
      <c r="A29" s="1" t="s">
        <v>42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1:33" x14ac:dyDescent="0.2">
      <c r="A30" s="1" t="s">
        <v>43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1:33" x14ac:dyDescent="0.2">
      <c r="A31" s="1" t="s">
        <v>44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1:33" x14ac:dyDescent="0.2">
      <c r="A32" s="1" t="s">
        <v>45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1:33" x14ac:dyDescent="0.2">
      <c r="A33" s="1" t="s">
        <v>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1:33" x14ac:dyDescent="0.2">
      <c r="A34" s="1" t="s">
        <v>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1:33" x14ac:dyDescent="0.2">
      <c r="A35" s="1" t="s">
        <v>46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6" spans="1:33" x14ac:dyDescent="0.2">
      <c r="A36" s="1" t="s">
        <v>47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1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</row>
    <row r="37" spans="1:33" x14ac:dyDescent="0.2">
      <c r="A37" s="1" t="s">
        <v>48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1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</row>
    <row r="38" spans="1:33" x14ac:dyDescent="0.2">
      <c r="A38" s="1" t="s">
        <v>49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</row>
    <row r="39" spans="1:33" x14ac:dyDescent="0.2">
      <c r="A39" s="1" t="s">
        <v>50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1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</row>
    <row r="40" spans="1:33" x14ac:dyDescent="0.2">
      <c r="A40" s="1" t="s">
        <v>51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</row>
    <row r="41" spans="1:33" x14ac:dyDescent="0.2">
      <c r="A41" s="1" t="s">
        <v>52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1:33" x14ac:dyDescent="0.2">
      <c r="A42" s="1" t="s">
        <v>53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1:33" x14ac:dyDescent="0.2">
      <c r="A43" s="1" t="s">
        <v>54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1:33" x14ac:dyDescent="0.2">
      <c r="A44" s="1" t="s">
        <v>55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1:33" x14ac:dyDescent="0.2">
      <c r="A45" s="1" t="s">
        <v>56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1:33" x14ac:dyDescent="0.2">
      <c r="A46" s="1" t="s">
        <v>57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1:33" x14ac:dyDescent="0.2">
      <c r="A47" s="1" t="s">
        <v>58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1:33" x14ac:dyDescent="0.2">
      <c r="A48" s="1" t="s">
        <v>59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1:33" x14ac:dyDescent="0.2">
      <c r="A49" s="1" t="s">
        <v>60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1:33" x14ac:dyDescent="0.2">
      <c r="A50" s="1" t="s">
        <v>61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1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1:33" x14ac:dyDescent="0.2">
      <c r="A51" s="1" t="s">
        <v>62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1:33" x14ac:dyDescent="0.2">
      <c r="A52" s="1" t="s">
        <v>63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1:33" x14ac:dyDescent="0.2">
      <c r="A53" s="1" t="s">
        <v>64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1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1:33" x14ac:dyDescent="0.2">
      <c r="A54" s="1" t="s">
        <v>65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1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1:33" x14ac:dyDescent="0.2">
      <c r="A55" s="1" t="s">
        <v>66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1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</row>
    <row r="56" spans="1:33" x14ac:dyDescent="0.2">
      <c r="A56" s="1" t="s">
        <v>67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1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</row>
    <row r="57" spans="1:33" x14ac:dyDescent="0.2">
      <c r="A57" s="1" t="s">
        <v>68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1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</sheetData>
  <conditionalFormatting sqref="B2:AG57">
    <cfRule type="cellIs" dxfId="4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0784-4739-A845-9598-E81FD5394887}">
  <sheetPr>
    <tabColor theme="5"/>
  </sheetPr>
  <dimension ref="A1:AG57"/>
  <sheetViews>
    <sheetView topLeftCell="U30" zoomScale="112" workbookViewId="0">
      <selection activeCell="AF2" sqref="AF2:AG57"/>
    </sheetView>
  </sheetViews>
  <sheetFormatPr baseColWidth="10" defaultRowHeight="16" x14ac:dyDescent="0.2"/>
  <cols>
    <col min="1" max="1" width="44.1640625" customWidth="1"/>
  </cols>
  <sheetData>
    <row r="1" spans="1:33" ht="96" x14ac:dyDescent="0.2">
      <c r="B1" s="2" t="s">
        <v>76</v>
      </c>
      <c r="C1" s="2" t="s">
        <v>77</v>
      </c>
      <c r="D1" s="2" t="s">
        <v>78</v>
      </c>
      <c r="E1" s="2" t="s">
        <v>34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91</v>
      </c>
    </row>
    <row r="2" spans="1:33" x14ac:dyDescent="0.2">
      <c r="A2" s="1" t="s">
        <v>15</v>
      </c>
      <c r="B2" s="3">
        <f>WIOD.ThreeME_V3!B2 * Pond.Inputs!$B2/SUMPRODUCT(WIOD.ThreeME_V3!B$2:B$57,Pond.Inputs!$B$2:$B$57)</f>
        <v>0.97185966633954857</v>
      </c>
      <c r="C2" s="3">
        <f>WIOD.ThreeME_V3!C2 * Pond.Inputs!$B2/SUMPRODUCT(WIOD.ThreeME_V3!C$2:C$57,Pond.Inputs!$B$2:$B$57)</f>
        <v>0</v>
      </c>
      <c r="D2" s="3">
        <f>WIOD.ThreeME_V3!D2 * Pond.Inputs!$B2/SUMPRODUCT(WIOD.ThreeME_V3!D$2:D$57,Pond.Inputs!$B$2:$B$57)</f>
        <v>0</v>
      </c>
      <c r="E2" s="3">
        <f>WIOD.ThreeME_V3!E2 * Pond.Inputs!$B2/SUMPRODUCT(WIOD.ThreeME_V3!E$2:E$57,Pond.Inputs!$B$2:$B$57)</f>
        <v>0</v>
      </c>
      <c r="F2" s="3">
        <f>WIOD.ThreeME_V3!F2 * Pond.Inputs!$B2/SUMPRODUCT(WIOD.ThreeME_V3!F$2:F$57,Pond.Inputs!$B$2:$B$57)</f>
        <v>0</v>
      </c>
      <c r="G2" s="3">
        <f>WIOD.ThreeME_V3!G2 * Pond.Inputs!$B2/SUMPRODUCT(WIOD.ThreeME_V3!G$2:G$57,Pond.Inputs!$B$2:$B$57)</f>
        <v>0</v>
      </c>
      <c r="H2" s="3">
        <f>WIOD.ThreeME_V3!H2 * Pond.Inputs!$B2/SUMPRODUCT(WIOD.ThreeME_V3!H$2:H$57,Pond.Inputs!$B$2:$B$57)</f>
        <v>0</v>
      </c>
      <c r="I2" s="3">
        <f>WIOD.ThreeME_V3!I2 * Pond.Inputs!$B2/SUMPRODUCT(WIOD.ThreeME_V3!I$2:I$57,Pond.Inputs!$B$2:$B$57)</f>
        <v>0</v>
      </c>
      <c r="J2" s="3">
        <f>WIOD.ThreeME_V3!J2 * Pond.Inputs!$B2/SUMPRODUCT(WIOD.ThreeME_V3!J$2:J$57,Pond.Inputs!$B$2:$B$57)</f>
        <v>0</v>
      </c>
      <c r="K2" s="3">
        <f>WIOD.ThreeME_V3!K2 * Pond.Inputs!$B2/SUMPRODUCT(WIOD.ThreeME_V3!K$2:K$57,Pond.Inputs!$B$2:$B$57)</f>
        <v>0</v>
      </c>
      <c r="L2" s="3">
        <f>WIOD.ThreeME_V3!L2 * Pond.Inputs!$B2/SUMPRODUCT(WIOD.ThreeME_V3!L$2:L$57,Pond.Inputs!$B$2:$B$57)</f>
        <v>0</v>
      </c>
      <c r="M2" s="3">
        <f>WIOD.ThreeME_V3!M2 * Pond.Inputs!$B2/SUMPRODUCT(WIOD.ThreeME_V3!M$2:M$57,Pond.Inputs!$B$2:$B$57)</f>
        <v>0</v>
      </c>
      <c r="N2" s="3">
        <f>WIOD.ThreeME_V3!N2 * Pond.Inputs!$B2/SUMPRODUCT(WIOD.ThreeME_V3!N$2:N$57,Pond.Inputs!$B$2:$B$57)</f>
        <v>0</v>
      </c>
      <c r="O2" s="3">
        <f>WIOD.ThreeME_V3!O2 * Pond.Inputs!$B2/SUMPRODUCT(WIOD.ThreeME_V3!O$2:O$57,Pond.Inputs!$B$2:$B$57)</f>
        <v>0</v>
      </c>
      <c r="P2" s="3">
        <f>WIOD.ThreeME_V3!P2 * Pond.Inputs!$B2/SUMPRODUCT(WIOD.ThreeME_V3!P$2:P$57,Pond.Inputs!$B$2:$B$57)</f>
        <v>0</v>
      </c>
      <c r="Q2" s="3">
        <f>WIOD.ThreeME_V3!Q2 * Pond.Inputs!$B2/SUMPRODUCT(WIOD.ThreeME_V3!Q$2:Q$57,Pond.Inputs!$B$2:$B$57)</f>
        <v>0</v>
      </c>
      <c r="R2" s="3">
        <f>WIOD.ThreeME_V3!R2 * Pond.Inputs!$B2/SUMPRODUCT(WIOD.ThreeME_V3!R$2:R$57,Pond.Inputs!$B$2:$B$57)</f>
        <v>0</v>
      </c>
      <c r="S2" s="3">
        <f>WIOD.ThreeME_V3!S2 * Pond.Inputs!$B2/SUMPRODUCT(WIOD.ThreeME_V3!S$2:S$57,Pond.Inputs!$B$2:$B$57)</f>
        <v>0</v>
      </c>
      <c r="T2" s="3">
        <f>WIOD.ThreeME_V3!T2 * Pond.Inputs!$B2/SUMPRODUCT(WIOD.ThreeME_V3!T$2:T$57,Pond.Inputs!$B$2:$B$57)</f>
        <v>0</v>
      </c>
      <c r="U2" s="3">
        <f>WIOD.ThreeME_V3!U2 * Pond.Inputs!$B2/SUMPRODUCT(WIOD.ThreeME_V3!U$2:U$57,Pond.Inputs!$B$2:$B$57)</f>
        <v>0</v>
      </c>
      <c r="V2" s="3">
        <f>WIOD.ThreeME_V3!V2 * Pond.Inputs!$B2/SUMPRODUCT(WIOD.ThreeME_V3!V$2:V$57,Pond.Inputs!$B$2:$B$57)</f>
        <v>0</v>
      </c>
      <c r="W2" s="3">
        <f>WIOD.ThreeME_V3!W2 * Pond.Inputs!$B2/SUMPRODUCT(WIOD.ThreeME_V3!W$2:W$57,Pond.Inputs!$B$2:$B$57)</f>
        <v>0</v>
      </c>
      <c r="X2" s="3">
        <f>WIOD.ThreeME_V3!X2 * Pond.Inputs!$B2/SUMPRODUCT(WIOD.ThreeME_V3!X$2:X$57,Pond.Inputs!$B$2:$B$57)</f>
        <v>0</v>
      </c>
      <c r="Y2" s="3">
        <f>WIOD.ThreeME_V3!Y2 * Pond.Inputs!$B2/SUMPRODUCT(WIOD.ThreeME_V3!Y$2:Y$57,Pond.Inputs!$B$2:$B$57)</f>
        <v>0</v>
      </c>
      <c r="Z2" s="3">
        <f>WIOD.ThreeME_V3!Z2 * Pond.Inputs!$B2/SUMPRODUCT(WIOD.ThreeME_V3!Z$2:Z$57,Pond.Inputs!$B$2:$B$57)</f>
        <v>0</v>
      </c>
      <c r="AA2" s="3">
        <f>WIOD.ThreeME_V3!AA2 * Pond.Inputs!$B2/SUMPRODUCT(WIOD.ThreeME_V3!AA$2:AA$57,Pond.Inputs!$B$2:$B$57)</f>
        <v>0</v>
      </c>
      <c r="AB2" s="3">
        <f>WIOD.ThreeME_V3!AB2 * Pond.Inputs!$B2/SUMPRODUCT(WIOD.ThreeME_V3!AB$2:AB$57,Pond.Inputs!$B$2:$B$57)</f>
        <v>0</v>
      </c>
      <c r="AC2" s="3">
        <f>WIOD.ThreeME_V3!AC2 * Pond.Inputs!$B2/SUMPRODUCT(WIOD.ThreeME_V3!AC$2:AC$57,Pond.Inputs!$B$2:$B$57)</f>
        <v>0</v>
      </c>
      <c r="AD2" s="3">
        <f>WIOD.ThreeME_V3!AD2 * Pond.Inputs!$B2/SUMPRODUCT(WIOD.ThreeME_V3!AD$2:AD$57,Pond.Inputs!$B$2:$B$57)</f>
        <v>0</v>
      </c>
      <c r="AE2" s="3">
        <f>WIOD.ThreeME_V3!AE2 * Pond.Inputs!$B2/SUMPRODUCT(WIOD.ThreeME_V3!AE$2:AE$57,Pond.Inputs!$B$2:$B$57)</f>
        <v>0</v>
      </c>
      <c r="AF2" s="3">
        <f>WIOD.ThreeME_V3!AF2 * Pond.Inputs!$B2/SUMPRODUCT(WIOD.ThreeME_V3!AF$2:AF$57,Pond.Inputs!$B$2:$B$57)</f>
        <v>0</v>
      </c>
      <c r="AG2" s="3">
        <f>WIOD.ThreeME_V3!AG2 * Pond.Inputs!$B2/SUMPRODUCT(WIOD.ThreeME_V3!AG$2:AG$57,Pond.Inputs!$B$2:$B$57)</f>
        <v>0</v>
      </c>
    </row>
    <row r="3" spans="1:33" x14ac:dyDescent="0.2">
      <c r="A3" s="1" t="s">
        <v>16</v>
      </c>
      <c r="B3" s="3">
        <f>WIOD.ThreeME_V3!B3 * Pond.Inputs!$B3/SUMPRODUCT(WIOD.ThreeME_V3!B$2:B$57,Pond.Inputs!$B$2:$B$57)</f>
        <v>0</v>
      </c>
      <c r="C3" s="3">
        <f>WIOD.ThreeME_V3!C3 * Pond.Inputs!$B3/SUMPRODUCT(WIOD.ThreeME_V3!C$2:C$57,Pond.Inputs!$B$2:$B$57)</f>
        <v>1</v>
      </c>
      <c r="D3" s="3">
        <f>WIOD.ThreeME_V3!D3 * Pond.Inputs!$B3/SUMPRODUCT(WIOD.ThreeME_V3!D$2:D$57,Pond.Inputs!$B$2:$B$57)</f>
        <v>0</v>
      </c>
      <c r="E3" s="3">
        <f>WIOD.ThreeME_V3!E3 * Pond.Inputs!$B3/SUMPRODUCT(WIOD.ThreeME_V3!E$2:E$57,Pond.Inputs!$B$2:$B$57)</f>
        <v>0</v>
      </c>
      <c r="F3" s="3">
        <f>WIOD.ThreeME_V3!F3 * Pond.Inputs!$B3/SUMPRODUCT(WIOD.ThreeME_V3!F$2:F$57,Pond.Inputs!$B$2:$B$57)</f>
        <v>0</v>
      </c>
      <c r="G3" s="3">
        <f>WIOD.ThreeME_V3!G3 * Pond.Inputs!$B3/SUMPRODUCT(WIOD.ThreeME_V3!G$2:G$57,Pond.Inputs!$B$2:$B$57)</f>
        <v>0</v>
      </c>
      <c r="H3" s="3">
        <f>WIOD.ThreeME_V3!H3 * Pond.Inputs!$B3/SUMPRODUCT(WIOD.ThreeME_V3!H$2:H$57,Pond.Inputs!$B$2:$B$57)</f>
        <v>0</v>
      </c>
      <c r="I3" s="3">
        <f>WIOD.ThreeME_V3!I3 * Pond.Inputs!$B3/SUMPRODUCT(WIOD.ThreeME_V3!I$2:I$57,Pond.Inputs!$B$2:$B$57)</f>
        <v>0</v>
      </c>
      <c r="J3" s="3">
        <f>WIOD.ThreeME_V3!J3 * Pond.Inputs!$B3/SUMPRODUCT(WIOD.ThreeME_V3!J$2:J$57,Pond.Inputs!$B$2:$B$57)</f>
        <v>0</v>
      </c>
      <c r="K3" s="3">
        <f>WIOD.ThreeME_V3!K3 * Pond.Inputs!$B3/SUMPRODUCT(WIOD.ThreeME_V3!K$2:K$57,Pond.Inputs!$B$2:$B$57)</f>
        <v>0</v>
      </c>
      <c r="L3" s="3">
        <f>WIOD.ThreeME_V3!L3 * Pond.Inputs!$B3/SUMPRODUCT(WIOD.ThreeME_V3!L$2:L$57,Pond.Inputs!$B$2:$B$57)</f>
        <v>0</v>
      </c>
      <c r="M3" s="3">
        <f>WIOD.ThreeME_V3!M3 * Pond.Inputs!$B3/SUMPRODUCT(WIOD.ThreeME_V3!M$2:M$57,Pond.Inputs!$B$2:$B$57)</f>
        <v>0</v>
      </c>
      <c r="N3" s="3">
        <f>WIOD.ThreeME_V3!N3 * Pond.Inputs!$B3/SUMPRODUCT(WIOD.ThreeME_V3!N$2:N$57,Pond.Inputs!$B$2:$B$57)</f>
        <v>0</v>
      </c>
      <c r="O3" s="3">
        <f>WIOD.ThreeME_V3!O3 * Pond.Inputs!$B3/SUMPRODUCT(WIOD.ThreeME_V3!O$2:O$57,Pond.Inputs!$B$2:$B$57)</f>
        <v>0</v>
      </c>
      <c r="P3" s="3">
        <f>WIOD.ThreeME_V3!P3 * Pond.Inputs!$B3/SUMPRODUCT(WIOD.ThreeME_V3!P$2:P$57,Pond.Inputs!$B$2:$B$57)</f>
        <v>0</v>
      </c>
      <c r="Q3" s="3">
        <f>WIOD.ThreeME_V3!Q3 * Pond.Inputs!$B3/SUMPRODUCT(WIOD.ThreeME_V3!Q$2:Q$57,Pond.Inputs!$B$2:$B$57)</f>
        <v>0</v>
      </c>
      <c r="R3" s="3">
        <f>WIOD.ThreeME_V3!R3 * Pond.Inputs!$B3/SUMPRODUCT(WIOD.ThreeME_V3!R$2:R$57,Pond.Inputs!$B$2:$B$57)</f>
        <v>0</v>
      </c>
      <c r="S3" s="3">
        <f>WIOD.ThreeME_V3!S3 * Pond.Inputs!$B3/SUMPRODUCT(WIOD.ThreeME_V3!S$2:S$57,Pond.Inputs!$B$2:$B$57)</f>
        <v>0</v>
      </c>
      <c r="T3" s="3">
        <f>WIOD.ThreeME_V3!T3 * Pond.Inputs!$B3/SUMPRODUCT(WIOD.ThreeME_V3!T$2:T$57,Pond.Inputs!$B$2:$B$57)</f>
        <v>0</v>
      </c>
      <c r="U3" s="3">
        <f>WIOD.ThreeME_V3!U3 * Pond.Inputs!$B3/SUMPRODUCT(WIOD.ThreeME_V3!U$2:U$57,Pond.Inputs!$B$2:$B$57)</f>
        <v>0</v>
      </c>
      <c r="V3" s="3">
        <f>WIOD.ThreeME_V3!V3 * Pond.Inputs!$B3/SUMPRODUCT(WIOD.ThreeME_V3!V$2:V$57,Pond.Inputs!$B$2:$B$57)</f>
        <v>0</v>
      </c>
      <c r="W3" s="3">
        <f>WIOD.ThreeME_V3!W3 * Pond.Inputs!$B3/SUMPRODUCT(WIOD.ThreeME_V3!W$2:W$57,Pond.Inputs!$B$2:$B$57)</f>
        <v>0</v>
      </c>
      <c r="X3" s="3">
        <f>WIOD.ThreeME_V3!X3 * Pond.Inputs!$B3/SUMPRODUCT(WIOD.ThreeME_V3!X$2:X$57,Pond.Inputs!$B$2:$B$57)</f>
        <v>0</v>
      </c>
      <c r="Y3" s="3">
        <f>WIOD.ThreeME_V3!Y3 * Pond.Inputs!$B3/SUMPRODUCT(WIOD.ThreeME_V3!Y$2:Y$57,Pond.Inputs!$B$2:$B$57)</f>
        <v>0</v>
      </c>
      <c r="Z3" s="3">
        <f>WIOD.ThreeME_V3!Z3 * Pond.Inputs!$B3/SUMPRODUCT(WIOD.ThreeME_V3!Z$2:Z$57,Pond.Inputs!$B$2:$B$57)</f>
        <v>0</v>
      </c>
      <c r="AA3" s="3">
        <f>WIOD.ThreeME_V3!AA3 * Pond.Inputs!$B3/SUMPRODUCT(WIOD.ThreeME_V3!AA$2:AA$57,Pond.Inputs!$B$2:$B$57)</f>
        <v>0</v>
      </c>
      <c r="AB3" s="3">
        <f>WIOD.ThreeME_V3!AB3 * Pond.Inputs!$B3/SUMPRODUCT(WIOD.ThreeME_V3!AB$2:AB$57,Pond.Inputs!$B$2:$B$57)</f>
        <v>0</v>
      </c>
      <c r="AC3" s="3">
        <f>WIOD.ThreeME_V3!AC3 * Pond.Inputs!$B3/SUMPRODUCT(WIOD.ThreeME_V3!AC$2:AC$57,Pond.Inputs!$B$2:$B$57)</f>
        <v>0</v>
      </c>
      <c r="AD3" s="3">
        <f>WIOD.ThreeME_V3!AD3 * Pond.Inputs!$B3/SUMPRODUCT(WIOD.ThreeME_V3!AD$2:AD$57,Pond.Inputs!$B$2:$B$57)</f>
        <v>0</v>
      </c>
      <c r="AE3" s="3">
        <f>WIOD.ThreeME_V3!AE3 * Pond.Inputs!$B3/SUMPRODUCT(WIOD.ThreeME_V3!AE$2:AE$57,Pond.Inputs!$B$2:$B$57)</f>
        <v>0</v>
      </c>
      <c r="AF3" s="3">
        <f>WIOD.ThreeME_V3!AF3 * Pond.Inputs!$B3/SUMPRODUCT(WIOD.ThreeME_V3!AF$2:AF$57,Pond.Inputs!$B$2:$B$57)</f>
        <v>0</v>
      </c>
      <c r="AG3" s="3">
        <f>WIOD.ThreeME_V3!AG3 * Pond.Inputs!$B3/SUMPRODUCT(WIOD.ThreeME_V3!AG$2:AG$57,Pond.Inputs!$B$2:$B$57)</f>
        <v>0</v>
      </c>
    </row>
    <row r="4" spans="1:33" x14ac:dyDescent="0.2">
      <c r="A4" s="1" t="s">
        <v>17</v>
      </c>
      <c r="B4" s="3">
        <f>WIOD.ThreeME_V3!B4 * Pond.Inputs!$B4/SUMPRODUCT(WIOD.ThreeME_V3!B$2:B$57,Pond.Inputs!$B$2:$B$57)</f>
        <v>2.8140333660451423E-2</v>
      </c>
      <c r="C4" s="3">
        <f>WIOD.ThreeME_V3!C4 * Pond.Inputs!$B4/SUMPRODUCT(WIOD.ThreeME_V3!C$2:C$57,Pond.Inputs!$B$2:$B$57)</f>
        <v>0</v>
      </c>
      <c r="D4" s="3">
        <f>WIOD.ThreeME_V3!D4 * Pond.Inputs!$B4/SUMPRODUCT(WIOD.ThreeME_V3!D$2:D$57,Pond.Inputs!$B$2:$B$57)</f>
        <v>0</v>
      </c>
      <c r="E4" s="3">
        <f>WIOD.ThreeME_V3!E4 * Pond.Inputs!$B4/SUMPRODUCT(WIOD.ThreeME_V3!E$2:E$57,Pond.Inputs!$B$2:$B$57)</f>
        <v>0</v>
      </c>
      <c r="F4" s="3">
        <f>WIOD.ThreeME_V3!F4 * Pond.Inputs!$B4/SUMPRODUCT(WIOD.ThreeME_V3!F$2:F$57,Pond.Inputs!$B$2:$B$57)</f>
        <v>0</v>
      </c>
      <c r="G4" s="3">
        <f>WIOD.ThreeME_V3!G4 * Pond.Inputs!$B4/SUMPRODUCT(WIOD.ThreeME_V3!G$2:G$57,Pond.Inputs!$B$2:$B$57)</f>
        <v>0</v>
      </c>
      <c r="H4" s="3">
        <f>WIOD.ThreeME_V3!H4 * Pond.Inputs!$B4/SUMPRODUCT(WIOD.ThreeME_V3!H$2:H$57,Pond.Inputs!$B$2:$B$57)</f>
        <v>0</v>
      </c>
      <c r="I4" s="3">
        <f>WIOD.ThreeME_V3!I4 * Pond.Inputs!$B4/SUMPRODUCT(WIOD.ThreeME_V3!I$2:I$57,Pond.Inputs!$B$2:$B$57)</f>
        <v>0</v>
      </c>
      <c r="J4" s="3">
        <f>WIOD.ThreeME_V3!J4 * Pond.Inputs!$B4/SUMPRODUCT(WIOD.ThreeME_V3!J$2:J$57,Pond.Inputs!$B$2:$B$57)</f>
        <v>0</v>
      </c>
      <c r="K4" s="3">
        <f>WIOD.ThreeME_V3!K4 * Pond.Inputs!$B4/SUMPRODUCT(WIOD.ThreeME_V3!K$2:K$57,Pond.Inputs!$B$2:$B$57)</f>
        <v>0</v>
      </c>
      <c r="L4" s="3">
        <f>WIOD.ThreeME_V3!L4 * Pond.Inputs!$B4/SUMPRODUCT(WIOD.ThreeME_V3!L$2:L$57,Pond.Inputs!$B$2:$B$57)</f>
        <v>0</v>
      </c>
      <c r="M4" s="3">
        <f>WIOD.ThreeME_V3!M4 * Pond.Inputs!$B4/SUMPRODUCT(WIOD.ThreeME_V3!M$2:M$57,Pond.Inputs!$B$2:$B$57)</f>
        <v>0</v>
      </c>
      <c r="N4" s="3">
        <f>WIOD.ThreeME_V3!N4 * Pond.Inputs!$B4/SUMPRODUCT(WIOD.ThreeME_V3!N$2:N$57,Pond.Inputs!$B$2:$B$57)</f>
        <v>0</v>
      </c>
      <c r="O4" s="3">
        <f>WIOD.ThreeME_V3!O4 * Pond.Inputs!$B4/SUMPRODUCT(WIOD.ThreeME_V3!O$2:O$57,Pond.Inputs!$B$2:$B$57)</f>
        <v>0</v>
      </c>
      <c r="P4" s="3">
        <f>WIOD.ThreeME_V3!P4 * Pond.Inputs!$B4/SUMPRODUCT(WIOD.ThreeME_V3!P$2:P$57,Pond.Inputs!$B$2:$B$57)</f>
        <v>0</v>
      </c>
      <c r="Q4" s="3">
        <f>WIOD.ThreeME_V3!Q4 * Pond.Inputs!$B4/SUMPRODUCT(WIOD.ThreeME_V3!Q$2:Q$57,Pond.Inputs!$B$2:$B$57)</f>
        <v>0</v>
      </c>
      <c r="R4" s="3">
        <f>WIOD.ThreeME_V3!R4 * Pond.Inputs!$B4/SUMPRODUCT(WIOD.ThreeME_V3!R$2:R$57,Pond.Inputs!$B$2:$B$57)</f>
        <v>0</v>
      </c>
      <c r="S4" s="3">
        <f>WIOD.ThreeME_V3!S4 * Pond.Inputs!$B4/SUMPRODUCT(WIOD.ThreeME_V3!S$2:S$57,Pond.Inputs!$B$2:$B$57)</f>
        <v>0</v>
      </c>
      <c r="T4" s="3">
        <f>WIOD.ThreeME_V3!T4 * Pond.Inputs!$B4/SUMPRODUCT(WIOD.ThreeME_V3!T$2:T$57,Pond.Inputs!$B$2:$B$57)</f>
        <v>0</v>
      </c>
      <c r="U4" s="3">
        <f>WIOD.ThreeME_V3!U4 * Pond.Inputs!$B4/SUMPRODUCT(WIOD.ThreeME_V3!U$2:U$57,Pond.Inputs!$B$2:$B$57)</f>
        <v>0</v>
      </c>
      <c r="V4" s="3">
        <f>WIOD.ThreeME_V3!V4 * Pond.Inputs!$B4/SUMPRODUCT(WIOD.ThreeME_V3!V$2:V$57,Pond.Inputs!$B$2:$B$57)</f>
        <v>0</v>
      </c>
      <c r="W4" s="3">
        <f>WIOD.ThreeME_V3!W4 * Pond.Inputs!$B4/SUMPRODUCT(WIOD.ThreeME_V3!W$2:W$57,Pond.Inputs!$B$2:$B$57)</f>
        <v>0</v>
      </c>
      <c r="X4" s="3">
        <f>WIOD.ThreeME_V3!X4 * Pond.Inputs!$B4/SUMPRODUCT(WIOD.ThreeME_V3!X$2:X$57,Pond.Inputs!$B$2:$B$57)</f>
        <v>0</v>
      </c>
      <c r="Y4" s="3">
        <f>WIOD.ThreeME_V3!Y4 * Pond.Inputs!$B4/SUMPRODUCT(WIOD.ThreeME_V3!Y$2:Y$57,Pond.Inputs!$B$2:$B$57)</f>
        <v>0</v>
      </c>
      <c r="Z4" s="3">
        <f>WIOD.ThreeME_V3!Z4 * Pond.Inputs!$B4/SUMPRODUCT(WIOD.ThreeME_V3!Z$2:Z$57,Pond.Inputs!$B$2:$B$57)</f>
        <v>0</v>
      </c>
      <c r="AA4" s="3">
        <f>WIOD.ThreeME_V3!AA4 * Pond.Inputs!$B4/SUMPRODUCT(WIOD.ThreeME_V3!AA$2:AA$57,Pond.Inputs!$B$2:$B$57)</f>
        <v>0</v>
      </c>
      <c r="AB4" s="3">
        <f>WIOD.ThreeME_V3!AB4 * Pond.Inputs!$B4/SUMPRODUCT(WIOD.ThreeME_V3!AB$2:AB$57,Pond.Inputs!$B$2:$B$57)</f>
        <v>0</v>
      </c>
      <c r="AC4" s="3">
        <f>WIOD.ThreeME_V3!AC4 * Pond.Inputs!$B4/SUMPRODUCT(WIOD.ThreeME_V3!AC$2:AC$57,Pond.Inputs!$B$2:$B$57)</f>
        <v>0</v>
      </c>
      <c r="AD4" s="3">
        <f>WIOD.ThreeME_V3!AD4 * Pond.Inputs!$B4/SUMPRODUCT(WIOD.ThreeME_V3!AD$2:AD$57,Pond.Inputs!$B$2:$B$57)</f>
        <v>0</v>
      </c>
      <c r="AE4" s="3">
        <f>WIOD.ThreeME_V3!AE4 * Pond.Inputs!$B4/SUMPRODUCT(WIOD.ThreeME_V3!AE$2:AE$57,Pond.Inputs!$B$2:$B$57)</f>
        <v>0</v>
      </c>
      <c r="AF4" s="3">
        <f>WIOD.ThreeME_V3!AF4 * Pond.Inputs!$B4/SUMPRODUCT(WIOD.ThreeME_V3!AF$2:AF$57,Pond.Inputs!$B$2:$B$57)</f>
        <v>0</v>
      </c>
      <c r="AG4" s="3">
        <f>WIOD.ThreeME_V3!AG4 * Pond.Inputs!$B4/SUMPRODUCT(WIOD.ThreeME_V3!AG$2:AG$57,Pond.Inputs!$B$2:$B$57)</f>
        <v>0</v>
      </c>
    </row>
    <row r="5" spans="1:33" x14ac:dyDescent="0.2">
      <c r="A5" s="1" t="s">
        <v>18</v>
      </c>
      <c r="B5" s="3">
        <f>WIOD.ThreeME_V3!B5 * Pond.Inputs!$B5/SUMPRODUCT(WIOD.ThreeME_V3!B$2:B$57,Pond.Inputs!$B$2:$B$57)</f>
        <v>0</v>
      </c>
      <c r="C5" s="3">
        <f>WIOD.ThreeME_V3!C5 * Pond.Inputs!$B5/SUMPRODUCT(WIOD.ThreeME_V3!C$2:C$57,Pond.Inputs!$B$2:$B$57)</f>
        <v>0</v>
      </c>
      <c r="D5" s="3">
        <f>WIOD.ThreeME_V3!D5 * Pond.Inputs!$B5/SUMPRODUCT(WIOD.ThreeME_V3!D$2:D$57,Pond.Inputs!$B$2:$B$57)</f>
        <v>0</v>
      </c>
      <c r="E5" s="3">
        <f>WIOD.ThreeME_V3!E5 * Pond.Inputs!$B5/SUMPRODUCT(WIOD.ThreeME_V3!E$2:E$57,Pond.Inputs!$B$2:$B$57)</f>
        <v>0</v>
      </c>
      <c r="F5" s="3">
        <f>WIOD.ThreeME_V3!F5 * Pond.Inputs!$B5/SUMPRODUCT(WIOD.ThreeME_V3!F$2:F$57,Pond.Inputs!$B$2:$B$57)</f>
        <v>0</v>
      </c>
      <c r="G5" s="3">
        <f>WIOD.ThreeME_V3!G5 * Pond.Inputs!$B5/SUMPRODUCT(WIOD.ThreeME_V3!G$2:G$57,Pond.Inputs!$B$2:$B$57)</f>
        <v>0</v>
      </c>
      <c r="H5" s="3">
        <f>WIOD.ThreeME_V3!H5 * Pond.Inputs!$B5/SUMPRODUCT(WIOD.ThreeME_V3!H$2:H$57,Pond.Inputs!$B$2:$B$57)</f>
        <v>0</v>
      </c>
      <c r="I5" s="3">
        <f>WIOD.ThreeME_V3!I5 * Pond.Inputs!$B5/SUMPRODUCT(WIOD.ThreeME_V3!I$2:I$57,Pond.Inputs!$B$2:$B$57)</f>
        <v>0</v>
      </c>
      <c r="J5" s="3">
        <f>WIOD.ThreeME_V3!J5 * Pond.Inputs!$B5/SUMPRODUCT(WIOD.ThreeME_V3!J$2:J$57,Pond.Inputs!$B$2:$B$57)</f>
        <v>0</v>
      </c>
      <c r="K5" s="3">
        <f>WIOD.ThreeME_V3!K5 * Pond.Inputs!$B5/SUMPRODUCT(WIOD.ThreeME_V3!K$2:K$57,Pond.Inputs!$B$2:$B$57)</f>
        <v>0</v>
      </c>
      <c r="L5" s="3">
        <f>WIOD.ThreeME_V3!L5 * Pond.Inputs!$B5/SUMPRODUCT(WIOD.ThreeME_V3!L$2:L$57,Pond.Inputs!$B$2:$B$57)</f>
        <v>0</v>
      </c>
      <c r="M5" s="3">
        <f>WIOD.ThreeME_V3!M5 * Pond.Inputs!$B5/SUMPRODUCT(WIOD.ThreeME_V3!M$2:M$57,Pond.Inputs!$B$2:$B$57)</f>
        <v>0</v>
      </c>
      <c r="N5" s="3">
        <f>WIOD.ThreeME_V3!N5 * Pond.Inputs!$B5/SUMPRODUCT(WIOD.ThreeME_V3!N$2:N$57,Pond.Inputs!$B$2:$B$57)</f>
        <v>0</v>
      </c>
      <c r="O5" s="3">
        <f>WIOD.ThreeME_V3!O5 * Pond.Inputs!$B5/SUMPRODUCT(WIOD.ThreeME_V3!O$2:O$57,Pond.Inputs!$B$2:$B$57)</f>
        <v>0</v>
      </c>
      <c r="P5" s="3">
        <f>WIOD.ThreeME_V3!P5 * Pond.Inputs!$B5/SUMPRODUCT(WIOD.ThreeME_V3!P$2:P$57,Pond.Inputs!$B$2:$B$57)</f>
        <v>0</v>
      </c>
      <c r="Q5" s="3">
        <f>WIOD.ThreeME_V3!Q5 * Pond.Inputs!$B5/SUMPRODUCT(WIOD.ThreeME_V3!Q$2:Q$57,Pond.Inputs!$B$2:$B$57)</f>
        <v>0</v>
      </c>
      <c r="R5" s="3">
        <f>WIOD.ThreeME_V3!R5 * Pond.Inputs!$B5/SUMPRODUCT(WIOD.ThreeME_V3!R$2:R$57,Pond.Inputs!$B$2:$B$57)</f>
        <v>0</v>
      </c>
      <c r="S5" s="3">
        <f>WIOD.ThreeME_V3!S5 * Pond.Inputs!$B5/SUMPRODUCT(WIOD.ThreeME_V3!S$2:S$57,Pond.Inputs!$B$2:$B$57)</f>
        <v>0</v>
      </c>
      <c r="T5" s="3">
        <f>WIOD.ThreeME_V3!T5 * Pond.Inputs!$B5/SUMPRODUCT(WIOD.ThreeME_V3!T$2:T$57,Pond.Inputs!$B$2:$B$57)</f>
        <v>1</v>
      </c>
      <c r="U5" s="3">
        <f>WIOD.ThreeME_V3!U5 * Pond.Inputs!$B5/SUMPRODUCT(WIOD.ThreeME_V3!U$2:U$57,Pond.Inputs!$B$2:$B$57)</f>
        <v>0</v>
      </c>
      <c r="V5" s="3">
        <f>WIOD.ThreeME_V3!V5 * Pond.Inputs!$B5/SUMPRODUCT(WIOD.ThreeME_V3!V$2:V$57,Pond.Inputs!$B$2:$B$57)</f>
        <v>0</v>
      </c>
      <c r="W5" s="3">
        <f>WIOD.ThreeME_V3!W5 * Pond.Inputs!$B5/SUMPRODUCT(WIOD.ThreeME_V3!W$2:W$57,Pond.Inputs!$B$2:$B$57)</f>
        <v>0</v>
      </c>
      <c r="X5" s="3">
        <f>WIOD.ThreeME_V3!X5 * Pond.Inputs!$B5/SUMPRODUCT(WIOD.ThreeME_V3!X$2:X$57,Pond.Inputs!$B$2:$B$57)</f>
        <v>0</v>
      </c>
      <c r="Y5" s="3">
        <f>WIOD.ThreeME_V3!Y5 * Pond.Inputs!$B5/SUMPRODUCT(WIOD.ThreeME_V3!Y$2:Y$57,Pond.Inputs!$B$2:$B$57)</f>
        <v>0</v>
      </c>
      <c r="Z5" s="3">
        <f>WIOD.ThreeME_V3!Z5 * Pond.Inputs!$B5/SUMPRODUCT(WIOD.ThreeME_V3!Z$2:Z$57,Pond.Inputs!$B$2:$B$57)</f>
        <v>0</v>
      </c>
      <c r="AA5" s="3">
        <f>WIOD.ThreeME_V3!AA5 * Pond.Inputs!$B5/SUMPRODUCT(WIOD.ThreeME_V3!AA$2:AA$57,Pond.Inputs!$B$2:$B$57)</f>
        <v>0</v>
      </c>
      <c r="AB5" s="3">
        <f>WIOD.ThreeME_V3!AB5 * Pond.Inputs!$B5/SUMPRODUCT(WIOD.ThreeME_V3!AB$2:AB$57,Pond.Inputs!$B$2:$B$57)</f>
        <v>0</v>
      </c>
      <c r="AC5" s="3">
        <f>WIOD.ThreeME_V3!AC5 * Pond.Inputs!$B5/SUMPRODUCT(WIOD.ThreeME_V3!AC$2:AC$57,Pond.Inputs!$B$2:$B$57)</f>
        <v>0</v>
      </c>
      <c r="AD5" s="3">
        <f>WIOD.ThreeME_V3!AD5 * Pond.Inputs!$B5/SUMPRODUCT(WIOD.ThreeME_V3!AD$2:AD$57,Pond.Inputs!$B$2:$B$57)</f>
        <v>0</v>
      </c>
      <c r="AE5" s="3">
        <f>WIOD.ThreeME_V3!AE5 * Pond.Inputs!$B5/SUMPRODUCT(WIOD.ThreeME_V3!AE$2:AE$57,Pond.Inputs!$B$2:$B$57)</f>
        <v>0</v>
      </c>
      <c r="AF5" s="3">
        <f>WIOD.ThreeME_V3!AF5 * Pond.Inputs!$B5/SUMPRODUCT(WIOD.ThreeME_V3!AF$2:AF$57,Pond.Inputs!$B$2:$B$57)</f>
        <v>0</v>
      </c>
      <c r="AG5" s="3">
        <f>WIOD.ThreeME_V3!AG5 * Pond.Inputs!$B5/SUMPRODUCT(WIOD.ThreeME_V3!AG$2:AG$57,Pond.Inputs!$B$2:$B$57)</f>
        <v>0</v>
      </c>
    </row>
    <row r="6" spans="1:33" x14ac:dyDescent="0.2">
      <c r="A6" s="1" t="s">
        <v>19</v>
      </c>
      <c r="B6" s="3">
        <f>WIOD.ThreeME_V3!B6 * Pond.Inputs!$B6/SUMPRODUCT(WIOD.ThreeME_V3!B$2:B$57,Pond.Inputs!$B$2:$B$57)</f>
        <v>0</v>
      </c>
      <c r="C6" s="3">
        <f>WIOD.ThreeME_V3!C6 * Pond.Inputs!$B6/SUMPRODUCT(WIOD.ThreeME_V3!C$2:C$57,Pond.Inputs!$B$2:$B$57)</f>
        <v>0</v>
      </c>
      <c r="D6" s="3">
        <f>WIOD.ThreeME_V3!D6 * Pond.Inputs!$B6/SUMPRODUCT(WIOD.ThreeME_V3!D$2:D$57,Pond.Inputs!$B$2:$B$57)</f>
        <v>1</v>
      </c>
      <c r="E6" s="3">
        <f>WIOD.ThreeME_V3!E6 * Pond.Inputs!$B6/SUMPRODUCT(WIOD.ThreeME_V3!E$2:E$57,Pond.Inputs!$B$2:$B$57)</f>
        <v>0</v>
      </c>
      <c r="F6" s="3">
        <f>WIOD.ThreeME_V3!F6 * Pond.Inputs!$B6/SUMPRODUCT(WIOD.ThreeME_V3!F$2:F$57,Pond.Inputs!$B$2:$B$57)</f>
        <v>0</v>
      </c>
      <c r="G6" s="3">
        <f>WIOD.ThreeME_V3!G6 * Pond.Inputs!$B6/SUMPRODUCT(WIOD.ThreeME_V3!G$2:G$57,Pond.Inputs!$B$2:$B$57)</f>
        <v>0</v>
      </c>
      <c r="H6" s="3">
        <f>WIOD.ThreeME_V3!H6 * Pond.Inputs!$B6/SUMPRODUCT(WIOD.ThreeME_V3!H$2:H$57,Pond.Inputs!$B$2:$B$57)</f>
        <v>0</v>
      </c>
      <c r="I6" s="3">
        <f>WIOD.ThreeME_V3!I6 * Pond.Inputs!$B6/SUMPRODUCT(WIOD.ThreeME_V3!I$2:I$57,Pond.Inputs!$B$2:$B$57)</f>
        <v>0</v>
      </c>
      <c r="J6" s="3">
        <f>WIOD.ThreeME_V3!J6 * Pond.Inputs!$B6/SUMPRODUCT(WIOD.ThreeME_V3!J$2:J$57,Pond.Inputs!$B$2:$B$57)</f>
        <v>0</v>
      </c>
      <c r="K6" s="3">
        <f>WIOD.ThreeME_V3!K6 * Pond.Inputs!$B6/SUMPRODUCT(WIOD.ThreeME_V3!K$2:K$57,Pond.Inputs!$B$2:$B$57)</f>
        <v>0.52218879151353603</v>
      </c>
      <c r="L6" s="3">
        <f>WIOD.ThreeME_V3!L6 * Pond.Inputs!$B6/SUMPRODUCT(WIOD.ThreeME_V3!L$2:L$57,Pond.Inputs!$B$2:$B$57)</f>
        <v>0</v>
      </c>
      <c r="M6" s="3">
        <f>WIOD.ThreeME_V3!M6 * Pond.Inputs!$B6/SUMPRODUCT(WIOD.ThreeME_V3!M$2:M$57,Pond.Inputs!$B$2:$B$57)</f>
        <v>0</v>
      </c>
      <c r="N6" s="3">
        <f>WIOD.ThreeME_V3!N6 * Pond.Inputs!$B6/SUMPRODUCT(WIOD.ThreeME_V3!N$2:N$57,Pond.Inputs!$B$2:$B$57)</f>
        <v>0</v>
      </c>
      <c r="O6" s="3">
        <f>WIOD.ThreeME_V3!O6 * Pond.Inputs!$B6/SUMPRODUCT(WIOD.ThreeME_V3!O$2:O$57,Pond.Inputs!$B$2:$B$57)</f>
        <v>0</v>
      </c>
      <c r="P6" s="3">
        <f>WIOD.ThreeME_V3!P6 * Pond.Inputs!$B6/SUMPRODUCT(WIOD.ThreeME_V3!P$2:P$57,Pond.Inputs!$B$2:$B$57)</f>
        <v>0</v>
      </c>
      <c r="Q6" s="3">
        <f>WIOD.ThreeME_V3!Q6 * Pond.Inputs!$B6/SUMPRODUCT(WIOD.ThreeME_V3!Q$2:Q$57,Pond.Inputs!$B$2:$B$57)</f>
        <v>0</v>
      </c>
      <c r="R6" s="3">
        <f>WIOD.ThreeME_V3!R6 * Pond.Inputs!$B6/SUMPRODUCT(WIOD.ThreeME_V3!R$2:R$57,Pond.Inputs!$B$2:$B$57)</f>
        <v>0</v>
      </c>
      <c r="S6" s="3">
        <f>WIOD.ThreeME_V3!S6 * Pond.Inputs!$B6/SUMPRODUCT(WIOD.ThreeME_V3!S$2:S$57,Pond.Inputs!$B$2:$B$57)</f>
        <v>0</v>
      </c>
      <c r="T6" s="3">
        <f>WIOD.ThreeME_V3!T6 * Pond.Inputs!$B6/SUMPRODUCT(WIOD.ThreeME_V3!T$2:T$57,Pond.Inputs!$B$2:$B$57)</f>
        <v>0</v>
      </c>
      <c r="U6" s="3">
        <f>WIOD.ThreeME_V3!U6 * Pond.Inputs!$B6/SUMPRODUCT(WIOD.ThreeME_V3!U$2:U$57,Pond.Inputs!$B$2:$B$57)</f>
        <v>0</v>
      </c>
      <c r="V6" s="3">
        <f>WIOD.ThreeME_V3!V6 * Pond.Inputs!$B6/SUMPRODUCT(WIOD.ThreeME_V3!V$2:V$57,Pond.Inputs!$B$2:$B$57)</f>
        <v>0</v>
      </c>
      <c r="W6" s="3">
        <f>WIOD.ThreeME_V3!W6 * Pond.Inputs!$B6/SUMPRODUCT(WIOD.ThreeME_V3!W$2:W$57,Pond.Inputs!$B$2:$B$57)</f>
        <v>0</v>
      </c>
      <c r="X6" s="3">
        <f>WIOD.ThreeME_V3!X6 * Pond.Inputs!$B6/SUMPRODUCT(WIOD.ThreeME_V3!X$2:X$57,Pond.Inputs!$B$2:$B$57)</f>
        <v>0</v>
      </c>
      <c r="Y6" s="3">
        <f>WIOD.ThreeME_V3!Y6 * Pond.Inputs!$B6/SUMPRODUCT(WIOD.ThreeME_V3!Y$2:Y$57,Pond.Inputs!$B$2:$B$57)</f>
        <v>0</v>
      </c>
      <c r="Z6" s="3">
        <f>WIOD.ThreeME_V3!Z6 * Pond.Inputs!$B6/SUMPRODUCT(WIOD.ThreeME_V3!Z$2:Z$57,Pond.Inputs!$B$2:$B$57)</f>
        <v>0</v>
      </c>
      <c r="AA6" s="3">
        <f>WIOD.ThreeME_V3!AA6 * Pond.Inputs!$B6/SUMPRODUCT(WIOD.ThreeME_V3!AA$2:AA$57,Pond.Inputs!$B$2:$B$57)</f>
        <v>0</v>
      </c>
      <c r="AB6" s="3">
        <f>WIOD.ThreeME_V3!AB6 * Pond.Inputs!$B6/SUMPRODUCT(WIOD.ThreeME_V3!AB$2:AB$57,Pond.Inputs!$B$2:$B$57)</f>
        <v>0</v>
      </c>
      <c r="AC6" s="3">
        <f>WIOD.ThreeME_V3!AC6 * Pond.Inputs!$B6/SUMPRODUCT(WIOD.ThreeME_V3!AC$2:AC$57,Pond.Inputs!$B$2:$B$57)</f>
        <v>0</v>
      </c>
      <c r="AD6" s="3">
        <f>WIOD.ThreeME_V3!AD6 * Pond.Inputs!$B6/SUMPRODUCT(WIOD.ThreeME_V3!AD$2:AD$57,Pond.Inputs!$B$2:$B$57)</f>
        <v>0</v>
      </c>
      <c r="AE6" s="3">
        <f>WIOD.ThreeME_V3!AE6 * Pond.Inputs!$B6/SUMPRODUCT(WIOD.ThreeME_V3!AE$2:AE$57,Pond.Inputs!$B$2:$B$57)</f>
        <v>0</v>
      </c>
      <c r="AF6" s="3">
        <f>WIOD.ThreeME_V3!AF6 * Pond.Inputs!$B6/SUMPRODUCT(WIOD.ThreeME_V3!AF$2:AF$57,Pond.Inputs!$B$2:$B$57)</f>
        <v>0</v>
      </c>
      <c r="AG6" s="3">
        <f>WIOD.ThreeME_V3!AG6 * Pond.Inputs!$B6/SUMPRODUCT(WIOD.ThreeME_V3!AG$2:AG$57,Pond.Inputs!$B$2:$B$57)</f>
        <v>0</v>
      </c>
    </row>
    <row r="7" spans="1:33" x14ac:dyDescent="0.2">
      <c r="A7" s="1" t="s">
        <v>20</v>
      </c>
      <c r="B7" s="3">
        <f>WIOD.ThreeME_V3!B7 * Pond.Inputs!$B7/SUMPRODUCT(WIOD.ThreeME_V3!B$2:B$57,Pond.Inputs!$B$2:$B$57)</f>
        <v>0</v>
      </c>
      <c r="C7" s="3">
        <f>WIOD.ThreeME_V3!C7 * Pond.Inputs!$B7/SUMPRODUCT(WIOD.ThreeME_V3!C$2:C$57,Pond.Inputs!$B$2:$B$57)</f>
        <v>0</v>
      </c>
      <c r="D7" s="3">
        <f>WIOD.ThreeME_V3!D7 * Pond.Inputs!$B7/SUMPRODUCT(WIOD.ThreeME_V3!D$2:D$57,Pond.Inputs!$B$2:$B$57)</f>
        <v>0</v>
      </c>
      <c r="E7" s="3">
        <f>WIOD.ThreeME_V3!E7 * Pond.Inputs!$B7/SUMPRODUCT(WIOD.ThreeME_V3!E$2:E$57,Pond.Inputs!$B$2:$B$57)</f>
        <v>0</v>
      </c>
      <c r="F7" s="3">
        <f>WIOD.ThreeME_V3!F7 * Pond.Inputs!$B7/SUMPRODUCT(WIOD.ThreeME_V3!F$2:F$57,Pond.Inputs!$B$2:$B$57)</f>
        <v>0</v>
      </c>
      <c r="G7" s="3">
        <f>WIOD.ThreeME_V3!G7 * Pond.Inputs!$B7/SUMPRODUCT(WIOD.ThreeME_V3!G$2:G$57,Pond.Inputs!$B$2:$B$57)</f>
        <v>0</v>
      </c>
      <c r="H7" s="3">
        <f>WIOD.ThreeME_V3!H7 * Pond.Inputs!$B7/SUMPRODUCT(WIOD.ThreeME_V3!H$2:H$57,Pond.Inputs!$B$2:$B$57)</f>
        <v>0</v>
      </c>
      <c r="I7" s="3">
        <f>WIOD.ThreeME_V3!I7 * Pond.Inputs!$B7/SUMPRODUCT(WIOD.ThreeME_V3!I$2:I$57,Pond.Inputs!$B$2:$B$57)</f>
        <v>0</v>
      </c>
      <c r="J7" s="3">
        <f>WIOD.ThreeME_V3!J7 * Pond.Inputs!$B7/SUMPRODUCT(WIOD.ThreeME_V3!J$2:J$57,Pond.Inputs!$B$2:$B$57)</f>
        <v>0</v>
      </c>
      <c r="K7" s="3">
        <f>WIOD.ThreeME_V3!K7 * Pond.Inputs!$B7/SUMPRODUCT(WIOD.ThreeME_V3!K$2:K$57,Pond.Inputs!$B$2:$B$57)</f>
        <v>0</v>
      </c>
      <c r="L7" s="3">
        <f>WIOD.ThreeME_V3!L7 * Pond.Inputs!$B7/SUMPRODUCT(WIOD.ThreeME_V3!L$2:L$57,Pond.Inputs!$B$2:$B$57)</f>
        <v>0</v>
      </c>
      <c r="M7" s="3">
        <f>WIOD.ThreeME_V3!M7 * Pond.Inputs!$B7/SUMPRODUCT(WIOD.ThreeME_V3!M$2:M$57,Pond.Inputs!$B$2:$B$57)</f>
        <v>0</v>
      </c>
      <c r="N7" s="3">
        <f>WIOD.ThreeME_V3!N7 * Pond.Inputs!$B7/SUMPRODUCT(WIOD.ThreeME_V3!N$2:N$57,Pond.Inputs!$B$2:$B$57)</f>
        <v>0</v>
      </c>
      <c r="O7" s="3">
        <f>WIOD.ThreeME_V3!O7 * Pond.Inputs!$B7/SUMPRODUCT(WIOD.ThreeME_V3!O$2:O$57,Pond.Inputs!$B$2:$B$57)</f>
        <v>0</v>
      </c>
      <c r="P7" s="3">
        <f>WIOD.ThreeME_V3!P7 * Pond.Inputs!$B7/SUMPRODUCT(WIOD.ThreeME_V3!P$2:P$57,Pond.Inputs!$B$2:$B$57)</f>
        <v>0</v>
      </c>
      <c r="Q7" s="3">
        <f>WIOD.ThreeME_V3!Q7 * Pond.Inputs!$B7/SUMPRODUCT(WIOD.ThreeME_V3!Q$2:Q$57,Pond.Inputs!$B$2:$B$57)</f>
        <v>0</v>
      </c>
      <c r="R7" s="3">
        <f>WIOD.ThreeME_V3!R7 * Pond.Inputs!$B7/SUMPRODUCT(WIOD.ThreeME_V3!R$2:R$57,Pond.Inputs!$B$2:$B$57)</f>
        <v>0</v>
      </c>
      <c r="S7" s="3">
        <f>WIOD.ThreeME_V3!S7 * Pond.Inputs!$B7/SUMPRODUCT(WIOD.ThreeME_V3!S$2:S$57,Pond.Inputs!$B$2:$B$57)</f>
        <v>0</v>
      </c>
      <c r="T7" s="3">
        <f>WIOD.ThreeME_V3!T7 * Pond.Inputs!$B7/SUMPRODUCT(WIOD.ThreeME_V3!T$2:T$57,Pond.Inputs!$B$2:$B$57)</f>
        <v>0</v>
      </c>
      <c r="U7" s="3">
        <f>WIOD.ThreeME_V3!U7 * Pond.Inputs!$B7/SUMPRODUCT(WIOD.ThreeME_V3!U$2:U$57,Pond.Inputs!$B$2:$B$57)</f>
        <v>0</v>
      </c>
      <c r="V7" s="3">
        <f>WIOD.ThreeME_V3!V7 * Pond.Inputs!$B7/SUMPRODUCT(WIOD.ThreeME_V3!V$2:V$57,Pond.Inputs!$B$2:$B$57)</f>
        <v>0</v>
      </c>
      <c r="W7" s="3">
        <f>WIOD.ThreeME_V3!W7 * Pond.Inputs!$B7/SUMPRODUCT(WIOD.ThreeME_V3!W$2:W$57,Pond.Inputs!$B$2:$B$57)</f>
        <v>0</v>
      </c>
      <c r="X7" s="3">
        <f>WIOD.ThreeME_V3!X7 * Pond.Inputs!$B7/SUMPRODUCT(WIOD.ThreeME_V3!X$2:X$57,Pond.Inputs!$B$2:$B$57)</f>
        <v>0</v>
      </c>
      <c r="Y7" s="3">
        <f>WIOD.ThreeME_V3!Y7 * Pond.Inputs!$B7/SUMPRODUCT(WIOD.ThreeME_V3!Y$2:Y$57,Pond.Inputs!$B$2:$B$57)</f>
        <v>0</v>
      </c>
      <c r="Z7" s="3">
        <f>WIOD.ThreeME_V3!Z7 * Pond.Inputs!$B7/SUMPRODUCT(WIOD.ThreeME_V3!Z$2:Z$57,Pond.Inputs!$B$2:$B$57)</f>
        <v>0</v>
      </c>
      <c r="AA7" s="3">
        <f>WIOD.ThreeME_V3!AA7 * Pond.Inputs!$B7/SUMPRODUCT(WIOD.ThreeME_V3!AA$2:AA$57,Pond.Inputs!$B$2:$B$57)</f>
        <v>0</v>
      </c>
      <c r="AB7" s="3">
        <f>WIOD.ThreeME_V3!AB7 * Pond.Inputs!$B7/SUMPRODUCT(WIOD.ThreeME_V3!AB$2:AB$57,Pond.Inputs!$B$2:$B$57)</f>
        <v>0</v>
      </c>
      <c r="AC7" s="3">
        <f>WIOD.ThreeME_V3!AC7 * Pond.Inputs!$B7/SUMPRODUCT(WIOD.ThreeME_V3!AC$2:AC$57,Pond.Inputs!$B$2:$B$57)</f>
        <v>0</v>
      </c>
      <c r="AD7" s="3">
        <f>WIOD.ThreeME_V3!AD7 * Pond.Inputs!$B7/SUMPRODUCT(WIOD.ThreeME_V3!AD$2:AD$57,Pond.Inputs!$B$2:$B$57)</f>
        <v>0</v>
      </c>
      <c r="AE7" s="3">
        <f>WIOD.ThreeME_V3!AE7 * Pond.Inputs!$B7/SUMPRODUCT(WIOD.ThreeME_V3!AE$2:AE$57,Pond.Inputs!$B$2:$B$57)</f>
        <v>0</v>
      </c>
      <c r="AF7" s="3">
        <f>WIOD.ThreeME_V3!AF7 * Pond.Inputs!$B7/SUMPRODUCT(WIOD.ThreeME_V3!AF$2:AF$57,Pond.Inputs!$B$2:$B$57)</f>
        <v>0</v>
      </c>
      <c r="AG7" s="3">
        <f>WIOD.ThreeME_V3!AG7 * Pond.Inputs!$B7/SUMPRODUCT(WIOD.ThreeME_V3!AG$2:AG$57,Pond.Inputs!$B$2:$B$57)</f>
        <v>0</v>
      </c>
    </row>
    <row r="8" spans="1:33" x14ac:dyDescent="0.2">
      <c r="A8" s="1" t="s">
        <v>21</v>
      </c>
      <c r="B8" s="3">
        <f>WIOD.ThreeME_V3!B8 * Pond.Inputs!$B8/SUMPRODUCT(WIOD.ThreeME_V3!B$2:B$57,Pond.Inputs!$B$2:$B$57)</f>
        <v>0</v>
      </c>
      <c r="C8" s="3">
        <f>WIOD.ThreeME_V3!C8 * Pond.Inputs!$B8/SUMPRODUCT(WIOD.ThreeME_V3!C$2:C$57,Pond.Inputs!$B$2:$B$57)</f>
        <v>0</v>
      </c>
      <c r="D8" s="3">
        <f>WIOD.ThreeME_V3!D8 * Pond.Inputs!$B8/SUMPRODUCT(WIOD.ThreeME_V3!D$2:D$57,Pond.Inputs!$B$2:$B$57)</f>
        <v>0</v>
      </c>
      <c r="E8" s="3">
        <f>WIOD.ThreeME_V3!E8 * Pond.Inputs!$B8/SUMPRODUCT(WIOD.ThreeME_V3!E$2:E$57,Pond.Inputs!$B$2:$B$57)</f>
        <v>0</v>
      </c>
      <c r="F8" s="3">
        <f>WIOD.ThreeME_V3!F8 * Pond.Inputs!$B8/SUMPRODUCT(WIOD.ThreeME_V3!F$2:F$57,Pond.Inputs!$B$2:$B$57)</f>
        <v>0</v>
      </c>
      <c r="G8" s="3">
        <f>WIOD.ThreeME_V3!G8 * Pond.Inputs!$B8/SUMPRODUCT(WIOD.ThreeME_V3!G$2:G$57,Pond.Inputs!$B$2:$B$57)</f>
        <v>0</v>
      </c>
      <c r="H8" s="3">
        <f>WIOD.ThreeME_V3!H8 * Pond.Inputs!$B8/SUMPRODUCT(WIOD.ThreeME_V3!H$2:H$57,Pond.Inputs!$B$2:$B$57)</f>
        <v>0</v>
      </c>
      <c r="I8" s="3">
        <f>WIOD.ThreeME_V3!I8 * Pond.Inputs!$B8/SUMPRODUCT(WIOD.ThreeME_V3!I$2:I$57,Pond.Inputs!$B$2:$B$57)</f>
        <v>0</v>
      </c>
      <c r="J8" s="3">
        <f>WIOD.ThreeME_V3!J8 * Pond.Inputs!$B8/SUMPRODUCT(WIOD.ThreeME_V3!J$2:J$57,Pond.Inputs!$B$2:$B$57)</f>
        <v>0</v>
      </c>
      <c r="K8" s="3">
        <f>WIOD.ThreeME_V3!K8 * Pond.Inputs!$B8/SUMPRODUCT(WIOD.ThreeME_V3!K$2:K$57,Pond.Inputs!$B$2:$B$57)</f>
        <v>3.4765693361872838E-2</v>
      </c>
      <c r="L8" s="3">
        <f>WIOD.ThreeME_V3!L8 * Pond.Inputs!$B8/SUMPRODUCT(WIOD.ThreeME_V3!L$2:L$57,Pond.Inputs!$B$2:$B$57)</f>
        <v>0</v>
      </c>
      <c r="M8" s="3">
        <f>WIOD.ThreeME_V3!M8 * Pond.Inputs!$B8/SUMPRODUCT(WIOD.ThreeME_V3!M$2:M$57,Pond.Inputs!$B$2:$B$57)</f>
        <v>0</v>
      </c>
      <c r="N8" s="3">
        <f>WIOD.ThreeME_V3!N8 * Pond.Inputs!$B8/SUMPRODUCT(WIOD.ThreeME_V3!N$2:N$57,Pond.Inputs!$B$2:$B$57)</f>
        <v>0</v>
      </c>
      <c r="O8" s="3">
        <f>WIOD.ThreeME_V3!O8 * Pond.Inputs!$B8/SUMPRODUCT(WIOD.ThreeME_V3!O$2:O$57,Pond.Inputs!$B$2:$B$57)</f>
        <v>0</v>
      </c>
      <c r="P8" s="3">
        <f>WIOD.ThreeME_V3!P8 * Pond.Inputs!$B8/SUMPRODUCT(WIOD.ThreeME_V3!P$2:P$57,Pond.Inputs!$B$2:$B$57)</f>
        <v>0</v>
      </c>
      <c r="Q8" s="3">
        <f>WIOD.ThreeME_V3!Q8 * Pond.Inputs!$B8/SUMPRODUCT(WIOD.ThreeME_V3!Q$2:Q$57,Pond.Inputs!$B$2:$B$57)</f>
        <v>0</v>
      </c>
      <c r="R8" s="3">
        <f>WIOD.ThreeME_V3!R8 * Pond.Inputs!$B8/SUMPRODUCT(WIOD.ThreeME_V3!R$2:R$57,Pond.Inputs!$B$2:$B$57)</f>
        <v>0</v>
      </c>
      <c r="S8" s="3">
        <f>WIOD.ThreeME_V3!S8 * Pond.Inputs!$B8/SUMPRODUCT(WIOD.ThreeME_V3!S$2:S$57,Pond.Inputs!$B$2:$B$57)</f>
        <v>0</v>
      </c>
      <c r="T8" s="3">
        <f>WIOD.ThreeME_V3!T8 * Pond.Inputs!$B8/SUMPRODUCT(WIOD.ThreeME_V3!T$2:T$57,Pond.Inputs!$B$2:$B$57)</f>
        <v>0</v>
      </c>
      <c r="U8" s="3">
        <f>WIOD.ThreeME_V3!U8 * Pond.Inputs!$B8/SUMPRODUCT(WIOD.ThreeME_V3!U$2:U$57,Pond.Inputs!$B$2:$B$57)</f>
        <v>0</v>
      </c>
      <c r="V8" s="3">
        <f>WIOD.ThreeME_V3!V8 * Pond.Inputs!$B8/SUMPRODUCT(WIOD.ThreeME_V3!V$2:V$57,Pond.Inputs!$B$2:$B$57)</f>
        <v>0</v>
      </c>
      <c r="W8" s="3">
        <f>WIOD.ThreeME_V3!W8 * Pond.Inputs!$B8/SUMPRODUCT(WIOD.ThreeME_V3!W$2:W$57,Pond.Inputs!$B$2:$B$57)</f>
        <v>0</v>
      </c>
      <c r="X8" s="3">
        <f>WIOD.ThreeME_V3!X8 * Pond.Inputs!$B8/SUMPRODUCT(WIOD.ThreeME_V3!X$2:X$57,Pond.Inputs!$B$2:$B$57)</f>
        <v>0</v>
      </c>
      <c r="Y8" s="3">
        <f>WIOD.ThreeME_V3!Y8 * Pond.Inputs!$B8/SUMPRODUCT(WIOD.ThreeME_V3!Y$2:Y$57,Pond.Inputs!$B$2:$B$57)</f>
        <v>0</v>
      </c>
      <c r="Z8" s="3">
        <f>WIOD.ThreeME_V3!Z8 * Pond.Inputs!$B8/SUMPRODUCT(WIOD.ThreeME_V3!Z$2:Z$57,Pond.Inputs!$B$2:$B$57)</f>
        <v>0</v>
      </c>
      <c r="AA8" s="3">
        <f>WIOD.ThreeME_V3!AA8 * Pond.Inputs!$B8/SUMPRODUCT(WIOD.ThreeME_V3!AA$2:AA$57,Pond.Inputs!$B$2:$B$57)</f>
        <v>0</v>
      </c>
      <c r="AB8" s="3">
        <f>WIOD.ThreeME_V3!AB8 * Pond.Inputs!$B8/SUMPRODUCT(WIOD.ThreeME_V3!AB$2:AB$57,Pond.Inputs!$B$2:$B$57)</f>
        <v>0</v>
      </c>
      <c r="AC8" s="3">
        <f>WIOD.ThreeME_V3!AC8 * Pond.Inputs!$B8/SUMPRODUCT(WIOD.ThreeME_V3!AC$2:AC$57,Pond.Inputs!$B$2:$B$57)</f>
        <v>0</v>
      </c>
      <c r="AD8" s="3">
        <f>WIOD.ThreeME_V3!AD8 * Pond.Inputs!$B8/SUMPRODUCT(WIOD.ThreeME_V3!AD$2:AD$57,Pond.Inputs!$B$2:$B$57)</f>
        <v>0</v>
      </c>
      <c r="AE8" s="3">
        <f>WIOD.ThreeME_V3!AE8 * Pond.Inputs!$B8/SUMPRODUCT(WIOD.ThreeME_V3!AE$2:AE$57,Pond.Inputs!$B$2:$B$57)</f>
        <v>0</v>
      </c>
      <c r="AF8" s="3">
        <f>WIOD.ThreeME_V3!AF8 * Pond.Inputs!$B8/SUMPRODUCT(WIOD.ThreeME_V3!AF$2:AF$57,Pond.Inputs!$B$2:$B$57)</f>
        <v>0</v>
      </c>
      <c r="AG8" s="3">
        <f>WIOD.ThreeME_V3!AG8 * Pond.Inputs!$B8/SUMPRODUCT(WIOD.ThreeME_V3!AG$2:AG$57,Pond.Inputs!$B$2:$B$57)</f>
        <v>0</v>
      </c>
    </row>
    <row r="9" spans="1:33" x14ac:dyDescent="0.2">
      <c r="A9" s="1" t="s">
        <v>22</v>
      </c>
      <c r="B9" s="3">
        <f>WIOD.ThreeME_V3!B9 * Pond.Inputs!$B9/SUMPRODUCT(WIOD.ThreeME_V3!B$2:B$57,Pond.Inputs!$B$2:$B$57)</f>
        <v>0</v>
      </c>
      <c r="C9" s="3">
        <f>WIOD.ThreeME_V3!C9 * Pond.Inputs!$B9/SUMPRODUCT(WIOD.ThreeME_V3!C$2:C$57,Pond.Inputs!$B$2:$B$57)</f>
        <v>0</v>
      </c>
      <c r="D9" s="3">
        <f>WIOD.ThreeME_V3!D9 * Pond.Inputs!$B9/SUMPRODUCT(WIOD.ThreeME_V3!D$2:D$57,Pond.Inputs!$B$2:$B$57)</f>
        <v>0</v>
      </c>
      <c r="E9" s="3">
        <f>WIOD.ThreeME_V3!E9 * Pond.Inputs!$B9/SUMPRODUCT(WIOD.ThreeME_V3!E$2:E$57,Pond.Inputs!$B$2:$B$57)</f>
        <v>0</v>
      </c>
      <c r="F9" s="3">
        <f>WIOD.ThreeME_V3!F9 * Pond.Inputs!$B9/SUMPRODUCT(WIOD.ThreeME_V3!F$2:F$57,Pond.Inputs!$B$2:$B$57)</f>
        <v>0</v>
      </c>
      <c r="G9" s="3">
        <f>WIOD.ThreeME_V3!G9 * Pond.Inputs!$B9/SUMPRODUCT(WIOD.ThreeME_V3!G$2:G$57,Pond.Inputs!$B$2:$B$57)</f>
        <v>0.63129009816804516</v>
      </c>
      <c r="H9" s="3">
        <f>WIOD.ThreeME_V3!H9 * Pond.Inputs!$B9/SUMPRODUCT(WIOD.ThreeME_V3!H$2:H$57,Pond.Inputs!$B$2:$B$57)</f>
        <v>0</v>
      </c>
      <c r="I9" s="3">
        <f>WIOD.ThreeME_V3!I9 * Pond.Inputs!$B9/SUMPRODUCT(WIOD.ThreeME_V3!I$2:I$57,Pond.Inputs!$B$2:$B$57)</f>
        <v>0</v>
      </c>
      <c r="J9" s="3">
        <f>WIOD.ThreeME_V3!J9 * Pond.Inputs!$B9/SUMPRODUCT(WIOD.ThreeME_V3!J$2:J$57,Pond.Inputs!$B$2:$B$57)</f>
        <v>0</v>
      </c>
      <c r="K9" s="3">
        <f>WIOD.ThreeME_V3!K9 * Pond.Inputs!$B9/SUMPRODUCT(WIOD.ThreeME_V3!K$2:K$57,Pond.Inputs!$B$2:$B$57)</f>
        <v>0</v>
      </c>
      <c r="L9" s="3">
        <f>WIOD.ThreeME_V3!L9 * Pond.Inputs!$B9/SUMPRODUCT(WIOD.ThreeME_V3!L$2:L$57,Pond.Inputs!$B$2:$B$57)</f>
        <v>0</v>
      </c>
      <c r="M9" s="3">
        <f>WIOD.ThreeME_V3!M9 * Pond.Inputs!$B9/SUMPRODUCT(WIOD.ThreeME_V3!M$2:M$57,Pond.Inputs!$B$2:$B$57)</f>
        <v>0</v>
      </c>
      <c r="N9" s="3">
        <f>WIOD.ThreeME_V3!N9 * Pond.Inputs!$B9/SUMPRODUCT(WIOD.ThreeME_V3!N$2:N$57,Pond.Inputs!$B$2:$B$57)</f>
        <v>0</v>
      </c>
      <c r="O9" s="3">
        <f>WIOD.ThreeME_V3!O9 * Pond.Inputs!$B9/SUMPRODUCT(WIOD.ThreeME_V3!O$2:O$57,Pond.Inputs!$B$2:$B$57)</f>
        <v>0</v>
      </c>
      <c r="P9" s="3">
        <f>WIOD.ThreeME_V3!P9 * Pond.Inputs!$B9/SUMPRODUCT(WIOD.ThreeME_V3!P$2:P$57,Pond.Inputs!$B$2:$B$57)</f>
        <v>0</v>
      </c>
      <c r="Q9" s="3">
        <f>WIOD.ThreeME_V3!Q9 * Pond.Inputs!$B9/SUMPRODUCT(WIOD.ThreeME_V3!Q$2:Q$57,Pond.Inputs!$B$2:$B$57)</f>
        <v>0</v>
      </c>
      <c r="R9" s="3">
        <f>WIOD.ThreeME_V3!R9 * Pond.Inputs!$B9/SUMPRODUCT(WIOD.ThreeME_V3!R$2:R$57,Pond.Inputs!$B$2:$B$57)</f>
        <v>0</v>
      </c>
      <c r="S9" s="3">
        <f>WIOD.ThreeME_V3!S9 * Pond.Inputs!$B9/SUMPRODUCT(WIOD.ThreeME_V3!S$2:S$57,Pond.Inputs!$B$2:$B$57)</f>
        <v>0</v>
      </c>
      <c r="T9" s="3">
        <f>WIOD.ThreeME_V3!T9 * Pond.Inputs!$B9/SUMPRODUCT(WIOD.ThreeME_V3!T$2:T$57,Pond.Inputs!$B$2:$B$57)</f>
        <v>0</v>
      </c>
      <c r="U9" s="3">
        <f>WIOD.ThreeME_V3!U9 * Pond.Inputs!$B9/SUMPRODUCT(WIOD.ThreeME_V3!U$2:U$57,Pond.Inputs!$B$2:$B$57)</f>
        <v>0</v>
      </c>
      <c r="V9" s="3">
        <f>WIOD.ThreeME_V3!V9 * Pond.Inputs!$B9/SUMPRODUCT(WIOD.ThreeME_V3!V$2:V$57,Pond.Inputs!$B$2:$B$57)</f>
        <v>0</v>
      </c>
      <c r="W9" s="3">
        <f>WIOD.ThreeME_V3!W9 * Pond.Inputs!$B9/SUMPRODUCT(WIOD.ThreeME_V3!W$2:W$57,Pond.Inputs!$B$2:$B$57)</f>
        <v>0</v>
      </c>
      <c r="X9" s="3">
        <f>WIOD.ThreeME_V3!X9 * Pond.Inputs!$B9/SUMPRODUCT(WIOD.ThreeME_V3!X$2:X$57,Pond.Inputs!$B$2:$B$57)</f>
        <v>0</v>
      </c>
      <c r="Y9" s="3">
        <f>WIOD.ThreeME_V3!Y9 * Pond.Inputs!$B9/SUMPRODUCT(WIOD.ThreeME_V3!Y$2:Y$57,Pond.Inputs!$B$2:$B$57)</f>
        <v>0</v>
      </c>
      <c r="Z9" s="3">
        <f>WIOD.ThreeME_V3!Z9 * Pond.Inputs!$B9/SUMPRODUCT(WIOD.ThreeME_V3!Z$2:Z$57,Pond.Inputs!$B$2:$B$57)</f>
        <v>0</v>
      </c>
      <c r="AA9" s="3">
        <f>WIOD.ThreeME_V3!AA9 * Pond.Inputs!$B9/SUMPRODUCT(WIOD.ThreeME_V3!AA$2:AA$57,Pond.Inputs!$B$2:$B$57)</f>
        <v>0</v>
      </c>
      <c r="AB9" s="3">
        <f>WIOD.ThreeME_V3!AB9 * Pond.Inputs!$B9/SUMPRODUCT(WIOD.ThreeME_V3!AB$2:AB$57,Pond.Inputs!$B$2:$B$57)</f>
        <v>0</v>
      </c>
      <c r="AC9" s="3">
        <f>WIOD.ThreeME_V3!AC9 * Pond.Inputs!$B9/SUMPRODUCT(WIOD.ThreeME_V3!AC$2:AC$57,Pond.Inputs!$B$2:$B$57)</f>
        <v>0</v>
      </c>
      <c r="AD9" s="3">
        <f>WIOD.ThreeME_V3!AD9 * Pond.Inputs!$B9/SUMPRODUCT(WIOD.ThreeME_V3!AD$2:AD$57,Pond.Inputs!$B$2:$B$57)</f>
        <v>0</v>
      </c>
      <c r="AE9" s="3">
        <f>WIOD.ThreeME_V3!AE9 * Pond.Inputs!$B9/SUMPRODUCT(WIOD.ThreeME_V3!AE$2:AE$57,Pond.Inputs!$B$2:$B$57)</f>
        <v>0</v>
      </c>
      <c r="AF9" s="3">
        <f>WIOD.ThreeME_V3!AF9 * Pond.Inputs!$B9/SUMPRODUCT(WIOD.ThreeME_V3!AF$2:AF$57,Pond.Inputs!$B$2:$B$57)</f>
        <v>0</v>
      </c>
      <c r="AG9" s="3">
        <f>WIOD.ThreeME_V3!AG9 * Pond.Inputs!$B9/SUMPRODUCT(WIOD.ThreeME_V3!AG$2:AG$57,Pond.Inputs!$B$2:$B$57)</f>
        <v>0</v>
      </c>
    </row>
    <row r="10" spans="1:33" x14ac:dyDescent="0.2">
      <c r="A10" s="1" t="s">
        <v>23</v>
      </c>
      <c r="B10" s="3">
        <f>WIOD.ThreeME_V3!B10 * Pond.Inputs!$B10/SUMPRODUCT(WIOD.ThreeME_V3!B$2:B$57,Pond.Inputs!$B$2:$B$57)</f>
        <v>0</v>
      </c>
      <c r="C10" s="3">
        <f>WIOD.ThreeME_V3!C10 * Pond.Inputs!$B10/SUMPRODUCT(WIOD.ThreeME_V3!C$2:C$57,Pond.Inputs!$B$2:$B$57)</f>
        <v>0</v>
      </c>
      <c r="D10" s="3">
        <f>WIOD.ThreeME_V3!D10 * Pond.Inputs!$B10/SUMPRODUCT(WIOD.ThreeME_V3!D$2:D$57,Pond.Inputs!$B$2:$B$57)</f>
        <v>0</v>
      </c>
      <c r="E10" s="3">
        <f>WIOD.ThreeME_V3!E10 * Pond.Inputs!$B10/SUMPRODUCT(WIOD.ThreeME_V3!E$2:E$57,Pond.Inputs!$B$2:$B$57)</f>
        <v>0</v>
      </c>
      <c r="F10" s="3">
        <f>WIOD.ThreeME_V3!F10 * Pond.Inputs!$B10/SUMPRODUCT(WIOD.ThreeME_V3!F$2:F$57,Pond.Inputs!$B$2:$B$57)</f>
        <v>0</v>
      </c>
      <c r="G10" s="3">
        <f>WIOD.ThreeME_V3!G10 * Pond.Inputs!$B10/SUMPRODUCT(WIOD.ThreeME_V3!G$2:G$57,Pond.Inputs!$B$2:$B$57)</f>
        <v>0.36870990183195484</v>
      </c>
      <c r="H10" s="3">
        <f>WIOD.ThreeME_V3!H10 * Pond.Inputs!$B10/SUMPRODUCT(WIOD.ThreeME_V3!H$2:H$57,Pond.Inputs!$B$2:$B$57)</f>
        <v>0</v>
      </c>
      <c r="I10" s="3">
        <f>WIOD.ThreeME_V3!I10 * Pond.Inputs!$B10/SUMPRODUCT(WIOD.ThreeME_V3!I$2:I$57,Pond.Inputs!$B$2:$B$57)</f>
        <v>0</v>
      </c>
      <c r="J10" s="3">
        <f>WIOD.ThreeME_V3!J10 * Pond.Inputs!$B10/SUMPRODUCT(WIOD.ThreeME_V3!J$2:J$57,Pond.Inputs!$B$2:$B$57)</f>
        <v>0</v>
      </c>
      <c r="K10" s="3">
        <f>WIOD.ThreeME_V3!K10 * Pond.Inputs!$B10/SUMPRODUCT(WIOD.ThreeME_V3!K$2:K$57,Pond.Inputs!$B$2:$B$57)</f>
        <v>0</v>
      </c>
      <c r="L10" s="3">
        <f>WIOD.ThreeME_V3!L10 * Pond.Inputs!$B10/SUMPRODUCT(WIOD.ThreeME_V3!L$2:L$57,Pond.Inputs!$B$2:$B$57)</f>
        <v>0</v>
      </c>
      <c r="M10" s="3">
        <f>WIOD.ThreeME_V3!M10 * Pond.Inputs!$B10/SUMPRODUCT(WIOD.ThreeME_V3!M$2:M$57,Pond.Inputs!$B$2:$B$57)</f>
        <v>0</v>
      </c>
      <c r="N10" s="3">
        <f>WIOD.ThreeME_V3!N10 * Pond.Inputs!$B10/SUMPRODUCT(WIOD.ThreeME_V3!N$2:N$57,Pond.Inputs!$B$2:$B$57)</f>
        <v>0</v>
      </c>
      <c r="O10" s="3">
        <f>WIOD.ThreeME_V3!O10 * Pond.Inputs!$B10/SUMPRODUCT(WIOD.ThreeME_V3!O$2:O$57,Pond.Inputs!$B$2:$B$57)</f>
        <v>0</v>
      </c>
      <c r="P10" s="3">
        <f>WIOD.ThreeME_V3!P10 * Pond.Inputs!$B10/SUMPRODUCT(WIOD.ThreeME_V3!P$2:P$57,Pond.Inputs!$B$2:$B$57)</f>
        <v>0</v>
      </c>
      <c r="Q10" s="3">
        <f>WIOD.ThreeME_V3!Q10 * Pond.Inputs!$B10/SUMPRODUCT(WIOD.ThreeME_V3!Q$2:Q$57,Pond.Inputs!$B$2:$B$57)</f>
        <v>0</v>
      </c>
      <c r="R10" s="3">
        <f>WIOD.ThreeME_V3!R10 * Pond.Inputs!$B10/SUMPRODUCT(WIOD.ThreeME_V3!R$2:R$57,Pond.Inputs!$B$2:$B$57)</f>
        <v>0</v>
      </c>
      <c r="S10" s="3">
        <f>WIOD.ThreeME_V3!S10 * Pond.Inputs!$B10/SUMPRODUCT(WIOD.ThreeME_V3!S$2:S$57,Pond.Inputs!$B$2:$B$57)</f>
        <v>0</v>
      </c>
      <c r="T10" s="3">
        <f>WIOD.ThreeME_V3!T10 * Pond.Inputs!$B10/SUMPRODUCT(WIOD.ThreeME_V3!T$2:T$57,Pond.Inputs!$B$2:$B$57)</f>
        <v>0</v>
      </c>
      <c r="U10" s="3">
        <f>WIOD.ThreeME_V3!U10 * Pond.Inputs!$B10/SUMPRODUCT(WIOD.ThreeME_V3!U$2:U$57,Pond.Inputs!$B$2:$B$57)</f>
        <v>0</v>
      </c>
      <c r="V10" s="3">
        <f>WIOD.ThreeME_V3!V10 * Pond.Inputs!$B10/SUMPRODUCT(WIOD.ThreeME_V3!V$2:V$57,Pond.Inputs!$B$2:$B$57)</f>
        <v>0</v>
      </c>
      <c r="W10" s="3">
        <f>WIOD.ThreeME_V3!W10 * Pond.Inputs!$B10/SUMPRODUCT(WIOD.ThreeME_V3!W$2:W$57,Pond.Inputs!$B$2:$B$57)</f>
        <v>0</v>
      </c>
      <c r="X10" s="3">
        <f>WIOD.ThreeME_V3!X10 * Pond.Inputs!$B10/SUMPRODUCT(WIOD.ThreeME_V3!X$2:X$57,Pond.Inputs!$B$2:$B$57)</f>
        <v>0</v>
      </c>
      <c r="Y10" s="3">
        <f>WIOD.ThreeME_V3!Y10 * Pond.Inputs!$B10/SUMPRODUCT(WIOD.ThreeME_V3!Y$2:Y$57,Pond.Inputs!$B$2:$B$57)</f>
        <v>0</v>
      </c>
      <c r="Z10" s="3">
        <f>WIOD.ThreeME_V3!Z10 * Pond.Inputs!$B10/SUMPRODUCT(WIOD.ThreeME_V3!Z$2:Z$57,Pond.Inputs!$B$2:$B$57)</f>
        <v>0</v>
      </c>
      <c r="AA10" s="3">
        <f>WIOD.ThreeME_V3!AA10 * Pond.Inputs!$B10/SUMPRODUCT(WIOD.ThreeME_V3!AA$2:AA$57,Pond.Inputs!$B$2:$B$57)</f>
        <v>0</v>
      </c>
      <c r="AB10" s="3">
        <f>WIOD.ThreeME_V3!AB10 * Pond.Inputs!$B10/SUMPRODUCT(WIOD.ThreeME_V3!AB$2:AB$57,Pond.Inputs!$B$2:$B$57)</f>
        <v>0</v>
      </c>
      <c r="AC10" s="3">
        <f>WIOD.ThreeME_V3!AC10 * Pond.Inputs!$B10/SUMPRODUCT(WIOD.ThreeME_V3!AC$2:AC$57,Pond.Inputs!$B$2:$B$57)</f>
        <v>0</v>
      </c>
      <c r="AD10" s="3">
        <f>WIOD.ThreeME_V3!AD10 * Pond.Inputs!$B10/SUMPRODUCT(WIOD.ThreeME_V3!AD$2:AD$57,Pond.Inputs!$B$2:$B$57)</f>
        <v>0</v>
      </c>
      <c r="AE10" s="3">
        <f>WIOD.ThreeME_V3!AE10 * Pond.Inputs!$B10/SUMPRODUCT(WIOD.ThreeME_V3!AE$2:AE$57,Pond.Inputs!$B$2:$B$57)</f>
        <v>0</v>
      </c>
      <c r="AF10" s="3">
        <f>WIOD.ThreeME_V3!AF10 * Pond.Inputs!$B10/SUMPRODUCT(WIOD.ThreeME_V3!AF$2:AF$57,Pond.Inputs!$B$2:$B$57)</f>
        <v>0</v>
      </c>
      <c r="AG10" s="3">
        <f>WIOD.ThreeME_V3!AG10 * Pond.Inputs!$B10/SUMPRODUCT(WIOD.ThreeME_V3!AG$2:AG$57,Pond.Inputs!$B$2:$B$57)</f>
        <v>0</v>
      </c>
    </row>
    <row r="11" spans="1:33" x14ac:dyDescent="0.2">
      <c r="A11" s="1" t="s">
        <v>24</v>
      </c>
      <c r="B11" s="3">
        <f>WIOD.ThreeME_V3!B11 * Pond.Inputs!$B11/SUMPRODUCT(WIOD.ThreeME_V3!B$2:B$57,Pond.Inputs!$B$2:$B$57)</f>
        <v>0</v>
      </c>
      <c r="C11" s="3">
        <f>WIOD.ThreeME_V3!C11 * Pond.Inputs!$B11/SUMPRODUCT(WIOD.ThreeME_V3!C$2:C$57,Pond.Inputs!$B$2:$B$57)</f>
        <v>0</v>
      </c>
      <c r="D11" s="3">
        <f>WIOD.ThreeME_V3!D11 * Pond.Inputs!$B11/SUMPRODUCT(WIOD.ThreeME_V3!D$2:D$57,Pond.Inputs!$B$2:$B$57)</f>
        <v>0</v>
      </c>
      <c r="E11" s="3">
        <f>WIOD.ThreeME_V3!E11 * Pond.Inputs!$B11/SUMPRODUCT(WIOD.ThreeME_V3!E$2:E$57,Pond.Inputs!$B$2:$B$57)</f>
        <v>0</v>
      </c>
      <c r="F11" s="3">
        <f>WIOD.ThreeME_V3!F11 * Pond.Inputs!$B11/SUMPRODUCT(WIOD.ThreeME_V3!F$2:F$57,Pond.Inputs!$B$2:$B$57)</f>
        <v>0</v>
      </c>
      <c r="G11" s="3">
        <f>WIOD.ThreeME_V3!G11 * Pond.Inputs!$B11/SUMPRODUCT(WIOD.ThreeME_V3!G$2:G$57,Pond.Inputs!$B$2:$B$57)</f>
        <v>0</v>
      </c>
      <c r="H11" s="3">
        <f>WIOD.ThreeME_V3!H11 * Pond.Inputs!$B11/SUMPRODUCT(WIOD.ThreeME_V3!H$2:H$57,Pond.Inputs!$B$2:$B$57)</f>
        <v>0</v>
      </c>
      <c r="I11" s="3">
        <f>WIOD.ThreeME_V3!I11 * Pond.Inputs!$B11/SUMPRODUCT(WIOD.ThreeME_V3!I$2:I$57,Pond.Inputs!$B$2:$B$57)</f>
        <v>0</v>
      </c>
      <c r="J11" s="3">
        <f>WIOD.ThreeME_V3!J11 * Pond.Inputs!$B11/SUMPRODUCT(WIOD.ThreeME_V3!J$2:J$57,Pond.Inputs!$B$2:$B$57)</f>
        <v>0</v>
      </c>
      <c r="K11" s="3">
        <f>WIOD.ThreeME_V3!K11 * Pond.Inputs!$B11/SUMPRODUCT(WIOD.ThreeME_V3!K$2:K$57,Pond.Inputs!$B$2:$B$57)</f>
        <v>0</v>
      </c>
      <c r="L11" s="3">
        <f>WIOD.ThreeME_V3!L11 * Pond.Inputs!$B11/SUMPRODUCT(WIOD.ThreeME_V3!L$2:L$57,Pond.Inputs!$B$2:$B$57)</f>
        <v>0</v>
      </c>
      <c r="M11" s="3">
        <f>WIOD.ThreeME_V3!M11 * Pond.Inputs!$B11/SUMPRODUCT(WIOD.ThreeME_V3!M$2:M$57,Pond.Inputs!$B$2:$B$57)</f>
        <v>0</v>
      </c>
      <c r="N11" s="3">
        <f>WIOD.ThreeME_V3!N11 * Pond.Inputs!$B11/SUMPRODUCT(WIOD.ThreeME_V3!N$2:N$57,Pond.Inputs!$B$2:$B$57)</f>
        <v>0</v>
      </c>
      <c r="O11" s="3">
        <f>WIOD.ThreeME_V3!O11 * Pond.Inputs!$B11/SUMPRODUCT(WIOD.ThreeME_V3!O$2:O$57,Pond.Inputs!$B$2:$B$57)</f>
        <v>0</v>
      </c>
      <c r="P11" s="3">
        <f>WIOD.ThreeME_V3!P11 * Pond.Inputs!$B11/SUMPRODUCT(WIOD.ThreeME_V3!P$2:P$57,Pond.Inputs!$B$2:$B$57)</f>
        <v>0</v>
      </c>
      <c r="Q11" s="3">
        <f>WIOD.ThreeME_V3!Q11 * Pond.Inputs!$B11/SUMPRODUCT(WIOD.ThreeME_V3!Q$2:Q$57,Pond.Inputs!$B$2:$B$57)</f>
        <v>0</v>
      </c>
      <c r="R11" s="3">
        <f>WIOD.ThreeME_V3!R11 * Pond.Inputs!$B11/SUMPRODUCT(WIOD.ThreeME_V3!R$2:R$57,Pond.Inputs!$B$2:$B$57)</f>
        <v>0</v>
      </c>
      <c r="S11" s="3">
        <f>WIOD.ThreeME_V3!S11 * Pond.Inputs!$B11/SUMPRODUCT(WIOD.ThreeME_V3!S$2:S$57,Pond.Inputs!$B$2:$B$57)</f>
        <v>0</v>
      </c>
      <c r="T11" s="3">
        <f>WIOD.ThreeME_V3!T11 * Pond.Inputs!$B11/SUMPRODUCT(WIOD.ThreeME_V3!T$2:T$57,Pond.Inputs!$B$2:$B$57)</f>
        <v>0</v>
      </c>
      <c r="U11" s="3">
        <f>WIOD.ThreeME_V3!U11 * Pond.Inputs!$B11/SUMPRODUCT(WIOD.ThreeME_V3!U$2:U$57,Pond.Inputs!$B$2:$B$57)</f>
        <v>1</v>
      </c>
      <c r="V11" s="3">
        <f>WIOD.ThreeME_V3!V11 * Pond.Inputs!$B11/SUMPRODUCT(WIOD.ThreeME_V3!V$2:V$57,Pond.Inputs!$B$2:$B$57)</f>
        <v>1</v>
      </c>
      <c r="W11" s="3">
        <f>WIOD.ThreeME_V3!W11 * Pond.Inputs!$B11/SUMPRODUCT(WIOD.ThreeME_V3!W$2:W$57,Pond.Inputs!$B$2:$B$57)</f>
        <v>1</v>
      </c>
      <c r="X11" s="3">
        <f>WIOD.ThreeME_V3!X11 * Pond.Inputs!$B11/SUMPRODUCT(WIOD.ThreeME_V3!X$2:X$57,Pond.Inputs!$B$2:$B$57)</f>
        <v>1</v>
      </c>
      <c r="Y11" s="3">
        <f>WIOD.ThreeME_V3!Y11 * Pond.Inputs!$B11/SUMPRODUCT(WIOD.ThreeME_V3!Y$2:Y$57,Pond.Inputs!$B$2:$B$57)</f>
        <v>0</v>
      </c>
      <c r="Z11" s="3">
        <f>WIOD.ThreeME_V3!Z11 * Pond.Inputs!$B11/SUMPRODUCT(WIOD.ThreeME_V3!Z$2:Z$57,Pond.Inputs!$B$2:$B$57)</f>
        <v>0</v>
      </c>
      <c r="AA11" s="3">
        <f>WIOD.ThreeME_V3!AA11 * Pond.Inputs!$B11/SUMPRODUCT(WIOD.ThreeME_V3!AA$2:AA$57,Pond.Inputs!$B$2:$B$57)</f>
        <v>0</v>
      </c>
      <c r="AB11" s="3">
        <f>WIOD.ThreeME_V3!AB11 * Pond.Inputs!$B11/SUMPRODUCT(WIOD.ThreeME_V3!AB$2:AB$57,Pond.Inputs!$B$2:$B$57)</f>
        <v>0</v>
      </c>
      <c r="AC11" s="3">
        <f>WIOD.ThreeME_V3!AC11 * Pond.Inputs!$B11/SUMPRODUCT(WIOD.ThreeME_V3!AC$2:AC$57,Pond.Inputs!$B$2:$B$57)</f>
        <v>0</v>
      </c>
      <c r="AD11" s="3">
        <f>WIOD.ThreeME_V3!AD11 * Pond.Inputs!$B11/SUMPRODUCT(WIOD.ThreeME_V3!AD$2:AD$57,Pond.Inputs!$B$2:$B$57)</f>
        <v>0</v>
      </c>
      <c r="AE11" s="3">
        <f>WIOD.ThreeME_V3!AE11 * Pond.Inputs!$B11/SUMPRODUCT(WIOD.ThreeME_V3!AE$2:AE$57,Pond.Inputs!$B$2:$B$57)</f>
        <v>0</v>
      </c>
      <c r="AF11" s="3">
        <f>WIOD.ThreeME_V3!AF11 * Pond.Inputs!$B11/SUMPRODUCT(WIOD.ThreeME_V3!AF$2:AF$57,Pond.Inputs!$B$2:$B$57)</f>
        <v>0</v>
      </c>
      <c r="AG11" s="3">
        <f>WIOD.ThreeME_V3!AG11 * Pond.Inputs!$B11/SUMPRODUCT(WIOD.ThreeME_V3!AG$2:AG$57,Pond.Inputs!$B$2:$B$57)</f>
        <v>0</v>
      </c>
    </row>
    <row r="12" spans="1:33" x14ac:dyDescent="0.2">
      <c r="A12" s="1" t="s">
        <v>25</v>
      </c>
      <c r="B12" s="3">
        <f>WIOD.ThreeME_V3!B12 * Pond.Inputs!$B12/SUMPRODUCT(WIOD.ThreeME_V3!B$2:B$57,Pond.Inputs!$B$2:$B$57)</f>
        <v>0</v>
      </c>
      <c r="C12" s="3">
        <f>WIOD.ThreeME_V3!C12 * Pond.Inputs!$B12/SUMPRODUCT(WIOD.ThreeME_V3!C$2:C$57,Pond.Inputs!$B$2:$B$57)</f>
        <v>0</v>
      </c>
      <c r="D12" s="3">
        <f>WIOD.ThreeME_V3!D12 * Pond.Inputs!$B12/SUMPRODUCT(WIOD.ThreeME_V3!D$2:D$57,Pond.Inputs!$B$2:$B$57)</f>
        <v>0</v>
      </c>
      <c r="E12" s="3">
        <f>WIOD.ThreeME_V3!E12 * Pond.Inputs!$B12/SUMPRODUCT(WIOD.ThreeME_V3!E$2:E$57,Pond.Inputs!$B$2:$B$57)</f>
        <v>0</v>
      </c>
      <c r="F12" s="3">
        <f>WIOD.ThreeME_V3!F12 * Pond.Inputs!$B12/SUMPRODUCT(WIOD.ThreeME_V3!F$2:F$57,Pond.Inputs!$B$2:$B$57)</f>
        <v>0</v>
      </c>
      <c r="G12" s="3">
        <f>WIOD.ThreeME_V3!G12 * Pond.Inputs!$B12/SUMPRODUCT(WIOD.ThreeME_V3!G$2:G$57,Pond.Inputs!$B$2:$B$57)</f>
        <v>0</v>
      </c>
      <c r="H12" s="3">
        <f>WIOD.ThreeME_V3!H12 * Pond.Inputs!$B12/SUMPRODUCT(WIOD.ThreeME_V3!H$2:H$57,Pond.Inputs!$B$2:$B$57)</f>
        <v>0.73082346305696555</v>
      </c>
      <c r="I12" s="3">
        <f>WIOD.ThreeME_V3!I12 * Pond.Inputs!$B12/SUMPRODUCT(WIOD.ThreeME_V3!I$2:I$57,Pond.Inputs!$B$2:$B$57)</f>
        <v>0</v>
      </c>
      <c r="J12" s="3">
        <f>WIOD.ThreeME_V3!J12 * Pond.Inputs!$B12/SUMPRODUCT(WIOD.ThreeME_V3!J$2:J$57,Pond.Inputs!$B$2:$B$57)</f>
        <v>0</v>
      </c>
      <c r="K12" s="3">
        <f>WIOD.ThreeME_V3!K12 * Pond.Inputs!$B12/SUMPRODUCT(WIOD.ThreeME_V3!K$2:K$57,Pond.Inputs!$B$2:$B$57)</f>
        <v>0</v>
      </c>
      <c r="L12" s="3">
        <f>WIOD.ThreeME_V3!L12 * Pond.Inputs!$B12/SUMPRODUCT(WIOD.ThreeME_V3!L$2:L$57,Pond.Inputs!$B$2:$B$57)</f>
        <v>0</v>
      </c>
      <c r="M12" s="3">
        <f>WIOD.ThreeME_V3!M12 * Pond.Inputs!$B12/SUMPRODUCT(WIOD.ThreeME_V3!M$2:M$57,Pond.Inputs!$B$2:$B$57)</f>
        <v>0</v>
      </c>
      <c r="N12" s="3">
        <f>WIOD.ThreeME_V3!N12 * Pond.Inputs!$B12/SUMPRODUCT(WIOD.ThreeME_V3!N$2:N$57,Pond.Inputs!$B$2:$B$57)</f>
        <v>0</v>
      </c>
      <c r="O12" s="3">
        <f>WIOD.ThreeME_V3!O12 * Pond.Inputs!$B12/SUMPRODUCT(WIOD.ThreeME_V3!O$2:O$57,Pond.Inputs!$B$2:$B$57)</f>
        <v>0</v>
      </c>
      <c r="P12" s="3">
        <f>WIOD.ThreeME_V3!P12 * Pond.Inputs!$B12/SUMPRODUCT(WIOD.ThreeME_V3!P$2:P$57,Pond.Inputs!$B$2:$B$57)</f>
        <v>0</v>
      </c>
      <c r="Q12" s="3">
        <f>WIOD.ThreeME_V3!Q12 * Pond.Inputs!$B12/SUMPRODUCT(WIOD.ThreeME_V3!Q$2:Q$57,Pond.Inputs!$B$2:$B$57)</f>
        <v>0</v>
      </c>
      <c r="R12" s="3">
        <f>WIOD.ThreeME_V3!R12 * Pond.Inputs!$B12/SUMPRODUCT(WIOD.ThreeME_V3!R$2:R$57,Pond.Inputs!$B$2:$B$57)</f>
        <v>0</v>
      </c>
      <c r="S12" s="3">
        <f>WIOD.ThreeME_V3!S12 * Pond.Inputs!$B12/SUMPRODUCT(WIOD.ThreeME_V3!S$2:S$57,Pond.Inputs!$B$2:$B$57)</f>
        <v>0</v>
      </c>
      <c r="T12" s="3">
        <f>WIOD.ThreeME_V3!T12 * Pond.Inputs!$B12/SUMPRODUCT(WIOD.ThreeME_V3!T$2:T$57,Pond.Inputs!$B$2:$B$57)</f>
        <v>0</v>
      </c>
      <c r="U12" s="3">
        <f>WIOD.ThreeME_V3!U12 * Pond.Inputs!$B12/SUMPRODUCT(WIOD.ThreeME_V3!U$2:U$57,Pond.Inputs!$B$2:$B$57)</f>
        <v>0</v>
      </c>
      <c r="V12" s="3">
        <f>WIOD.ThreeME_V3!V12 * Pond.Inputs!$B12/SUMPRODUCT(WIOD.ThreeME_V3!V$2:V$57,Pond.Inputs!$B$2:$B$57)</f>
        <v>0</v>
      </c>
      <c r="W12" s="3">
        <f>WIOD.ThreeME_V3!W12 * Pond.Inputs!$B12/SUMPRODUCT(WIOD.ThreeME_V3!W$2:W$57,Pond.Inputs!$B$2:$B$57)</f>
        <v>0</v>
      </c>
      <c r="X12" s="3">
        <f>WIOD.ThreeME_V3!X12 * Pond.Inputs!$B12/SUMPRODUCT(WIOD.ThreeME_V3!X$2:X$57,Pond.Inputs!$B$2:$B$57)</f>
        <v>0</v>
      </c>
      <c r="Y12" s="3">
        <f>WIOD.ThreeME_V3!Y12 * Pond.Inputs!$B12/SUMPRODUCT(WIOD.ThreeME_V3!Y$2:Y$57,Pond.Inputs!$B$2:$B$57)</f>
        <v>0</v>
      </c>
      <c r="Z12" s="3">
        <f>WIOD.ThreeME_V3!Z12 * Pond.Inputs!$B12/SUMPRODUCT(WIOD.ThreeME_V3!Z$2:Z$57,Pond.Inputs!$B$2:$B$57)</f>
        <v>0</v>
      </c>
      <c r="AA12" s="3">
        <f>WIOD.ThreeME_V3!AA12 * Pond.Inputs!$B12/SUMPRODUCT(WIOD.ThreeME_V3!AA$2:AA$57,Pond.Inputs!$B$2:$B$57)</f>
        <v>0</v>
      </c>
      <c r="AB12" s="3">
        <f>WIOD.ThreeME_V3!AB12 * Pond.Inputs!$B12/SUMPRODUCT(WIOD.ThreeME_V3!AB$2:AB$57,Pond.Inputs!$B$2:$B$57)</f>
        <v>0</v>
      </c>
      <c r="AC12" s="3">
        <f>WIOD.ThreeME_V3!AC12 * Pond.Inputs!$B12/SUMPRODUCT(WIOD.ThreeME_V3!AC$2:AC$57,Pond.Inputs!$B$2:$B$57)</f>
        <v>0</v>
      </c>
      <c r="AD12" s="3">
        <f>WIOD.ThreeME_V3!AD12 * Pond.Inputs!$B12/SUMPRODUCT(WIOD.ThreeME_V3!AD$2:AD$57,Pond.Inputs!$B$2:$B$57)</f>
        <v>0</v>
      </c>
      <c r="AE12" s="3">
        <f>WIOD.ThreeME_V3!AE12 * Pond.Inputs!$B12/SUMPRODUCT(WIOD.ThreeME_V3!AE$2:AE$57,Pond.Inputs!$B$2:$B$57)</f>
        <v>0</v>
      </c>
      <c r="AF12" s="3">
        <f>WIOD.ThreeME_V3!AF12 * Pond.Inputs!$B12/SUMPRODUCT(WIOD.ThreeME_V3!AF$2:AF$57,Pond.Inputs!$B$2:$B$57)</f>
        <v>0</v>
      </c>
      <c r="AG12" s="3">
        <f>WIOD.ThreeME_V3!AG12 * Pond.Inputs!$B12/SUMPRODUCT(WIOD.ThreeME_V3!AG$2:AG$57,Pond.Inputs!$B$2:$B$57)</f>
        <v>0</v>
      </c>
    </row>
    <row r="13" spans="1:33" x14ac:dyDescent="0.2">
      <c r="A13" s="1" t="s">
        <v>26</v>
      </c>
      <c r="B13" s="3">
        <f>WIOD.ThreeME_V3!B13 * Pond.Inputs!$B13/SUMPRODUCT(WIOD.ThreeME_V3!B$2:B$57,Pond.Inputs!$B$2:$B$57)</f>
        <v>0</v>
      </c>
      <c r="C13" s="3">
        <f>WIOD.ThreeME_V3!C13 * Pond.Inputs!$B13/SUMPRODUCT(WIOD.ThreeME_V3!C$2:C$57,Pond.Inputs!$B$2:$B$57)</f>
        <v>0</v>
      </c>
      <c r="D13" s="3">
        <f>WIOD.ThreeME_V3!D13 * Pond.Inputs!$B13/SUMPRODUCT(WIOD.ThreeME_V3!D$2:D$57,Pond.Inputs!$B$2:$B$57)</f>
        <v>0</v>
      </c>
      <c r="E13" s="3">
        <f>WIOD.ThreeME_V3!E13 * Pond.Inputs!$B13/SUMPRODUCT(WIOD.ThreeME_V3!E$2:E$57,Pond.Inputs!$B$2:$B$57)</f>
        <v>0</v>
      </c>
      <c r="F13" s="3">
        <f>WIOD.ThreeME_V3!F13 * Pond.Inputs!$B13/SUMPRODUCT(WIOD.ThreeME_V3!F$2:F$57,Pond.Inputs!$B$2:$B$57)</f>
        <v>0</v>
      </c>
      <c r="G13" s="3">
        <f>WIOD.ThreeME_V3!G13 * Pond.Inputs!$B13/SUMPRODUCT(WIOD.ThreeME_V3!G$2:G$57,Pond.Inputs!$B$2:$B$57)</f>
        <v>0</v>
      </c>
      <c r="H13" s="3">
        <f>WIOD.ThreeME_V3!H13 * Pond.Inputs!$B13/SUMPRODUCT(WIOD.ThreeME_V3!H$2:H$57,Pond.Inputs!$B$2:$B$57)</f>
        <v>0.26917653694303439</v>
      </c>
      <c r="I13" s="3">
        <f>WIOD.ThreeME_V3!I13 * Pond.Inputs!$B13/SUMPRODUCT(WIOD.ThreeME_V3!I$2:I$57,Pond.Inputs!$B$2:$B$57)</f>
        <v>0</v>
      </c>
      <c r="J13" s="3">
        <f>WIOD.ThreeME_V3!J13 * Pond.Inputs!$B13/SUMPRODUCT(WIOD.ThreeME_V3!J$2:J$57,Pond.Inputs!$B$2:$B$57)</f>
        <v>0</v>
      </c>
      <c r="K13" s="3">
        <f>WIOD.ThreeME_V3!K13 * Pond.Inputs!$B13/SUMPRODUCT(WIOD.ThreeME_V3!K$2:K$57,Pond.Inputs!$B$2:$B$57)</f>
        <v>0</v>
      </c>
      <c r="L13" s="3">
        <f>WIOD.ThreeME_V3!L13 * Pond.Inputs!$B13/SUMPRODUCT(WIOD.ThreeME_V3!L$2:L$57,Pond.Inputs!$B$2:$B$57)</f>
        <v>0</v>
      </c>
      <c r="M13" s="3">
        <f>WIOD.ThreeME_V3!M13 * Pond.Inputs!$B13/SUMPRODUCT(WIOD.ThreeME_V3!M$2:M$57,Pond.Inputs!$B$2:$B$57)</f>
        <v>0</v>
      </c>
      <c r="N13" s="3">
        <f>WIOD.ThreeME_V3!N13 * Pond.Inputs!$B13/SUMPRODUCT(WIOD.ThreeME_V3!N$2:N$57,Pond.Inputs!$B$2:$B$57)</f>
        <v>0</v>
      </c>
      <c r="O13" s="3">
        <f>WIOD.ThreeME_V3!O13 * Pond.Inputs!$B13/SUMPRODUCT(WIOD.ThreeME_V3!O$2:O$57,Pond.Inputs!$B$2:$B$57)</f>
        <v>0</v>
      </c>
      <c r="P13" s="3">
        <f>WIOD.ThreeME_V3!P13 * Pond.Inputs!$B13/SUMPRODUCT(WIOD.ThreeME_V3!P$2:P$57,Pond.Inputs!$B$2:$B$57)</f>
        <v>0</v>
      </c>
      <c r="Q13" s="3">
        <f>WIOD.ThreeME_V3!Q13 * Pond.Inputs!$B13/SUMPRODUCT(WIOD.ThreeME_V3!Q$2:Q$57,Pond.Inputs!$B$2:$B$57)</f>
        <v>0</v>
      </c>
      <c r="R13" s="3">
        <f>WIOD.ThreeME_V3!R13 * Pond.Inputs!$B13/SUMPRODUCT(WIOD.ThreeME_V3!R$2:R$57,Pond.Inputs!$B$2:$B$57)</f>
        <v>0</v>
      </c>
      <c r="S13" s="3">
        <f>WIOD.ThreeME_V3!S13 * Pond.Inputs!$B13/SUMPRODUCT(WIOD.ThreeME_V3!S$2:S$57,Pond.Inputs!$B$2:$B$57)</f>
        <v>0</v>
      </c>
      <c r="T13" s="3">
        <f>WIOD.ThreeME_V3!T13 * Pond.Inputs!$B13/SUMPRODUCT(WIOD.ThreeME_V3!T$2:T$57,Pond.Inputs!$B$2:$B$57)</f>
        <v>0</v>
      </c>
      <c r="U13" s="3">
        <f>WIOD.ThreeME_V3!U13 * Pond.Inputs!$B13/SUMPRODUCT(WIOD.ThreeME_V3!U$2:U$57,Pond.Inputs!$B$2:$B$57)</f>
        <v>0</v>
      </c>
      <c r="V13" s="3">
        <f>WIOD.ThreeME_V3!V13 * Pond.Inputs!$B13/SUMPRODUCT(WIOD.ThreeME_V3!V$2:V$57,Pond.Inputs!$B$2:$B$57)</f>
        <v>0</v>
      </c>
      <c r="W13" s="3">
        <f>WIOD.ThreeME_V3!W13 * Pond.Inputs!$B13/SUMPRODUCT(WIOD.ThreeME_V3!W$2:W$57,Pond.Inputs!$B$2:$B$57)</f>
        <v>0</v>
      </c>
      <c r="X13" s="3">
        <f>WIOD.ThreeME_V3!X13 * Pond.Inputs!$B13/SUMPRODUCT(WIOD.ThreeME_V3!X$2:X$57,Pond.Inputs!$B$2:$B$57)</f>
        <v>0</v>
      </c>
      <c r="Y13" s="3">
        <f>WIOD.ThreeME_V3!Y13 * Pond.Inputs!$B13/SUMPRODUCT(WIOD.ThreeME_V3!Y$2:Y$57,Pond.Inputs!$B$2:$B$57)</f>
        <v>0</v>
      </c>
      <c r="Z13" s="3">
        <f>WIOD.ThreeME_V3!Z13 * Pond.Inputs!$B13/SUMPRODUCT(WIOD.ThreeME_V3!Z$2:Z$57,Pond.Inputs!$B$2:$B$57)</f>
        <v>0</v>
      </c>
      <c r="AA13" s="3">
        <f>WIOD.ThreeME_V3!AA13 * Pond.Inputs!$B13/SUMPRODUCT(WIOD.ThreeME_V3!AA$2:AA$57,Pond.Inputs!$B$2:$B$57)</f>
        <v>0</v>
      </c>
      <c r="AB13" s="3">
        <f>WIOD.ThreeME_V3!AB13 * Pond.Inputs!$B13/SUMPRODUCT(WIOD.ThreeME_V3!AB$2:AB$57,Pond.Inputs!$B$2:$B$57)</f>
        <v>0</v>
      </c>
      <c r="AC13" s="3">
        <f>WIOD.ThreeME_V3!AC13 * Pond.Inputs!$B13/SUMPRODUCT(WIOD.ThreeME_V3!AC$2:AC$57,Pond.Inputs!$B$2:$B$57)</f>
        <v>0</v>
      </c>
      <c r="AD13" s="3">
        <f>WIOD.ThreeME_V3!AD13 * Pond.Inputs!$B13/SUMPRODUCT(WIOD.ThreeME_V3!AD$2:AD$57,Pond.Inputs!$B$2:$B$57)</f>
        <v>0</v>
      </c>
      <c r="AE13" s="3">
        <f>WIOD.ThreeME_V3!AE13 * Pond.Inputs!$B13/SUMPRODUCT(WIOD.ThreeME_V3!AE$2:AE$57,Pond.Inputs!$B$2:$B$57)</f>
        <v>0</v>
      </c>
      <c r="AF13" s="3">
        <f>WIOD.ThreeME_V3!AF13 * Pond.Inputs!$B13/SUMPRODUCT(WIOD.ThreeME_V3!AF$2:AF$57,Pond.Inputs!$B$2:$B$57)</f>
        <v>0</v>
      </c>
      <c r="AG13" s="3">
        <f>WIOD.ThreeME_V3!AG13 * Pond.Inputs!$B13/SUMPRODUCT(WIOD.ThreeME_V3!AG$2:AG$57,Pond.Inputs!$B$2:$B$57)</f>
        <v>0</v>
      </c>
    </row>
    <row r="14" spans="1:33" x14ac:dyDescent="0.2">
      <c r="A14" s="1" t="s">
        <v>27</v>
      </c>
      <c r="B14" s="3">
        <f>WIOD.ThreeME_V3!B14 * Pond.Inputs!$B14/SUMPRODUCT(WIOD.ThreeME_V3!B$2:B$57,Pond.Inputs!$B$2:$B$57)</f>
        <v>0</v>
      </c>
      <c r="C14" s="3">
        <f>WIOD.ThreeME_V3!C14 * Pond.Inputs!$B14/SUMPRODUCT(WIOD.ThreeME_V3!C$2:C$57,Pond.Inputs!$B$2:$B$57)</f>
        <v>0</v>
      </c>
      <c r="D14" s="3">
        <f>WIOD.ThreeME_V3!D14 * Pond.Inputs!$B14/SUMPRODUCT(WIOD.ThreeME_V3!D$2:D$57,Pond.Inputs!$B$2:$B$57)</f>
        <v>0</v>
      </c>
      <c r="E14" s="3">
        <f>WIOD.ThreeME_V3!E14 * Pond.Inputs!$B14/SUMPRODUCT(WIOD.ThreeME_V3!E$2:E$57,Pond.Inputs!$B$2:$B$57)</f>
        <v>0</v>
      </c>
      <c r="F14" s="3">
        <f>WIOD.ThreeME_V3!F14 * Pond.Inputs!$B14/SUMPRODUCT(WIOD.ThreeME_V3!F$2:F$57,Pond.Inputs!$B$2:$B$57)</f>
        <v>0</v>
      </c>
      <c r="G14" s="3">
        <f>WIOD.ThreeME_V3!G14 * Pond.Inputs!$B14/SUMPRODUCT(WIOD.ThreeME_V3!G$2:G$57,Pond.Inputs!$B$2:$B$57)</f>
        <v>0</v>
      </c>
      <c r="H14" s="3">
        <f>WIOD.ThreeME_V3!H14 * Pond.Inputs!$B14/SUMPRODUCT(WIOD.ThreeME_V3!H$2:H$57,Pond.Inputs!$B$2:$B$57)</f>
        <v>0</v>
      </c>
      <c r="I14" s="3">
        <f>WIOD.ThreeME_V3!I14 * Pond.Inputs!$B14/SUMPRODUCT(WIOD.ThreeME_V3!I$2:I$57,Pond.Inputs!$B$2:$B$57)</f>
        <v>1</v>
      </c>
      <c r="J14" s="3">
        <f>WIOD.ThreeME_V3!J14 * Pond.Inputs!$B14/SUMPRODUCT(WIOD.ThreeME_V3!J$2:J$57,Pond.Inputs!$B$2:$B$57)</f>
        <v>0</v>
      </c>
      <c r="K14" s="3">
        <f>WIOD.ThreeME_V3!K14 * Pond.Inputs!$B14/SUMPRODUCT(WIOD.ThreeME_V3!K$2:K$57,Pond.Inputs!$B$2:$B$57)</f>
        <v>0</v>
      </c>
      <c r="L14" s="3">
        <f>WIOD.ThreeME_V3!L14 * Pond.Inputs!$B14/SUMPRODUCT(WIOD.ThreeME_V3!L$2:L$57,Pond.Inputs!$B$2:$B$57)</f>
        <v>0</v>
      </c>
      <c r="M14" s="3">
        <f>WIOD.ThreeME_V3!M14 * Pond.Inputs!$B14/SUMPRODUCT(WIOD.ThreeME_V3!M$2:M$57,Pond.Inputs!$B$2:$B$57)</f>
        <v>0</v>
      </c>
      <c r="N14" s="3">
        <f>WIOD.ThreeME_V3!N14 * Pond.Inputs!$B14/SUMPRODUCT(WIOD.ThreeME_V3!N$2:N$57,Pond.Inputs!$B$2:$B$57)</f>
        <v>0</v>
      </c>
      <c r="O14" s="3">
        <f>WIOD.ThreeME_V3!O14 * Pond.Inputs!$B14/SUMPRODUCT(WIOD.ThreeME_V3!O$2:O$57,Pond.Inputs!$B$2:$B$57)</f>
        <v>0</v>
      </c>
      <c r="P14" s="3">
        <f>WIOD.ThreeME_V3!P14 * Pond.Inputs!$B14/SUMPRODUCT(WIOD.ThreeME_V3!P$2:P$57,Pond.Inputs!$B$2:$B$57)</f>
        <v>0</v>
      </c>
      <c r="Q14" s="3">
        <f>WIOD.ThreeME_V3!Q14 * Pond.Inputs!$B14/SUMPRODUCT(WIOD.ThreeME_V3!Q$2:Q$57,Pond.Inputs!$B$2:$B$57)</f>
        <v>0</v>
      </c>
      <c r="R14" s="3">
        <f>WIOD.ThreeME_V3!R14 * Pond.Inputs!$B14/SUMPRODUCT(WIOD.ThreeME_V3!R$2:R$57,Pond.Inputs!$B$2:$B$57)</f>
        <v>0</v>
      </c>
      <c r="S14" s="3">
        <f>WIOD.ThreeME_V3!S14 * Pond.Inputs!$B14/SUMPRODUCT(WIOD.ThreeME_V3!S$2:S$57,Pond.Inputs!$B$2:$B$57)</f>
        <v>0</v>
      </c>
      <c r="T14" s="3">
        <f>WIOD.ThreeME_V3!T14 * Pond.Inputs!$B14/SUMPRODUCT(WIOD.ThreeME_V3!T$2:T$57,Pond.Inputs!$B$2:$B$57)</f>
        <v>0</v>
      </c>
      <c r="U14" s="3">
        <f>WIOD.ThreeME_V3!U14 * Pond.Inputs!$B14/SUMPRODUCT(WIOD.ThreeME_V3!U$2:U$57,Pond.Inputs!$B$2:$B$57)</f>
        <v>0</v>
      </c>
      <c r="V14" s="3">
        <f>WIOD.ThreeME_V3!V14 * Pond.Inputs!$B14/SUMPRODUCT(WIOD.ThreeME_V3!V$2:V$57,Pond.Inputs!$B$2:$B$57)</f>
        <v>0</v>
      </c>
      <c r="W14" s="3">
        <f>WIOD.ThreeME_V3!W14 * Pond.Inputs!$B14/SUMPRODUCT(WIOD.ThreeME_V3!W$2:W$57,Pond.Inputs!$B$2:$B$57)</f>
        <v>0</v>
      </c>
      <c r="X14" s="3">
        <f>WIOD.ThreeME_V3!X14 * Pond.Inputs!$B14/SUMPRODUCT(WIOD.ThreeME_V3!X$2:X$57,Pond.Inputs!$B$2:$B$57)</f>
        <v>0</v>
      </c>
      <c r="Y14" s="3">
        <f>WIOD.ThreeME_V3!Y14 * Pond.Inputs!$B14/SUMPRODUCT(WIOD.ThreeME_V3!Y$2:Y$57,Pond.Inputs!$B$2:$B$57)</f>
        <v>0</v>
      </c>
      <c r="Z14" s="3">
        <f>WIOD.ThreeME_V3!Z14 * Pond.Inputs!$B14/SUMPRODUCT(WIOD.ThreeME_V3!Z$2:Z$57,Pond.Inputs!$B$2:$B$57)</f>
        <v>0</v>
      </c>
      <c r="AA14" s="3">
        <f>WIOD.ThreeME_V3!AA14 * Pond.Inputs!$B14/SUMPRODUCT(WIOD.ThreeME_V3!AA$2:AA$57,Pond.Inputs!$B$2:$B$57)</f>
        <v>0</v>
      </c>
      <c r="AB14" s="3">
        <f>WIOD.ThreeME_V3!AB14 * Pond.Inputs!$B14/SUMPRODUCT(WIOD.ThreeME_V3!AB$2:AB$57,Pond.Inputs!$B$2:$B$57)</f>
        <v>0</v>
      </c>
      <c r="AC14" s="3">
        <f>WIOD.ThreeME_V3!AC14 * Pond.Inputs!$B14/SUMPRODUCT(WIOD.ThreeME_V3!AC$2:AC$57,Pond.Inputs!$B$2:$B$57)</f>
        <v>0</v>
      </c>
      <c r="AD14" s="3">
        <f>WIOD.ThreeME_V3!AD14 * Pond.Inputs!$B14/SUMPRODUCT(WIOD.ThreeME_V3!AD$2:AD$57,Pond.Inputs!$B$2:$B$57)</f>
        <v>0</v>
      </c>
      <c r="AE14" s="3">
        <f>WIOD.ThreeME_V3!AE14 * Pond.Inputs!$B14/SUMPRODUCT(WIOD.ThreeME_V3!AE$2:AE$57,Pond.Inputs!$B$2:$B$57)</f>
        <v>0</v>
      </c>
      <c r="AF14" s="3">
        <f>WIOD.ThreeME_V3!AF14 * Pond.Inputs!$B14/SUMPRODUCT(WIOD.ThreeME_V3!AF$2:AF$57,Pond.Inputs!$B$2:$B$57)</f>
        <v>0</v>
      </c>
      <c r="AG14" s="3">
        <f>WIOD.ThreeME_V3!AG14 * Pond.Inputs!$B14/SUMPRODUCT(WIOD.ThreeME_V3!AG$2:AG$57,Pond.Inputs!$B$2:$B$57)</f>
        <v>0</v>
      </c>
    </row>
    <row r="15" spans="1:33" x14ac:dyDescent="0.2">
      <c r="A15" s="1" t="s">
        <v>28</v>
      </c>
      <c r="B15" s="3">
        <f>WIOD.ThreeME_V3!B15 * Pond.Inputs!$B15/SUMPRODUCT(WIOD.ThreeME_V3!B$2:B$57,Pond.Inputs!$B$2:$B$57)</f>
        <v>0</v>
      </c>
      <c r="C15" s="3">
        <f>WIOD.ThreeME_V3!C15 * Pond.Inputs!$B15/SUMPRODUCT(WIOD.ThreeME_V3!C$2:C$57,Pond.Inputs!$B$2:$B$57)</f>
        <v>0</v>
      </c>
      <c r="D15" s="3">
        <f>WIOD.ThreeME_V3!D15 * Pond.Inputs!$B15/SUMPRODUCT(WIOD.ThreeME_V3!D$2:D$57,Pond.Inputs!$B$2:$B$57)</f>
        <v>0</v>
      </c>
      <c r="E15" s="3">
        <f>WIOD.ThreeME_V3!E15 * Pond.Inputs!$B15/SUMPRODUCT(WIOD.ThreeME_V3!E$2:E$57,Pond.Inputs!$B$2:$B$57)</f>
        <v>0</v>
      </c>
      <c r="F15" s="3">
        <f>WIOD.ThreeME_V3!F15 * Pond.Inputs!$B15/SUMPRODUCT(WIOD.ThreeME_V3!F$2:F$57,Pond.Inputs!$B$2:$B$57)</f>
        <v>1</v>
      </c>
      <c r="G15" s="3">
        <f>WIOD.ThreeME_V3!G15 * Pond.Inputs!$B15/SUMPRODUCT(WIOD.ThreeME_V3!G$2:G$57,Pond.Inputs!$B$2:$B$57)</f>
        <v>0</v>
      </c>
      <c r="H15" s="3">
        <f>WIOD.ThreeME_V3!H15 * Pond.Inputs!$B15/SUMPRODUCT(WIOD.ThreeME_V3!H$2:H$57,Pond.Inputs!$B$2:$B$57)</f>
        <v>0</v>
      </c>
      <c r="I15" s="3">
        <f>WIOD.ThreeME_V3!I15 * Pond.Inputs!$B15/SUMPRODUCT(WIOD.ThreeME_V3!I$2:I$57,Pond.Inputs!$B$2:$B$57)</f>
        <v>0</v>
      </c>
      <c r="J15" s="3">
        <f>WIOD.ThreeME_V3!J15 * Pond.Inputs!$B15/SUMPRODUCT(WIOD.ThreeME_V3!J$2:J$57,Pond.Inputs!$B$2:$B$57)</f>
        <v>0</v>
      </c>
      <c r="K15" s="3">
        <f>WIOD.ThreeME_V3!K15 * Pond.Inputs!$B15/SUMPRODUCT(WIOD.ThreeME_V3!K$2:K$57,Pond.Inputs!$B$2:$B$57)</f>
        <v>0</v>
      </c>
      <c r="L15" s="3">
        <f>WIOD.ThreeME_V3!L15 * Pond.Inputs!$B15/SUMPRODUCT(WIOD.ThreeME_V3!L$2:L$57,Pond.Inputs!$B$2:$B$57)</f>
        <v>0</v>
      </c>
      <c r="M15" s="3">
        <f>WIOD.ThreeME_V3!M15 * Pond.Inputs!$B15/SUMPRODUCT(WIOD.ThreeME_V3!M$2:M$57,Pond.Inputs!$B$2:$B$57)</f>
        <v>0</v>
      </c>
      <c r="N15" s="3">
        <f>WIOD.ThreeME_V3!N15 * Pond.Inputs!$B15/SUMPRODUCT(WIOD.ThreeME_V3!N$2:N$57,Pond.Inputs!$B$2:$B$57)</f>
        <v>0</v>
      </c>
      <c r="O15" s="3">
        <f>WIOD.ThreeME_V3!O15 * Pond.Inputs!$B15/SUMPRODUCT(WIOD.ThreeME_V3!O$2:O$57,Pond.Inputs!$B$2:$B$57)</f>
        <v>0</v>
      </c>
      <c r="P15" s="3">
        <f>WIOD.ThreeME_V3!P15 * Pond.Inputs!$B15/SUMPRODUCT(WIOD.ThreeME_V3!P$2:P$57,Pond.Inputs!$B$2:$B$57)</f>
        <v>0</v>
      </c>
      <c r="Q15" s="3">
        <f>WIOD.ThreeME_V3!Q15 * Pond.Inputs!$B15/SUMPRODUCT(WIOD.ThreeME_V3!Q$2:Q$57,Pond.Inputs!$B$2:$B$57)</f>
        <v>0</v>
      </c>
      <c r="R15" s="3">
        <f>WIOD.ThreeME_V3!R15 * Pond.Inputs!$B15/SUMPRODUCT(WIOD.ThreeME_V3!R$2:R$57,Pond.Inputs!$B$2:$B$57)</f>
        <v>0</v>
      </c>
      <c r="S15" s="3">
        <f>WIOD.ThreeME_V3!S15 * Pond.Inputs!$B15/SUMPRODUCT(WIOD.ThreeME_V3!S$2:S$57,Pond.Inputs!$B$2:$B$57)</f>
        <v>0</v>
      </c>
      <c r="T15" s="3">
        <f>WIOD.ThreeME_V3!T15 * Pond.Inputs!$B15/SUMPRODUCT(WIOD.ThreeME_V3!T$2:T$57,Pond.Inputs!$B$2:$B$57)</f>
        <v>0</v>
      </c>
      <c r="U15" s="3">
        <f>WIOD.ThreeME_V3!U15 * Pond.Inputs!$B15/SUMPRODUCT(WIOD.ThreeME_V3!U$2:U$57,Pond.Inputs!$B$2:$B$57)</f>
        <v>0</v>
      </c>
      <c r="V15" s="3">
        <f>WIOD.ThreeME_V3!V15 * Pond.Inputs!$B15/SUMPRODUCT(WIOD.ThreeME_V3!V$2:V$57,Pond.Inputs!$B$2:$B$57)</f>
        <v>0</v>
      </c>
      <c r="W15" s="3">
        <f>WIOD.ThreeME_V3!W15 * Pond.Inputs!$B15/SUMPRODUCT(WIOD.ThreeME_V3!W$2:W$57,Pond.Inputs!$B$2:$B$57)</f>
        <v>0</v>
      </c>
      <c r="X15" s="3">
        <f>WIOD.ThreeME_V3!X15 * Pond.Inputs!$B15/SUMPRODUCT(WIOD.ThreeME_V3!X$2:X$57,Pond.Inputs!$B$2:$B$57)</f>
        <v>0</v>
      </c>
      <c r="Y15" s="3">
        <f>WIOD.ThreeME_V3!Y15 * Pond.Inputs!$B15/SUMPRODUCT(WIOD.ThreeME_V3!Y$2:Y$57,Pond.Inputs!$B$2:$B$57)</f>
        <v>0</v>
      </c>
      <c r="Z15" s="3">
        <f>WIOD.ThreeME_V3!Z15 * Pond.Inputs!$B15/SUMPRODUCT(WIOD.ThreeME_V3!Z$2:Z$57,Pond.Inputs!$B$2:$B$57)</f>
        <v>0</v>
      </c>
      <c r="AA15" s="3">
        <f>WIOD.ThreeME_V3!AA15 * Pond.Inputs!$B15/SUMPRODUCT(WIOD.ThreeME_V3!AA$2:AA$57,Pond.Inputs!$B$2:$B$57)</f>
        <v>0</v>
      </c>
      <c r="AB15" s="3">
        <f>WIOD.ThreeME_V3!AB15 * Pond.Inputs!$B15/SUMPRODUCT(WIOD.ThreeME_V3!AB$2:AB$57,Pond.Inputs!$B$2:$B$57)</f>
        <v>0</v>
      </c>
      <c r="AC15" s="3">
        <f>WIOD.ThreeME_V3!AC15 * Pond.Inputs!$B15/SUMPRODUCT(WIOD.ThreeME_V3!AC$2:AC$57,Pond.Inputs!$B$2:$B$57)</f>
        <v>0</v>
      </c>
      <c r="AD15" s="3">
        <f>WIOD.ThreeME_V3!AD15 * Pond.Inputs!$B15/SUMPRODUCT(WIOD.ThreeME_V3!AD$2:AD$57,Pond.Inputs!$B$2:$B$57)</f>
        <v>0</v>
      </c>
      <c r="AE15" s="3">
        <f>WIOD.ThreeME_V3!AE15 * Pond.Inputs!$B15/SUMPRODUCT(WIOD.ThreeME_V3!AE$2:AE$57,Pond.Inputs!$B$2:$B$57)</f>
        <v>0</v>
      </c>
      <c r="AF15" s="3">
        <f>WIOD.ThreeME_V3!AF15 * Pond.Inputs!$B15/SUMPRODUCT(WIOD.ThreeME_V3!AF$2:AF$57,Pond.Inputs!$B$2:$B$57)</f>
        <v>0</v>
      </c>
      <c r="AG15" s="3">
        <f>WIOD.ThreeME_V3!AG15 * Pond.Inputs!$B15/SUMPRODUCT(WIOD.ThreeME_V3!AG$2:AG$57,Pond.Inputs!$B$2:$B$57)</f>
        <v>0</v>
      </c>
    </row>
    <row r="16" spans="1:33" x14ac:dyDescent="0.2">
      <c r="A16" s="1" t="s">
        <v>29</v>
      </c>
      <c r="B16" s="3">
        <f>WIOD.ThreeME_V3!B16 * Pond.Inputs!$B16/SUMPRODUCT(WIOD.ThreeME_V3!B$2:B$57,Pond.Inputs!$B$2:$B$57)</f>
        <v>0</v>
      </c>
      <c r="C16" s="3">
        <f>WIOD.ThreeME_V3!C16 * Pond.Inputs!$B16/SUMPRODUCT(WIOD.ThreeME_V3!C$2:C$57,Pond.Inputs!$B$2:$B$57)</f>
        <v>0</v>
      </c>
      <c r="D16" s="3">
        <f>WIOD.ThreeME_V3!D16 * Pond.Inputs!$B16/SUMPRODUCT(WIOD.ThreeME_V3!D$2:D$57,Pond.Inputs!$B$2:$B$57)</f>
        <v>0</v>
      </c>
      <c r="E16" s="3">
        <f>WIOD.ThreeME_V3!E16 * Pond.Inputs!$B16/SUMPRODUCT(WIOD.ThreeME_V3!E$2:E$57,Pond.Inputs!$B$2:$B$57)</f>
        <v>0</v>
      </c>
      <c r="F16" s="3">
        <f>WIOD.ThreeME_V3!F16 * Pond.Inputs!$B16/SUMPRODUCT(WIOD.ThreeME_V3!F$2:F$57,Pond.Inputs!$B$2:$B$57)</f>
        <v>0</v>
      </c>
      <c r="G16" s="3">
        <f>WIOD.ThreeME_V3!G16 * Pond.Inputs!$B16/SUMPRODUCT(WIOD.ThreeME_V3!G$2:G$57,Pond.Inputs!$B$2:$B$57)</f>
        <v>0</v>
      </c>
      <c r="H16" s="3">
        <f>WIOD.ThreeME_V3!H16 * Pond.Inputs!$B16/SUMPRODUCT(WIOD.ThreeME_V3!H$2:H$57,Pond.Inputs!$B$2:$B$57)</f>
        <v>0</v>
      </c>
      <c r="I16" s="3">
        <f>WIOD.ThreeME_V3!I16 * Pond.Inputs!$B16/SUMPRODUCT(WIOD.ThreeME_V3!I$2:I$57,Pond.Inputs!$B$2:$B$57)</f>
        <v>0</v>
      </c>
      <c r="J16" s="3">
        <f>WIOD.ThreeME_V3!J16 * Pond.Inputs!$B16/SUMPRODUCT(WIOD.ThreeME_V3!J$2:J$57,Pond.Inputs!$B$2:$B$57)</f>
        <v>0.39850168867055574</v>
      </c>
      <c r="K16" s="3">
        <f>WIOD.ThreeME_V3!K16 * Pond.Inputs!$B16/SUMPRODUCT(WIOD.ThreeME_V3!K$2:K$57,Pond.Inputs!$B$2:$B$57)</f>
        <v>0</v>
      </c>
      <c r="L16" s="3">
        <f>WIOD.ThreeME_V3!L16 * Pond.Inputs!$B16/SUMPRODUCT(WIOD.ThreeME_V3!L$2:L$57,Pond.Inputs!$B$2:$B$57)</f>
        <v>0</v>
      </c>
      <c r="M16" s="3">
        <f>WIOD.ThreeME_V3!M16 * Pond.Inputs!$B16/SUMPRODUCT(WIOD.ThreeME_V3!M$2:M$57,Pond.Inputs!$B$2:$B$57)</f>
        <v>0</v>
      </c>
      <c r="N16" s="3">
        <f>WIOD.ThreeME_V3!N16 * Pond.Inputs!$B16/SUMPRODUCT(WIOD.ThreeME_V3!N$2:N$57,Pond.Inputs!$B$2:$B$57)</f>
        <v>0</v>
      </c>
      <c r="O16" s="3">
        <f>WIOD.ThreeME_V3!O16 * Pond.Inputs!$B16/SUMPRODUCT(WIOD.ThreeME_V3!O$2:O$57,Pond.Inputs!$B$2:$B$57)</f>
        <v>0</v>
      </c>
      <c r="P16" s="3">
        <f>WIOD.ThreeME_V3!P16 * Pond.Inputs!$B16/SUMPRODUCT(WIOD.ThreeME_V3!P$2:P$57,Pond.Inputs!$B$2:$B$57)</f>
        <v>0</v>
      </c>
      <c r="Q16" s="3">
        <f>WIOD.ThreeME_V3!Q16 * Pond.Inputs!$B16/SUMPRODUCT(WIOD.ThreeME_V3!Q$2:Q$57,Pond.Inputs!$B$2:$B$57)</f>
        <v>0</v>
      </c>
      <c r="R16" s="3">
        <f>WIOD.ThreeME_V3!R16 * Pond.Inputs!$B16/SUMPRODUCT(WIOD.ThreeME_V3!R$2:R$57,Pond.Inputs!$B$2:$B$57)</f>
        <v>0</v>
      </c>
      <c r="S16" s="3">
        <f>WIOD.ThreeME_V3!S16 * Pond.Inputs!$B16/SUMPRODUCT(WIOD.ThreeME_V3!S$2:S$57,Pond.Inputs!$B$2:$B$57)</f>
        <v>0</v>
      </c>
      <c r="T16" s="3">
        <f>WIOD.ThreeME_V3!T16 * Pond.Inputs!$B16/SUMPRODUCT(WIOD.ThreeME_V3!T$2:T$57,Pond.Inputs!$B$2:$B$57)</f>
        <v>0</v>
      </c>
      <c r="U16" s="3">
        <f>WIOD.ThreeME_V3!U16 * Pond.Inputs!$B16/SUMPRODUCT(WIOD.ThreeME_V3!U$2:U$57,Pond.Inputs!$B$2:$B$57)</f>
        <v>0</v>
      </c>
      <c r="V16" s="3">
        <f>WIOD.ThreeME_V3!V16 * Pond.Inputs!$B16/SUMPRODUCT(WIOD.ThreeME_V3!V$2:V$57,Pond.Inputs!$B$2:$B$57)</f>
        <v>0</v>
      </c>
      <c r="W16" s="3">
        <f>WIOD.ThreeME_V3!W16 * Pond.Inputs!$B16/SUMPRODUCT(WIOD.ThreeME_V3!W$2:W$57,Pond.Inputs!$B$2:$B$57)</f>
        <v>0</v>
      </c>
      <c r="X16" s="3">
        <f>WIOD.ThreeME_V3!X16 * Pond.Inputs!$B16/SUMPRODUCT(WIOD.ThreeME_V3!X$2:X$57,Pond.Inputs!$B$2:$B$57)</f>
        <v>0</v>
      </c>
      <c r="Y16" s="3">
        <f>WIOD.ThreeME_V3!Y16 * Pond.Inputs!$B16/SUMPRODUCT(WIOD.ThreeME_V3!Y$2:Y$57,Pond.Inputs!$B$2:$B$57)</f>
        <v>0</v>
      </c>
      <c r="Z16" s="3">
        <f>WIOD.ThreeME_V3!Z16 * Pond.Inputs!$B16/SUMPRODUCT(WIOD.ThreeME_V3!Z$2:Z$57,Pond.Inputs!$B$2:$B$57)</f>
        <v>0</v>
      </c>
      <c r="AA16" s="3">
        <f>WIOD.ThreeME_V3!AA16 * Pond.Inputs!$B16/SUMPRODUCT(WIOD.ThreeME_V3!AA$2:AA$57,Pond.Inputs!$B$2:$B$57)</f>
        <v>0</v>
      </c>
      <c r="AB16" s="3">
        <f>WIOD.ThreeME_V3!AB16 * Pond.Inputs!$B16/SUMPRODUCT(WIOD.ThreeME_V3!AB$2:AB$57,Pond.Inputs!$B$2:$B$57)</f>
        <v>0</v>
      </c>
      <c r="AC16" s="3">
        <f>WIOD.ThreeME_V3!AC16 * Pond.Inputs!$B16/SUMPRODUCT(WIOD.ThreeME_V3!AC$2:AC$57,Pond.Inputs!$B$2:$B$57)</f>
        <v>0</v>
      </c>
      <c r="AD16" s="3">
        <f>WIOD.ThreeME_V3!AD16 * Pond.Inputs!$B16/SUMPRODUCT(WIOD.ThreeME_V3!AD$2:AD$57,Pond.Inputs!$B$2:$B$57)</f>
        <v>0</v>
      </c>
      <c r="AE16" s="3">
        <f>WIOD.ThreeME_V3!AE16 * Pond.Inputs!$B16/SUMPRODUCT(WIOD.ThreeME_V3!AE$2:AE$57,Pond.Inputs!$B$2:$B$57)</f>
        <v>0</v>
      </c>
      <c r="AF16" s="3">
        <f>WIOD.ThreeME_V3!AF16 * Pond.Inputs!$B16/SUMPRODUCT(WIOD.ThreeME_V3!AF$2:AF$57,Pond.Inputs!$B$2:$B$57)</f>
        <v>0</v>
      </c>
      <c r="AG16" s="3">
        <f>WIOD.ThreeME_V3!AG16 * Pond.Inputs!$B16/SUMPRODUCT(WIOD.ThreeME_V3!AG$2:AG$57,Pond.Inputs!$B$2:$B$57)</f>
        <v>0</v>
      </c>
    </row>
    <row r="17" spans="1:33" x14ac:dyDescent="0.2">
      <c r="A17" s="1" t="s">
        <v>30</v>
      </c>
      <c r="B17" s="3">
        <f>WIOD.ThreeME_V3!B17 * Pond.Inputs!$B17/SUMPRODUCT(WIOD.ThreeME_V3!B$2:B$57,Pond.Inputs!$B$2:$B$57)</f>
        <v>0</v>
      </c>
      <c r="C17" s="3">
        <f>WIOD.ThreeME_V3!C17 * Pond.Inputs!$B17/SUMPRODUCT(WIOD.ThreeME_V3!C$2:C$57,Pond.Inputs!$B$2:$B$57)</f>
        <v>0</v>
      </c>
      <c r="D17" s="3">
        <f>WIOD.ThreeME_V3!D17 * Pond.Inputs!$B17/SUMPRODUCT(WIOD.ThreeME_V3!D$2:D$57,Pond.Inputs!$B$2:$B$57)</f>
        <v>0</v>
      </c>
      <c r="E17" s="3">
        <f>WIOD.ThreeME_V3!E17 * Pond.Inputs!$B17/SUMPRODUCT(WIOD.ThreeME_V3!E$2:E$57,Pond.Inputs!$B$2:$B$57)</f>
        <v>0</v>
      </c>
      <c r="F17" s="3">
        <f>WIOD.ThreeME_V3!F17 * Pond.Inputs!$B17/SUMPRODUCT(WIOD.ThreeME_V3!F$2:F$57,Pond.Inputs!$B$2:$B$57)</f>
        <v>0</v>
      </c>
      <c r="G17" s="3">
        <f>WIOD.ThreeME_V3!G17 * Pond.Inputs!$B17/SUMPRODUCT(WIOD.ThreeME_V3!G$2:G$57,Pond.Inputs!$B$2:$B$57)</f>
        <v>0</v>
      </c>
      <c r="H17" s="3">
        <f>WIOD.ThreeME_V3!H17 * Pond.Inputs!$B17/SUMPRODUCT(WIOD.ThreeME_V3!H$2:H$57,Pond.Inputs!$B$2:$B$57)</f>
        <v>0</v>
      </c>
      <c r="I17" s="3">
        <f>WIOD.ThreeME_V3!I17 * Pond.Inputs!$B17/SUMPRODUCT(WIOD.ThreeME_V3!I$2:I$57,Pond.Inputs!$B$2:$B$57)</f>
        <v>0</v>
      </c>
      <c r="J17" s="3">
        <f>WIOD.ThreeME_V3!J17 * Pond.Inputs!$B17/SUMPRODUCT(WIOD.ThreeME_V3!J$2:J$57,Pond.Inputs!$B$2:$B$57)</f>
        <v>0.60149831132944431</v>
      </c>
      <c r="K17" s="3">
        <f>WIOD.ThreeME_V3!K17 * Pond.Inputs!$B17/SUMPRODUCT(WIOD.ThreeME_V3!K$2:K$57,Pond.Inputs!$B$2:$B$57)</f>
        <v>0</v>
      </c>
      <c r="L17" s="3">
        <f>WIOD.ThreeME_V3!L17 * Pond.Inputs!$B17/SUMPRODUCT(WIOD.ThreeME_V3!L$2:L$57,Pond.Inputs!$B$2:$B$57)</f>
        <v>0</v>
      </c>
      <c r="M17" s="3">
        <f>WIOD.ThreeME_V3!M17 * Pond.Inputs!$B17/SUMPRODUCT(WIOD.ThreeME_V3!M$2:M$57,Pond.Inputs!$B$2:$B$57)</f>
        <v>0</v>
      </c>
      <c r="N17" s="3">
        <f>WIOD.ThreeME_V3!N17 * Pond.Inputs!$B17/SUMPRODUCT(WIOD.ThreeME_V3!N$2:N$57,Pond.Inputs!$B$2:$B$57)</f>
        <v>0</v>
      </c>
      <c r="O17" s="3">
        <f>WIOD.ThreeME_V3!O17 * Pond.Inputs!$B17/SUMPRODUCT(WIOD.ThreeME_V3!O$2:O$57,Pond.Inputs!$B$2:$B$57)</f>
        <v>0</v>
      </c>
      <c r="P17" s="3">
        <f>WIOD.ThreeME_V3!P17 * Pond.Inputs!$B17/SUMPRODUCT(WIOD.ThreeME_V3!P$2:P$57,Pond.Inputs!$B$2:$B$57)</f>
        <v>0</v>
      </c>
      <c r="Q17" s="3">
        <f>WIOD.ThreeME_V3!Q17 * Pond.Inputs!$B17/SUMPRODUCT(WIOD.ThreeME_V3!Q$2:Q$57,Pond.Inputs!$B$2:$B$57)</f>
        <v>0</v>
      </c>
      <c r="R17" s="3">
        <f>WIOD.ThreeME_V3!R17 * Pond.Inputs!$B17/SUMPRODUCT(WIOD.ThreeME_V3!R$2:R$57,Pond.Inputs!$B$2:$B$57)</f>
        <v>0</v>
      </c>
      <c r="S17" s="3">
        <f>WIOD.ThreeME_V3!S17 * Pond.Inputs!$B17/SUMPRODUCT(WIOD.ThreeME_V3!S$2:S$57,Pond.Inputs!$B$2:$B$57)</f>
        <v>0</v>
      </c>
      <c r="T17" s="3">
        <f>WIOD.ThreeME_V3!T17 * Pond.Inputs!$B17/SUMPRODUCT(WIOD.ThreeME_V3!T$2:T$57,Pond.Inputs!$B$2:$B$57)</f>
        <v>0</v>
      </c>
      <c r="U17" s="3">
        <f>WIOD.ThreeME_V3!U17 * Pond.Inputs!$B17/SUMPRODUCT(WIOD.ThreeME_V3!U$2:U$57,Pond.Inputs!$B$2:$B$57)</f>
        <v>0</v>
      </c>
      <c r="V17" s="3">
        <f>WIOD.ThreeME_V3!V17 * Pond.Inputs!$B17/SUMPRODUCT(WIOD.ThreeME_V3!V$2:V$57,Pond.Inputs!$B$2:$B$57)</f>
        <v>0</v>
      </c>
      <c r="W17" s="3">
        <f>WIOD.ThreeME_V3!W17 * Pond.Inputs!$B17/SUMPRODUCT(WIOD.ThreeME_V3!W$2:W$57,Pond.Inputs!$B$2:$B$57)</f>
        <v>0</v>
      </c>
      <c r="X17" s="3">
        <f>WIOD.ThreeME_V3!X17 * Pond.Inputs!$B17/SUMPRODUCT(WIOD.ThreeME_V3!X$2:X$57,Pond.Inputs!$B$2:$B$57)</f>
        <v>0</v>
      </c>
      <c r="Y17" s="3">
        <f>WIOD.ThreeME_V3!Y17 * Pond.Inputs!$B17/SUMPRODUCT(WIOD.ThreeME_V3!Y$2:Y$57,Pond.Inputs!$B$2:$B$57)</f>
        <v>0</v>
      </c>
      <c r="Z17" s="3">
        <f>WIOD.ThreeME_V3!Z17 * Pond.Inputs!$B17/SUMPRODUCT(WIOD.ThreeME_V3!Z$2:Z$57,Pond.Inputs!$B$2:$B$57)</f>
        <v>0</v>
      </c>
      <c r="AA17" s="3">
        <f>WIOD.ThreeME_V3!AA17 * Pond.Inputs!$B17/SUMPRODUCT(WIOD.ThreeME_V3!AA$2:AA$57,Pond.Inputs!$B$2:$B$57)</f>
        <v>0</v>
      </c>
      <c r="AB17" s="3">
        <f>WIOD.ThreeME_V3!AB17 * Pond.Inputs!$B17/SUMPRODUCT(WIOD.ThreeME_V3!AB$2:AB$57,Pond.Inputs!$B$2:$B$57)</f>
        <v>0</v>
      </c>
      <c r="AC17" s="3">
        <f>WIOD.ThreeME_V3!AC17 * Pond.Inputs!$B17/SUMPRODUCT(WIOD.ThreeME_V3!AC$2:AC$57,Pond.Inputs!$B$2:$B$57)</f>
        <v>0</v>
      </c>
      <c r="AD17" s="3">
        <f>WIOD.ThreeME_V3!AD17 * Pond.Inputs!$B17/SUMPRODUCT(WIOD.ThreeME_V3!AD$2:AD$57,Pond.Inputs!$B$2:$B$57)</f>
        <v>0</v>
      </c>
      <c r="AE17" s="3">
        <f>WIOD.ThreeME_V3!AE17 * Pond.Inputs!$B17/SUMPRODUCT(WIOD.ThreeME_V3!AE$2:AE$57,Pond.Inputs!$B$2:$B$57)</f>
        <v>0</v>
      </c>
      <c r="AF17" s="3">
        <f>WIOD.ThreeME_V3!AF17 * Pond.Inputs!$B17/SUMPRODUCT(WIOD.ThreeME_V3!AF$2:AF$57,Pond.Inputs!$B$2:$B$57)</f>
        <v>0</v>
      </c>
      <c r="AG17" s="3">
        <f>WIOD.ThreeME_V3!AG17 * Pond.Inputs!$B17/SUMPRODUCT(WIOD.ThreeME_V3!AG$2:AG$57,Pond.Inputs!$B$2:$B$57)</f>
        <v>0</v>
      </c>
    </row>
    <row r="18" spans="1:33" x14ac:dyDescent="0.2">
      <c r="A18" s="1" t="s">
        <v>31</v>
      </c>
      <c r="B18" s="3">
        <f>WIOD.ThreeME_V3!B18 * Pond.Inputs!$B18/SUMPRODUCT(WIOD.ThreeME_V3!B$2:B$57,Pond.Inputs!$B$2:$B$57)</f>
        <v>0</v>
      </c>
      <c r="C18" s="3">
        <f>WIOD.ThreeME_V3!C18 * Pond.Inputs!$B18/SUMPRODUCT(WIOD.ThreeME_V3!C$2:C$57,Pond.Inputs!$B$2:$B$57)</f>
        <v>0</v>
      </c>
      <c r="D18" s="3">
        <f>WIOD.ThreeME_V3!D18 * Pond.Inputs!$B18/SUMPRODUCT(WIOD.ThreeME_V3!D$2:D$57,Pond.Inputs!$B$2:$B$57)</f>
        <v>0</v>
      </c>
      <c r="E18" s="3">
        <f>WIOD.ThreeME_V3!E18 * Pond.Inputs!$B18/SUMPRODUCT(WIOD.ThreeME_V3!E$2:E$57,Pond.Inputs!$B$2:$B$57)</f>
        <v>0</v>
      </c>
      <c r="F18" s="3">
        <f>WIOD.ThreeME_V3!F18 * Pond.Inputs!$B18/SUMPRODUCT(WIOD.ThreeME_V3!F$2:F$57,Pond.Inputs!$B$2:$B$57)</f>
        <v>0</v>
      </c>
      <c r="G18" s="3">
        <f>WIOD.ThreeME_V3!G18 * Pond.Inputs!$B18/SUMPRODUCT(WIOD.ThreeME_V3!G$2:G$57,Pond.Inputs!$B$2:$B$57)</f>
        <v>0</v>
      </c>
      <c r="H18" s="3">
        <f>WIOD.ThreeME_V3!H18 * Pond.Inputs!$B18/SUMPRODUCT(WIOD.ThreeME_V3!H$2:H$57,Pond.Inputs!$B$2:$B$57)</f>
        <v>0</v>
      </c>
      <c r="I18" s="3">
        <f>WIOD.ThreeME_V3!I18 * Pond.Inputs!$B18/SUMPRODUCT(WIOD.ThreeME_V3!I$2:I$57,Pond.Inputs!$B$2:$B$57)</f>
        <v>0</v>
      </c>
      <c r="J18" s="3">
        <f>WIOD.ThreeME_V3!J18 * Pond.Inputs!$B18/SUMPRODUCT(WIOD.ThreeME_V3!J$2:J$57,Pond.Inputs!$B$2:$B$57)</f>
        <v>0</v>
      </c>
      <c r="K18" s="3">
        <f>WIOD.ThreeME_V3!K18 * Pond.Inputs!$B18/SUMPRODUCT(WIOD.ThreeME_V3!K$2:K$57,Pond.Inputs!$B$2:$B$57)</f>
        <v>7.6026816364444083E-2</v>
      </c>
      <c r="L18" s="3">
        <f>WIOD.ThreeME_V3!L18 * Pond.Inputs!$B18/SUMPRODUCT(WIOD.ThreeME_V3!L$2:L$57,Pond.Inputs!$B$2:$B$57)</f>
        <v>0</v>
      </c>
      <c r="M18" s="3">
        <f>WIOD.ThreeME_V3!M18 * Pond.Inputs!$B18/SUMPRODUCT(WIOD.ThreeME_V3!M$2:M$57,Pond.Inputs!$B$2:$B$57)</f>
        <v>0</v>
      </c>
      <c r="N18" s="3">
        <f>WIOD.ThreeME_V3!N18 * Pond.Inputs!$B18/SUMPRODUCT(WIOD.ThreeME_V3!N$2:N$57,Pond.Inputs!$B$2:$B$57)</f>
        <v>0</v>
      </c>
      <c r="O18" s="3">
        <f>WIOD.ThreeME_V3!O18 * Pond.Inputs!$B18/SUMPRODUCT(WIOD.ThreeME_V3!O$2:O$57,Pond.Inputs!$B$2:$B$57)</f>
        <v>0</v>
      </c>
      <c r="P18" s="3">
        <f>WIOD.ThreeME_V3!P18 * Pond.Inputs!$B18/SUMPRODUCT(WIOD.ThreeME_V3!P$2:P$57,Pond.Inputs!$B$2:$B$57)</f>
        <v>0</v>
      </c>
      <c r="Q18" s="3">
        <f>WIOD.ThreeME_V3!Q18 * Pond.Inputs!$B18/SUMPRODUCT(WIOD.ThreeME_V3!Q$2:Q$57,Pond.Inputs!$B$2:$B$57)</f>
        <v>0</v>
      </c>
      <c r="R18" s="3">
        <f>WIOD.ThreeME_V3!R18 * Pond.Inputs!$B18/SUMPRODUCT(WIOD.ThreeME_V3!R$2:R$57,Pond.Inputs!$B$2:$B$57)</f>
        <v>0</v>
      </c>
      <c r="S18" s="3">
        <f>WIOD.ThreeME_V3!S18 * Pond.Inputs!$B18/SUMPRODUCT(WIOD.ThreeME_V3!S$2:S$57,Pond.Inputs!$B$2:$B$57)</f>
        <v>0</v>
      </c>
      <c r="T18" s="3">
        <f>WIOD.ThreeME_V3!T18 * Pond.Inputs!$B18/SUMPRODUCT(WIOD.ThreeME_V3!T$2:T$57,Pond.Inputs!$B$2:$B$57)</f>
        <v>0</v>
      </c>
      <c r="U18" s="3">
        <f>WIOD.ThreeME_V3!U18 * Pond.Inputs!$B18/SUMPRODUCT(WIOD.ThreeME_V3!U$2:U$57,Pond.Inputs!$B$2:$B$57)</f>
        <v>0</v>
      </c>
      <c r="V18" s="3">
        <f>WIOD.ThreeME_V3!V18 * Pond.Inputs!$B18/SUMPRODUCT(WIOD.ThreeME_V3!V$2:V$57,Pond.Inputs!$B$2:$B$57)</f>
        <v>0</v>
      </c>
      <c r="W18" s="3">
        <f>WIOD.ThreeME_V3!W18 * Pond.Inputs!$B18/SUMPRODUCT(WIOD.ThreeME_V3!W$2:W$57,Pond.Inputs!$B$2:$B$57)</f>
        <v>0</v>
      </c>
      <c r="X18" s="3">
        <f>WIOD.ThreeME_V3!X18 * Pond.Inputs!$B18/SUMPRODUCT(WIOD.ThreeME_V3!X$2:X$57,Pond.Inputs!$B$2:$B$57)</f>
        <v>0</v>
      </c>
      <c r="Y18" s="3">
        <f>WIOD.ThreeME_V3!Y18 * Pond.Inputs!$B18/SUMPRODUCT(WIOD.ThreeME_V3!Y$2:Y$57,Pond.Inputs!$B$2:$B$57)</f>
        <v>0</v>
      </c>
      <c r="Z18" s="3">
        <f>WIOD.ThreeME_V3!Z18 * Pond.Inputs!$B18/SUMPRODUCT(WIOD.ThreeME_V3!Z$2:Z$57,Pond.Inputs!$B$2:$B$57)</f>
        <v>0</v>
      </c>
      <c r="AA18" s="3">
        <f>WIOD.ThreeME_V3!AA18 * Pond.Inputs!$B18/SUMPRODUCT(WIOD.ThreeME_V3!AA$2:AA$57,Pond.Inputs!$B$2:$B$57)</f>
        <v>0</v>
      </c>
      <c r="AB18" s="3">
        <f>WIOD.ThreeME_V3!AB18 * Pond.Inputs!$B18/SUMPRODUCT(WIOD.ThreeME_V3!AB$2:AB$57,Pond.Inputs!$B$2:$B$57)</f>
        <v>0</v>
      </c>
      <c r="AC18" s="3">
        <f>WIOD.ThreeME_V3!AC18 * Pond.Inputs!$B18/SUMPRODUCT(WIOD.ThreeME_V3!AC$2:AC$57,Pond.Inputs!$B$2:$B$57)</f>
        <v>0</v>
      </c>
      <c r="AD18" s="3">
        <f>WIOD.ThreeME_V3!AD18 * Pond.Inputs!$B18/SUMPRODUCT(WIOD.ThreeME_V3!AD$2:AD$57,Pond.Inputs!$B$2:$B$57)</f>
        <v>0</v>
      </c>
      <c r="AE18" s="3">
        <f>WIOD.ThreeME_V3!AE18 * Pond.Inputs!$B18/SUMPRODUCT(WIOD.ThreeME_V3!AE$2:AE$57,Pond.Inputs!$B$2:$B$57)</f>
        <v>0</v>
      </c>
      <c r="AF18" s="3">
        <f>WIOD.ThreeME_V3!AF18 * Pond.Inputs!$B18/SUMPRODUCT(WIOD.ThreeME_V3!AF$2:AF$57,Pond.Inputs!$B$2:$B$57)</f>
        <v>0</v>
      </c>
      <c r="AG18" s="3">
        <f>WIOD.ThreeME_V3!AG18 * Pond.Inputs!$B18/SUMPRODUCT(WIOD.ThreeME_V3!AG$2:AG$57,Pond.Inputs!$B$2:$B$57)</f>
        <v>0</v>
      </c>
    </row>
    <row r="19" spans="1:33" x14ac:dyDescent="0.2">
      <c r="A19" s="1" t="s">
        <v>32</v>
      </c>
      <c r="B19" s="3">
        <f>WIOD.ThreeME_V3!B19 * Pond.Inputs!$B19/SUMPRODUCT(WIOD.ThreeME_V3!B$2:B$57,Pond.Inputs!$B$2:$B$57)</f>
        <v>0</v>
      </c>
      <c r="C19" s="3">
        <f>WIOD.ThreeME_V3!C19 * Pond.Inputs!$B19/SUMPRODUCT(WIOD.ThreeME_V3!C$2:C$57,Pond.Inputs!$B$2:$B$57)</f>
        <v>0</v>
      </c>
      <c r="D19" s="3">
        <f>WIOD.ThreeME_V3!D19 * Pond.Inputs!$B19/SUMPRODUCT(WIOD.ThreeME_V3!D$2:D$57,Pond.Inputs!$B$2:$B$57)</f>
        <v>0</v>
      </c>
      <c r="E19" s="3">
        <f>WIOD.ThreeME_V3!E19 * Pond.Inputs!$B19/SUMPRODUCT(WIOD.ThreeME_V3!E$2:E$57,Pond.Inputs!$B$2:$B$57)</f>
        <v>0</v>
      </c>
      <c r="F19" s="3">
        <f>WIOD.ThreeME_V3!F19 * Pond.Inputs!$B19/SUMPRODUCT(WIOD.ThreeME_V3!F$2:F$57,Pond.Inputs!$B$2:$B$57)</f>
        <v>0</v>
      </c>
      <c r="G19" s="3">
        <f>WIOD.ThreeME_V3!G19 * Pond.Inputs!$B19/SUMPRODUCT(WIOD.ThreeME_V3!G$2:G$57,Pond.Inputs!$B$2:$B$57)</f>
        <v>0</v>
      </c>
      <c r="H19" s="3">
        <f>WIOD.ThreeME_V3!H19 * Pond.Inputs!$B19/SUMPRODUCT(WIOD.ThreeME_V3!H$2:H$57,Pond.Inputs!$B$2:$B$57)</f>
        <v>0</v>
      </c>
      <c r="I19" s="3">
        <f>WIOD.ThreeME_V3!I19 * Pond.Inputs!$B19/SUMPRODUCT(WIOD.ThreeME_V3!I$2:I$57,Pond.Inputs!$B$2:$B$57)</f>
        <v>0</v>
      </c>
      <c r="J19" s="3">
        <f>WIOD.ThreeME_V3!J19 * Pond.Inputs!$B19/SUMPRODUCT(WIOD.ThreeME_V3!J$2:J$57,Pond.Inputs!$B$2:$B$57)</f>
        <v>0</v>
      </c>
      <c r="K19" s="3">
        <f>WIOD.ThreeME_V3!K19 * Pond.Inputs!$B19/SUMPRODUCT(WIOD.ThreeME_V3!K$2:K$57,Pond.Inputs!$B$2:$B$57)</f>
        <v>6.8249128333535261E-2</v>
      </c>
      <c r="L19" s="3">
        <f>WIOD.ThreeME_V3!L19 * Pond.Inputs!$B19/SUMPRODUCT(WIOD.ThreeME_V3!L$2:L$57,Pond.Inputs!$B$2:$B$57)</f>
        <v>0</v>
      </c>
      <c r="M19" s="3">
        <f>WIOD.ThreeME_V3!M19 * Pond.Inputs!$B19/SUMPRODUCT(WIOD.ThreeME_V3!M$2:M$57,Pond.Inputs!$B$2:$B$57)</f>
        <v>0</v>
      </c>
      <c r="N19" s="3">
        <f>WIOD.ThreeME_V3!N19 * Pond.Inputs!$B19/SUMPRODUCT(WIOD.ThreeME_V3!N$2:N$57,Pond.Inputs!$B$2:$B$57)</f>
        <v>0</v>
      </c>
      <c r="O19" s="3">
        <f>WIOD.ThreeME_V3!O19 * Pond.Inputs!$B19/SUMPRODUCT(WIOD.ThreeME_V3!O$2:O$57,Pond.Inputs!$B$2:$B$57)</f>
        <v>0</v>
      </c>
      <c r="P19" s="3">
        <f>WIOD.ThreeME_V3!P19 * Pond.Inputs!$B19/SUMPRODUCT(WIOD.ThreeME_V3!P$2:P$57,Pond.Inputs!$B$2:$B$57)</f>
        <v>0</v>
      </c>
      <c r="Q19" s="3">
        <f>WIOD.ThreeME_V3!Q19 * Pond.Inputs!$B19/SUMPRODUCT(WIOD.ThreeME_V3!Q$2:Q$57,Pond.Inputs!$B$2:$B$57)</f>
        <v>0</v>
      </c>
      <c r="R19" s="3">
        <f>WIOD.ThreeME_V3!R19 * Pond.Inputs!$B19/SUMPRODUCT(WIOD.ThreeME_V3!R$2:R$57,Pond.Inputs!$B$2:$B$57)</f>
        <v>0</v>
      </c>
      <c r="S19" s="3">
        <f>WIOD.ThreeME_V3!S19 * Pond.Inputs!$B19/SUMPRODUCT(WIOD.ThreeME_V3!S$2:S$57,Pond.Inputs!$B$2:$B$57)</f>
        <v>0</v>
      </c>
      <c r="T19" s="3">
        <f>WIOD.ThreeME_V3!T19 * Pond.Inputs!$B19/SUMPRODUCT(WIOD.ThreeME_V3!T$2:T$57,Pond.Inputs!$B$2:$B$57)</f>
        <v>0</v>
      </c>
      <c r="U19" s="3">
        <f>WIOD.ThreeME_V3!U19 * Pond.Inputs!$B19/SUMPRODUCT(WIOD.ThreeME_V3!U$2:U$57,Pond.Inputs!$B$2:$B$57)</f>
        <v>0</v>
      </c>
      <c r="V19" s="3">
        <f>WIOD.ThreeME_V3!V19 * Pond.Inputs!$B19/SUMPRODUCT(WIOD.ThreeME_V3!V$2:V$57,Pond.Inputs!$B$2:$B$57)</f>
        <v>0</v>
      </c>
      <c r="W19" s="3">
        <f>WIOD.ThreeME_V3!W19 * Pond.Inputs!$B19/SUMPRODUCT(WIOD.ThreeME_V3!W$2:W$57,Pond.Inputs!$B$2:$B$57)</f>
        <v>0</v>
      </c>
      <c r="X19" s="3">
        <f>WIOD.ThreeME_V3!X19 * Pond.Inputs!$B19/SUMPRODUCT(WIOD.ThreeME_V3!X$2:X$57,Pond.Inputs!$B$2:$B$57)</f>
        <v>0</v>
      </c>
      <c r="Y19" s="3">
        <f>WIOD.ThreeME_V3!Y19 * Pond.Inputs!$B19/SUMPRODUCT(WIOD.ThreeME_V3!Y$2:Y$57,Pond.Inputs!$B$2:$B$57)</f>
        <v>0</v>
      </c>
      <c r="Z19" s="3">
        <f>WIOD.ThreeME_V3!Z19 * Pond.Inputs!$B19/SUMPRODUCT(WIOD.ThreeME_V3!Z$2:Z$57,Pond.Inputs!$B$2:$B$57)</f>
        <v>0</v>
      </c>
      <c r="AA19" s="3">
        <f>WIOD.ThreeME_V3!AA19 * Pond.Inputs!$B19/SUMPRODUCT(WIOD.ThreeME_V3!AA$2:AA$57,Pond.Inputs!$B$2:$B$57)</f>
        <v>0</v>
      </c>
      <c r="AB19" s="3">
        <f>WIOD.ThreeME_V3!AB19 * Pond.Inputs!$B19/SUMPRODUCT(WIOD.ThreeME_V3!AB$2:AB$57,Pond.Inputs!$B$2:$B$57)</f>
        <v>0</v>
      </c>
      <c r="AC19" s="3">
        <f>WIOD.ThreeME_V3!AC19 * Pond.Inputs!$B19/SUMPRODUCT(WIOD.ThreeME_V3!AC$2:AC$57,Pond.Inputs!$B$2:$B$57)</f>
        <v>0</v>
      </c>
      <c r="AD19" s="3">
        <f>WIOD.ThreeME_V3!AD19 * Pond.Inputs!$B19/SUMPRODUCT(WIOD.ThreeME_V3!AD$2:AD$57,Pond.Inputs!$B$2:$B$57)</f>
        <v>0</v>
      </c>
      <c r="AE19" s="3">
        <f>WIOD.ThreeME_V3!AE19 * Pond.Inputs!$B19/SUMPRODUCT(WIOD.ThreeME_V3!AE$2:AE$57,Pond.Inputs!$B$2:$B$57)</f>
        <v>0</v>
      </c>
      <c r="AF19" s="3">
        <f>WIOD.ThreeME_V3!AF19 * Pond.Inputs!$B19/SUMPRODUCT(WIOD.ThreeME_V3!AF$2:AF$57,Pond.Inputs!$B$2:$B$57)</f>
        <v>0</v>
      </c>
      <c r="AG19" s="3">
        <f>WIOD.ThreeME_V3!AG19 * Pond.Inputs!$B19/SUMPRODUCT(WIOD.ThreeME_V3!AG$2:AG$57,Pond.Inputs!$B$2:$B$57)</f>
        <v>0</v>
      </c>
    </row>
    <row r="20" spans="1:33" x14ac:dyDescent="0.2">
      <c r="A20" s="1" t="s">
        <v>33</v>
      </c>
      <c r="B20" s="3">
        <f>WIOD.ThreeME_V3!B20 * Pond.Inputs!$B20/SUMPRODUCT(WIOD.ThreeME_V3!B$2:B$57,Pond.Inputs!$B$2:$B$57)</f>
        <v>0</v>
      </c>
      <c r="C20" s="3">
        <f>WIOD.ThreeME_V3!C20 * Pond.Inputs!$B20/SUMPRODUCT(WIOD.ThreeME_V3!C$2:C$57,Pond.Inputs!$B$2:$B$57)</f>
        <v>0</v>
      </c>
      <c r="D20" s="3">
        <f>WIOD.ThreeME_V3!D20 * Pond.Inputs!$B20/SUMPRODUCT(WIOD.ThreeME_V3!D$2:D$57,Pond.Inputs!$B$2:$B$57)</f>
        <v>0</v>
      </c>
      <c r="E20" s="3">
        <f>WIOD.ThreeME_V3!E20 * Pond.Inputs!$B20/SUMPRODUCT(WIOD.ThreeME_V3!E$2:E$57,Pond.Inputs!$B$2:$B$57)</f>
        <v>0</v>
      </c>
      <c r="F20" s="3">
        <f>WIOD.ThreeME_V3!F20 * Pond.Inputs!$B20/SUMPRODUCT(WIOD.ThreeME_V3!F$2:F$57,Pond.Inputs!$B$2:$B$57)</f>
        <v>0</v>
      </c>
      <c r="G20" s="3">
        <f>WIOD.ThreeME_V3!G20 * Pond.Inputs!$B20/SUMPRODUCT(WIOD.ThreeME_V3!G$2:G$57,Pond.Inputs!$B$2:$B$57)</f>
        <v>0</v>
      </c>
      <c r="H20" s="3">
        <f>WIOD.ThreeME_V3!H20 * Pond.Inputs!$B20/SUMPRODUCT(WIOD.ThreeME_V3!H$2:H$57,Pond.Inputs!$B$2:$B$57)</f>
        <v>0</v>
      </c>
      <c r="I20" s="3">
        <f>WIOD.ThreeME_V3!I20 * Pond.Inputs!$B20/SUMPRODUCT(WIOD.ThreeME_V3!I$2:I$57,Pond.Inputs!$B$2:$B$57)</f>
        <v>0</v>
      </c>
      <c r="J20" s="3">
        <f>WIOD.ThreeME_V3!J20 * Pond.Inputs!$B20/SUMPRODUCT(WIOD.ThreeME_V3!J$2:J$57,Pond.Inputs!$B$2:$B$57)</f>
        <v>0</v>
      </c>
      <c r="K20" s="3">
        <f>WIOD.ThreeME_V3!K20 * Pond.Inputs!$B20/SUMPRODUCT(WIOD.ThreeME_V3!K$2:K$57,Pond.Inputs!$B$2:$B$57)</f>
        <v>0.12586661820335743</v>
      </c>
      <c r="L20" s="3">
        <f>WIOD.ThreeME_V3!L20 * Pond.Inputs!$B20/SUMPRODUCT(WIOD.ThreeME_V3!L$2:L$57,Pond.Inputs!$B$2:$B$57)</f>
        <v>0</v>
      </c>
      <c r="M20" s="3">
        <f>WIOD.ThreeME_V3!M20 * Pond.Inputs!$B20/SUMPRODUCT(WIOD.ThreeME_V3!M$2:M$57,Pond.Inputs!$B$2:$B$57)</f>
        <v>0</v>
      </c>
      <c r="N20" s="3">
        <f>WIOD.ThreeME_V3!N20 * Pond.Inputs!$B20/SUMPRODUCT(WIOD.ThreeME_V3!N$2:N$57,Pond.Inputs!$B$2:$B$57)</f>
        <v>0</v>
      </c>
      <c r="O20" s="3">
        <f>WIOD.ThreeME_V3!O20 * Pond.Inputs!$B20/SUMPRODUCT(WIOD.ThreeME_V3!O$2:O$57,Pond.Inputs!$B$2:$B$57)</f>
        <v>0</v>
      </c>
      <c r="P20" s="3">
        <f>WIOD.ThreeME_V3!P20 * Pond.Inputs!$B20/SUMPRODUCT(WIOD.ThreeME_V3!P$2:P$57,Pond.Inputs!$B$2:$B$57)</f>
        <v>0</v>
      </c>
      <c r="Q20" s="3">
        <f>WIOD.ThreeME_V3!Q20 * Pond.Inputs!$B20/SUMPRODUCT(WIOD.ThreeME_V3!Q$2:Q$57,Pond.Inputs!$B$2:$B$57)</f>
        <v>0</v>
      </c>
      <c r="R20" s="3">
        <f>WIOD.ThreeME_V3!R20 * Pond.Inputs!$B20/SUMPRODUCT(WIOD.ThreeME_V3!R$2:R$57,Pond.Inputs!$B$2:$B$57)</f>
        <v>0</v>
      </c>
      <c r="S20" s="3">
        <f>WIOD.ThreeME_V3!S20 * Pond.Inputs!$B20/SUMPRODUCT(WIOD.ThreeME_V3!S$2:S$57,Pond.Inputs!$B$2:$B$57)</f>
        <v>0</v>
      </c>
      <c r="T20" s="3">
        <f>WIOD.ThreeME_V3!T20 * Pond.Inputs!$B20/SUMPRODUCT(WIOD.ThreeME_V3!T$2:T$57,Pond.Inputs!$B$2:$B$57)</f>
        <v>0</v>
      </c>
      <c r="U20" s="3">
        <f>WIOD.ThreeME_V3!U20 * Pond.Inputs!$B20/SUMPRODUCT(WIOD.ThreeME_V3!U$2:U$57,Pond.Inputs!$B$2:$B$57)</f>
        <v>0</v>
      </c>
      <c r="V20" s="3">
        <f>WIOD.ThreeME_V3!V20 * Pond.Inputs!$B20/SUMPRODUCT(WIOD.ThreeME_V3!V$2:V$57,Pond.Inputs!$B$2:$B$57)</f>
        <v>0</v>
      </c>
      <c r="W20" s="3">
        <f>WIOD.ThreeME_V3!W20 * Pond.Inputs!$B20/SUMPRODUCT(WIOD.ThreeME_V3!W$2:W$57,Pond.Inputs!$B$2:$B$57)</f>
        <v>0</v>
      </c>
      <c r="X20" s="3">
        <f>WIOD.ThreeME_V3!X20 * Pond.Inputs!$B20/SUMPRODUCT(WIOD.ThreeME_V3!X$2:X$57,Pond.Inputs!$B$2:$B$57)</f>
        <v>0</v>
      </c>
      <c r="Y20" s="3">
        <f>WIOD.ThreeME_V3!Y20 * Pond.Inputs!$B20/SUMPRODUCT(WIOD.ThreeME_V3!Y$2:Y$57,Pond.Inputs!$B$2:$B$57)</f>
        <v>0</v>
      </c>
      <c r="Z20" s="3">
        <f>WIOD.ThreeME_V3!Z20 * Pond.Inputs!$B20/SUMPRODUCT(WIOD.ThreeME_V3!Z$2:Z$57,Pond.Inputs!$B$2:$B$57)</f>
        <v>0</v>
      </c>
      <c r="AA20" s="3">
        <f>WIOD.ThreeME_V3!AA20 * Pond.Inputs!$B20/SUMPRODUCT(WIOD.ThreeME_V3!AA$2:AA$57,Pond.Inputs!$B$2:$B$57)</f>
        <v>0</v>
      </c>
      <c r="AB20" s="3">
        <f>WIOD.ThreeME_V3!AB20 * Pond.Inputs!$B20/SUMPRODUCT(WIOD.ThreeME_V3!AB$2:AB$57,Pond.Inputs!$B$2:$B$57)</f>
        <v>0</v>
      </c>
      <c r="AC20" s="3">
        <f>WIOD.ThreeME_V3!AC20 * Pond.Inputs!$B20/SUMPRODUCT(WIOD.ThreeME_V3!AC$2:AC$57,Pond.Inputs!$B$2:$B$57)</f>
        <v>0</v>
      </c>
      <c r="AD20" s="3">
        <f>WIOD.ThreeME_V3!AD20 * Pond.Inputs!$B20/SUMPRODUCT(WIOD.ThreeME_V3!AD$2:AD$57,Pond.Inputs!$B$2:$B$57)</f>
        <v>0</v>
      </c>
      <c r="AE20" s="3">
        <f>WIOD.ThreeME_V3!AE20 * Pond.Inputs!$B20/SUMPRODUCT(WIOD.ThreeME_V3!AE$2:AE$57,Pond.Inputs!$B$2:$B$57)</f>
        <v>0</v>
      </c>
      <c r="AF20" s="3">
        <f>WIOD.ThreeME_V3!AF20 * Pond.Inputs!$B20/SUMPRODUCT(WIOD.ThreeME_V3!AF$2:AF$57,Pond.Inputs!$B$2:$B$57)</f>
        <v>0</v>
      </c>
      <c r="AG20" s="3">
        <f>WIOD.ThreeME_V3!AG20 * Pond.Inputs!$B20/SUMPRODUCT(WIOD.ThreeME_V3!AG$2:AG$57,Pond.Inputs!$B$2:$B$57)</f>
        <v>0</v>
      </c>
    </row>
    <row r="21" spans="1:33" x14ac:dyDescent="0.2">
      <c r="A21" s="1" t="s">
        <v>34</v>
      </c>
      <c r="B21" s="3">
        <f>WIOD.ThreeME_V3!B21 * Pond.Inputs!$B21/SUMPRODUCT(WIOD.ThreeME_V3!B$2:B$57,Pond.Inputs!$B$2:$B$57)</f>
        <v>0</v>
      </c>
      <c r="C21" s="3">
        <f>WIOD.ThreeME_V3!C21 * Pond.Inputs!$B21/SUMPRODUCT(WIOD.ThreeME_V3!C$2:C$57,Pond.Inputs!$B$2:$B$57)</f>
        <v>0</v>
      </c>
      <c r="D21" s="3">
        <f>WIOD.ThreeME_V3!D21 * Pond.Inputs!$B21/SUMPRODUCT(WIOD.ThreeME_V3!D$2:D$57,Pond.Inputs!$B$2:$B$57)</f>
        <v>0</v>
      </c>
      <c r="E21" s="3">
        <f>WIOD.ThreeME_V3!E21 * Pond.Inputs!$B21/SUMPRODUCT(WIOD.ThreeME_V3!E$2:E$57,Pond.Inputs!$B$2:$B$57)</f>
        <v>0.47401975268846086</v>
      </c>
      <c r="F21" s="3">
        <f>WIOD.ThreeME_V3!F21 * Pond.Inputs!$B21/SUMPRODUCT(WIOD.ThreeME_V3!F$2:F$57,Pond.Inputs!$B$2:$B$57)</f>
        <v>0</v>
      </c>
      <c r="G21" s="3">
        <f>WIOD.ThreeME_V3!G21 * Pond.Inputs!$B21/SUMPRODUCT(WIOD.ThreeME_V3!G$2:G$57,Pond.Inputs!$B$2:$B$57)</f>
        <v>0</v>
      </c>
      <c r="H21" s="3">
        <f>WIOD.ThreeME_V3!H21 * Pond.Inputs!$B21/SUMPRODUCT(WIOD.ThreeME_V3!H$2:H$57,Pond.Inputs!$B$2:$B$57)</f>
        <v>0</v>
      </c>
      <c r="I21" s="3">
        <f>WIOD.ThreeME_V3!I21 * Pond.Inputs!$B21/SUMPRODUCT(WIOD.ThreeME_V3!I$2:I$57,Pond.Inputs!$B$2:$B$57)</f>
        <v>0</v>
      </c>
      <c r="J21" s="3">
        <f>WIOD.ThreeME_V3!J21 * Pond.Inputs!$B21/SUMPRODUCT(WIOD.ThreeME_V3!J$2:J$57,Pond.Inputs!$B$2:$B$57)</f>
        <v>0</v>
      </c>
      <c r="K21" s="3">
        <f>WIOD.ThreeME_V3!K21 * Pond.Inputs!$B21/SUMPRODUCT(WIOD.ThreeME_V3!K$2:K$57,Pond.Inputs!$B$2:$B$57)</f>
        <v>0</v>
      </c>
      <c r="L21" s="3">
        <f>WIOD.ThreeME_V3!L21 * Pond.Inputs!$B21/SUMPRODUCT(WIOD.ThreeME_V3!L$2:L$57,Pond.Inputs!$B$2:$B$57)</f>
        <v>0</v>
      </c>
      <c r="M21" s="3">
        <f>WIOD.ThreeME_V3!M21 * Pond.Inputs!$B21/SUMPRODUCT(WIOD.ThreeME_V3!M$2:M$57,Pond.Inputs!$B$2:$B$57)</f>
        <v>0</v>
      </c>
      <c r="N21" s="3">
        <f>WIOD.ThreeME_V3!N21 * Pond.Inputs!$B21/SUMPRODUCT(WIOD.ThreeME_V3!N$2:N$57,Pond.Inputs!$B$2:$B$57)</f>
        <v>0</v>
      </c>
      <c r="O21" s="3">
        <f>WIOD.ThreeME_V3!O21 * Pond.Inputs!$B21/SUMPRODUCT(WIOD.ThreeME_V3!O$2:O$57,Pond.Inputs!$B$2:$B$57)</f>
        <v>0</v>
      </c>
      <c r="P21" s="3">
        <f>WIOD.ThreeME_V3!P21 * Pond.Inputs!$B21/SUMPRODUCT(WIOD.ThreeME_V3!P$2:P$57,Pond.Inputs!$B$2:$B$57)</f>
        <v>0</v>
      </c>
      <c r="Q21" s="3">
        <f>WIOD.ThreeME_V3!Q21 * Pond.Inputs!$B21/SUMPRODUCT(WIOD.ThreeME_V3!Q$2:Q$57,Pond.Inputs!$B$2:$B$57)</f>
        <v>0</v>
      </c>
      <c r="R21" s="3">
        <f>WIOD.ThreeME_V3!R21 * Pond.Inputs!$B21/SUMPRODUCT(WIOD.ThreeME_V3!R$2:R$57,Pond.Inputs!$B$2:$B$57)</f>
        <v>0</v>
      </c>
      <c r="S21" s="3">
        <f>WIOD.ThreeME_V3!S21 * Pond.Inputs!$B21/SUMPRODUCT(WIOD.ThreeME_V3!S$2:S$57,Pond.Inputs!$B$2:$B$57)</f>
        <v>0</v>
      </c>
      <c r="T21" s="3">
        <f>WIOD.ThreeME_V3!T21 * Pond.Inputs!$B21/SUMPRODUCT(WIOD.ThreeME_V3!T$2:T$57,Pond.Inputs!$B$2:$B$57)</f>
        <v>0</v>
      </c>
      <c r="U21" s="3">
        <f>WIOD.ThreeME_V3!U21 * Pond.Inputs!$B21/SUMPRODUCT(WIOD.ThreeME_V3!U$2:U$57,Pond.Inputs!$B$2:$B$57)</f>
        <v>0</v>
      </c>
      <c r="V21" s="3">
        <f>WIOD.ThreeME_V3!V21 * Pond.Inputs!$B21/SUMPRODUCT(WIOD.ThreeME_V3!V$2:V$57,Pond.Inputs!$B$2:$B$57)</f>
        <v>0</v>
      </c>
      <c r="W21" s="3">
        <f>WIOD.ThreeME_V3!W21 * Pond.Inputs!$B21/SUMPRODUCT(WIOD.ThreeME_V3!W$2:W$57,Pond.Inputs!$B$2:$B$57)</f>
        <v>0</v>
      </c>
      <c r="X21" s="3">
        <f>WIOD.ThreeME_V3!X21 * Pond.Inputs!$B21/SUMPRODUCT(WIOD.ThreeME_V3!X$2:X$57,Pond.Inputs!$B$2:$B$57)</f>
        <v>0</v>
      </c>
      <c r="Y21" s="3">
        <f>WIOD.ThreeME_V3!Y21 * Pond.Inputs!$B21/SUMPRODUCT(WIOD.ThreeME_V3!Y$2:Y$57,Pond.Inputs!$B$2:$B$57)</f>
        <v>0</v>
      </c>
      <c r="Z21" s="3">
        <f>WIOD.ThreeME_V3!Z21 * Pond.Inputs!$B21/SUMPRODUCT(WIOD.ThreeME_V3!Z$2:Z$57,Pond.Inputs!$B$2:$B$57)</f>
        <v>0</v>
      </c>
      <c r="AA21" s="3">
        <f>WIOD.ThreeME_V3!AA21 * Pond.Inputs!$B21/SUMPRODUCT(WIOD.ThreeME_V3!AA$2:AA$57,Pond.Inputs!$B$2:$B$57)</f>
        <v>0</v>
      </c>
      <c r="AB21" s="3">
        <f>WIOD.ThreeME_V3!AB21 * Pond.Inputs!$B21/SUMPRODUCT(WIOD.ThreeME_V3!AB$2:AB$57,Pond.Inputs!$B$2:$B$57)</f>
        <v>0</v>
      </c>
      <c r="AC21" s="3">
        <f>WIOD.ThreeME_V3!AC21 * Pond.Inputs!$B21/SUMPRODUCT(WIOD.ThreeME_V3!AC$2:AC$57,Pond.Inputs!$B$2:$B$57)</f>
        <v>0</v>
      </c>
      <c r="AD21" s="3">
        <f>WIOD.ThreeME_V3!AD21 * Pond.Inputs!$B21/SUMPRODUCT(WIOD.ThreeME_V3!AD$2:AD$57,Pond.Inputs!$B$2:$B$57)</f>
        <v>0</v>
      </c>
      <c r="AE21" s="3">
        <f>WIOD.ThreeME_V3!AE21 * Pond.Inputs!$B21/SUMPRODUCT(WIOD.ThreeME_V3!AE$2:AE$57,Pond.Inputs!$B$2:$B$57)</f>
        <v>0</v>
      </c>
      <c r="AF21" s="3">
        <f>WIOD.ThreeME_V3!AF21 * Pond.Inputs!$B21/SUMPRODUCT(WIOD.ThreeME_V3!AF$2:AF$57,Pond.Inputs!$B$2:$B$57)</f>
        <v>0</v>
      </c>
      <c r="AG21" s="3">
        <f>WIOD.ThreeME_V3!AG21 * Pond.Inputs!$B21/SUMPRODUCT(WIOD.ThreeME_V3!AG$2:AG$57,Pond.Inputs!$B$2:$B$57)</f>
        <v>0</v>
      </c>
    </row>
    <row r="22" spans="1:33" x14ac:dyDescent="0.2">
      <c r="A22" s="1" t="s">
        <v>35</v>
      </c>
      <c r="B22" s="3">
        <f>WIOD.ThreeME_V3!B22 * Pond.Inputs!$B22/SUMPRODUCT(WIOD.ThreeME_V3!B$2:B$57,Pond.Inputs!$B$2:$B$57)</f>
        <v>0</v>
      </c>
      <c r="C22" s="3">
        <f>WIOD.ThreeME_V3!C22 * Pond.Inputs!$B22/SUMPRODUCT(WIOD.ThreeME_V3!C$2:C$57,Pond.Inputs!$B$2:$B$57)</f>
        <v>0</v>
      </c>
      <c r="D22" s="3">
        <f>WIOD.ThreeME_V3!D22 * Pond.Inputs!$B22/SUMPRODUCT(WIOD.ThreeME_V3!D$2:D$57,Pond.Inputs!$B$2:$B$57)</f>
        <v>0</v>
      </c>
      <c r="E22" s="3">
        <f>WIOD.ThreeME_V3!E22 * Pond.Inputs!$B22/SUMPRODUCT(WIOD.ThreeME_V3!E$2:E$57,Pond.Inputs!$B$2:$B$57)</f>
        <v>0.52598024731153914</v>
      </c>
      <c r="F22" s="3">
        <f>WIOD.ThreeME_V3!F22 * Pond.Inputs!$B22/SUMPRODUCT(WIOD.ThreeME_V3!F$2:F$57,Pond.Inputs!$B$2:$B$57)</f>
        <v>0</v>
      </c>
      <c r="G22" s="3">
        <f>WIOD.ThreeME_V3!G22 * Pond.Inputs!$B22/SUMPRODUCT(WIOD.ThreeME_V3!G$2:G$57,Pond.Inputs!$B$2:$B$57)</f>
        <v>0</v>
      </c>
      <c r="H22" s="3">
        <f>WIOD.ThreeME_V3!H22 * Pond.Inputs!$B22/SUMPRODUCT(WIOD.ThreeME_V3!H$2:H$57,Pond.Inputs!$B$2:$B$57)</f>
        <v>0</v>
      </c>
      <c r="I22" s="3">
        <f>WIOD.ThreeME_V3!I22 * Pond.Inputs!$B22/SUMPRODUCT(WIOD.ThreeME_V3!I$2:I$57,Pond.Inputs!$B$2:$B$57)</f>
        <v>0</v>
      </c>
      <c r="J22" s="3">
        <f>WIOD.ThreeME_V3!J22 * Pond.Inputs!$B22/SUMPRODUCT(WIOD.ThreeME_V3!J$2:J$57,Pond.Inputs!$B$2:$B$57)</f>
        <v>0</v>
      </c>
      <c r="K22" s="3">
        <f>WIOD.ThreeME_V3!K22 * Pond.Inputs!$B22/SUMPRODUCT(WIOD.ThreeME_V3!K$2:K$57,Pond.Inputs!$B$2:$B$57)</f>
        <v>0</v>
      </c>
      <c r="L22" s="3">
        <f>WIOD.ThreeME_V3!L22 * Pond.Inputs!$B22/SUMPRODUCT(WIOD.ThreeME_V3!L$2:L$57,Pond.Inputs!$B$2:$B$57)</f>
        <v>0</v>
      </c>
      <c r="M22" s="3">
        <f>WIOD.ThreeME_V3!M22 * Pond.Inputs!$B22/SUMPRODUCT(WIOD.ThreeME_V3!M$2:M$57,Pond.Inputs!$B$2:$B$57)</f>
        <v>0</v>
      </c>
      <c r="N22" s="3">
        <f>WIOD.ThreeME_V3!N22 * Pond.Inputs!$B22/SUMPRODUCT(WIOD.ThreeME_V3!N$2:N$57,Pond.Inputs!$B$2:$B$57)</f>
        <v>0</v>
      </c>
      <c r="O22" s="3">
        <f>WIOD.ThreeME_V3!O22 * Pond.Inputs!$B22/SUMPRODUCT(WIOD.ThreeME_V3!O$2:O$57,Pond.Inputs!$B$2:$B$57)</f>
        <v>0</v>
      </c>
      <c r="P22" s="3">
        <f>WIOD.ThreeME_V3!P22 * Pond.Inputs!$B22/SUMPRODUCT(WIOD.ThreeME_V3!P$2:P$57,Pond.Inputs!$B$2:$B$57)</f>
        <v>0</v>
      </c>
      <c r="Q22" s="3">
        <f>WIOD.ThreeME_V3!Q22 * Pond.Inputs!$B22/SUMPRODUCT(WIOD.ThreeME_V3!Q$2:Q$57,Pond.Inputs!$B$2:$B$57)</f>
        <v>0</v>
      </c>
      <c r="R22" s="3">
        <f>WIOD.ThreeME_V3!R22 * Pond.Inputs!$B22/SUMPRODUCT(WIOD.ThreeME_V3!R$2:R$57,Pond.Inputs!$B$2:$B$57)</f>
        <v>0</v>
      </c>
      <c r="S22" s="3">
        <f>WIOD.ThreeME_V3!S22 * Pond.Inputs!$B22/SUMPRODUCT(WIOD.ThreeME_V3!S$2:S$57,Pond.Inputs!$B$2:$B$57)</f>
        <v>0</v>
      </c>
      <c r="T22" s="3">
        <f>WIOD.ThreeME_V3!T22 * Pond.Inputs!$B22/SUMPRODUCT(WIOD.ThreeME_V3!T$2:T$57,Pond.Inputs!$B$2:$B$57)</f>
        <v>0</v>
      </c>
      <c r="U22" s="3">
        <f>WIOD.ThreeME_V3!U22 * Pond.Inputs!$B22/SUMPRODUCT(WIOD.ThreeME_V3!U$2:U$57,Pond.Inputs!$B$2:$B$57)</f>
        <v>0</v>
      </c>
      <c r="V22" s="3">
        <f>WIOD.ThreeME_V3!V22 * Pond.Inputs!$B22/SUMPRODUCT(WIOD.ThreeME_V3!V$2:V$57,Pond.Inputs!$B$2:$B$57)</f>
        <v>0</v>
      </c>
      <c r="W22" s="3">
        <f>WIOD.ThreeME_V3!W22 * Pond.Inputs!$B22/SUMPRODUCT(WIOD.ThreeME_V3!W$2:W$57,Pond.Inputs!$B$2:$B$57)</f>
        <v>0</v>
      </c>
      <c r="X22" s="3">
        <f>WIOD.ThreeME_V3!X22 * Pond.Inputs!$B22/SUMPRODUCT(WIOD.ThreeME_V3!X$2:X$57,Pond.Inputs!$B$2:$B$57)</f>
        <v>0</v>
      </c>
      <c r="Y22" s="3">
        <f>WIOD.ThreeME_V3!Y22 * Pond.Inputs!$B22/SUMPRODUCT(WIOD.ThreeME_V3!Y$2:Y$57,Pond.Inputs!$B$2:$B$57)</f>
        <v>0</v>
      </c>
      <c r="Z22" s="3">
        <f>WIOD.ThreeME_V3!Z22 * Pond.Inputs!$B22/SUMPRODUCT(WIOD.ThreeME_V3!Z$2:Z$57,Pond.Inputs!$B$2:$B$57)</f>
        <v>0</v>
      </c>
      <c r="AA22" s="3">
        <f>WIOD.ThreeME_V3!AA22 * Pond.Inputs!$B22/SUMPRODUCT(WIOD.ThreeME_V3!AA$2:AA$57,Pond.Inputs!$B$2:$B$57)</f>
        <v>0</v>
      </c>
      <c r="AB22" s="3">
        <f>WIOD.ThreeME_V3!AB22 * Pond.Inputs!$B22/SUMPRODUCT(WIOD.ThreeME_V3!AB$2:AB$57,Pond.Inputs!$B$2:$B$57)</f>
        <v>0</v>
      </c>
      <c r="AC22" s="3">
        <f>WIOD.ThreeME_V3!AC22 * Pond.Inputs!$B22/SUMPRODUCT(WIOD.ThreeME_V3!AC$2:AC$57,Pond.Inputs!$B$2:$B$57)</f>
        <v>0</v>
      </c>
      <c r="AD22" s="3">
        <f>WIOD.ThreeME_V3!AD22 * Pond.Inputs!$B22/SUMPRODUCT(WIOD.ThreeME_V3!AD$2:AD$57,Pond.Inputs!$B$2:$B$57)</f>
        <v>0</v>
      </c>
      <c r="AE22" s="3">
        <f>WIOD.ThreeME_V3!AE22 * Pond.Inputs!$B22/SUMPRODUCT(WIOD.ThreeME_V3!AE$2:AE$57,Pond.Inputs!$B$2:$B$57)</f>
        <v>0</v>
      </c>
      <c r="AF22" s="3">
        <f>WIOD.ThreeME_V3!AF22 * Pond.Inputs!$B22/SUMPRODUCT(WIOD.ThreeME_V3!AF$2:AF$57,Pond.Inputs!$B$2:$B$57)</f>
        <v>0</v>
      </c>
      <c r="AG22" s="3">
        <f>WIOD.ThreeME_V3!AG22 * Pond.Inputs!$B22/SUMPRODUCT(WIOD.ThreeME_V3!AG$2:AG$57,Pond.Inputs!$B$2:$B$57)</f>
        <v>0</v>
      </c>
    </row>
    <row r="23" spans="1:33" x14ac:dyDescent="0.2">
      <c r="A23" s="1" t="s">
        <v>36</v>
      </c>
      <c r="B23" s="3">
        <f>WIOD.ThreeME_V3!B23 * Pond.Inputs!$B23/SUMPRODUCT(WIOD.ThreeME_V3!B$2:B$57,Pond.Inputs!$B$2:$B$57)</f>
        <v>0</v>
      </c>
      <c r="C23" s="3">
        <f>WIOD.ThreeME_V3!C23 * Pond.Inputs!$B23/SUMPRODUCT(WIOD.ThreeME_V3!C$2:C$57,Pond.Inputs!$B$2:$B$57)</f>
        <v>0</v>
      </c>
      <c r="D23" s="3">
        <f>WIOD.ThreeME_V3!D23 * Pond.Inputs!$B23/SUMPRODUCT(WIOD.ThreeME_V3!D$2:D$57,Pond.Inputs!$B$2:$B$57)</f>
        <v>0</v>
      </c>
      <c r="E23" s="3">
        <f>WIOD.ThreeME_V3!E23 * Pond.Inputs!$B23/SUMPRODUCT(WIOD.ThreeME_V3!E$2:E$57,Pond.Inputs!$B$2:$B$57)</f>
        <v>0</v>
      </c>
      <c r="F23" s="3">
        <f>WIOD.ThreeME_V3!F23 * Pond.Inputs!$B23/SUMPRODUCT(WIOD.ThreeME_V3!F$2:F$57,Pond.Inputs!$B$2:$B$57)</f>
        <v>0</v>
      </c>
      <c r="G23" s="3">
        <f>WIOD.ThreeME_V3!G23 * Pond.Inputs!$B23/SUMPRODUCT(WIOD.ThreeME_V3!G$2:G$57,Pond.Inputs!$B$2:$B$57)</f>
        <v>0</v>
      </c>
      <c r="H23" s="3">
        <f>WIOD.ThreeME_V3!H23 * Pond.Inputs!$B23/SUMPRODUCT(WIOD.ThreeME_V3!H$2:H$57,Pond.Inputs!$B$2:$B$57)</f>
        <v>0</v>
      </c>
      <c r="I23" s="3">
        <f>WIOD.ThreeME_V3!I23 * Pond.Inputs!$B23/SUMPRODUCT(WIOD.ThreeME_V3!I$2:I$57,Pond.Inputs!$B$2:$B$57)</f>
        <v>0</v>
      </c>
      <c r="J23" s="3">
        <f>WIOD.ThreeME_V3!J23 * Pond.Inputs!$B23/SUMPRODUCT(WIOD.ThreeME_V3!J$2:J$57,Pond.Inputs!$B$2:$B$57)</f>
        <v>0</v>
      </c>
      <c r="K23" s="3">
        <f>WIOD.ThreeME_V3!K23 * Pond.Inputs!$B23/SUMPRODUCT(WIOD.ThreeME_V3!K$2:K$57,Pond.Inputs!$B$2:$B$57)</f>
        <v>0</v>
      </c>
      <c r="L23" s="3">
        <f>WIOD.ThreeME_V3!L23 * Pond.Inputs!$B23/SUMPRODUCT(WIOD.ThreeME_V3!L$2:L$57,Pond.Inputs!$B$2:$B$57)</f>
        <v>1</v>
      </c>
      <c r="M23" s="3">
        <f>WIOD.ThreeME_V3!M23 * Pond.Inputs!$B23/SUMPRODUCT(WIOD.ThreeME_V3!M$2:M$57,Pond.Inputs!$B$2:$B$57)</f>
        <v>0</v>
      </c>
      <c r="N23" s="3">
        <f>WIOD.ThreeME_V3!N23 * Pond.Inputs!$B23/SUMPRODUCT(WIOD.ThreeME_V3!N$2:N$57,Pond.Inputs!$B$2:$B$57)</f>
        <v>0</v>
      </c>
      <c r="O23" s="3">
        <f>WIOD.ThreeME_V3!O23 * Pond.Inputs!$B23/SUMPRODUCT(WIOD.ThreeME_V3!O$2:O$57,Pond.Inputs!$B$2:$B$57)</f>
        <v>0</v>
      </c>
      <c r="P23" s="3">
        <f>WIOD.ThreeME_V3!P23 * Pond.Inputs!$B23/SUMPRODUCT(WIOD.ThreeME_V3!P$2:P$57,Pond.Inputs!$B$2:$B$57)</f>
        <v>0</v>
      </c>
      <c r="Q23" s="3">
        <f>WIOD.ThreeME_V3!Q23 * Pond.Inputs!$B23/SUMPRODUCT(WIOD.ThreeME_V3!Q$2:Q$57,Pond.Inputs!$B$2:$B$57)</f>
        <v>0</v>
      </c>
      <c r="R23" s="3">
        <f>WIOD.ThreeME_V3!R23 * Pond.Inputs!$B23/SUMPRODUCT(WIOD.ThreeME_V3!R$2:R$57,Pond.Inputs!$B$2:$B$57)</f>
        <v>0</v>
      </c>
      <c r="S23" s="3">
        <f>WIOD.ThreeME_V3!S23 * Pond.Inputs!$B23/SUMPRODUCT(WIOD.ThreeME_V3!S$2:S$57,Pond.Inputs!$B$2:$B$57)</f>
        <v>0</v>
      </c>
      <c r="T23" s="3">
        <f>WIOD.ThreeME_V3!T23 * Pond.Inputs!$B23/SUMPRODUCT(WIOD.ThreeME_V3!T$2:T$57,Pond.Inputs!$B$2:$B$57)</f>
        <v>0</v>
      </c>
      <c r="U23" s="3">
        <f>WIOD.ThreeME_V3!U23 * Pond.Inputs!$B23/SUMPRODUCT(WIOD.ThreeME_V3!U$2:U$57,Pond.Inputs!$B$2:$B$57)</f>
        <v>0</v>
      </c>
      <c r="V23" s="3">
        <f>WIOD.ThreeME_V3!V23 * Pond.Inputs!$B23/SUMPRODUCT(WIOD.ThreeME_V3!V$2:V$57,Pond.Inputs!$B$2:$B$57)</f>
        <v>0</v>
      </c>
      <c r="W23" s="3">
        <f>WIOD.ThreeME_V3!W23 * Pond.Inputs!$B23/SUMPRODUCT(WIOD.ThreeME_V3!W$2:W$57,Pond.Inputs!$B$2:$B$57)</f>
        <v>0</v>
      </c>
      <c r="X23" s="3">
        <f>WIOD.ThreeME_V3!X23 * Pond.Inputs!$B23/SUMPRODUCT(WIOD.ThreeME_V3!X$2:X$57,Pond.Inputs!$B$2:$B$57)</f>
        <v>0</v>
      </c>
      <c r="Y23" s="3">
        <f>WIOD.ThreeME_V3!Y23 * Pond.Inputs!$B23/SUMPRODUCT(WIOD.ThreeME_V3!Y$2:Y$57,Pond.Inputs!$B$2:$B$57)</f>
        <v>0</v>
      </c>
      <c r="Z23" s="3">
        <f>WIOD.ThreeME_V3!Z23 * Pond.Inputs!$B23/SUMPRODUCT(WIOD.ThreeME_V3!Z$2:Z$57,Pond.Inputs!$B$2:$B$57)</f>
        <v>0</v>
      </c>
      <c r="AA23" s="3">
        <f>WIOD.ThreeME_V3!AA23 * Pond.Inputs!$B23/SUMPRODUCT(WIOD.ThreeME_V3!AA$2:AA$57,Pond.Inputs!$B$2:$B$57)</f>
        <v>0</v>
      </c>
      <c r="AB23" s="3">
        <f>WIOD.ThreeME_V3!AB23 * Pond.Inputs!$B23/SUMPRODUCT(WIOD.ThreeME_V3!AB$2:AB$57,Pond.Inputs!$B$2:$B$57)</f>
        <v>0</v>
      </c>
      <c r="AC23" s="3">
        <f>WIOD.ThreeME_V3!AC23 * Pond.Inputs!$B23/SUMPRODUCT(WIOD.ThreeME_V3!AC$2:AC$57,Pond.Inputs!$B$2:$B$57)</f>
        <v>0</v>
      </c>
      <c r="AD23" s="3">
        <f>WIOD.ThreeME_V3!AD23 * Pond.Inputs!$B23/SUMPRODUCT(WIOD.ThreeME_V3!AD$2:AD$57,Pond.Inputs!$B$2:$B$57)</f>
        <v>0</v>
      </c>
      <c r="AE23" s="3">
        <f>WIOD.ThreeME_V3!AE23 * Pond.Inputs!$B23/SUMPRODUCT(WIOD.ThreeME_V3!AE$2:AE$57,Pond.Inputs!$B$2:$B$57)</f>
        <v>0</v>
      </c>
      <c r="AF23" s="3">
        <f>WIOD.ThreeME_V3!AF23 * Pond.Inputs!$B23/SUMPRODUCT(WIOD.ThreeME_V3!AF$2:AF$57,Pond.Inputs!$B$2:$B$57)</f>
        <v>0</v>
      </c>
      <c r="AG23" s="3">
        <f>WIOD.ThreeME_V3!AG23 * Pond.Inputs!$B23/SUMPRODUCT(WIOD.ThreeME_V3!AG$2:AG$57,Pond.Inputs!$B$2:$B$57)</f>
        <v>0</v>
      </c>
    </row>
    <row r="24" spans="1:33" x14ac:dyDescent="0.2">
      <c r="A24" s="1" t="s">
        <v>37</v>
      </c>
      <c r="B24" s="3">
        <f>WIOD.ThreeME_V3!B24 * Pond.Inputs!$B24/SUMPRODUCT(WIOD.ThreeME_V3!B$2:B$57,Pond.Inputs!$B$2:$B$57)</f>
        <v>0</v>
      </c>
      <c r="C24" s="3">
        <f>WIOD.ThreeME_V3!C24 * Pond.Inputs!$B24/SUMPRODUCT(WIOD.ThreeME_V3!C$2:C$57,Pond.Inputs!$B$2:$B$57)</f>
        <v>0</v>
      </c>
      <c r="D24" s="3">
        <f>WIOD.ThreeME_V3!D24 * Pond.Inputs!$B24/SUMPRODUCT(WIOD.ThreeME_V3!D$2:D$57,Pond.Inputs!$B$2:$B$57)</f>
        <v>0</v>
      </c>
      <c r="E24" s="3">
        <f>WIOD.ThreeME_V3!E24 * Pond.Inputs!$B24/SUMPRODUCT(WIOD.ThreeME_V3!E$2:E$57,Pond.Inputs!$B$2:$B$57)</f>
        <v>0</v>
      </c>
      <c r="F24" s="3">
        <f>WIOD.ThreeME_V3!F24 * Pond.Inputs!$B24/SUMPRODUCT(WIOD.ThreeME_V3!F$2:F$57,Pond.Inputs!$B$2:$B$57)</f>
        <v>0</v>
      </c>
      <c r="G24" s="3">
        <f>WIOD.ThreeME_V3!G24 * Pond.Inputs!$B24/SUMPRODUCT(WIOD.ThreeME_V3!G$2:G$57,Pond.Inputs!$B$2:$B$57)</f>
        <v>0</v>
      </c>
      <c r="H24" s="3">
        <f>WIOD.ThreeME_V3!H24 * Pond.Inputs!$B24/SUMPRODUCT(WIOD.ThreeME_V3!H$2:H$57,Pond.Inputs!$B$2:$B$57)</f>
        <v>0</v>
      </c>
      <c r="I24" s="3">
        <f>WIOD.ThreeME_V3!I24 * Pond.Inputs!$B24/SUMPRODUCT(WIOD.ThreeME_V3!I$2:I$57,Pond.Inputs!$B$2:$B$57)</f>
        <v>0</v>
      </c>
      <c r="J24" s="3">
        <f>WIOD.ThreeME_V3!J24 * Pond.Inputs!$B24/SUMPRODUCT(WIOD.ThreeME_V3!J$2:J$57,Pond.Inputs!$B$2:$B$57)</f>
        <v>0</v>
      </c>
      <c r="K24" s="3">
        <f>WIOD.ThreeME_V3!K24 * Pond.Inputs!$B24/SUMPRODUCT(WIOD.ThreeME_V3!K$2:K$57,Pond.Inputs!$B$2:$B$57)</f>
        <v>0.1729029522232543</v>
      </c>
      <c r="L24" s="3">
        <f>WIOD.ThreeME_V3!L24 * Pond.Inputs!$B24/SUMPRODUCT(WIOD.ThreeME_V3!L$2:L$57,Pond.Inputs!$B$2:$B$57)</f>
        <v>0</v>
      </c>
      <c r="M24" s="3">
        <f>WIOD.ThreeME_V3!M24 * Pond.Inputs!$B24/SUMPRODUCT(WIOD.ThreeME_V3!M$2:M$57,Pond.Inputs!$B$2:$B$57)</f>
        <v>0</v>
      </c>
      <c r="N24" s="3">
        <f>WIOD.ThreeME_V3!N24 * Pond.Inputs!$B24/SUMPRODUCT(WIOD.ThreeME_V3!N$2:N$57,Pond.Inputs!$B$2:$B$57)</f>
        <v>0</v>
      </c>
      <c r="O24" s="3">
        <f>WIOD.ThreeME_V3!O24 * Pond.Inputs!$B24/SUMPRODUCT(WIOD.ThreeME_V3!O$2:O$57,Pond.Inputs!$B$2:$B$57)</f>
        <v>0</v>
      </c>
      <c r="P24" s="3">
        <f>WIOD.ThreeME_V3!P24 * Pond.Inputs!$B24/SUMPRODUCT(WIOD.ThreeME_V3!P$2:P$57,Pond.Inputs!$B$2:$B$57)</f>
        <v>0</v>
      </c>
      <c r="Q24" s="3">
        <f>WIOD.ThreeME_V3!Q24 * Pond.Inputs!$B24/SUMPRODUCT(WIOD.ThreeME_V3!Q$2:Q$57,Pond.Inputs!$B$2:$B$57)</f>
        <v>0</v>
      </c>
      <c r="R24" s="3">
        <f>WIOD.ThreeME_V3!R24 * Pond.Inputs!$B24/SUMPRODUCT(WIOD.ThreeME_V3!R$2:R$57,Pond.Inputs!$B$2:$B$57)</f>
        <v>0</v>
      </c>
      <c r="S24" s="3">
        <f>WIOD.ThreeME_V3!S24 * Pond.Inputs!$B24/SUMPRODUCT(WIOD.ThreeME_V3!S$2:S$57,Pond.Inputs!$B$2:$B$57)</f>
        <v>0</v>
      </c>
      <c r="T24" s="3">
        <f>WIOD.ThreeME_V3!T24 * Pond.Inputs!$B24/SUMPRODUCT(WIOD.ThreeME_V3!T$2:T$57,Pond.Inputs!$B$2:$B$57)</f>
        <v>0</v>
      </c>
      <c r="U24" s="3">
        <f>WIOD.ThreeME_V3!U24 * Pond.Inputs!$B24/SUMPRODUCT(WIOD.ThreeME_V3!U$2:U$57,Pond.Inputs!$B$2:$B$57)</f>
        <v>0</v>
      </c>
      <c r="V24" s="3">
        <f>WIOD.ThreeME_V3!V24 * Pond.Inputs!$B24/SUMPRODUCT(WIOD.ThreeME_V3!V$2:V$57,Pond.Inputs!$B$2:$B$57)</f>
        <v>0</v>
      </c>
      <c r="W24" s="3">
        <f>WIOD.ThreeME_V3!W24 * Pond.Inputs!$B24/SUMPRODUCT(WIOD.ThreeME_V3!W$2:W$57,Pond.Inputs!$B$2:$B$57)</f>
        <v>0</v>
      </c>
      <c r="X24" s="3">
        <f>WIOD.ThreeME_V3!X24 * Pond.Inputs!$B24/SUMPRODUCT(WIOD.ThreeME_V3!X$2:X$57,Pond.Inputs!$B$2:$B$57)</f>
        <v>0</v>
      </c>
      <c r="Y24" s="3">
        <f>WIOD.ThreeME_V3!Y24 * Pond.Inputs!$B24/SUMPRODUCT(WIOD.ThreeME_V3!Y$2:Y$57,Pond.Inputs!$B$2:$B$57)</f>
        <v>0</v>
      </c>
      <c r="Z24" s="3">
        <f>WIOD.ThreeME_V3!Z24 * Pond.Inputs!$B24/SUMPRODUCT(WIOD.ThreeME_V3!Z$2:Z$57,Pond.Inputs!$B$2:$B$57)</f>
        <v>0</v>
      </c>
      <c r="AA24" s="3">
        <f>WIOD.ThreeME_V3!AA24 * Pond.Inputs!$B24/SUMPRODUCT(WIOD.ThreeME_V3!AA$2:AA$57,Pond.Inputs!$B$2:$B$57)</f>
        <v>0</v>
      </c>
      <c r="AB24" s="3">
        <f>WIOD.ThreeME_V3!AB24 * Pond.Inputs!$B24/SUMPRODUCT(WIOD.ThreeME_V3!AB$2:AB$57,Pond.Inputs!$B$2:$B$57)</f>
        <v>0</v>
      </c>
      <c r="AC24" s="3">
        <f>WIOD.ThreeME_V3!AC24 * Pond.Inputs!$B24/SUMPRODUCT(WIOD.ThreeME_V3!AC$2:AC$57,Pond.Inputs!$B$2:$B$57)</f>
        <v>0</v>
      </c>
      <c r="AD24" s="3">
        <f>WIOD.ThreeME_V3!AD24 * Pond.Inputs!$B24/SUMPRODUCT(WIOD.ThreeME_V3!AD$2:AD$57,Pond.Inputs!$B$2:$B$57)</f>
        <v>0</v>
      </c>
      <c r="AE24" s="3">
        <f>WIOD.ThreeME_V3!AE24 * Pond.Inputs!$B24/SUMPRODUCT(WIOD.ThreeME_V3!AE$2:AE$57,Pond.Inputs!$B$2:$B$57)</f>
        <v>0</v>
      </c>
      <c r="AF24" s="3">
        <f>WIOD.ThreeME_V3!AF24 * Pond.Inputs!$B24/SUMPRODUCT(WIOD.ThreeME_V3!AF$2:AF$57,Pond.Inputs!$B$2:$B$57)</f>
        <v>0</v>
      </c>
      <c r="AG24" s="3">
        <f>WIOD.ThreeME_V3!AG24 * Pond.Inputs!$B24/SUMPRODUCT(WIOD.ThreeME_V3!AG$2:AG$57,Pond.Inputs!$B$2:$B$57)</f>
        <v>0</v>
      </c>
    </row>
    <row r="25" spans="1:33" x14ac:dyDescent="0.2">
      <c r="A25" s="1" t="s">
        <v>38</v>
      </c>
      <c r="B25" s="3">
        <f>WIOD.ThreeME_V3!B25 * Pond.Inputs!$B25/SUMPRODUCT(WIOD.ThreeME_V3!B$2:B$57,Pond.Inputs!$B$2:$B$57)</f>
        <v>0</v>
      </c>
      <c r="C25" s="3">
        <f>WIOD.ThreeME_V3!C25 * Pond.Inputs!$B25/SUMPRODUCT(WIOD.ThreeME_V3!C$2:C$57,Pond.Inputs!$B$2:$B$57)</f>
        <v>0</v>
      </c>
      <c r="D25" s="3">
        <f>WIOD.ThreeME_V3!D25 * Pond.Inputs!$B25/SUMPRODUCT(WIOD.ThreeME_V3!D$2:D$57,Pond.Inputs!$B$2:$B$57)</f>
        <v>0</v>
      </c>
      <c r="E25" s="3">
        <f>WIOD.ThreeME_V3!E25 * Pond.Inputs!$B25/SUMPRODUCT(WIOD.ThreeME_V3!E$2:E$57,Pond.Inputs!$B$2:$B$57)</f>
        <v>0</v>
      </c>
      <c r="F25" s="3">
        <f>WIOD.ThreeME_V3!F25 * Pond.Inputs!$B25/SUMPRODUCT(WIOD.ThreeME_V3!F$2:F$57,Pond.Inputs!$B$2:$B$57)</f>
        <v>0</v>
      </c>
      <c r="G25" s="3">
        <f>WIOD.ThreeME_V3!G25 * Pond.Inputs!$B25/SUMPRODUCT(WIOD.ThreeME_V3!G$2:G$57,Pond.Inputs!$B$2:$B$57)</f>
        <v>0</v>
      </c>
      <c r="H25" s="3">
        <f>WIOD.ThreeME_V3!H25 * Pond.Inputs!$B25/SUMPRODUCT(WIOD.ThreeME_V3!H$2:H$57,Pond.Inputs!$B$2:$B$57)</f>
        <v>0</v>
      </c>
      <c r="I25" s="3">
        <f>WIOD.ThreeME_V3!I25 * Pond.Inputs!$B25/SUMPRODUCT(WIOD.ThreeME_V3!I$2:I$57,Pond.Inputs!$B$2:$B$57)</f>
        <v>0</v>
      </c>
      <c r="J25" s="3">
        <f>WIOD.ThreeME_V3!J25 * Pond.Inputs!$B25/SUMPRODUCT(WIOD.ThreeME_V3!J$2:J$57,Pond.Inputs!$B$2:$B$57)</f>
        <v>0</v>
      </c>
      <c r="K25" s="3">
        <f>WIOD.ThreeME_V3!K25 * Pond.Inputs!$B25/SUMPRODUCT(WIOD.ThreeME_V3!K$2:K$57,Pond.Inputs!$B$2:$B$57)</f>
        <v>0</v>
      </c>
      <c r="L25" s="3">
        <f>WIOD.ThreeME_V3!L25 * Pond.Inputs!$B25/SUMPRODUCT(WIOD.ThreeME_V3!L$2:L$57,Pond.Inputs!$B$2:$B$57)</f>
        <v>0</v>
      </c>
      <c r="M25" s="3">
        <f>WIOD.ThreeME_V3!M25 * Pond.Inputs!$B25/SUMPRODUCT(WIOD.ThreeME_V3!M$2:M$57,Pond.Inputs!$B$2:$B$57)</f>
        <v>0</v>
      </c>
      <c r="N25" s="3">
        <f>WIOD.ThreeME_V3!N25 * Pond.Inputs!$B25/SUMPRODUCT(WIOD.ThreeME_V3!N$2:N$57,Pond.Inputs!$B$2:$B$57)</f>
        <v>0</v>
      </c>
      <c r="O25" s="3">
        <f>WIOD.ThreeME_V3!O25 * Pond.Inputs!$B25/SUMPRODUCT(WIOD.ThreeME_V3!O$2:O$57,Pond.Inputs!$B$2:$B$57)</f>
        <v>0</v>
      </c>
      <c r="P25" s="3">
        <f>WIOD.ThreeME_V3!P25 * Pond.Inputs!$B25/SUMPRODUCT(WIOD.ThreeME_V3!P$2:P$57,Pond.Inputs!$B$2:$B$57)</f>
        <v>0</v>
      </c>
      <c r="Q25" s="3">
        <f>WIOD.ThreeME_V3!Q25 * Pond.Inputs!$B25/SUMPRODUCT(WIOD.ThreeME_V3!Q$2:Q$57,Pond.Inputs!$B$2:$B$57)</f>
        <v>0</v>
      </c>
      <c r="R25" s="3">
        <f>WIOD.ThreeME_V3!R25 * Pond.Inputs!$B25/SUMPRODUCT(WIOD.ThreeME_V3!R$2:R$57,Pond.Inputs!$B$2:$B$57)</f>
        <v>0</v>
      </c>
      <c r="S25" s="3">
        <f>WIOD.ThreeME_V3!S25 * Pond.Inputs!$B25/SUMPRODUCT(WIOD.ThreeME_V3!S$2:S$57,Pond.Inputs!$B$2:$B$57)</f>
        <v>0</v>
      </c>
      <c r="T25" s="3">
        <f>WIOD.ThreeME_V3!T25 * Pond.Inputs!$B25/SUMPRODUCT(WIOD.ThreeME_V3!T$2:T$57,Pond.Inputs!$B$2:$B$57)</f>
        <v>0</v>
      </c>
      <c r="U25" s="3">
        <f>WIOD.ThreeME_V3!U25 * Pond.Inputs!$B25/SUMPRODUCT(WIOD.ThreeME_V3!U$2:U$57,Pond.Inputs!$B$2:$B$57)</f>
        <v>0</v>
      </c>
      <c r="V25" s="3">
        <f>WIOD.ThreeME_V3!V25 * Pond.Inputs!$B25/SUMPRODUCT(WIOD.ThreeME_V3!V$2:V$57,Pond.Inputs!$B$2:$B$57)</f>
        <v>0</v>
      </c>
      <c r="W25" s="3">
        <f>WIOD.ThreeME_V3!W25 * Pond.Inputs!$B25/SUMPRODUCT(WIOD.ThreeME_V3!W$2:W$57,Pond.Inputs!$B$2:$B$57)</f>
        <v>0</v>
      </c>
      <c r="X25" s="3">
        <f>WIOD.ThreeME_V3!X25 * Pond.Inputs!$B25/SUMPRODUCT(WIOD.ThreeME_V3!X$2:X$57,Pond.Inputs!$B$2:$B$57)</f>
        <v>0</v>
      </c>
      <c r="Y25" s="3">
        <f>WIOD.ThreeME_V3!Y25 * Pond.Inputs!$B25/SUMPRODUCT(WIOD.ThreeME_V3!Y$2:Y$57,Pond.Inputs!$B$2:$B$57)</f>
        <v>1</v>
      </c>
      <c r="Z25" s="3">
        <f>WIOD.ThreeME_V3!Z25 * Pond.Inputs!$B25/SUMPRODUCT(WIOD.ThreeME_V3!Z$2:Z$57,Pond.Inputs!$B$2:$B$57)</f>
        <v>1</v>
      </c>
      <c r="AA25" s="3">
        <f>WIOD.ThreeME_V3!AA25 * Pond.Inputs!$B25/SUMPRODUCT(WIOD.ThreeME_V3!AA$2:AA$57,Pond.Inputs!$B$2:$B$57)</f>
        <v>1</v>
      </c>
      <c r="AB25" s="3">
        <f>WIOD.ThreeME_V3!AB25 * Pond.Inputs!$B25/SUMPRODUCT(WIOD.ThreeME_V3!AB$2:AB$57,Pond.Inputs!$B$2:$B$57)</f>
        <v>1</v>
      </c>
      <c r="AC25" s="3">
        <f>WIOD.ThreeME_V3!AC25 * Pond.Inputs!$B25/SUMPRODUCT(WIOD.ThreeME_V3!AC$2:AC$57,Pond.Inputs!$B$2:$B$57)</f>
        <v>1</v>
      </c>
      <c r="AD25" s="3">
        <f>WIOD.ThreeME_V3!AD25 * Pond.Inputs!$B25/SUMPRODUCT(WIOD.ThreeME_V3!AD$2:AD$57,Pond.Inputs!$B$2:$B$57)</f>
        <v>1</v>
      </c>
      <c r="AE25" s="3">
        <f>WIOD.ThreeME_V3!AE25 * Pond.Inputs!$B25/SUMPRODUCT(WIOD.ThreeME_V3!AE$2:AE$57,Pond.Inputs!$B$2:$B$57)</f>
        <v>1</v>
      </c>
      <c r="AF25" s="3">
        <f>WIOD.ThreeME_V3!AF25 * Pond.Inputs!$B25/SUMPRODUCT(WIOD.ThreeME_V3!AF$2:AF$57,Pond.Inputs!$B$2:$B$57)</f>
        <v>1</v>
      </c>
      <c r="AG25" s="3">
        <f>WIOD.ThreeME_V3!AG25 * Pond.Inputs!$B25/SUMPRODUCT(WIOD.ThreeME_V3!AG$2:AG$57,Pond.Inputs!$B$2:$B$57)</f>
        <v>1</v>
      </c>
    </row>
    <row r="26" spans="1:33" x14ac:dyDescent="0.2">
      <c r="A26" s="1" t="s">
        <v>39</v>
      </c>
      <c r="B26" s="3">
        <f>WIOD.ThreeME_V3!B26 * Pond.Inputs!$B26/SUMPRODUCT(WIOD.ThreeME_V3!B$2:B$57,Pond.Inputs!$B$2:$B$57)</f>
        <v>0</v>
      </c>
      <c r="C26" s="3">
        <f>WIOD.ThreeME_V3!C26 * Pond.Inputs!$B26/SUMPRODUCT(WIOD.ThreeME_V3!C$2:C$57,Pond.Inputs!$B$2:$B$57)</f>
        <v>0</v>
      </c>
      <c r="D26" s="3">
        <f>WIOD.ThreeME_V3!D26 * Pond.Inputs!$B26/SUMPRODUCT(WIOD.ThreeME_V3!D$2:D$57,Pond.Inputs!$B$2:$B$57)</f>
        <v>0</v>
      </c>
      <c r="E26" s="3">
        <f>WIOD.ThreeME_V3!E26 * Pond.Inputs!$B26/SUMPRODUCT(WIOD.ThreeME_V3!E$2:E$57,Pond.Inputs!$B$2:$B$57)</f>
        <v>0</v>
      </c>
      <c r="F26" s="3">
        <f>WIOD.ThreeME_V3!F26 * Pond.Inputs!$B26/SUMPRODUCT(WIOD.ThreeME_V3!F$2:F$57,Pond.Inputs!$B$2:$B$57)</f>
        <v>0</v>
      </c>
      <c r="G26" s="3">
        <f>WIOD.ThreeME_V3!G26 * Pond.Inputs!$B26/SUMPRODUCT(WIOD.ThreeME_V3!G$2:G$57,Pond.Inputs!$B$2:$B$57)</f>
        <v>0</v>
      </c>
      <c r="H26" s="3">
        <f>WIOD.ThreeME_V3!H26 * Pond.Inputs!$B26/SUMPRODUCT(WIOD.ThreeME_V3!H$2:H$57,Pond.Inputs!$B$2:$B$57)</f>
        <v>0</v>
      </c>
      <c r="I26" s="3">
        <f>WIOD.ThreeME_V3!I26 * Pond.Inputs!$B26/SUMPRODUCT(WIOD.ThreeME_V3!I$2:I$57,Pond.Inputs!$B$2:$B$57)</f>
        <v>0</v>
      </c>
      <c r="J26" s="3">
        <f>WIOD.ThreeME_V3!J26 * Pond.Inputs!$B26/SUMPRODUCT(WIOD.ThreeME_V3!J$2:J$57,Pond.Inputs!$B$2:$B$57)</f>
        <v>0</v>
      </c>
      <c r="K26" s="3">
        <f>WIOD.ThreeME_V3!K26 * Pond.Inputs!$B26/SUMPRODUCT(WIOD.ThreeME_V3!K$2:K$57,Pond.Inputs!$B$2:$B$57)</f>
        <v>0</v>
      </c>
      <c r="L26" s="3">
        <f>WIOD.ThreeME_V3!L26 * Pond.Inputs!$B26/SUMPRODUCT(WIOD.ThreeME_V3!L$2:L$57,Pond.Inputs!$B$2:$B$57)</f>
        <v>0</v>
      </c>
      <c r="M26" s="3">
        <f>WIOD.ThreeME_V3!M26 * Pond.Inputs!$B26/SUMPRODUCT(WIOD.ThreeME_V3!M$2:M$57,Pond.Inputs!$B$2:$B$57)</f>
        <v>3.3893961573971683E-2</v>
      </c>
      <c r="N26" s="3">
        <f>WIOD.ThreeME_V3!N26 * Pond.Inputs!$B26/SUMPRODUCT(WIOD.ThreeME_V3!N$2:N$57,Pond.Inputs!$B$2:$B$57)</f>
        <v>0</v>
      </c>
      <c r="O26" s="3">
        <f>WIOD.ThreeME_V3!O26 * Pond.Inputs!$B26/SUMPRODUCT(WIOD.ThreeME_V3!O$2:O$57,Pond.Inputs!$B$2:$B$57)</f>
        <v>0</v>
      </c>
      <c r="P26" s="3">
        <f>WIOD.ThreeME_V3!P26 * Pond.Inputs!$B26/SUMPRODUCT(WIOD.ThreeME_V3!P$2:P$57,Pond.Inputs!$B$2:$B$57)</f>
        <v>0</v>
      </c>
      <c r="Q26" s="3">
        <f>WIOD.ThreeME_V3!Q26 * Pond.Inputs!$B26/SUMPRODUCT(WIOD.ThreeME_V3!Q$2:Q$57,Pond.Inputs!$B$2:$B$57)</f>
        <v>0</v>
      </c>
      <c r="R26" s="3">
        <f>WIOD.ThreeME_V3!R26 * Pond.Inputs!$B26/SUMPRODUCT(WIOD.ThreeME_V3!R$2:R$57,Pond.Inputs!$B$2:$B$57)</f>
        <v>0</v>
      </c>
      <c r="S26" s="3">
        <f>WIOD.ThreeME_V3!S26 * Pond.Inputs!$B26/SUMPRODUCT(WIOD.ThreeME_V3!S$2:S$57,Pond.Inputs!$B$2:$B$57)</f>
        <v>0</v>
      </c>
      <c r="T26" s="3">
        <f>WIOD.ThreeME_V3!T26 * Pond.Inputs!$B26/SUMPRODUCT(WIOD.ThreeME_V3!T$2:T$57,Pond.Inputs!$B$2:$B$57)</f>
        <v>0</v>
      </c>
      <c r="U26" s="3">
        <f>WIOD.ThreeME_V3!U26 * Pond.Inputs!$B26/SUMPRODUCT(WIOD.ThreeME_V3!U$2:U$57,Pond.Inputs!$B$2:$B$57)</f>
        <v>0</v>
      </c>
      <c r="V26" s="3">
        <f>WIOD.ThreeME_V3!V26 * Pond.Inputs!$B26/SUMPRODUCT(WIOD.ThreeME_V3!V$2:V$57,Pond.Inputs!$B$2:$B$57)</f>
        <v>0</v>
      </c>
      <c r="W26" s="3">
        <f>WIOD.ThreeME_V3!W26 * Pond.Inputs!$B26/SUMPRODUCT(WIOD.ThreeME_V3!W$2:W$57,Pond.Inputs!$B$2:$B$57)</f>
        <v>0</v>
      </c>
      <c r="X26" s="3">
        <f>WIOD.ThreeME_V3!X26 * Pond.Inputs!$B26/SUMPRODUCT(WIOD.ThreeME_V3!X$2:X$57,Pond.Inputs!$B$2:$B$57)</f>
        <v>0</v>
      </c>
      <c r="Y26" s="3">
        <f>WIOD.ThreeME_V3!Y26 * Pond.Inputs!$B26/SUMPRODUCT(WIOD.ThreeME_V3!Y$2:Y$57,Pond.Inputs!$B$2:$B$57)</f>
        <v>0</v>
      </c>
      <c r="Z26" s="3">
        <f>WIOD.ThreeME_V3!Z26 * Pond.Inputs!$B26/SUMPRODUCT(WIOD.ThreeME_V3!Z$2:Z$57,Pond.Inputs!$B$2:$B$57)</f>
        <v>0</v>
      </c>
      <c r="AA26" s="3">
        <f>WIOD.ThreeME_V3!AA26 * Pond.Inputs!$B26/SUMPRODUCT(WIOD.ThreeME_V3!AA$2:AA$57,Pond.Inputs!$B$2:$B$57)</f>
        <v>0</v>
      </c>
      <c r="AB26" s="3">
        <f>WIOD.ThreeME_V3!AB26 * Pond.Inputs!$B26/SUMPRODUCT(WIOD.ThreeME_V3!AB$2:AB$57,Pond.Inputs!$B$2:$B$57)</f>
        <v>0</v>
      </c>
      <c r="AC26" s="3">
        <f>WIOD.ThreeME_V3!AC26 * Pond.Inputs!$B26/SUMPRODUCT(WIOD.ThreeME_V3!AC$2:AC$57,Pond.Inputs!$B$2:$B$57)</f>
        <v>0</v>
      </c>
      <c r="AD26" s="3">
        <f>WIOD.ThreeME_V3!AD26 * Pond.Inputs!$B26/SUMPRODUCT(WIOD.ThreeME_V3!AD$2:AD$57,Pond.Inputs!$B$2:$B$57)</f>
        <v>0</v>
      </c>
      <c r="AE26" s="3">
        <f>WIOD.ThreeME_V3!AE26 * Pond.Inputs!$B26/SUMPRODUCT(WIOD.ThreeME_V3!AE$2:AE$57,Pond.Inputs!$B$2:$B$57)</f>
        <v>0</v>
      </c>
      <c r="AF26" s="3">
        <f>WIOD.ThreeME_V3!AF26 * Pond.Inputs!$B26/SUMPRODUCT(WIOD.ThreeME_V3!AF$2:AF$57,Pond.Inputs!$B$2:$B$57)</f>
        <v>0</v>
      </c>
      <c r="AG26" s="3">
        <f>WIOD.ThreeME_V3!AG26 * Pond.Inputs!$B26/SUMPRODUCT(WIOD.ThreeME_V3!AG$2:AG$57,Pond.Inputs!$B$2:$B$57)</f>
        <v>0</v>
      </c>
    </row>
    <row r="27" spans="1:33" x14ac:dyDescent="0.2">
      <c r="A27" s="1" t="s">
        <v>40</v>
      </c>
      <c r="B27" s="3">
        <f>WIOD.ThreeME_V3!B27 * Pond.Inputs!$B27/SUMPRODUCT(WIOD.ThreeME_V3!B$2:B$57,Pond.Inputs!$B$2:$B$57)</f>
        <v>0</v>
      </c>
      <c r="C27" s="3">
        <f>WIOD.ThreeME_V3!C27 * Pond.Inputs!$B27/SUMPRODUCT(WIOD.ThreeME_V3!C$2:C$57,Pond.Inputs!$B$2:$B$57)</f>
        <v>0</v>
      </c>
      <c r="D27" s="3">
        <f>WIOD.ThreeME_V3!D27 * Pond.Inputs!$B27/SUMPRODUCT(WIOD.ThreeME_V3!D$2:D$57,Pond.Inputs!$B$2:$B$57)</f>
        <v>0</v>
      </c>
      <c r="E27" s="3">
        <f>WIOD.ThreeME_V3!E27 * Pond.Inputs!$B27/SUMPRODUCT(WIOD.ThreeME_V3!E$2:E$57,Pond.Inputs!$B$2:$B$57)</f>
        <v>0</v>
      </c>
      <c r="F27" s="3">
        <f>WIOD.ThreeME_V3!F27 * Pond.Inputs!$B27/SUMPRODUCT(WIOD.ThreeME_V3!F$2:F$57,Pond.Inputs!$B$2:$B$57)</f>
        <v>0</v>
      </c>
      <c r="G27" s="3">
        <f>WIOD.ThreeME_V3!G27 * Pond.Inputs!$B27/SUMPRODUCT(WIOD.ThreeME_V3!G$2:G$57,Pond.Inputs!$B$2:$B$57)</f>
        <v>0</v>
      </c>
      <c r="H27" s="3">
        <f>WIOD.ThreeME_V3!H27 * Pond.Inputs!$B27/SUMPRODUCT(WIOD.ThreeME_V3!H$2:H$57,Pond.Inputs!$B$2:$B$57)</f>
        <v>0</v>
      </c>
      <c r="I27" s="3">
        <f>WIOD.ThreeME_V3!I27 * Pond.Inputs!$B27/SUMPRODUCT(WIOD.ThreeME_V3!I$2:I$57,Pond.Inputs!$B$2:$B$57)</f>
        <v>0</v>
      </c>
      <c r="J27" s="3">
        <f>WIOD.ThreeME_V3!J27 * Pond.Inputs!$B27/SUMPRODUCT(WIOD.ThreeME_V3!J$2:J$57,Pond.Inputs!$B$2:$B$57)</f>
        <v>0</v>
      </c>
      <c r="K27" s="3">
        <f>WIOD.ThreeME_V3!K27 * Pond.Inputs!$B27/SUMPRODUCT(WIOD.ThreeME_V3!K$2:K$57,Pond.Inputs!$B$2:$B$57)</f>
        <v>0</v>
      </c>
      <c r="L27" s="3">
        <f>WIOD.ThreeME_V3!L27 * Pond.Inputs!$B27/SUMPRODUCT(WIOD.ThreeME_V3!L$2:L$57,Pond.Inputs!$B$2:$B$57)</f>
        <v>0</v>
      </c>
      <c r="M27" s="3">
        <f>WIOD.ThreeME_V3!M27 * Pond.Inputs!$B27/SUMPRODUCT(WIOD.ThreeME_V3!M$2:M$57,Pond.Inputs!$B$2:$B$57)</f>
        <v>0</v>
      </c>
      <c r="N27" s="3">
        <f>WIOD.ThreeME_V3!N27 * Pond.Inputs!$B27/SUMPRODUCT(WIOD.ThreeME_V3!N$2:N$57,Pond.Inputs!$B$2:$B$57)</f>
        <v>0</v>
      </c>
      <c r="O27" s="3">
        <f>WIOD.ThreeME_V3!O27 * Pond.Inputs!$B27/SUMPRODUCT(WIOD.ThreeME_V3!O$2:O$57,Pond.Inputs!$B$2:$B$57)</f>
        <v>0</v>
      </c>
      <c r="P27" s="3">
        <f>WIOD.ThreeME_V3!P27 * Pond.Inputs!$B27/SUMPRODUCT(WIOD.ThreeME_V3!P$2:P$57,Pond.Inputs!$B$2:$B$57)</f>
        <v>0</v>
      </c>
      <c r="Q27" s="3">
        <f>WIOD.ThreeME_V3!Q27 * Pond.Inputs!$B27/SUMPRODUCT(WIOD.ThreeME_V3!Q$2:Q$57,Pond.Inputs!$B$2:$B$57)</f>
        <v>0</v>
      </c>
      <c r="R27" s="3">
        <f>WIOD.ThreeME_V3!R27 * Pond.Inputs!$B27/SUMPRODUCT(WIOD.ThreeME_V3!R$2:R$57,Pond.Inputs!$B$2:$B$57)</f>
        <v>0</v>
      </c>
      <c r="S27" s="3">
        <f>WIOD.ThreeME_V3!S27 * Pond.Inputs!$B27/SUMPRODUCT(WIOD.ThreeME_V3!S$2:S$57,Pond.Inputs!$B$2:$B$57)</f>
        <v>4.0213640780658984E-2</v>
      </c>
      <c r="T27" s="3">
        <f>WIOD.ThreeME_V3!T27 * Pond.Inputs!$B27/SUMPRODUCT(WIOD.ThreeME_V3!T$2:T$57,Pond.Inputs!$B$2:$B$57)</f>
        <v>0</v>
      </c>
      <c r="U27" s="3">
        <f>WIOD.ThreeME_V3!U27 * Pond.Inputs!$B27/SUMPRODUCT(WIOD.ThreeME_V3!U$2:U$57,Pond.Inputs!$B$2:$B$57)</f>
        <v>0</v>
      </c>
      <c r="V27" s="3">
        <f>WIOD.ThreeME_V3!V27 * Pond.Inputs!$B27/SUMPRODUCT(WIOD.ThreeME_V3!V$2:V$57,Pond.Inputs!$B$2:$B$57)</f>
        <v>0</v>
      </c>
      <c r="W27" s="3">
        <f>WIOD.ThreeME_V3!W27 * Pond.Inputs!$B27/SUMPRODUCT(WIOD.ThreeME_V3!W$2:W$57,Pond.Inputs!$B$2:$B$57)</f>
        <v>0</v>
      </c>
      <c r="X27" s="3">
        <f>WIOD.ThreeME_V3!X27 * Pond.Inputs!$B27/SUMPRODUCT(WIOD.ThreeME_V3!X$2:X$57,Pond.Inputs!$B$2:$B$57)</f>
        <v>0</v>
      </c>
      <c r="Y27" s="3">
        <f>WIOD.ThreeME_V3!Y27 * Pond.Inputs!$B27/SUMPRODUCT(WIOD.ThreeME_V3!Y$2:Y$57,Pond.Inputs!$B$2:$B$57)</f>
        <v>0</v>
      </c>
      <c r="Z27" s="3">
        <f>WIOD.ThreeME_V3!Z27 * Pond.Inputs!$B27/SUMPRODUCT(WIOD.ThreeME_V3!Z$2:Z$57,Pond.Inputs!$B$2:$B$57)</f>
        <v>0</v>
      </c>
      <c r="AA27" s="3">
        <f>WIOD.ThreeME_V3!AA27 * Pond.Inputs!$B27/SUMPRODUCT(WIOD.ThreeME_V3!AA$2:AA$57,Pond.Inputs!$B$2:$B$57)</f>
        <v>0</v>
      </c>
      <c r="AB27" s="3">
        <f>WIOD.ThreeME_V3!AB27 * Pond.Inputs!$B27/SUMPRODUCT(WIOD.ThreeME_V3!AB$2:AB$57,Pond.Inputs!$B$2:$B$57)</f>
        <v>0</v>
      </c>
      <c r="AC27" s="3">
        <f>WIOD.ThreeME_V3!AC27 * Pond.Inputs!$B27/SUMPRODUCT(WIOD.ThreeME_V3!AC$2:AC$57,Pond.Inputs!$B$2:$B$57)</f>
        <v>0</v>
      </c>
      <c r="AD27" s="3">
        <f>WIOD.ThreeME_V3!AD27 * Pond.Inputs!$B27/SUMPRODUCT(WIOD.ThreeME_V3!AD$2:AD$57,Pond.Inputs!$B$2:$B$57)</f>
        <v>0</v>
      </c>
      <c r="AE27" s="3">
        <f>WIOD.ThreeME_V3!AE27 * Pond.Inputs!$B27/SUMPRODUCT(WIOD.ThreeME_V3!AE$2:AE$57,Pond.Inputs!$B$2:$B$57)</f>
        <v>0</v>
      </c>
      <c r="AF27" s="3">
        <f>WIOD.ThreeME_V3!AF27 * Pond.Inputs!$B27/SUMPRODUCT(WIOD.ThreeME_V3!AF$2:AF$57,Pond.Inputs!$B$2:$B$57)</f>
        <v>0</v>
      </c>
      <c r="AG27" s="3">
        <f>WIOD.ThreeME_V3!AG27 * Pond.Inputs!$B27/SUMPRODUCT(WIOD.ThreeME_V3!AG$2:AG$57,Pond.Inputs!$B$2:$B$57)</f>
        <v>0</v>
      </c>
    </row>
    <row r="28" spans="1:33" x14ac:dyDescent="0.2">
      <c r="A28" s="1" t="s">
        <v>41</v>
      </c>
      <c r="B28" s="3">
        <f>WIOD.ThreeME_V3!B28 * Pond.Inputs!$B28/SUMPRODUCT(WIOD.ThreeME_V3!B$2:B$57,Pond.Inputs!$B$2:$B$57)</f>
        <v>0</v>
      </c>
      <c r="C28" s="3">
        <f>WIOD.ThreeME_V3!C28 * Pond.Inputs!$B28/SUMPRODUCT(WIOD.ThreeME_V3!C$2:C$57,Pond.Inputs!$B$2:$B$57)</f>
        <v>0</v>
      </c>
      <c r="D28" s="3">
        <f>WIOD.ThreeME_V3!D28 * Pond.Inputs!$B28/SUMPRODUCT(WIOD.ThreeME_V3!D$2:D$57,Pond.Inputs!$B$2:$B$57)</f>
        <v>0</v>
      </c>
      <c r="E28" s="3">
        <f>WIOD.ThreeME_V3!E28 * Pond.Inputs!$B28/SUMPRODUCT(WIOD.ThreeME_V3!E$2:E$57,Pond.Inputs!$B$2:$B$57)</f>
        <v>0</v>
      </c>
      <c r="F28" s="3">
        <f>WIOD.ThreeME_V3!F28 * Pond.Inputs!$B28/SUMPRODUCT(WIOD.ThreeME_V3!F$2:F$57,Pond.Inputs!$B$2:$B$57)</f>
        <v>0</v>
      </c>
      <c r="G28" s="3">
        <f>WIOD.ThreeME_V3!G28 * Pond.Inputs!$B28/SUMPRODUCT(WIOD.ThreeME_V3!G$2:G$57,Pond.Inputs!$B$2:$B$57)</f>
        <v>0</v>
      </c>
      <c r="H28" s="3">
        <f>WIOD.ThreeME_V3!H28 * Pond.Inputs!$B28/SUMPRODUCT(WIOD.ThreeME_V3!H$2:H$57,Pond.Inputs!$B$2:$B$57)</f>
        <v>0</v>
      </c>
      <c r="I28" s="3">
        <f>WIOD.ThreeME_V3!I28 * Pond.Inputs!$B28/SUMPRODUCT(WIOD.ThreeME_V3!I$2:I$57,Pond.Inputs!$B$2:$B$57)</f>
        <v>0</v>
      </c>
      <c r="J28" s="3">
        <f>WIOD.ThreeME_V3!J28 * Pond.Inputs!$B28/SUMPRODUCT(WIOD.ThreeME_V3!J$2:J$57,Pond.Inputs!$B$2:$B$57)</f>
        <v>0</v>
      </c>
      <c r="K28" s="3">
        <f>WIOD.ThreeME_V3!K28 * Pond.Inputs!$B28/SUMPRODUCT(WIOD.ThreeME_V3!K$2:K$57,Pond.Inputs!$B$2:$B$57)</f>
        <v>0</v>
      </c>
      <c r="L28" s="3">
        <f>WIOD.ThreeME_V3!L28 * Pond.Inputs!$B28/SUMPRODUCT(WIOD.ThreeME_V3!L$2:L$57,Pond.Inputs!$B$2:$B$57)</f>
        <v>0</v>
      </c>
      <c r="M28" s="3">
        <f>WIOD.ThreeME_V3!M28 * Pond.Inputs!$B28/SUMPRODUCT(WIOD.ThreeME_V3!M$2:M$57,Pond.Inputs!$B$2:$B$57)</f>
        <v>0.96610603842602827</v>
      </c>
      <c r="N28" s="3">
        <f>WIOD.ThreeME_V3!N28 * Pond.Inputs!$B28/SUMPRODUCT(WIOD.ThreeME_V3!N$2:N$57,Pond.Inputs!$B$2:$B$57)</f>
        <v>0</v>
      </c>
      <c r="O28" s="3">
        <f>WIOD.ThreeME_V3!O28 * Pond.Inputs!$B28/SUMPRODUCT(WIOD.ThreeME_V3!O$2:O$57,Pond.Inputs!$B$2:$B$57)</f>
        <v>0</v>
      </c>
      <c r="P28" s="3">
        <f>WIOD.ThreeME_V3!P28 * Pond.Inputs!$B28/SUMPRODUCT(WIOD.ThreeME_V3!P$2:P$57,Pond.Inputs!$B$2:$B$57)</f>
        <v>0</v>
      </c>
      <c r="Q28" s="3">
        <f>WIOD.ThreeME_V3!Q28 * Pond.Inputs!$B28/SUMPRODUCT(WIOD.ThreeME_V3!Q$2:Q$57,Pond.Inputs!$B$2:$B$57)</f>
        <v>0</v>
      </c>
      <c r="R28" s="3">
        <f>WIOD.ThreeME_V3!R28 * Pond.Inputs!$B28/SUMPRODUCT(WIOD.ThreeME_V3!R$2:R$57,Pond.Inputs!$B$2:$B$57)</f>
        <v>0</v>
      </c>
      <c r="S28" s="3">
        <f>WIOD.ThreeME_V3!S28 * Pond.Inputs!$B28/SUMPRODUCT(WIOD.ThreeME_V3!S$2:S$57,Pond.Inputs!$B$2:$B$57)</f>
        <v>0</v>
      </c>
      <c r="T28" s="3">
        <f>WIOD.ThreeME_V3!T28 * Pond.Inputs!$B28/SUMPRODUCT(WIOD.ThreeME_V3!T$2:T$57,Pond.Inputs!$B$2:$B$57)</f>
        <v>0</v>
      </c>
      <c r="U28" s="3">
        <f>WIOD.ThreeME_V3!U28 * Pond.Inputs!$B28/SUMPRODUCT(WIOD.ThreeME_V3!U$2:U$57,Pond.Inputs!$B$2:$B$57)</f>
        <v>0</v>
      </c>
      <c r="V28" s="3">
        <f>WIOD.ThreeME_V3!V28 * Pond.Inputs!$B28/SUMPRODUCT(WIOD.ThreeME_V3!V$2:V$57,Pond.Inputs!$B$2:$B$57)</f>
        <v>0</v>
      </c>
      <c r="W28" s="3">
        <f>WIOD.ThreeME_V3!W28 * Pond.Inputs!$B28/SUMPRODUCT(WIOD.ThreeME_V3!W$2:W$57,Pond.Inputs!$B$2:$B$57)</f>
        <v>0</v>
      </c>
      <c r="X28" s="3">
        <f>WIOD.ThreeME_V3!X28 * Pond.Inputs!$B28/SUMPRODUCT(WIOD.ThreeME_V3!X$2:X$57,Pond.Inputs!$B$2:$B$57)</f>
        <v>0</v>
      </c>
      <c r="Y28" s="3">
        <f>WIOD.ThreeME_V3!Y28 * Pond.Inputs!$B28/SUMPRODUCT(WIOD.ThreeME_V3!Y$2:Y$57,Pond.Inputs!$B$2:$B$57)</f>
        <v>0</v>
      </c>
      <c r="Z28" s="3">
        <f>WIOD.ThreeME_V3!Z28 * Pond.Inputs!$B28/SUMPRODUCT(WIOD.ThreeME_V3!Z$2:Z$57,Pond.Inputs!$B$2:$B$57)</f>
        <v>0</v>
      </c>
      <c r="AA28" s="3">
        <f>WIOD.ThreeME_V3!AA28 * Pond.Inputs!$B28/SUMPRODUCT(WIOD.ThreeME_V3!AA$2:AA$57,Pond.Inputs!$B$2:$B$57)</f>
        <v>0</v>
      </c>
      <c r="AB28" s="3">
        <f>WIOD.ThreeME_V3!AB28 * Pond.Inputs!$B28/SUMPRODUCT(WIOD.ThreeME_V3!AB$2:AB$57,Pond.Inputs!$B$2:$B$57)</f>
        <v>0</v>
      </c>
      <c r="AC28" s="3">
        <f>WIOD.ThreeME_V3!AC28 * Pond.Inputs!$B28/SUMPRODUCT(WIOD.ThreeME_V3!AC$2:AC$57,Pond.Inputs!$B$2:$B$57)</f>
        <v>0</v>
      </c>
      <c r="AD28" s="3">
        <f>WIOD.ThreeME_V3!AD28 * Pond.Inputs!$B28/SUMPRODUCT(WIOD.ThreeME_V3!AD$2:AD$57,Pond.Inputs!$B$2:$B$57)</f>
        <v>0</v>
      </c>
      <c r="AE28" s="3">
        <f>WIOD.ThreeME_V3!AE28 * Pond.Inputs!$B28/SUMPRODUCT(WIOD.ThreeME_V3!AE$2:AE$57,Pond.Inputs!$B$2:$B$57)</f>
        <v>0</v>
      </c>
      <c r="AF28" s="3">
        <f>WIOD.ThreeME_V3!AF28 * Pond.Inputs!$B28/SUMPRODUCT(WIOD.ThreeME_V3!AF$2:AF$57,Pond.Inputs!$B$2:$B$57)</f>
        <v>0</v>
      </c>
      <c r="AG28" s="3">
        <f>WIOD.ThreeME_V3!AG28 * Pond.Inputs!$B28/SUMPRODUCT(WIOD.ThreeME_V3!AG$2:AG$57,Pond.Inputs!$B$2:$B$57)</f>
        <v>0</v>
      </c>
    </row>
    <row r="29" spans="1:33" x14ac:dyDescent="0.2">
      <c r="A29" s="1" t="s">
        <v>42</v>
      </c>
      <c r="B29" s="3">
        <f>WIOD.ThreeME_V3!B29 * Pond.Inputs!$B29/SUMPRODUCT(WIOD.ThreeME_V3!B$2:B$57,Pond.Inputs!$B$2:$B$57)</f>
        <v>0</v>
      </c>
      <c r="C29" s="3">
        <f>WIOD.ThreeME_V3!C29 * Pond.Inputs!$B29/SUMPRODUCT(WIOD.ThreeME_V3!C$2:C$57,Pond.Inputs!$B$2:$B$57)</f>
        <v>0</v>
      </c>
      <c r="D29" s="3">
        <f>WIOD.ThreeME_V3!D29 * Pond.Inputs!$B29/SUMPRODUCT(WIOD.ThreeME_V3!D$2:D$57,Pond.Inputs!$B$2:$B$57)</f>
        <v>0</v>
      </c>
      <c r="E29" s="3">
        <f>WIOD.ThreeME_V3!E29 * Pond.Inputs!$B29/SUMPRODUCT(WIOD.ThreeME_V3!E$2:E$57,Pond.Inputs!$B$2:$B$57)</f>
        <v>0</v>
      </c>
      <c r="F29" s="3">
        <f>WIOD.ThreeME_V3!F29 * Pond.Inputs!$B29/SUMPRODUCT(WIOD.ThreeME_V3!F$2:F$57,Pond.Inputs!$B$2:$B$57)</f>
        <v>0</v>
      </c>
      <c r="G29" s="3">
        <f>WIOD.ThreeME_V3!G29 * Pond.Inputs!$B29/SUMPRODUCT(WIOD.ThreeME_V3!G$2:G$57,Pond.Inputs!$B$2:$B$57)</f>
        <v>0</v>
      </c>
      <c r="H29" s="3">
        <f>WIOD.ThreeME_V3!H29 * Pond.Inputs!$B29/SUMPRODUCT(WIOD.ThreeME_V3!H$2:H$57,Pond.Inputs!$B$2:$B$57)</f>
        <v>0</v>
      </c>
      <c r="I29" s="3">
        <f>WIOD.ThreeME_V3!I29 * Pond.Inputs!$B29/SUMPRODUCT(WIOD.ThreeME_V3!I$2:I$57,Pond.Inputs!$B$2:$B$57)</f>
        <v>0</v>
      </c>
      <c r="J29" s="3">
        <f>WIOD.ThreeME_V3!J29 * Pond.Inputs!$B29/SUMPRODUCT(WIOD.ThreeME_V3!J$2:J$57,Pond.Inputs!$B$2:$B$57)</f>
        <v>0</v>
      </c>
      <c r="K29" s="3">
        <f>WIOD.ThreeME_V3!K29 * Pond.Inputs!$B29/SUMPRODUCT(WIOD.ThreeME_V3!K$2:K$57,Pond.Inputs!$B$2:$B$57)</f>
        <v>0</v>
      </c>
      <c r="L29" s="3">
        <f>WIOD.ThreeME_V3!L29 * Pond.Inputs!$B29/SUMPRODUCT(WIOD.ThreeME_V3!L$2:L$57,Pond.Inputs!$B$2:$B$57)</f>
        <v>0</v>
      </c>
      <c r="M29" s="3">
        <f>WIOD.ThreeME_V3!M29 * Pond.Inputs!$B29/SUMPRODUCT(WIOD.ThreeME_V3!M$2:M$57,Pond.Inputs!$B$2:$B$57)</f>
        <v>0</v>
      </c>
      <c r="N29" s="3">
        <f>WIOD.ThreeME_V3!N29 * Pond.Inputs!$B29/SUMPRODUCT(WIOD.ThreeME_V3!N$2:N$57,Pond.Inputs!$B$2:$B$57)</f>
        <v>0</v>
      </c>
      <c r="O29" s="3">
        <f>WIOD.ThreeME_V3!O29 * Pond.Inputs!$B29/SUMPRODUCT(WIOD.ThreeME_V3!O$2:O$57,Pond.Inputs!$B$2:$B$57)</f>
        <v>0</v>
      </c>
      <c r="P29" s="3">
        <f>WIOD.ThreeME_V3!P29 * Pond.Inputs!$B29/SUMPRODUCT(WIOD.ThreeME_V3!P$2:P$57,Pond.Inputs!$B$2:$B$57)</f>
        <v>0</v>
      </c>
      <c r="Q29" s="3">
        <f>WIOD.ThreeME_V3!Q29 * Pond.Inputs!$B29/SUMPRODUCT(WIOD.ThreeME_V3!Q$2:Q$57,Pond.Inputs!$B$2:$B$57)</f>
        <v>0.11169171117162205</v>
      </c>
      <c r="R29" s="3">
        <f>WIOD.ThreeME_V3!R29 * Pond.Inputs!$B29/SUMPRODUCT(WIOD.ThreeME_V3!R$2:R$57,Pond.Inputs!$B$2:$B$57)</f>
        <v>0</v>
      </c>
      <c r="S29" s="3">
        <f>WIOD.ThreeME_V3!S29 * Pond.Inputs!$B29/SUMPRODUCT(WIOD.ThreeME_V3!S$2:S$57,Pond.Inputs!$B$2:$B$57)</f>
        <v>0</v>
      </c>
      <c r="T29" s="3">
        <f>WIOD.ThreeME_V3!T29 * Pond.Inputs!$B29/SUMPRODUCT(WIOD.ThreeME_V3!T$2:T$57,Pond.Inputs!$B$2:$B$57)</f>
        <v>0</v>
      </c>
      <c r="U29" s="3">
        <f>WIOD.ThreeME_V3!U29 * Pond.Inputs!$B29/SUMPRODUCT(WIOD.ThreeME_V3!U$2:U$57,Pond.Inputs!$B$2:$B$57)</f>
        <v>0</v>
      </c>
      <c r="V29" s="3">
        <f>WIOD.ThreeME_V3!V29 * Pond.Inputs!$B29/SUMPRODUCT(WIOD.ThreeME_V3!V$2:V$57,Pond.Inputs!$B$2:$B$57)</f>
        <v>0</v>
      </c>
      <c r="W29" s="3">
        <f>WIOD.ThreeME_V3!W29 * Pond.Inputs!$B29/SUMPRODUCT(WIOD.ThreeME_V3!W$2:W$57,Pond.Inputs!$B$2:$B$57)</f>
        <v>0</v>
      </c>
      <c r="X29" s="3">
        <f>WIOD.ThreeME_V3!X29 * Pond.Inputs!$B29/SUMPRODUCT(WIOD.ThreeME_V3!X$2:X$57,Pond.Inputs!$B$2:$B$57)</f>
        <v>0</v>
      </c>
      <c r="Y29" s="3">
        <f>WIOD.ThreeME_V3!Y29 * Pond.Inputs!$B29/SUMPRODUCT(WIOD.ThreeME_V3!Y$2:Y$57,Pond.Inputs!$B$2:$B$57)</f>
        <v>0</v>
      </c>
      <c r="Z29" s="3">
        <f>WIOD.ThreeME_V3!Z29 * Pond.Inputs!$B29/SUMPRODUCT(WIOD.ThreeME_V3!Z$2:Z$57,Pond.Inputs!$B$2:$B$57)</f>
        <v>0</v>
      </c>
      <c r="AA29" s="3">
        <f>WIOD.ThreeME_V3!AA29 * Pond.Inputs!$B29/SUMPRODUCT(WIOD.ThreeME_V3!AA$2:AA$57,Pond.Inputs!$B$2:$B$57)</f>
        <v>0</v>
      </c>
      <c r="AB29" s="3">
        <f>WIOD.ThreeME_V3!AB29 * Pond.Inputs!$B29/SUMPRODUCT(WIOD.ThreeME_V3!AB$2:AB$57,Pond.Inputs!$B$2:$B$57)</f>
        <v>0</v>
      </c>
      <c r="AC29" s="3">
        <f>WIOD.ThreeME_V3!AC29 * Pond.Inputs!$B29/SUMPRODUCT(WIOD.ThreeME_V3!AC$2:AC$57,Pond.Inputs!$B$2:$B$57)</f>
        <v>0</v>
      </c>
      <c r="AD29" s="3">
        <f>WIOD.ThreeME_V3!AD29 * Pond.Inputs!$B29/SUMPRODUCT(WIOD.ThreeME_V3!AD$2:AD$57,Pond.Inputs!$B$2:$B$57)</f>
        <v>0</v>
      </c>
      <c r="AE29" s="3">
        <f>WIOD.ThreeME_V3!AE29 * Pond.Inputs!$B29/SUMPRODUCT(WIOD.ThreeME_V3!AE$2:AE$57,Pond.Inputs!$B$2:$B$57)</f>
        <v>0</v>
      </c>
      <c r="AF29" s="3">
        <f>WIOD.ThreeME_V3!AF29 * Pond.Inputs!$B29/SUMPRODUCT(WIOD.ThreeME_V3!AF$2:AF$57,Pond.Inputs!$B$2:$B$57)</f>
        <v>0</v>
      </c>
      <c r="AG29" s="3">
        <f>WIOD.ThreeME_V3!AG29 * Pond.Inputs!$B29/SUMPRODUCT(WIOD.ThreeME_V3!AG$2:AG$57,Pond.Inputs!$B$2:$B$57)</f>
        <v>0</v>
      </c>
    </row>
    <row r="30" spans="1:33" x14ac:dyDescent="0.2">
      <c r="A30" s="1" t="s">
        <v>43</v>
      </c>
      <c r="B30" s="3">
        <f>WIOD.ThreeME_V3!B30 * Pond.Inputs!$B30/SUMPRODUCT(WIOD.ThreeME_V3!B$2:B$57,Pond.Inputs!$B$2:$B$57)</f>
        <v>0</v>
      </c>
      <c r="C30" s="3">
        <f>WIOD.ThreeME_V3!C30 * Pond.Inputs!$B30/SUMPRODUCT(WIOD.ThreeME_V3!C$2:C$57,Pond.Inputs!$B$2:$B$57)</f>
        <v>0</v>
      </c>
      <c r="D30" s="3">
        <f>WIOD.ThreeME_V3!D30 * Pond.Inputs!$B30/SUMPRODUCT(WIOD.ThreeME_V3!D$2:D$57,Pond.Inputs!$B$2:$B$57)</f>
        <v>0</v>
      </c>
      <c r="E30" s="3">
        <f>WIOD.ThreeME_V3!E30 * Pond.Inputs!$B30/SUMPRODUCT(WIOD.ThreeME_V3!E$2:E$57,Pond.Inputs!$B$2:$B$57)</f>
        <v>0</v>
      </c>
      <c r="F30" s="3">
        <f>WIOD.ThreeME_V3!F30 * Pond.Inputs!$B30/SUMPRODUCT(WIOD.ThreeME_V3!F$2:F$57,Pond.Inputs!$B$2:$B$57)</f>
        <v>0</v>
      </c>
      <c r="G30" s="3">
        <f>WIOD.ThreeME_V3!G30 * Pond.Inputs!$B30/SUMPRODUCT(WIOD.ThreeME_V3!G$2:G$57,Pond.Inputs!$B$2:$B$57)</f>
        <v>0</v>
      </c>
      <c r="H30" s="3">
        <f>WIOD.ThreeME_V3!H30 * Pond.Inputs!$B30/SUMPRODUCT(WIOD.ThreeME_V3!H$2:H$57,Pond.Inputs!$B$2:$B$57)</f>
        <v>0</v>
      </c>
      <c r="I30" s="3">
        <f>WIOD.ThreeME_V3!I30 * Pond.Inputs!$B30/SUMPRODUCT(WIOD.ThreeME_V3!I$2:I$57,Pond.Inputs!$B$2:$B$57)</f>
        <v>0</v>
      </c>
      <c r="J30" s="3">
        <f>WIOD.ThreeME_V3!J30 * Pond.Inputs!$B30/SUMPRODUCT(WIOD.ThreeME_V3!J$2:J$57,Pond.Inputs!$B$2:$B$57)</f>
        <v>0</v>
      </c>
      <c r="K30" s="3">
        <f>WIOD.ThreeME_V3!K30 * Pond.Inputs!$B30/SUMPRODUCT(WIOD.ThreeME_V3!K$2:K$57,Pond.Inputs!$B$2:$B$57)</f>
        <v>0</v>
      </c>
      <c r="L30" s="3">
        <f>WIOD.ThreeME_V3!L30 * Pond.Inputs!$B30/SUMPRODUCT(WIOD.ThreeME_V3!L$2:L$57,Pond.Inputs!$B$2:$B$57)</f>
        <v>0</v>
      </c>
      <c r="M30" s="3">
        <f>WIOD.ThreeME_V3!M30 * Pond.Inputs!$B30/SUMPRODUCT(WIOD.ThreeME_V3!M$2:M$57,Pond.Inputs!$B$2:$B$57)</f>
        <v>0</v>
      </c>
      <c r="N30" s="3">
        <f>WIOD.ThreeME_V3!N30 * Pond.Inputs!$B30/SUMPRODUCT(WIOD.ThreeME_V3!N$2:N$57,Pond.Inputs!$B$2:$B$57)</f>
        <v>0</v>
      </c>
      <c r="O30" s="3">
        <f>WIOD.ThreeME_V3!O30 * Pond.Inputs!$B30/SUMPRODUCT(WIOD.ThreeME_V3!O$2:O$57,Pond.Inputs!$B$2:$B$57)</f>
        <v>0</v>
      </c>
      <c r="P30" s="3">
        <f>WIOD.ThreeME_V3!P30 * Pond.Inputs!$B30/SUMPRODUCT(WIOD.ThreeME_V3!P$2:P$57,Pond.Inputs!$B$2:$B$57)</f>
        <v>0</v>
      </c>
      <c r="Q30" s="3">
        <f>WIOD.ThreeME_V3!Q30 * Pond.Inputs!$B30/SUMPRODUCT(WIOD.ThreeME_V3!Q$2:Q$57,Pond.Inputs!$B$2:$B$57)</f>
        <v>0.50576828338729485</v>
      </c>
      <c r="R30" s="3">
        <f>WIOD.ThreeME_V3!R30 * Pond.Inputs!$B30/SUMPRODUCT(WIOD.ThreeME_V3!R$2:R$57,Pond.Inputs!$B$2:$B$57)</f>
        <v>0</v>
      </c>
      <c r="S30" s="3">
        <f>WIOD.ThreeME_V3!S30 * Pond.Inputs!$B30/SUMPRODUCT(WIOD.ThreeME_V3!S$2:S$57,Pond.Inputs!$B$2:$B$57)</f>
        <v>0</v>
      </c>
      <c r="T30" s="3">
        <f>WIOD.ThreeME_V3!T30 * Pond.Inputs!$B30/SUMPRODUCT(WIOD.ThreeME_V3!T$2:T$57,Pond.Inputs!$B$2:$B$57)</f>
        <v>0</v>
      </c>
      <c r="U30" s="3">
        <f>WIOD.ThreeME_V3!U30 * Pond.Inputs!$B30/SUMPRODUCT(WIOD.ThreeME_V3!U$2:U$57,Pond.Inputs!$B$2:$B$57)</f>
        <v>0</v>
      </c>
      <c r="V30" s="3">
        <f>WIOD.ThreeME_V3!V30 * Pond.Inputs!$B30/SUMPRODUCT(WIOD.ThreeME_V3!V$2:V$57,Pond.Inputs!$B$2:$B$57)</f>
        <v>0</v>
      </c>
      <c r="W30" s="3">
        <f>WIOD.ThreeME_V3!W30 * Pond.Inputs!$B30/SUMPRODUCT(WIOD.ThreeME_V3!W$2:W$57,Pond.Inputs!$B$2:$B$57)</f>
        <v>0</v>
      </c>
      <c r="X30" s="3">
        <f>WIOD.ThreeME_V3!X30 * Pond.Inputs!$B30/SUMPRODUCT(WIOD.ThreeME_V3!X$2:X$57,Pond.Inputs!$B$2:$B$57)</f>
        <v>0</v>
      </c>
      <c r="Y30" s="3">
        <f>WIOD.ThreeME_V3!Y30 * Pond.Inputs!$B30/SUMPRODUCT(WIOD.ThreeME_V3!Y$2:Y$57,Pond.Inputs!$B$2:$B$57)</f>
        <v>0</v>
      </c>
      <c r="Z30" s="3">
        <f>WIOD.ThreeME_V3!Z30 * Pond.Inputs!$B30/SUMPRODUCT(WIOD.ThreeME_V3!Z$2:Z$57,Pond.Inputs!$B$2:$B$57)</f>
        <v>0</v>
      </c>
      <c r="AA30" s="3">
        <f>WIOD.ThreeME_V3!AA30 * Pond.Inputs!$B30/SUMPRODUCT(WIOD.ThreeME_V3!AA$2:AA$57,Pond.Inputs!$B$2:$B$57)</f>
        <v>0</v>
      </c>
      <c r="AB30" s="3">
        <f>WIOD.ThreeME_V3!AB30 * Pond.Inputs!$B30/SUMPRODUCT(WIOD.ThreeME_V3!AB$2:AB$57,Pond.Inputs!$B$2:$B$57)</f>
        <v>0</v>
      </c>
      <c r="AC30" s="3">
        <f>WIOD.ThreeME_V3!AC30 * Pond.Inputs!$B30/SUMPRODUCT(WIOD.ThreeME_V3!AC$2:AC$57,Pond.Inputs!$B$2:$B$57)</f>
        <v>0</v>
      </c>
      <c r="AD30" s="3">
        <f>WIOD.ThreeME_V3!AD30 * Pond.Inputs!$B30/SUMPRODUCT(WIOD.ThreeME_V3!AD$2:AD$57,Pond.Inputs!$B$2:$B$57)</f>
        <v>0</v>
      </c>
      <c r="AE30" s="3">
        <f>WIOD.ThreeME_V3!AE30 * Pond.Inputs!$B30/SUMPRODUCT(WIOD.ThreeME_V3!AE$2:AE$57,Pond.Inputs!$B$2:$B$57)</f>
        <v>0</v>
      </c>
      <c r="AF30" s="3">
        <f>WIOD.ThreeME_V3!AF30 * Pond.Inputs!$B30/SUMPRODUCT(WIOD.ThreeME_V3!AF$2:AF$57,Pond.Inputs!$B$2:$B$57)</f>
        <v>0</v>
      </c>
      <c r="AG30" s="3">
        <f>WIOD.ThreeME_V3!AG30 * Pond.Inputs!$B30/SUMPRODUCT(WIOD.ThreeME_V3!AG$2:AG$57,Pond.Inputs!$B$2:$B$57)</f>
        <v>0</v>
      </c>
    </row>
    <row r="31" spans="1:33" x14ac:dyDescent="0.2">
      <c r="A31" s="1" t="s">
        <v>44</v>
      </c>
      <c r="B31" s="3">
        <f>WIOD.ThreeME_V3!B31 * Pond.Inputs!$B31/SUMPRODUCT(WIOD.ThreeME_V3!B$2:B$57,Pond.Inputs!$B$2:$B$57)</f>
        <v>0</v>
      </c>
      <c r="C31" s="3">
        <f>WIOD.ThreeME_V3!C31 * Pond.Inputs!$B31/SUMPRODUCT(WIOD.ThreeME_V3!C$2:C$57,Pond.Inputs!$B$2:$B$57)</f>
        <v>0</v>
      </c>
      <c r="D31" s="3">
        <f>WIOD.ThreeME_V3!D31 * Pond.Inputs!$B31/SUMPRODUCT(WIOD.ThreeME_V3!D$2:D$57,Pond.Inputs!$B$2:$B$57)</f>
        <v>0</v>
      </c>
      <c r="E31" s="3">
        <f>WIOD.ThreeME_V3!E31 * Pond.Inputs!$B31/SUMPRODUCT(WIOD.ThreeME_V3!E$2:E$57,Pond.Inputs!$B$2:$B$57)</f>
        <v>0</v>
      </c>
      <c r="F31" s="3">
        <f>WIOD.ThreeME_V3!F31 * Pond.Inputs!$B31/SUMPRODUCT(WIOD.ThreeME_V3!F$2:F$57,Pond.Inputs!$B$2:$B$57)</f>
        <v>0</v>
      </c>
      <c r="G31" s="3">
        <f>WIOD.ThreeME_V3!G31 * Pond.Inputs!$B31/SUMPRODUCT(WIOD.ThreeME_V3!G$2:G$57,Pond.Inputs!$B$2:$B$57)</f>
        <v>0</v>
      </c>
      <c r="H31" s="3">
        <f>WIOD.ThreeME_V3!H31 * Pond.Inputs!$B31/SUMPRODUCT(WIOD.ThreeME_V3!H$2:H$57,Pond.Inputs!$B$2:$B$57)</f>
        <v>0</v>
      </c>
      <c r="I31" s="3">
        <f>WIOD.ThreeME_V3!I31 * Pond.Inputs!$B31/SUMPRODUCT(WIOD.ThreeME_V3!I$2:I$57,Pond.Inputs!$B$2:$B$57)</f>
        <v>0</v>
      </c>
      <c r="J31" s="3">
        <f>WIOD.ThreeME_V3!J31 * Pond.Inputs!$B31/SUMPRODUCT(WIOD.ThreeME_V3!J$2:J$57,Pond.Inputs!$B$2:$B$57)</f>
        <v>0</v>
      </c>
      <c r="K31" s="3">
        <f>WIOD.ThreeME_V3!K31 * Pond.Inputs!$B31/SUMPRODUCT(WIOD.ThreeME_V3!K$2:K$57,Pond.Inputs!$B$2:$B$57)</f>
        <v>0</v>
      </c>
      <c r="L31" s="3">
        <f>WIOD.ThreeME_V3!L31 * Pond.Inputs!$B31/SUMPRODUCT(WIOD.ThreeME_V3!L$2:L$57,Pond.Inputs!$B$2:$B$57)</f>
        <v>0</v>
      </c>
      <c r="M31" s="3">
        <f>WIOD.ThreeME_V3!M31 * Pond.Inputs!$B31/SUMPRODUCT(WIOD.ThreeME_V3!M$2:M$57,Pond.Inputs!$B$2:$B$57)</f>
        <v>0</v>
      </c>
      <c r="N31" s="3">
        <f>WIOD.ThreeME_V3!N31 * Pond.Inputs!$B31/SUMPRODUCT(WIOD.ThreeME_V3!N$2:N$57,Pond.Inputs!$B$2:$B$57)</f>
        <v>0</v>
      </c>
      <c r="O31" s="3">
        <f>WIOD.ThreeME_V3!O31 * Pond.Inputs!$B31/SUMPRODUCT(WIOD.ThreeME_V3!O$2:O$57,Pond.Inputs!$B$2:$B$57)</f>
        <v>0</v>
      </c>
      <c r="P31" s="3">
        <f>WIOD.ThreeME_V3!P31 * Pond.Inputs!$B31/SUMPRODUCT(WIOD.ThreeME_V3!P$2:P$57,Pond.Inputs!$B$2:$B$57)</f>
        <v>0</v>
      </c>
      <c r="Q31" s="3">
        <f>WIOD.ThreeME_V3!Q31 * Pond.Inputs!$B31/SUMPRODUCT(WIOD.ThreeME_V3!Q$2:Q$57,Pond.Inputs!$B$2:$B$57)</f>
        <v>0.33460210241490956</v>
      </c>
      <c r="R31" s="3">
        <f>WIOD.ThreeME_V3!R31 * Pond.Inputs!$B31/SUMPRODUCT(WIOD.ThreeME_V3!R$2:R$57,Pond.Inputs!$B$2:$B$57)</f>
        <v>0</v>
      </c>
      <c r="S31" s="3">
        <f>WIOD.ThreeME_V3!S31 * Pond.Inputs!$B31/SUMPRODUCT(WIOD.ThreeME_V3!S$2:S$57,Pond.Inputs!$B$2:$B$57)</f>
        <v>0</v>
      </c>
      <c r="T31" s="3">
        <f>WIOD.ThreeME_V3!T31 * Pond.Inputs!$B31/SUMPRODUCT(WIOD.ThreeME_V3!T$2:T$57,Pond.Inputs!$B$2:$B$57)</f>
        <v>0</v>
      </c>
      <c r="U31" s="3">
        <f>WIOD.ThreeME_V3!U31 * Pond.Inputs!$B31/SUMPRODUCT(WIOD.ThreeME_V3!U$2:U$57,Pond.Inputs!$B$2:$B$57)</f>
        <v>0</v>
      </c>
      <c r="V31" s="3">
        <f>WIOD.ThreeME_V3!V31 * Pond.Inputs!$B31/SUMPRODUCT(WIOD.ThreeME_V3!V$2:V$57,Pond.Inputs!$B$2:$B$57)</f>
        <v>0</v>
      </c>
      <c r="W31" s="3">
        <f>WIOD.ThreeME_V3!W31 * Pond.Inputs!$B31/SUMPRODUCT(WIOD.ThreeME_V3!W$2:W$57,Pond.Inputs!$B$2:$B$57)</f>
        <v>0</v>
      </c>
      <c r="X31" s="3">
        <f>WIOD.ThreeME_V3!X31 * Pond.Inputs!$B31/SUMPRODUCT(WIOD.ThreeME_V3!X$2:X$57,Pond.Inputs!$B$2:$B$57)</f>
        <v>0</v>
      </c>
      <c r="Y31" s="3">
        <f>WIOD.ThreeME_V3!Y31 * Pond.Inputs!$B31/SUMPRODUCT(WIOD.ThreeME_V3!Y$2:Y$57,Pond.Inputs!$B$2:$B$57)</f>
        <v>0</v>
      </c>
      <c r="Z31" s="3">
        <f>WIOD.ThreeME_V3!Z31 * Pond.Inputs!$B31/SUMPRODUCT(WIOD.ThreeME_V3!Z$2:Z$57,Pond.Inputs!$B$2:$B$57)</f>
        <v>0</v>
      </c>
      <c r="AA31" s="3">
        <f>WIOD.ThreeME_V3!AA31 * Pond.Inputs!$B31/SUMPRODUCT(WIOD.ThreeME_V3!AA$2:AA$57,Pond.Inputs!$B$2:$B$57)</f>
        <v>0</v>
      </c>
      <c r="AB31" s="3">
        <f>WIOD.ThreeME_V3!AB31 * Pond.Inputs!$B31/SUMPRODUCT(WIOD.ThreeME_V3!AB$2:AB$57,Pond.Inputs!$B$2:$B$57)</f>
        <v>0</v>
      </c>
      <c r="AC31" s="3">
        <f>WIOD.ThreeME_V3!AC31 * Pond.Inputs!$B31/SUMPRODUCT(WIOD.ThreeME_V3!AC$2:AC$57,Pond.Inputs!$B$2:$B$57)</f>
        <v>0</v>
      </c>
      <c r="AD31" s="3">
        <f>WIOD.ThreeME_V3!AD31 * Pond.Inputs!$B31/SUMPRODUCT(WIOD.ThreeME_V3!AD$2:AD$57,Pond.Inputs!$B$2:$B$57)</f>
        <v>0</v>
      </c>
      <c r="AE31" s="3">
        <f>WIOD.ThreeME_V3!AE31 * Pond.Inputs!$B31/SUMPRODUCT(WIOD.ThreeME_V3!AE$2:AE$57,Pond.Inputs!$B$2:$B$57)</f>
        <v>0</v>
      </c>
      <c r="AF31" s="3">
        <f>WIOD.ThreeME_V3!AF31 * Pond.Inputs!$B31/SUMPRODUCT(WIOD.ThreeME_V3!AF$2:AF$57,Pond.Inputs!$B$2:$B$57)</f>
        <v>0</v>
      </c>
      <c r="AG31" s="3">
        <f>WIOD.ThreeME_V3!AG31 * Pond.Inputs!$B31/SUMPRODUCT(WIOD.ThreeME_V3!AG$2:AG$57,Pond.Inputs!$B$2:$B$57)</f>
        <v>0</v>
      </c>
    </row>
    <row r="32" spans="1:33" x14ac:dyDescent="0.2">
      <c r="A32" s="1" t="s">
        <v>45</v>
      </c>
      <c r="B32" s="3">
        <f>WIOD.ThreeME_V3!B32 * Pond.Inputs!$B32/SUMPRODUCT(WIOD.ThreeME_V3!B$2:B$57,Pond.Inputs!$B$2:$B$57)</f>
        <v>0</v>
      </c>
      <c r="C32" s="3">
        <f>WIOD.ThreeME_V3!C32 * Pond.Inputs!$B32/SUMPRODUCT(WIOD.ThreeME_V3!C$2:C$57,Pond.Inputs!$B$2:$B$57)</f>
        <v>0</v>
      </c>
      <c r="D32" s="3">
        <f>WIOD.ThreeME_V3!D32 * Pond.Inputs!$B32/SUMPRODUCT(WIOD.ThreeME_V3!D$2:D$57,Pond.Inputs!$B$2:$B$57)</f>
        <v>0</v>
      </c>
      <c r="E32" s="3">
        <f>WIOD.ThreeME_V3!E32 * Pond.Inputs!$B32/SUMPRODUCT(WIOD.ThreeME_V3!E$2:E$57,Pond.Inputs!$B$2:$B$57)</f>
        <v>0</v>
      </c>
      <c r="F32" s="3">
        <f>WIOD.ThreeME_V3!F32 * Pond.Inputs!$B32/SUMPRODUCT(WIOD.ThreeME_V3!F$2:F$57,Pond.Inputs!$B$2:$B$57)</f>
        <v>0</v>
      </c>
      <c r="G32" s="3">
        <f>WIOD.ThreeME_V3!G32 * Pond.Inputs!$B32/SUMPRODUCT(WIOD.ThreeME_V3!G$2:G$57,Pond.Inputs!$B$2:$B$57)</f>
        <v>0</v>
      </c>
      <c r="H32" s="3">
        <f>WIOD.ThreeME_V3!H32 * Pond.Inputs!$B32/SUMPRODUCT(WIOD.ThreeME_V3!H$2:H$57,Pond.Inputs!$B$2:$B$57)</f>
        <v>0</v>
      </c>
      <c r="I32" s="3">
        <f>WIOD.ThreeME_V3!I32 * Pond.Inputs!$B32/SUMPRODUCT(WIOD.ThreeME_V3!I$2:I$57,Pond.Inputs!$B$2:$B$57)</f>
        <v>0</v>
      </c>
      <c r="J32" s="3">
        <f>WIOD.ThreeME_V3!J32 * Pond.Inputs!$B32/SUMPRODUCT(WIOD.ThreeME_V3!J$2:J$57,Pond.Inputs!$B$2:$B$57)</f>
        <v>0</v>
      </c>
      <c r="K32" s="3">
        <f>WIOD.ThreeME_V3!K32 * Pond.Inputs!$B32/SUMPRODUCT(WIOD.ThreeME_V3!K$2:K$57,Pond.Inputs!$B$2:$B$57)</f>
        <v>0</v>
      </c>
      <c r="L32" s="3">
        <f>WIOD.ThreeME_V3!L32 * Pond.Inputs!$B32/SUMPRODUCT(WIOD.ThreeME_V3!L$2:L$57,Pond.Inputs!$B$2:$B$57)</f>
        <v>0</v>
      </c>
      <c r="M32" s="3">
        <f>WIOD.ThreeME_V3!M32 * Pond.Inputs!$B32/SUMPRODUCT(WIOD.ThreeME_V3!M$2:M$57,Pond.Inputs!$B$2:$B$57)</f>
        <v>0</v>
      </c>
      <c r="N32" s="3">
        <f>WIOD.ThreeME_V3!N32 * Pond.Inputs!$B32/SUMPRODUCT(WIOD.ThreeME_V3!N$2:N$57,Pond.Inputs!$B$2:$B$57)</f>
        <v>1</v>
      </c>
      <c r="O32" s="3">
        <f>WIOD.ThreeME_V3!O32 * Pond.Inputs!$B32/SUMPRODUCT(WIOD.ThreeME_V3!O$2:O$57,Pond.Inputs!$B$2:$B$57)</f>
        <v>1</v>
      </c>
      <c r="P32" s="3">
        <f>WIOD.ThreeME_V3!P32 * Pond.Inputs!$B32/SUMPRODUCT(WIOD.ThreeME_V3!P$2:P$57,Pond.Inputs!$B$2:$B$57)</f>
        <v>0</v>
      </c>
      <c r="Q32" s="3">
        <f>WIOD.ThreeME_V3!Q32 * Pond.Inputs!$B32/SUMPRODUCT(WIOD.ThreeME_V3!Q$2:Q$57,Pond.Inputs!$B$2:$B$57)</f>
        <v>0</v>
      </c>
      <c r="R32" s="3">
        <f>WIOD.ThreeME_V3!R32 * Pond.Inputs!$B32/SUMPRODUCT(WIOD.ThreeME_V3!R$2:R$57,Pond.Inputs!$B$2:$B$57)</f>
        <v>0</v>
      </c>
      <c r="S32" s="3">
        <f>WIOD.ThreeME_V3!S32 * Pond.Inputs!$B32/SUMPRODUCT(WIOD.ThreeME_V3!S$2:S$57,Pond.Inputs!$B$2:$B$57)</f>
        <v>0</v>
      </c>
      <c r="T32" s="3">
        <f>WIOD.ThreeME_V3!T32 * Pond.Inputs!$B32/SUMPRODUCT(WIOD.ThreeME_V3!T$2:T$57,Pond.Inputs!$B$2:$B$57)</f>
        <v>0</v>
      </c>
      <c r="U32" s="3">
        <f>WIOD.ThreeME_V3!U32 * Pond.Inputs!$B32/SUMPRODUCT(WIOD.ThreeME_V3!U$2:U$57,Pond.Inputs!$B$2:$B$57)</f>
        <v>0</v>
      </c>
      <c r="V32" s="3">
        <f>WIOD.ThreeME_V3!V32 * Pond.Inputs!$B32/SUMPRODUCT(WIOD.ThreeME_V3!V$2:V$57,Pond.Inputs!$B$2:$B$57)</f>
        <v>0</v>
      </c>
      <c r="W32" s="3">
        <f>WIOD.ThreeME_V3!W32 * Pond.Inputs!$B32/SUMPRODUCT(WIOD.ThreeME_V3!W$2:W$57,Pond.Inputs!$B$2:$B$57)</f>
        <v>0</v>
      </c>
      <c r="X32" s="3">
        <f>WIOD.ThreeME_V3!X32 * Pond.Inputs!$B32/SUMPRODUCT(WIOD.ThreeME_V3!X$2:X$57,Pond.Inputs!$B$2:$B$57)</f>
        <v>0</v>
      </c>
      <c r="Y32" s="3">
        <f>WIOD.ThreeME_V3!Y32 * Pond.Inputs!$B32/SUMPRODUCT(WIOD.ThreeME_V3!Y$2:Y$57,Pond.Inputs!$B$2:$B$57)</f>
        <v>0</v>
      </c>
      <c r="Z32" s="3">
        <f>WIOD.ThreeME_V3!Z32 * Pond.Inputs!$B32/SUMPRODUCT(WIOD.ThreeME_V3!Z$2:Z$57,Pond.Inputs!$B$2:$B$57)</f>
        <v>0</v>
      </c>
      <c r="AA32" s="3">
        <f>WIOD.ThreeME_V3!AA32 * Pond.Inputs!$B32/SUMPRODUCT(WIOD.ThreeME_V3!AA$2:AA$57,Pond.Inputs!$B$2:$B$57)</f>
        <v>0</v>
      </c>
      <c r="AB32" s="3">
        <f>WIOD.ThreeME_V3!AB32 * Pond.Inputs!$B32/SUMPRODUCT(WIOD.ThreeME_V3!AB$2:AB$57,Pond.Inputs!$B$2:$B$57)</f>
        <v>0</v>
      </c>
      <c r="AC32" s="3">
        <f>WIOD.ThreeME_V3!AC32 * Pond.Inputs!$B32/SUMPRODUCT(WIOD.ThreeME_V3!AC$2:AC$57,Pond.Inputs!$B$2:$B$57)</f>
        <v>0</v>
      </c>
      <c r="AD32" s="3">
        <f>WIOD.ThreeME_V3!AD32 * Pond.Inputs!$B32/SUMPRODUCT(WIOD.ThreeME_V3!AD$2:AD$57,Pond.Inputs!$B$2:$B$57)</f>
        <v>0</v>
      </c>
      <c r="AE32" s="3">
        <f>WIOD.ThreeME_V3!AE32 * Pond.Inputs!$B32/SUMPRODUCT(WIOD.ThreeME_V3!AE$2:AE$57,Pond.Inputs!$B$2:$B$57)</f>
        <v>0</v>
      </c>
      <c r="AF32" s="3">
        <f>WIOD.ThreeME_V3!AF32 * Pond.Inputs!$B32/SUMPRODUCT(WIOD.ThreeME_V3!AF$2:AF$57,Pond.Inputs!$B$2:$B$57)</f>
        <v>0</v>
      </c>
      <c r="AG32" s="3">
        <f>WIOD.ThreeME_V3!AG32 * Pond.Inputs!$B32/SUMPRODUCT(WIOD.ThreeME_V3!AG$2:AG$57,Pond.Inputs!$B$2:$B$57)</f>
        <v>0</v>
      </c>
    </row>
    <row r="33" spans="1:33" x14ac:dyDescent="0.2">
      <c r="A33" s="1" t="s">
        <v>2</v>
      </c>
      <c r="B33" s="3">
        <f>WIOD.ThreeME_V3!B33 * Pond.Inputs!$B33/SUMPRODUCT(WIOD.ThreeME_V3!B$2:B$57,Pond.Inputs!$B$2:$B$57)</f>
        <v>0</v>
      </c>
      <c r="C33" s="3">
        <f>WIOD.ThreeME_V3!C33 * Pond.Inputs!$B33/SUMPRODUCT(WIOD.ThreeME_V3!C$2:C$57,Pond.Inputs!$B$2:$B$57)</f>
        <v>0</v>
      </c>
      <c r="D33" s="3">
        <f>WIOD.ThreeME_V3!D33 * Pond.Inputs!$B33/SUMPRODUCT(WIOD.ThreeME_V3!D$2:D$57,Pond.Inputs!$B$2:$B$57)</f>
        <v>0</v>
      </c>
      <c r="E33" s="3">
        <f>WIOD.ThreeME_V3!E33 * Pond.Inputs!$B33/SUMPRODUCT(WIOD.ThreeME_V3!E$2:E$57,Pond.Inputs!$B$2:$B$57)</f>
        <v>0</v>
      </c>
      <c r="F33" s="3">
        <f>WIOD.ThreeME_V3!F33 * Pond.Inputs!$B33/SUMPRODUCT(WIOD.ThreeME_V3!F$2:F$57,Pond.Inputs!$B$2:$B$57)</f>
        <v>0</v>
      </c>
      <c r="G33" s="3">
        <f>WIOD.ThreeME_V3!G33 * Pond.Inputs!$B33/SUMPRODUCT(WIOD.ThreeME_V3!G$2:G$57,Pond.Inputs!$B$2:$B$57)</f>
        <v>0</v>
      </c>
      <c r="H33" s="3">
        <f>WIOD.ThreeME_V3!H33 * Pond.Inputs!$B33/SUMPRODUCT(WIOD.ThreeME_V3!H$2:H$57,Pond.Inputs!$B$2:$B$57)</f>
        <v>0</v>
      </c>
      <c r="I33" s="3">
        <f>WIOD.ThreeME_V3!I33 * Pond.Inputs!$B33/SUMPRODUCT(WIOD.ThreeME_V3!I$2:I$57,Pond.Inputs!$B$2:$B$57)</f>
        <v>0</v>
      </c>
      <c r="J33" s="3">
        <f>WIOD.ThreeME_V3!J33 * Pond.Inputs!$B33/SUMPRODUCT(WIOD.ThreeME_V3!J$2:J$57,Pond.Inputs!$B$2:$B$57)</f>
        <v>0</v>
      </c>
      <c r="K33" s="3">
        <f>WIOD.ThreeME_V3!K33 * Pond.Inputs!$B33/SUMPRODUCT(WIOD.ThreeME_V3!K$2:K$57,Pond.Inputs!$B$2:$B$57)</f>
        <v>0</v>
      </c>
      <c r="L33" s="3">
        <f>WIOD.ThreeME_V3!L33 * Pond.Inputs!$B33/SUMPRODUCT(WIOD.ThreeME_V3!L$2:L$57,Pond.Inputs!$B$2:$B$57)</f>
        <v>0</v>
      </c>
      <c r="M33" s="3">
        <f>WIOD.ThreeME_V3!M33 * Pond.Inputs!$B33/SUMPRODUCT(WIOD.ThreeME_V3!M$2:M$57,Pond.Inputs!$B$2:$B$57)</f>
        <v>0</v>
      </c>
      <c r="N33" s="3">
        <f>WIOD.ThreeME_V3!N33 * Pond.Inputs!$B33/SUMPRODUCT(WIOD.ThreeME_V3!N$2:N$57,Pond.Inputs!$B$2:$B$57)</f>
        <v>0</v>
      </c>
      <c r="O33" s="3">
        <f>WIOD.ThreeME_V3!O33 * Pond.Inputs!$B33/SUMPRODUCT(WIOD.ThreeME_V3!O$2:O$57,Pond.Inputs!$B$2:$B$57)</f>
        <v>0</v>
      </c>
      <c r="P33" s="3">
        <f>WIOD.ThreeME_V3!P33 * Pond.Inputs!$B33/SUMPRODUCT(WIOD.ThreeME_V3!P$2:P$57,Pond.Inputs!$B$2:$B$57)</f>
        <v>1</v>
      </c>
      <c r="Q33" s="3">
        <f>WIOD.ThreeME_V3!Q33 * Pond.Inputs!$B33/SUMPRODUCT(WIOD.ThreeME_V3!Q$2:Q$57,Pond.Inputs!$B$2:$B$57)</f>
        <v>0</v>
      </c>
      <c r="R33" s="3">
        <f>WIOD.ThreeME_V3!R33 * Pond.Inputs!$B33/SUMPRODUCT(WIOD.ThreeME_V3!R$2:R$57,Pond.Inputs!$B$2:$B$57)</f>
        <v>0</v>
      </c>
      <c r="S33" s="3">
        <f>WIOD.ThreeME_V3!S33 * Pond.Inputs!$B33/SUMPRODUCT(WIOD.ThreeME_V3!S$2:S$57,Pond.Inputs!$B$2:$B$57)</f>
        <v>0</v>
      </c>
      <c r="T33" s="3">
        <f>WIOD.ThreeME_V3!T33 * Pond.Inputs!$B33/SUMPRODUCT(WIOD.ThreeME_V3!T$2:T$57,Pond.Inputs!$B$2:$B$57)</f>
        <v>0</v>
      </c>
      <c r="U33" s="3">
        <f>WIOD.ThreeME_V3!U33 * Pond.Inputs!$B33/SUMPRODUCT(WIOD.ThreeME_V3!U$2:U$57,Pond.Inputs!$B$2:$B$57)</f>
        <v>0</v>
      </c>
      <c r="V33" s="3">
        <f>WIOD.ThreeME_V3!V33 * Pond.Inputs!$B33/SUMPRODUCT(WIOD.ThreeME_V3!V$2:V$57,Pond.Inputs!$B$2:$B$57)</f>
        <v>0</v>
      </c>
      <c r="W33" s="3">
        <f>WIOD.ThreeME_V3!W33 * Pond.Inputs!$B33/SUMPRODUCT(WIOD.ThreeME_V3!W$2:W$57,Pond.Inputs!$B$2:$B$57)</f>
        <v>0</v>
      </c>
      <c r="X33" s="3">
        <f>WIOD.ThreeME_V3!X33 * Pond.Inputs!$B33/SUMPRODUCT(WIOD.ThreeME_V3!X$2:X$57,Pond.Inputs!$B$2:$B$57)</f>
        <v>0</v>
      </c>
      <c r="Y33" s="3">
        <f>WIOD.ThreeME_V3!Y33 * Pond.Inputs!$B33/SUMPRODUCT(WIOD.ThreeME_V3!Y$2:Y$57,Pond.Inputs!$B$2:$B$57)</f>
        <v>0</v>
      </c>
      <c r="Z33" s="3">
        <f>WIOD.ThreeME_V3!Z33 * Pond.Inputs!$B33/SUMPRODUCT(WIOD.ThreeME_V3!Z$2:Z$57,Pond.Inputs!$B$2:$B$57)</f>
        <v>0</v>
      </c>
      <c r="AA33" s="3">
        <f>WIOD.ThreeME_V3!AA33 * Pond.Inputs!$B33/SUMPRODUCT(WIOD.ThreeME_V3!AA$2:AA$57,Pond.Inputs!$B$2:$B$57)</f>
        <v>0</v>
      </c>
      <c r="AB33" s="3">
        <f>WIOD.ThreeME_V3!AB33 * Pond.Inputs!$B33/SUMPRODUCT(WIOD.ThreeME_V3!AB$2:AB$57,Pond.Inputs!$B$2:$B$57)</f>
        <v>0</v>
      </c>
      <c r="AC33" s="3">
        <f>WIOD.ThreeME_V3!AC33 * Pond.Inputs!$B33/SUMPRODUCT(WIOD.ThreeME_V3!AC$2:AC$57,Pond.Inputs!$B$2:$B$57)</f>
        <v>0</v>
      </c>
      <c r="AD33" s="3">
        <f>WIOD.ThreeME_V3!AD33 * Pond.Inputs!$B33/SUMPRODUCT(WIOD.ThreeME_V3!AD$2:AD$57,Pond.Inputs!$B$2:$B$57)</f>
        <v>0</v>
      </c>
      <c r="AE33" s="3">
        <f>WIOD.ThreeME_V3!AE33 * Pond.Inputs!$B33/SUMPRODUCT(WIOD.ThreeME_V3!AE$2:AE$57,Pond.Inputs!$B$2:$B$57)</f>
        <v>0</v>
      </c>
      <c r="AF33" s="3">
        <f>WIOD.ThreeME_V3!AF33 * Pond.Inputs!$B33/SUMPRODUCT(WIOD.ThreeME_V3!AF$2:AF$57,Pond.Inputs!$B$2:$B$57)</f>
        <v>0</v>
      </c>
      <c r="AG33" s="3">
        <f>WIOD.ThreeME_V3!AG33 * Pond.Inputs!$B33/SUMPRODUCT(WIOD.ThreeME_V3!AG$2:AG$57,Pond.Inputs!$B$2:$B$57)</f>
        <v>0</v>
      </c>
    </row>
    <row r="34" spans="1:33" x14ac:dyDescent="0.2">
      <c r="A34" s="1" t="s">
        <v>3</v>
      </c>
      <c r="B34" s="3">
        <f>WIOD.ThreeME_V3!B34 * Pond.Inputs!$B34/SUMPRODUCT(WIOD.ThreeME_V3!B$2:B$57,Pond.Inputs!$B$2:$B$57)</f>
        <v>0</v>
      </c>
      <c r="C34" s="3">
        <f>WIOD.ThreeME_V3!C34 * Pond.Inputs!$B34/SUMPRODUCT(WIOD.ThreeME_V3!C$2:C$57,Pond.Inputs!$B$2:$B$57)</f>
        <v>0</v>
      </c>
      <c r="D34" s="3">
        <f>WIOD.ThreeME_V3!D34 * Pond.Inputs!$B34/SUMPRODUCT(WIOD.ThreeME_V3!D$2:D$57,Pond.Inputs!$B$2:$B$57)</f>
        <v>0</v>
      </c>
      <c r="E34" s="3">
        <f>WIOD.ThreeME_V3!E34 * Pond.Inputs!$B34/SUMPRODUCT(WIOD.ThreeME_V3!E$2:E$57,Pond.Inputs!$B$2:$B$57)</f>
        <v>0</v>
      </c>
      <c r="F34" s="3">
        <f>WIOD.ThreeME_V3!F34 * Pond.Inputs!$B34/SUMPRODUCT(WIOD.ThreeME_V3!F$2:F$57,Pond.Inputs!$B$2:$B$57)</f>
        <v>0</v>
      </c>
      <c r="G34" s="3">
        <f>WIOD.ThreeME_V3!G34 * Pond.Inputs!$B34/SUMPRODUCT(WIOD.ThreeME_V3!G$2:G$57,Pond.Inputs!$B$2:$B$57)</f>
        <v>0</v>
      </c>
      <c r="H34" s="3">
        <f>WIOD.ThreeME_V3!H34 * Pond.Inputs!$B34/SUMPRODUCT(WIOD.ThreeME_V3!H$2:H$57,Pond.Inputs!$B$2:$B$57)</f>
        <v>0</v>
      </c>
      <c r="I34" s="3">
        <f>WIOD.ThreeME_V3!I34 * Pond.Inputs!$B34/SUMPRODUCT(WIOD.ThreeME_V3!I$2:I$57,Pond.Inputs!$B$2:$B$57)</f>
        <v>0</v>
      </c>
      <c r="J34" s="3">
        <f>WIOD.ThreeME_V3!J34 * Pond.Inputs!$B34/SUMPRODUCT(WIOD.ThreeME_V3!J$2:J$57,Pond.Inputs!$B$2:$B$57)</f>
        <v>0</v>
      </c>
      <c r="K34" s="3">
        <f>WIOD.ThreeME_V3!K34 * Pond.Inputs!$B34/SUMPRODUCT(WIOD.ThreeME_V3!K$2:K$57,Pond.Inputs!$B$2:$B$57)</f>
        <v>0</v>
      </c>
      <c r="L34" s="3">
        <f>WIOD.ThreeME_V3!L34 * Pond.Inputs!$B34/SUMPRODUCT(WIOD.ThreeME_V3!L$2:L$57,Pond.Inputs!$B$2:$B$57)</f>
        <v>0</v>
      </c>
      <c r="M34" s="3">
        <f>WIOD.ThreeME_V3!M34 * Pond.Inputs!$B34/SUMPRODUCT(WIOD.ThreeME_V3!M$2:M$57,Pond.Inputs!$B$2:$B$57)</f>
        <v>0</v>
      </c>
      <c r="N34" s="3">
        <f>WIOD.ThreeME_V3!N34 * Pond.Inputs!$B34/SUMPRODUCT(WIOD.ThreeME_V3!N$2:N$57,Pond.Inputs!$B$2:$B$57)</f>
        <v>0</v>
      </c>
      <c r="O34" s="3">
        <f>WIOD.ThreeME_V3!O34 * Pond.Inputs!$B34/SUMPRODUCT(WIOD.ThreeME_V3!O$2:O$57,Pond.Inputs!$B$2:$B$57)</f>
        <v>0</v>
      </c>
      <c r="P34" s="3">
        <f>WIOD.ThreeME_V3!P34 * Pond.Inputs!$B34/SUMPRODUCT(WIOD.ThreeME_V3!P$2:P$57,Pond.Inputs!$B$2:$B$57)</f>
        <v>0</v>
      </c>
      <c r="Q34" s="3">
        <f>WIOD.ThreeME_V3!Q34 * Pond.Inputs!$B34/SUMPRODUCT(WIOD.ThreeME_V3!Q$2:Q$57,Pond.Inputs!$B$2:$B$57)</f>
        <v>4.7937903026173567E-2</v>
      </c>
      <c r="R34" s="3">
        <f>WIOD.ThreeME_V3!R34 * Pond.Inputs!$B34/SUMPRODUCT(WIOD.ThreeME_V3!R$2:R$57,Pond.Inputs!$B$2:$B$57)</f>
        <v>0</v>
      </c>
      <c r="S34" s="3">
        <f>WIOD.ThreeME_V3!S34 * Pond.Inputs!$B34/SUMPRODUCT(WIOD.ThreeME_V3!S$2:S$57,Pond.Inputs!$B$2:$B$57)</f>
        <v>0</v>
      </c>
      <c r="T34" s="3">
        <f>WIOD.ThreeME_V3!T34 * Pond.Inputs!$B34/SUMPRODUCT(WIOD.ThreeME_V3!T$2:T$57,Pond.Inputs!$B$2:$B$57)</f>
        <v>0</v>
      </c>
      <c r="U34" s="3">
        <f>WIOD.ThreeME_V3!U34 * Pond.Inputs!$B34/SUMPRODUCT(WIOD.ThreeME_V3!U$2:U$57,Pond.Inputs!$B$2:$B$57)</f>
        <v>0</v>
      </c>
      <c r="V34" s="3">
        <f>WIOD.ThreeME_V3!V34 * Pond.Inputs!$B34/SUMPRODUCT(WIOD.ThreeME_V3!V$2:V$57,Pond.Inputs!$B$2:$B$57)</f>
        <v>0</v>
      </c>
      <c r="W34" s="3">
        <f>WIOD.ThreeME_V3!W34 * Pond.Inputs!$B34/SUMPRODUCT(WIOD.ThreeME_V3!W$2:W$57,Pond.Inputs!$B$2:$B$57)</f>
        <v>0</v>
      </c>
      <c r="X34" s="3">
        <f>WIOD.ThreeME_V3!X34 * Pond.Inputs!$B34/SUMPRODUCT(WIOD.ThreeME_V3!X$2:X$57,Pond.Inputs!$B$2:$B$57)</f>
        <v>0</v>
      </c>
      <c r="Y34" s="3">
        <f>WIOD.ThreeME_V3!Y34 * Pond.Inputs!$B34/SUMPRODUCT(WIOD.ThreeME_V3!Y$2:Y$57,Pond.Inputs!$B$2:$B$57)</f>
        <v>0</v>
      </c>
      <c r="Z34" s="3">
        <f>WIOD.ThreeME_V3!Z34 * Pond.Inputs!$B34/SUMPRODUCT(WIOD.ThreeME_V3!Z$2:Z$57,Pond.Inputs!$B$2:$B$57)</f>
        <v>0</v>
      </c>
      <c r="AA34" s="3">
        <f>WIOD.ThreeME_V3!AA34 * Pond.Inputs!$B34/SUMPRODUCT(WIOD.ThreeME_V3!AA$2:AA$57,Pond.Inputs!$B$2:$B$57)</f>
        <v>0</v>
      </c>
      <c r="AB34" s="3">
        <f>WIOD.ThreeME_V3!AB34 * Pond.Inputs!$B34/SUMPRODUCT(WIOD.ThreeME_V3!AB$2:AB$57,Pond.Inputs!$B$2:$B$57)</f>
        <v>0</v>
      </c>
      <c r="AC34" s="3">
        <f>WIOD.ThreeME_V3!AC34 * Pond.Inputs!$B34/SUMPRODUCT(WIOD.ThreeME_V3!AC$2:AC$57,Pond.Inputs!$B$2:$B$57)</f>
        <v>0</v>
      </c>
      <c r="AD34" s="3">
        <f>WIOD.ThreeME_V3!AD34 * Pond.Inputs!$B34/SUMPRODUCT(WIOD.ThreeME_V3!AD$2:AD$57,Pond.Inputs!$B$2:$B$57)</f>
        <v>0</v>
      </c>
      <c r="AE34" s="3">
        <f>WIOD.ThreeME_V3!AE34 * Pond.Inputs!$B34/SUMPRODUCT(WIOD.ThreeME_V3!AE$2:AE$57,Pond.Inputs!$B$2:$B$57)</f>
        <v>0</v>
      </c>
      <c r="AF34" s="3">
        <f>WIOD.ThreeME_V3!AF34 * Pond.Inputs!$B34/SUMPRODUCT(WIOD.ThreeME_V3!AF$2:AF$57,Pond.Inputs!$B$2:$B$57)</f>
        <v>0</v>
      </c>
      <c r="AG34" s="3">
        <f>WIOD.ThreeME_V3!AG34 * Pond.Inputs!$B34/SUMPRODUCT(WIOD.ThreeME_V3!AG$2:AG$57,Pond.Inputs!$B$2:$B$57)</f>
        <v>0</v>
      </c>
    </row>
    <row r="35" spans="1:33" x14ac:dyDescent="0.2">
      <c r="A35" s="1" t="s">
        <v>46</v>
      </c>
      <c r="B35" s="3">
        <f>WIOD.ThreeME_V3!B35 * Pond.Inputs!$B35/SUMPRODUCT(WIOD.ThreeME_V3!B$2:B$57,Pond.Inputs!$B$2:$B$57)</f>
        <v>0</v>
      </c>
      <c r="C35" s="3">
        <f>WIOD.ThreeME_V3!C35 * Pond.Inputs!$B35/SUMPRODUCT(WIOD.ThreeME_V3!C$2:C$57,Pond.Inputs!$B$2:$B$57)</f>
        <v>0</v>
      </c>
      <c r="D35" s="3">
        <f>WIOD.ThreeME_V3!D35 * Pond.Inputs!$B35/SUMPRODUCT(WIOD.ThreeME_V3!D$2:D$57,Pond.Inputs!$B$2:$B$57)</f>
        <v>0</v>
      </c>
      <c r="E35" s="3">
        <f>WIOD.ThreeME_V3!E35 * Pond.Inputs!$B35/SUMPRODUCT(WIOD.ThreeME_V3!E$2:E$57,Pond.Inputs!$B$2:$B$57)</f>
        <v>0</v>
      </c>
      <c r="F35" s="3">
        <f>WIOD.ThreeME_V3!F35 * Pond.Inputs!$B35/SUMPRODUCT(WIOD.ThreeME_V3!F$2:F$57,Pond.Inputs!$B$2:$B$57)</f>
        <v>0</v>
      </c>
      <c r="G35" s="3">
        <f>WIOD.ThreeME_V3!G35 * Pond.Inputs!$B35/SUMPRODUCT(WIOD.ThreeME_V3!G$2:G$57,Pond.Inputs!$B$2:$B$57)</f>
        <v>0</v>
      </c>
      <c r="H35" s="3">
        <f>WIOD.ThreeME_V3!H35 * Pond.Inputs!$B35/SUMPRODUCT(WIOD.ThreeME_V3!H$2:H$57,Pond.Inputs!$B$2:$B$57)</f>
        <v>0</v>
      </c>
      <c r="I35" s="3">
        <f>WIOD.ThreeME_V3!I35 * Pond.Inputs!$B35/SUMPRODUCT(WIOD.ThreeME_V3!I$2:I$57,Pond.Inputs!$B$2:$B$57)</f>
        <v>0</v>
      </c>
      <c r="J35" s="3">
        <f>WIOD.ThreeME_V3!J35 * Pond.Inputs!$B35/SUMPRODUCT(WIOD.ThreeME_V3!J$2:J$57,Pond.Inputs!$B$2:$B$57)</f>
        <v>0</v>
      </c>
      <c r="K35" s="3">
        <f>WIOD.ThreeME_V3!K35 * Pond.Inputs!$B35/SUMPRODUCT(WIOD.ThreeME_V3!K$2:K$57,Pond.Inputs!$B$2:$B$57)</f>
        <v>0</v>
      </c>
      <c r="L35" s="3">
        <f>WIOD.ThreeME_V3!L35 * Pond.Inputs!$B35/SUMPRODUCT(WIOD.ThreeME_V3!L$2:L$57,Pond.Inputs!$B$2:$B$57)</f>
        <v>0</v>
      </c>
      <c r="M35" s="3">
        <f>WIOD.ThreeME_V3!M35 * Pond.Inputs!$B35/SUMPRODUCT(WIOD.ThreeME_V3!M$2:M$57,Pond.Inputs!$B$2:$B$57)</f>
        <v>0</v>
      </c>
      <c r="N35" s="3">
        <f>WIOD.ThreeME_V3!N35 * Pond.Inputs!$B35/SUMPRODUCT(WIOD.ThreeME_V3!N$2:N$57,Pond.Inputs!$B$2:$B$57)</f>
        <v>0</v>
      </c>
      <c r="O35" s="3">
        <f>WIOD.ThreeME_V3!O35 * Pond.Inputs!$B35/SUMPRODUCT(WIOD.ThreeME_V3!O$2:O$57,Pond.Inputs!$B$2:$B$57)</f>
        <v>0</v>
      </c>
      <c r="P35" s="3">
        <f>WIOD.ThreeME_V3!P35 * Pond.Inputs!$B35/SUMPRODUCT(WIOD.ThreeME_V3!P$2:P$57,Pond.Inputs!$B$2:$B$57)</f>
        <v>0</v>
      </c>
      <c r="Q35" s="3">
        <f>WIOD.ThreeME_V3!Q35 * Pond.Inputs!$B35/SUMPRODUCT(WIOD.ThreeME_V3!Q$2:Q$57,Pond.Inputs!$B$2:$B$57)</f>
        <v>0</v>
      </c>
      <c r="R35" s="3">
        <f>WIOD.ThreeME_V3!R35 * Pond.Inputs!$B35/SUMPRODUCT(WIOD.ThreeME_V3!R$2:R$57,Pond.Inputs!$B$2:$B$57)</f>
        <v>4.3195722340872995E-2</v>
      </c>
      <c r="S35" s="3">
        <f>WIOD.ThreeME_V3!S35 * Pond.Inputs!$B35/SUMPRODUCT(WIOD.ThreeME_V3!S$2:S$57,Pond.Inputs!$B$2:$B$57)</f>
        <v>0</v>
      </c>
      <c r="T35" s="3">
        <f>WIOD.ThreeME_V3!T35 * Pond.Inputs!$B35/SUMPRODUCT(WIOD.ThreeME_V3!T$2:T$57,Pond.Inputs!$B$2:$B$57)</f>
        <v>0</v>
      </c>
      <c r="U35" s="3">
        <f>WIOD.ThreeME_V3!U35 * Pond.Inputs!$B35/SUMPRODUCT(WIOD.ThreeME_V3!U$2:U$57,Pond.Inputs!$B$2:$B$57)</f>
        <v>0</v>
      </c>
      <c r="V35" s="3">
        <f>WIOD.ThreeME_V3!V35 * Pond.Inputs!$B35/SUMPRODUCT(WIOD.ThreeME_V3!V$2:V$57,Pond.Inputs!$B$2:$B$57)</f>
        <v>0</v>
      </c>
      <c r="W35" s="3">
        <f>WIOD.ThreeME_V3!W35 * Pond.Inputs!$B35/SUMPRODUCT(WIOD.ThreeME_V3!W$2:W$57,Pond.Inputs!$B$2:$B$57)</f>
        <v>0</v>
      </c>
      <c r="X35" s="3">
        <f>WIOD.ThreeME_V3!X35 * Pond.Inputs!$B35/SUMPRODUCT(WIOD.ThreeME_V3!X$2:X$57,Pond.Inputs!$B$2:$B$57)</f>
        <v>0</v>
      </c>
      <c r="Y35" s="3">
        <f>WIOD.ThreeME_V3!Y35 * Pond.Inputs!$B35/SUMPRODUCT(WIOD.ThreeME_V3!Y$2:Y$57,Pond.Inputs!$B$2:$B$57)</f>
        <v>0</v>
      </c>
      <c r="Z35" s="3">
        <f>WIOD.ThreeME_V3!Z35 * Pond.Inputs!$B35/SUMPRODUCT(WIOD.ThreeME_V3!Z$2:Z$57,Pond.Inputs!$B$2:$B$57)</f>
        <v>0</v>
      </c>
      <c r="AA35" s="3">
        <f>WIOD.ThreeME_V3!AA35 * Pond.Inputs!$B35/SUMPRODUCT(WIOD.ThreeME_V3!AA$2:AA$57,Pond.Inputs!$B$2:$B$57)</f>
        <v>0</v>
      </c>
      <c r="AB35" s="3">
        <f>WIOD.ThreeME_V3!AB35 * Pond.Inputs!$B35/SUMPRODUCT(WIOD.ThreeME_V3!AB$2:AB$57,Pond.Inputs!$B$2:$B$57)</f>
        <v>0</v>
      </c>
      <c r="AC35" s="3">
        <f>WIOD.ThreeME_V3!AC35 * Pond.Inputs!$B35/SUMPRODUCT(WIOD.ThreeME_V3!AC$2:AC$57,Pond.Inputs!$B$2:$B$57)</f>
        <v>0</v>
      </c>
      <c r="AD35" s="3">
        <f>WIOD.ThreeME_V3!AD35 * Pond.Inputs!$B35/SUMPRODUCT(WIOD.ThreeME_V3!AD$2:AD$57,Pond.Inputs!$B$2:$B$57)</f>
        <v>0</v>
      </c>
      <c r="AE35" s="3">
        <f>WIOD.ThreeME_V3!AE35 * Pond.Inputs!$B35/SUMPRODUCT(WIOD.ThreeME_V3!AE$2:AE$57,Pond.Inputs!$B$2:$B$57)</f>
        <v>0</v>
      </c>
      <c r="AF35" s="3">
        <f>WIOD.ThreeME_V3!AF35 * Pond.Inputs!$B35/SUMPRODUCT(WIOD.ThreeME_V3!AF$2:AF$57,Pond.Inputs!$B$2:$B$57)</f>
        <v>0</v>
      </c>
      <c r="AG35" s="3">
        <f>WIOD.ThreeME_V3!AG35 * Pond.Inputs!$B35/SUMPRODUCT(WIOD.ThreeME_V3!AG$2:AG$57,Pond.Inputs!$B$2:$B$57)</f>
        <v>0</v>
      </c>
    </row>
    <row r="36" spans="1:33" x14ac:dyDescent="0.2">
      <c r="A36" s="1" t="s">
        <v>47</v>
      </c>
      <c r="B36" s="3">
        <f>WIOD.ThreeME_V3!B36 * Pond.Inputs!$B36/SUMPRODUCT(WIOD.ThreeME_V3!B$2:B$57,Pond.Inputs!$B$2:$B$57)</f>
        <v>0</v>
      </c>
      <c r="C36" s="3">
        <f>WIOD.ThreeME_V3!C36 * Pond.Inputs!$B36/SUMPRODUCT(WIOD.ThreeME_V3!C$2:C$57,Pond.Inputs!$B$2:$B$57)</f>
        <v>0</v>
      </c>
      <c r="D36" s="3">
        <f>WIOD.ThreeME_V3!D36 * Pond.Inputs!$B36/SUMPRODUCT(WIOD.ThreeME_V3!D$2:D$57,Pond.Inputs!$B$2:$B$57)</f>
        <v>0</v>
      </c>
      <c r="E36" s="3">
        <f>WIOD.ThreeME_V3!E36 * Pond.Inputs!$B36/SUMPRODUCT(WIOD.ThreeME_V3!E$2:E$57,Pond.Inputs!$B$2:$B$57)</f>
        <v>0</v>
      </c>
      <c r="F36" s="3">
        <f>WIOD.ThreeME_V3!F36 * Pond.Inputs!$B36/SUMPRODUCT(WIOD.ThreeME_V3!F$2:F$57,Pond.Inputs!$B$2:$B$57)</f>
        <v>0</v>
      </c>
      <c r="G36" s="3">
        <f>WIOD.ThreeME_V3!G36 * Pond.Inputs!$B36/SUMPRODUCT(WIOD.ThreeME_V3!G$2:G$57,Pond.Inputs!$B$2:$B$57)</f>
        <v>0</v>
      </c>
      <c r="H36" s="3">
        <f>WIOD.ThreeME_V3!H36 * Pond.Inputs!$B36/SUMPRODUCT(WIOD.ThreeME_V3!H$2:H$57,Pond.Inputs!$B$2:$B$57)</f>
        <v>0</v>
      </c>
      <c r="I36" s="3">
        <f>WIOD.ThreeME_V3!I36 * Pond.Inputs!$B36/SUMPRODUCT(WIOD.ThreeME_V3!I$2:I$57,Pond.Inputs!$B$2:$B$57)</f>
        <v>0</v>
      </c>
      <c r="J36" s="3">
        <f>WIOD.ThreeME_V3!J36 * Pond.Inputs!$B36/SUMPRODUCT(WIOD.ThreeME_V3!J$2:J$57,Pond.Inputs!$B$2:$B$57)</f>
        <v>0</v>
      </c>
      <c r="K36" s="3">
        <f>WIOD.ThreeME_V3!K36 * Pond.Inputs!$B36/SUMPRODUCT(WIOD.ThreeME_V3!K$2:K$57,Pond.Inputs!$B$2:$B$57)</f>
        <v>0</v>
      </c>
      <c r="L36" s="3">
        <f>WIOD.ThreeME_V3!L36 * Pond.Inputs!$B36/SUMPRODUCT(WIOD.ThreeME_V3!L$2:L$57,Pond.Inputs!$B$2:$B$57)</f>
        <v>0</v>
      </c>
      <c r="M36" s="3">
        <f>WIOD.ThreeME_V3!M36 * Pond.Inputs!$B36/SUMPRODUCT(WIOD.ThreeME_V3!M$2:M$57,Pond.Inputs!$B$2:$B$57)</f>
        <v>0</v>
      </c>
      <c r="N36" s="3">
        <f>WIOD.ThreeME_V3!N36 * Pond.Inputs!$B36/SUMPRODUCT(WIOD.ThreeME_V3!N$2:N$57,Pond.Inputs!$B$2:$B$57)</f>
        <v>0</v>
      </c>
      <c r="O36" s="3">
        <f>WIOD.ThreeME_V3!O36 * Pond.Inputs!$B36/SUMPRODUCT(WIOD.ThreeME_V3!O$2:O$57,Pond.Inputs!$B$2:$B$57)</f>
        <v>0</v>
      </c>
      <c r="P36" s="3">
        <f>WIOD.ThreeME_V3!P36 * Pond.Inputs!$B36/SUMPRODUCT(WIOD.ThreeME_V3!P$2:P$57,Pond.Inputs!$B$2:$B$57)</f>
        <v>0</v>
      </c>
      <c r="Q36" s="3">
        <f>WIOD.ThreeME_V3!Q36 * Pond.Inputs!$B36/SUMPRODUCT(WIOD.ThreeME_V3!Q$2:Q$57,Pond.Inputs!$B$2:$B$57)</f>
        <v>0</v>
      </c>
      <c r="R36" s="3">
        <f>WIOD.ThreeME_V3!R36 * Pond.Inputs!$B36/SUMPRODUCT(WIOD.ThreeME_V3!R$2:R$57,Pond.Inputs!$B$2:$B$57)</f>
        <v>9.1511520169848225E-3</v>
      </c>
      <c r="S36" s="3">
        <f>WIOD.ThreeME_V3!S36 * Pond.Inputs!$B36/SUMPRODUCT(WIOD.ThreeME_V3!S$2:S$57,Pond.Inputs!$B$2:$B$57)</f>
        <v>0</v>
      </c>
      <c r="T36" s="3">
        <f>WIOD.ThreeME_V3!T36 * Pond.Inputs!$B36/SUMPRODUCT(WIOD.ThreeME_V3!T$2:T$57,Pond.Inputs!$B$2:$B$57)</f>
        <v>0</v>
      </c>
      <c r="U36" s="3">
        <f>WIOD.ThreeME_V3!U36 * Pond.Inputs!$B36/SUMPRODUCT(WIOD.ThreeME_V3!U$2:U$57,Pond.Inputs!$B$2:$B$57)</f>
        <v>0</v>
      </c>
      <c r="V36" s="3">
        <f>WIOD.ThreeME_V3!V36 * Pond.Inputs!$B36/SUMPRODUCT(WIOD.ThreeME_V3!V$2:V$57,Pond.Inputs!$B$2:$B$57)</f>
        <v>0</v>
      </c>
      <c r="W36" s="3">
        <f>WIOD.ThreeME_V3!W36 * Pond.Inputs!$B36/SUMPRODUCT(WIOD.ThreeME_V3!W$2:W$57,Pond.Inputs!$B$2:$B$57)</f>
        <v>0</v>
      </c>
      <c r="X36" s="3">
        <f>WIOD.ThreeME_V3!X36 * Pond.Inputs!$B36/SUMPRODUCT(WIOD.ThreeME_V3!X$2:X$57,Pond.Inputs!$B$2:$B$57)</f>
        <v>0</v>
      </c>
      <c r="Y36" s="3">
        <f>WIOD.ThreeME_V3!Y36 * Pond.Inputs!$B36/SUMPRODUCT(WIOD.ThreeME_V3!Y$2:Y$57,Pond.Inputs!$B$2:$B$57)</f>
        <v>0</v>
      </c>
      <c r="Z36" s="3">
        <f>WIOD.ThreeME_V3!Z36 * Pond.Inputs!$B36/SUMPRODUCT(WIOD.ThreeME_V3!Z$2:Z$57,Pond.Inputs!$B$2:$B$57)</f>
        <v>0</v>
      </c>
      <c r="AA36" s="3">
        <f>WIOD.ThreeME_V3!AA36 * Pond.Inputs!$B36/SUMPRODUCT(WIOD.ThreeME_V3!AA$2:AA$57,Pond.Inputs!$B$2:$B$57)</f>
        <v>0</v>
      </c>
      <c r="AB36" s="3">
        <f>WIOD.ThreeME_V3!AB36 * Pond.Inputs!$B36/SUMPRODUCT(WIOD.ThreeME_V3!AB$2:AB$57,Pond.Inputs!$B$2:$B$57)</f>
        <v>0</v>
      </c>
      <c r="AC36" s="3">
        <f>WIOD.ThreeME_V3!AC36 * Pond.Inputs!$B36/SUMPRODUCT(WIOD.ThreeME_V3!AC$2:AC$57,Pond.Inputs!$B$2:$B$57)</f>
        <v>0</v>
      </c>
      <c r="AD36" s="3">
        <f>WIOD.ThreeME_V3!AD36 * Pond.Inputs!$B36/SUMPRODUCT(WIOD.ThreeME_V3!AD$2:AD$57,Pond.Inputs!$B$2:$B$57)</f>
        <v>0</v>
      </c>
      <c r="AE36" s="3">
        <f>WIOD.ThreeME_V3!AE36 * Pond.Inputs!$B36/SUMPRODUCT(WIOD.ThreeME_V3!AE$2:AE$57,Pond.Inputs!$B$2:$B$57)</f>
        <v>0</v>
      </c>
      <c r="AF36" s="3">
        <f>WIOD.ThreeME_V3!AF36 * Pond.Inputs!$B36/SUMPRODUCT(WIOD.ThreeME_V3!AF$2:AF$57,Pond.Inputs!$B$2:$B$57)</f>
        <v>0</v>
      </c>
      <c r="AG36" s="3">
        <f>WIOD.ThreeME_V3!AG36 * Pond.Inputs!$B36/SUMPRODUCT(WIOD.ThreeME_V3!AG$2:AG$57,Pond.Inputs!$B$2:$B$57)</f>
        <v>0</v>
      </c>
    </row>
    <row r="37" spans="1:33" x14ac:dyDescent="0.2">
      <c r="A37" s="1" t="s">
        <v>48</v>
      </c>
      <c r="B37" s="3">
        <f>WIOD.ThreeME_V3!B37 * Pond.Inputs!$B37/SUMPRODUCT(WIOD.ThreeME_V3!B$2:B$57,Pond.Inputs!$B$2:$B$57)</f>
        <v>0</v>
      </c>
      <c r="C37" s="3">
        <f>WIOD.ThreeME_V3!C37 * Pond.Inputs!$B37/SUMPRODUCT(WIOD.ThreeME_V3!C$2:C$57,Pond.Inputs!$B$2:$B$57)</f>
        <v>0</v>
      </c>
      <c r="D37" s="3">
        <f>WIOD.ThreeME_V3!D37 * Pond.Inputs!$B37/SUMPRODUCT(WIOD.ThreeME_V3!D$2:D$57,Pond.Inputs!$B$2:$B$57)</f>
        <v>0</v>
      </c>
      <c r="E37" s="3">
        <f>WIOD.ThreeME_V3!E37 * Pond.Inputs!$B37/SUMPRODUCT(WIOD.ThreeME_V3!E$2:E$57,Pond.Inputs!$B$2:$B$57)</f>
        <v>0</v>
      </c>
      <c r="F37" s="3">
        <f>WIOD.ThreeME_V3!F37 * Pond.Inputs!$B37/SUMPRODUCT(WIOD.ThreeME_V3!F$2:F$57,Pond.Inputs!$B$2:$B$57)</f>
        <v>0</v>
      </c>
      <c r="G37" s="3">
        <f>WIOD.ThreeME_V3!G37 * Pond.Inputs!$B37/SUMPRODUCT(WIOD.ThreeME_V3!G$2:G$57,Pond.Inputs!$B$2:$B$57)</f>
        <v>0</v>
      </c>
      <c r="H37" s="3">
        <f>WIOD.ThreeME_V3!H37 * Pond.Inputs!$B37/SUMPRODUCT(WIOD.ThreeME_V3!H$2:H$57,Pond.Inputs!$B$2:$B$57)</f>
        <v>0</v>
      </c>
      <c r="I37" s="3">
        <f>WIOD.ThreeME_V3!I37 * Pond.Inputs!$B37/SUMPRODUCT(WIOD.ThreeME_V3!I$2:I$57,Pond.Inputs!$B$2:$B$57)</f>
        <v>0</v>
      </c>
      <c r="J37" s="3">
        <f>WIOD.ThreeME_V3!J37 * Pond.Inputs!$B37/SUMPRODUCT(WIOD.ThreeME_V3!J$2:J$57,Pond.Inputs!$B$2:$B$57)</f>
        <v>0</v>
      </c>
      <c r="K37" s="3">
        <f>WIOD.ThreeME_V3!K37 * Pond.Inputs!$B37/SUMPRODUCT(WIOD.ThreeME_V3!K$2:K$57,Pond.Inputs!$B$2:$B$57)</f>
        <v>0</v>
      </c>
      <c r="L37" s="3">
        <f>WIOD.ThreeME_V3!L37 * Pond.Inputs!$B37/SUMPRODUCT(WIOD.ThreeME_V3!L$2:L$57,Pond.Inputs!$B$2:$B$57)</f>
        <v>0</v>
      </c>
      <c r="M37" s="3">
        <f>WIOD.ThreeME_V3!M37 * Pond.Inputs!$B37/SUMPRODUCT(WIOD.ThreeME_V3!M$2:M$57,Pond.Inputs!$B$2:$B$57)</f>
        <v>0</v>
      </c>
      <c r="N37" s="3">
        <f>WIOD.ThreeME_V3!N37 * Pond.Inputs!$B37/SUMPRODUCT(WIOD.ThreeME_V3!N$2:N$57,Pond.Inputs!$B$2:$B$57)</f>
        <v>0</v>
      </c>
      <c r="O37" s="3">
        <f>WIOD.ThreeME_V3!O37 * Pond.Inputs!$B37/SUMPRODUCT(WIOD.ThreeME_V3!O$2:O$57,Pond.Inputs!$B$2:$B$57)</f>
        <v>0</v>
      </c>
      <c r="P37" s="3">
        <f>WIOD.ThreeME_V3!P37 * Pond.Inputs!$B37/SUMPRODUCT(WIOD.ThreeME_V3!P$2:P$57,Pond.Inputs!$B$2:$B$57)</f>
        <v>0</v>
      </c>
      <c r="Q37" s="3">
        <f>WIOD.ThreeME_V3!Q37 * Pond.Inputs!$B37/SUMPRODUCT(WIOD.ThreeME_V3!Q$2:Q$57,Pond.Inputs!$B$2:$B$57)</f>
        <v>0</v>
      </c>
      <c r="R37" s="3">
        <f>WIOD.ThreeME_V3!R37 * Pond.Inputs!$B37/SUMPRODUCT(WIOD.ThreeME_V3!R$2:R$57,Pond.Inputs!$B$2:$B$57)</f>
        <v>7.1186259622396289E-2</v>
      </c>
      <c r="S37" s="3">
        <f>WIOD.ThreeME_V3!S37 * Pond.Inputs!$B37/SUMPRODUCT(WIOD.ThreeME_V3!S$2:S$57,Pond.Inputs!$B$2:$B$57)</f>
        <v>0</v>
      </c>
      <c r="T37" s="3">
        <f>WIOD.ThreeME_V3!T37 * Pond.Inputs!$B37/SUMPRODUCT(WIOD.ThreeME_V3!T$2:T$57,Pond.Inputs!$B$2:$B$57)</f>
        <v>0</v>
      </c>
      <c r="U37" s="3">
        <f>WIOD.ThreeME_V3!U37 * Pond.Inputs!$B37/SUMPRODUCT(WIOD.ThreeME_V3!U$2:U$57,Pond.Inputs!$B$2:$B$57)</f>
        <v>0</v>
      </c>
      <c r="V37" s="3">
        <f>WIOD.ThreeME_V3!V37 * Pond.Inputs!$B37/SUMPRODUCT(WIOD.ThreeME_V3!V$2:V$57,Pond.Inputs!$B$2:$B$57)</f>
        <v>0</v>
      </c>
      <c r="W37" s="3">
        <f>WIOD.ThreeME_V3!W37 * Pond.Inputs!$B37/SUMPRODUCT(WIOD.ThreeME_V3!W$2:W$57,Pond.Inputs!$B$2:$B$57)</f>
        <v>0</v>
      </c>
      <c r="X37" s="3">
        <f>WIOD.ThreeME_V3!X37 * Pond.Inputs!$B37/SUMPRODUCT(WIOD.ThreeME_V3!X$2:X$57,Pond.Inputs!$B$2:$B$57)</f>
        <v>0</v>
      </c>
      <c r="Y37" s="3">
        <f>WIOD.ThreeME_V3!Y37 * Pond.Inputs!$B37/SUMPRODUCT(WIOD.ThreeME_V3!Y$2:Y$57,Pond.Inputs!$B$2:$B$57)</f>
        <v>0</v>
      </c>
      <c r="Z37" s="3">
        <f>WIOD.ThreeME_V3!Z37 * Pond.Inputs!$B37/SUMPRODUCT(WIOD.ThreeME_V3!Z$2:Z$57,Pond.Inputs!$B$2:$B$57)</f>
        <v>0</v>
      </c>
      <c r="AA37" s="3">
        <f>WIOD.ThreeME_V3!AA37 * Pond.Inputs!$B37/SUMPRODUCT(WIOD.ThreeME_V3!AA$2:AA$57,Pond.Inputs!$B$2:$B$57)</f>
        <v>0</v>
      </c>
      <c r="AB37" s="3">
        <f>WIOD.ThreeME_V3!AB37 * Pond.Inputs!$B37/SUMPRODUCT(WIOD.ThreeME_V3!AB$2:AB$57,Pond.Inputs!$B$2:$B$57)</f>
        <v>0</v>
      </c>
      <c r="AC37" s="3">
        <f>WIOD.ThreeME_V3!AC37 * Pond.Inputs!$B37/SUMPRODUCT(WIOD.ThreeME_V3!AC$2:AC$57,Pond.Inputs!$B$2:$B$57)</f>
        <v>0</v>
      </c>
      <c r="AD37" s="3">
        <f>WIOD.ThreeME_V3!AD37 * Pond.Inputs!$B37/SUMPRODUCT(WIOD.ThreeME_V3!AD$2:AD$57,Pond.Inputs!$B$2:$B$57)</f>
        <v>0</v>
      </c>
      <c r="AE37" s="3">
        <f>WIOD.ThreeME_V3!AE37 * Pond.Inputs!$B37/SUMPRODUCT(WIOD.ThreeME_V3!AE$2:AE$57,Pond.Inputs!$B$2:$B$57)</f>
        <v>0</v>
      </c>
      <c r="AF37" s="3">
        <f>WIOD.ThreeME_V3!AF37 * Pond.Inputs!$B37/SUMPRODUCT(WIOD.ThreeME_V3!AF$2:AF$57,Pond.Inputs!$B$2:$B$57)</f>
        <v>0</v>
      </c>
      <c r="AG37" s="3">
        <f>WIOD.ThreeME_V3!AG37 * Pond.Inputs!$B37/SUMPRODUCT(WIOD.ThreeME_V3!AG$2:AG$57,Pond.Inputs!$B$2:$B$57)</f>
        <v>0</v>
      </c>
    </row>
    <row r="38" spans="1:33" x14ac:dyDescent="0.2">
      <c r="A38" s="1" t="s">
        <v>49</v>
      </c>
      <c r="B38" s="3">
        <f>WIOD.ThreeME_V3!B38 * Pond.Inputs!$B38/SUMPRODUCT(WIOD.ThreeME_V3!B$2:B$57,Pond.Inputs!$B$2:$B$57)</f>
        <v>0</v>
      </c>
      <c r="C38" s="3">
        <f>WIOD.ThreeME_V3!C38 * Pond.Inputs!$B38/SUMPRODUCT(WIOD.ThreeME_V3!C$2:C$57,Pond.Inputs!$B$2:$B$57)</f>
        <v>0</v>
      </c>
      <c r="D38" s="3">
        <f>WIOD.ThreeME_V3!D38 * Pond.Inputs!$B38/SUMPRODUCT(WIOD.ThreeME_V3!D$2:D$57,Pond.Inputs!$B$2:$B$57)</f>
        <v>0</v>
      </c>
      <c r="E38" s="3">
        <f>WIOD.ThreeME_V3!E38 * Pond.Inputs!$B38/SUMPRODUCT(WIOD.ThreeME_V3!E$2:E$57,Pond.Inputs!$B$2:$B$57)</f>
        <v>0</v>
      </c>
      <c r="F38" s="3">
        <f>WIOD.ThreeME_V3!F38 * Pond.Inputs!$B38/SUMPRODUCT(WIOD.ThreeME_V3!F$2:F$57,Pond.Inputs!$B$2:$B$57)</f>
        <v>0</v>
      </c>
      <c r="G38" s="3">
        <f>WIOD.ThreeME_V3!G38 * Pond.Inputs!$B38/SUMPRODUCT(WIOD.ThreeME_V3!G$2:G$57,Pond.Inputs!$B$2:$B$57)</f>
        <v>0</v>
      </c>
      <c r="H38" s="3">
        <f>WIOD.ThreeME_V3!H38 * Pond.Inputs!$B38/SUMPRODUCT(WIOD.ThreeME_V3!H$2:H$57,Pond.Inputs!$B$2:$B$57)</f>
        <v>0</v>
      </c>
      <c r="I38" s="3">
        <f>WIOD.ThreeME_V3!I38 * Pond.Inputs!$B38/SUMPRODUCT(WIOD.ThreeME_V3!I$2:I$57,Pond.Inputs!$B$2:$B$57)</f>
        <v>0</v>
      </c>
      <c r="J38" s="3">
        <f>WIOD.ThreeME_V3!J38 * Pond.Inputs!$B38/SUMPRODUCT(WIOD.ThreeME_V3!J$2:J$57,Pond.Inputs!$B$2:$B$57)</f>
        <v>0</v>
      </c>
      <c r="K38" s="3">
        <f>WIOD.ThreeME_V3!K38 * Pond.Inputs!$B38/SUMPRODUCT(WIOD.ThreeME_V3!K$2:K$57,Pond.Inputs!$B$2:$B$57)</f>
        <v>0</v>
      </c>
      <c r="L38" s="3">
        <f>WIOD.ThreeME_V3!L38 * Pond.Inputs!$B38/SUMPRODUCT(WIOD.ThreeME_V3!L$2:L$57,Pond.Inputs!$B$2:$B$57)</f>
        <v>0</v>
      </c>
      <c r="M38" s="3">
        <f>WIOD.ThreeME_V3!M38 * Pond.Inputs!$B38/SUMPRODUCT(WIOD.ThreeME_V3!M$2:M$57,Pond.Inputs!$B$2:$B$57)</f>
        <v>0</v>
      </c>
      <c r="N38" s="3">
        <f>WIOD.ThreeME_V3!N38 * Pond.Inputs!$B38/SUMPRODUCT(WIOD.ThreeME_V3!N$2:N$57,Pond.Inputs!$B$2:$B$57)</f>
        <v>0</v>
      </c>
      <c r="O38" s="3">
        <f>WIOD.ThreeME_V3!O38 * Pond.Inputs!$B38/SUMPRODUCT(WIOD.ThreeME_V3!O$2:O$57,Pond.Inputs!$B$2:$B$57)</f>
        <v>0</v>
      </c>
      <c r="P38" s="3">
        <f>WIOD.ThreeME_V3!P38 * Pond.Inputs!$B38/SUMPRODUCT(WIOD.ThreeME_V3!P$2:P$57,Pond.Inputs!$B$2:$B$57)</f>
        <v>0</v>
      </c>
      <c r="Q38" s="3">
        <f>WIOD.ThreeME_V3!Q38 * Pond.Inputs!$B38/SUMPRODUCT(WIOD.ThreeME_V3!Q$2:Q$57,Pond.Inputs!$B$2:$B$57)</f>
        <v>0</v>
      </c>
      <c r="R38" s="3">
        <f>WIOD.ThreeME_V3!R38 * Pond.Inputs!$B38/SUMPRODUCT(WIOD.ThreeME_V3!R$2:R$57,Pond.Inputs!$B$2:$B$57)</f>
        <v>1.8334202504845971E-2</v>
      </c>
      <c r="S38" s="3">
        <f>WIOD.ThreeME_V3!S38 * Pond.Inputs!$B38/SUMPRODUCT(WIOD.ThreeME_V3!S$2:S$57,Pond.Inputs!$B$2:$B$57)</f>
        <v>0</v>
      </c>
      <c r="T38" s="3">
        <f>WIOD.ThreeME_V3!T38 * Pond.Inputs!$B38/SUMPRODUCT(WIOD.ThreeME_V3!T$2:T$57,Pond.Inputs!$B$2:$B$57)</f>
        <v>0</v>
      </c>
      <c r="U38" s="3">
        <f>WIOD.ThreeME_V3!U38 * Pond.Inputs!$B38/SUMPRODUCT(WIOD.ThreeME_V3!U$2:U$57,Pond.Inputs!$B$2:$B$57)</f>
        <v>0</v>
      </c>
      <c r="V38" s="3">
        <f>WIOD.ThreeME_V3!V38 * Pond.Inputs!$B38/SUMPRODUCT(WIOD.ThreeME_V3!V$2:V$57,Pond.Inputs!$B$2:$B$57)</f>
        <v>0</v>
      </c>
      <c r="W38" s="3">
        <f>WIOD.ThreeME_V3!W38 * Pond.Inputs!$B38/SUMPRODUCT(WIOD.ThreeME_V3!W$2:W$57,Pond.Inputs!$B$2:$B$57)</f>
        <v>0</v>
      </c>
      <c r="X38" s="3">
        <f>WIOD.ThreeME_V3!X38 * Pond.Inputs!$B38/SUMPRODUCT(WIOD.ThreeME_V3!X$2:X$57,Pond.Inputs!$B$2:$B$57)</f>
        <v>0</v>
      </c>
      <c r="Y38" s="3">
        <f>WIOD.ThreeME_V3!Y38 * Pond.Inputs!$B38/SUMPRODUCT(WIOD.ThreeME_V3!Y$2:Y$57,Pond.Inputs!$B$2:$B$57)</f>
        <v>0</v>
      </c>
      <c r="Z38" s="3">
        <f>WIOD.ThreeME_V3!Z38 * Pond.Inputs!$B38/SUMPRODUCT(WIOD.ThreeME_V3!Z$2:Z$57,Pond.Inputs!$B$2:$B$57)</f>
        <v>0</v>
      </c>
      <c r="AA38" s="3">
        <f>WIOD.ThreeME_V3!AA38 * Pond.Inputs!$B38/SUMPRODUCT(WIOD.ThreeME_V3!AA$2:AA$57,Pond.Inputs!$B$2:$B$57)</f>
        <v>0</v>
      </c>
      <c r="AB38" s="3">
        <f>WIOD.ThreeME_V3!AB38 * Pond.Inputs!$B38/SUMPRODUCT(WIOD.ThreeME_V3!AB$2:AB$57,Pond.Inputs!$B$2:$B$57)</f>
        <v>0</v>
      </c>
      <c r="AC38" s="3">
        <f>WIOD.ThreeME_V3!AC38 * Pond.Inputs!$B38/SUMPRODUCT(WIOD.ThreeME_V3!AC$2:AC$57,Pond.Inputs!$B$2:$B$57)</f>
        <v>0</v>
      </c>
      <c r="AD38" s="3">
        <f>WIOD.ThreeME_V3!AD38 * Pond.Inputs!$B38/SUMPRODUCT(WIOD.ThreeME_V3!AD$2:AD$57,Pond.Inputs!$B$2:$B$57)</f>
        <v>0</v>
      </c>
      <c r="AE38" s="3">
        <f>WIOD.ThreeME_V3!AE38 * Pond.Inputs!$B38/SUMPRODUCT(WIOD.ThreeME_V3!AE$2:AE$57,Pond.Inputs!$B$2:$B$57)</f>
        <v>0</v>
      </c>
      <c r="AF38" s="3">
        <f>WIOD.ThreeME_V3!AF38 * Pond.Inputs!$B38/SUMPRODUCT(WIOD.ThreeME_V3!AF$2:AF$57,Pond.Inputs!$B$2:$B$57)</f>
        <v>0</v>
      </c>
      <c r="AG38" s="3">
        <f>WIOD.ThreeME_V3!AG38 * Pond.Inputs!$B38/SUMPRODUCT(WIOD.ThreeME_V3!AG$2:AG$57,Pond.Inputs!$B$2:$B$57)</f>
        <v>0</v>
      </c>
    </row>
    <row r="39" spans="1:33" x14ac:dyDescent="0.2">
      <c r="A39" s="1" t="s">
        <v>50</v>
      </c>
      <c r="B39" s="3">
        <f>WIOD.ThreeME_V3!B39 * Pond.Inputs!$B39/SUMPRODUCT(WIOD.ThreeME_V3!B$2:B$57,Pond.Inputs!$B$2:$B$57)</f>
        <v>0</v>
      </c>
      <c r="C39" s="3">
        <f>WIOD.ThreeME_V3!C39 * Pond.Inputs!$B39/SUMPRODUCT(WIOD.ThreeME_V3!C$2:C$57,Pond.Inputs!$B$2:$B$57)</f>
        <v>0</v>
      </c>
      <c r="D39" s="3">
        <f>WIOD.ThreeME_V3!D39 * Pond.Inputs!$B39/SUMPRODUCT(WIOD.ThreeME_V3!D$2:D$57,Pond.Inputs!$B$2:$B$57)</f>
        <v>0</v>
      </c>
      <c r="E39" s="3">
        <f>WIOD.ThreeME_V3!E39 * Pond.Inputs!$B39/SUMPRODUCT(WIOD.ThreeME_V3!E$2:E$57,Pond.Inputs!$B$2:$B$57)</f>
        <v>0</v>
      </c>
      <c r="F39" s="3">
        <f>WIOD.ThreeME_V3!F39 * Pond.Inputs!$B39/SUMPRODUCT(WIOD.ThreeME_V3!F$2:F$57,Pond.Inputs!$B$2:$B$57)</f>
        <v>0</v>
      </c>
      <c r="G39" s="3">
        <f>WIOD.ThreeME_V3!G39 * Pond.Inputs!$B39/SUMPRODUCT(WIOD.ThreeME_V3!G$2:G$57,Pond.Inputs!$B$2:$B$57)</f>
        <v>0</v>
      </c>
      <c r="H39" s="3">
        <f>WIOD.ThreeME_V3!H39 * Pond.Inputs!$B39/SUMPRODUCT(WIOD.ThreeME_V3!H$2:H$57,Pond.Inputs!$B$2:$B$57)</f>
        <v>0</v>
      </c>
      <c r="I39" s="3">
        <f>WIOD.ThreeME_V3!I39 * Pond.Inputs!$B39/SUMPRODUCT(WIOD.ThreeME_V3!I$2:I$57,Pond.Inputs!$B$2:$B$57)</f>
        <v>0</v>
      </c>
      <c r="J39" s="3">
        <f>WIOD.ThreeME_V3!J39 * Pond.Inputs!$B39/SUMPRODUCT(WIOD.ThreeME_V3!J$2:J$57,Pond.Inputs!$B$2:$B$57)</f>
        <v>0</v>
      </c>
      <c r="K39" s="3">
        <f>WIOD.ThreeME_V3!K39 * Pond.Inputs!$B39/SUMPRODUCT(WIOD.ThreeME_V3!K$2:K$57,Pond.Inputs!$B$2:$B$57)</f>
        <v>0</v>
      </c>
      <c r="L39" s="3">
        <f>WIOD.ThreeME_V3!L39 * Pond.Inputs!$B39/SUMPRODUCT(WIOD.ThreeME_V3!L$2:L$57,Pond.Inputs!$B$2:$B$57)</f>
        <v>0</v>
      </c>
      <c r="M39" s="3">
        <f>WIOD.ThreeME_V3!M39 * Pond.Inputs!$B39/SUMPRODUCT(WIOD.ThreeME_V3!M$2:M$57,Pond.Inputs!$B$2:$B$57)</f>
        <v>0</v>
      </c>
      <c r="N39" s="3">
        <f>WIOD.ThreeME_V3!N39 * Pond.Inputs!$B39/SUMPRODUCT(WIOD.ThreeME_V3!N$2:N$57,Pond.Inputs!$B$2:$B$57)</f>
        <v>0</v>
      </c>
      <c r="O39" s="3">
        <f>WIOD.ThreeME_V3!O39 * Pond.Inputs!$B39/SUMPRODUCT(WIOD.ThreeME_V3!O$2:O$57,Pond.Inputs!$B$2:$B$57)</f>
        <v>0</v>
      </c>
      <c r="P39" s="3">
        <f>WIOD.ThreeME_V3!P39 * Pond.Inputs!$B39/SUMPRODUCT(WIOD.ThreeME_V3!P$2:P$57,Pond.Inputs!$B$2:$B$57)</f>
        <v>0</v>
      </c>
      <c r="Q39" s="3">
        <f>WIOD.ThreeME_V3!Q39 * Pond.Inputs!$B39/SUMPRODUCT(WIOD.ThreeME_V3!Q$2:Q$57,Pond.Inputs!$B$2:$B$57)</f>
        <v>0</v>
      </c>
      <c r="R39" s="3">
        <f>WIOD.ThreeME_V3!R39 * Pond.Inputs!$B39/SUMPRODUCT(WIOD.ThreeME_V3!R$2:R$57,Pond.Inputs!$B$2:$B$57)</f>
        <v>1.9466227308503465E-2</v>
      </c>
      <c r="S39" s="3">
        <f>WIOD.ThreeME_V3!S39 * Pond.Inputs!$B39/SUMPRODUCT(WIOD.ThreeME_V3!S$2:S$57,Pond.Inputs!$B$2:$B$57)</f>
        <v>0</v>
      </c>
      <c r="T39" s="3">
        <f>WIOD.ThreeME_V3!T39 * Pond.Inputs!$B39/SUMPRODUCT(WIOD.ThreeME_V3!T$2:T$57,Pond.Inputs!$B$2:$B$57)</f>
        <v>0</v>
      </c>
      <c r="U39" s="3">
        <f>WIOD.ThreeME_V3!U39 * Pond.Inputs!$B39/SUMPRODUCT(WIOD.ThreeME_V3!U$2:U$57,Pond.Inputs!$B$2:$B$57)</f>
        <v>0</v>
      </c>
      <c r="V39" s="3">
        <f>WIOD.ThreeME_V3!V39 * Pond.Inputs!$B39/SUMPRODUCT(WIOD.ThreeME_V3!V$2:V$57,Pond.Inputs!$B$2:$B$57)</f>
        <v>0</v>
      </c>
      <c r="W39" s="3">
        <f>WIOD.ThreeME_V3!W39 * Pond.Inputs!$B39/SUMPRODUCT(WIOD.ThreeME_V3!W$2:W$57,Pond.Inputs!$B$2:$B$57)</f>
        <v>0</v>
      </c>
      <c r="X39" s="3">
        <f>WIOD.ThreeME_V3!X39 * Pond.Inputs!$B39/SUMPRODUCT(WIOD.ThreeME_V3!X$2:X$57,Pond.Inputs!$B$2:$B$57)</f>
        <v>0</v>
      </c>
      <c r="Y39" s="3">
        <f>WIOD.ThreeME_V3!Y39 * Pond.Inputs!$B39/SUMPRODUCT(WIOD.ThreeME_V3!Y$2:Y$57,Pond.Inputs!$B$2:$B$57)</f>
        <v>0</v>
      </c>
      <c r="Z39" s="3">
        <f>WIOD.ThreeME_V3!Z39 * Pond.Inputs!$B39/SUMPRODUCT(WIOD.ThreeME_V3!Z$2:Z$57,Pond.Inputs!$B$2:$B$57)</f>
        <v>0</v>
      </c>
      <c r="AA39" s="3">
        <f>WIOD.ThreeME_V3!AA39 * Pond.Inputs!$B39/SUMPRODUCT(WIOD.ThreeME_V3!AA$2:AA$57,Pond.Inputs!$B$2:$B$57)</f>
        <v>0</v>
      </c>
      <c r="AB39" s="3">
        <f>WIOD.ThreeME_V3!AB39 * Pond.Inputs!$B39/SUMPRODUCT(WIOD.ThreeME_V3!AB$2:AB$57,Pond.Inputs!$B$2:$B$57)</f>
        <v>0</v>
      </c>
      <c r="AC39" s="3">
        <f>WIOD.ThreeME_V3!AC39 * Pond.Inputs!$B39/SUMPRODUCT(WIOD.ThreeME_V3!AC$2:AC$57,Pond.Inputs!$B$2:$B$57)</f>
        <v>0</v>
      </c>
      <c r="AD39" s="3">
        <f>WIOD.ThreeME_V3!AD39 * Pond.Inputs!$B39/SUMPRODUCT(WIOD.ThreeME_V3!AD$2:AD$57,Pond.Inputs!$B$2:$B$57)</f>
        <v>0</v>
      </c>
      <c r="AE39" s="3">
        <f>WIOD.ThreeME_V3!AE39 * Pond.Inputs!$B39/SUMPRODUCT(WIOD.ThreeME_V3!AE$2:AE$57,Pond.Inputs!$B$2:$B$57)</f>
        <v>0</v>
      </c>
      <c r="AF39" s="3">
        <f>WIOD.ThreeME_V3!AF39 * Pond.Inputs!$B39/SUMPRODUCT(WIOD.ThreeME_V3!AF$2:AF$57,Pond.Inputs!$B$2:$B$57)</f>
        <v>0</v>
      </c>
      <c r="AG39" s="3">
        <f>WIOD.ThreeME_V3!AG39 * Pond.Inputs!$B39/SUMPRODUCT(WIOD.ThreeME_V3!AG$2:AG$57,Pond.Inputs!$B$2:$B$57)</f>
        <v>0</v>
      </c>
    </row>
    <row r="40" spans="1:33" x14ac:dyDescent="0.2">
      <c r="A40" s="1" t="s">
        <v>51</v>
      </c>
      <c r="B40" s="3">
        <f>WIOD.ThreeME_V3!B40 * Pond.Inputs!$B40/SUMPRODUCT(WIOD.ThreeME_V3!B$2:B$57,Pond.Inputs!$B$2:$B$57)</f>
        <v>0</v>
      </c>
      <c r="C40" s="3">
        <f>WIOD.ThreeME_V3!C40 * Pond.Inputs!$B40/SUMPRODUCT(WIOD.ThreeME_V3!C$2:C$57,Pond.Inputs!$B$2:$B$57)</f>
        <v>0</v>
      </c>
      <c r="D40" s="3">
        <f>WIOD.ThreeME_V3!D40 * Pond.Inputs!$B40/SUMPRODUCT(WIOD.ThreeME_V3!D$2:D$57,Pond.Inputs!$B$2:$B$57)</f>
        <v>0</v>
      </c>
      <c r="E40" s="3">
        <f>WIOD.ThreeME_V3!E40 * Pond.Inputs!$B40/SUMPRODUCT(WIOD.ThreeME_V3!E$2:E$57,Pond.Inputs!$B$2:$B$57)</f>
        <v>0</v>
      </c>
      <c r="F40" s="3">
        <f>WIOD.ThreeME_V3!F40 * Pond.Inputs!$B40/SUMPRODUCT(WIOD.ThreeME_V3!F$2:F$57,Pond.Inputs!$B$2:$B$57)</f>
        <v>0</v>
      </c>
      <c r="G40" s="3">
        <f>WIOD.ThreeME_V3!G40 * Pond.Inputs!$B40/SUMPRODUCT(WIOD.ThreeME_V3!G$2:G$57,Pond.Inputs!$B$2:$B$57)</f>
        <v>0</v>
      </c>
      <c r="H40" s="3">
        <f>WIOD.ThreeME_V3!H40 * Pond.Inputs!$B40/SUMPRODUCT(WIOD.ThreeME_V3!H$2:H$57,Pond.Inputs!$B$2:$B$57)</f>
        <v>0</v>
      </c>
      <c r="I40" s="3">
        <f>WIOD.ThreeME_V3!I40 * Pond.Inputs!$B40/SUMPRODUCT(WIOD.ThreeME_V3!I$2:I$57,Pond.Inputs!$B$2:$B$57)</f>
        <v>0</v>
      </c>
      <c r="J40" s="3">
        <f>WIOD.ThreeME_V3!J40 * Pond.Inputs!$B40/SUMPRODUCT(WIOD.ThreeME_V3!J$2:J$57,Pond.Inputs!$B$2:$B$57)</f>
        <v>0</v>
      </c>
      <c r="K40" s="3">
        <f>WIOD.ThreeME_V3!K40 * Pond.Inputs!$B40/SUMPRODUCT(WIOD.ThreeME_V3!K$2:K$57,Pond.Inputs!$B$2:$B$57)</f>
        <v>0</v>
      </c>
      <c r="L40" s="3">
        <f>WIOD.ThreeME_V3!L40 * Pond.Inputs!$B40/SUMPRODUCT(WIOD.ThreeME_V3!L$2:L$57,Pond.Inputs!$B$2:$B$57)</f>
        <v>0</v>
      </c>
      <c r="M40" s="3">
        <f>WIOD.ThreeME_V3!M40 * Pond.Inputs!$B40/SUMPRODUCT(WIOD.ThreeME_V3!M$2:M$57,Pond.Inputs!$B$2:$B$57)</f>
        <v>0</v>
      </c>
      <c r="N40" s="3">
        <f>WIOD.ThreeME_V3!N40 * Pond.Inputs!$B40/SUMPRODUCT(WIOD.ThreeME_V3!N$2:N$57,Pond.Inputs!$B$2:$B$57)</f>
        <v>0</v>
      </c>
      <c r="O40" s="3">
        <f>WIOD.ThreeME_V3!O40 * Pond.Inputs!$B40/SUMPRODUCT(WIOD.ThreeME_V3!O$2:O$57,Pond.Inputs!$B$2:$B$57)</f>
        <v>0</v>
      </c>
      <c r="P40" s="3">
        <f>WIOD.ThreeME_V3!P40 * Pond.Inputs!$B40/SUMPRODUCT(WIOD.ThreeME_V3!P$2:P$57,Pond.Inputs!$B$2:$B$57)</f>
        <v>0</v>
      </c>
      <c r="Q40" s="3">
        <f>WIOD.ThreeME_V3!Q40 * Pond.Inputs!$B40/SUMPRODUCT(WIOD.ThreeME_V3!Q$2:Q$57,Pond.Inputs!$B$2:$B$57)</f>
        <v>0</v>
      </c>
      <c r="R40" s="3">
        <f>WIOD.ThreeME_V3!R40 * Pond.Inputs!$B40/SUMPRODUCT(WIOD.ThreeME_V3!R$2:R$57,Pond.Inputs!$B$2:$B$57)</f>
        <v>4.3543638220896172E-2</v>
      </c>
      <c r="S40" s="3">
        <f>WIOD.ThreeME_V3!S40 * Pond.Inputs!$B40/SUMPRODUCT(WIOD.ThreeME_V3!S$2:S$57,Pond.Inputs!$B$2:$B$57)</f>
        <v>0</v>
      </c>
      <c r="T40" s="3">
        <f>WIOD.ThreeME_V3!T40 * Pond.Inputs!$B40/SUMPRODUCT(WIOD.ThreeME_V3!T$2:T$57,Pond.Inputs!$B$2:$B$57)</f>
        <v>0</v>
      </c>
      <c r="U40" s="3">
        <f>WIOD.ThreeME_V3!U40 * Pond.Inputs!$B40/SUMPRODUCT(WIOD.ThreeME_V3!U$2:U$57,Pond.Inputs!$B$2:$B$57)</f>
        <v>0</v>
      </c>
      <c r="V40" s="3">
        <f>WIOD.ThreeME_V3!V40 * Pond.Inputs!$B40/SUMPRODUCT(WIOD.ThreeME_V3!V$2:V$57,Pond.Inputs!$B$2:$B$57)</f>
        <v>0</v>
      </c>
      <c r="W40" s="3">
        <f>WIOD.ThreeME_V3!W40 * Pond.Inputs!$B40/SUMPRODUCT(WIOD.ThreeME_V3!W$2:W$57,Pond.Inputs!$B$2:$B$57)</f>
        <v>0</v>
      </c>
      <c r="X40" s="3">
        <f>WIOD.ThreeME_V3!X40 * Pond.Inputs!$B40/SUMPRODUCT(WIOD.ThreeME_V3!X$2:X$57,Pond.Inputs!$B$2:$B$57)</f>
        <v>0</v>
      </c>
      <c r="Y40" s="3">
        <f>WIOD.ThreeME_V3!Y40 * Pond.Inputs!$B40/SUMPRODUCT(WIOD.ThreeME_V3!Y$2:Y$57,Pond.Inputs!$B$2:$B$57)</f>
        <v>0</v>
      </c>
      <c r="Z40" s="3">
        <f>WIOD.ThreeME_V3!Z40 * Pond.Inputs!$B40/SUMPRODUCT(WIOD.ThreeME_V3!Z$2:Z$57,Pond.Inputs!$B$2:$B$57)</f>
        <v>0</v>
      </c>
      <c r="AA40" s="3">
        <f>WIOD.ThreeME_V3!AA40 * Pond.Inputs!$B40/SUMPRODUCT(WIOD.ThreeME_V3!AA$2:AA$57,Pond.Inputs!$B$2:$B$57)</f>
        <v>0</v>
      </c>
      <c r="AB40" s="3">
        <f>WIOD.ThreeME_V3!AB40 * Pond.Inputs!$B40/SUMPRODUCT(WIOD.ThreeME_V3!AB$2:AB$57,Pond.Inputs!$B$2:$B$57)</f>
        <v>0</v>
      </c>
      <c r="AC40" s="3">
        <f>WIOD.ThreeME_V3!AC40 * Pond.Inputs!$B40/SUMPRODUCT(WIOD.ThreeME_V3!AC$2:AC$57,Pond.Inputs!$B$2:$B$57)</f>
        <v>0</v>
      </c>
      <c r="AD40" s="3">
        <f>WIOD.ThreeME_V3!AD40 * Pond.Inputs!$B40/SUMPRODUCT(WIOD.ThreeME_V3!AD$2:AD$57,Pond.Inputs!$B$2:$B$57)</f>
        <v>0</v>
      </c>
      <c r="AE40" s="3">
        <f>WIOD.ThreeME_V3!AE40 * Pond.Inputs!$B40/SUMPRODUCT(WIOD.ThreeME_V3!AE$2:AE$57,Pond.Inputs!$B$2:$B$57)</f>
        <v>0</v>
      </c>
      <c r="AF40" s="3">
        <f>WIOD.ThreeME_V3!AF40 * Pond.Inputs!$B40/SUMPRODUCT(WIOD.ThreeME_V3!AF$2:AF$57,Pond.Inputs!$B$2:$B$57)</f>
        <v>0</v>
      </c>
      <c r="AG40" s="3">
        <f>WIOD.ThreeME_V3!AG40 * Pond.Inputs!$B40/SUMPRODUCT(WIOD.ThreeME_V3!AG$2:AG$57,Pond.Inputs!$B$2:$B$57)</f>
        <v>0</v>
      </c>
    </row>
    <row r="41" spans="1:33" x14ac:dyDescent="0.2">
      <c r="A41" s="1" t="s">
        <v>52</v>
      </c>
      <c r="B41" s="3">
        <f>WIOD.ThreeME_V3!B41 * Pond.Inputs!$B41/SUMPRODUCT(WIOD.ThreeME_V3!B$2:B$57,Pond.Inputs!$B$2:$B$57)</f>
        <v>0</v>
      </c>
      <c r="C41" s="3">
        <f>WIOD.ThreeME_V3!C41 * Pond.Inputs!$B41/SUMPRODUCT(WIOD.ThreeME_V3!C$2:C$57,Pond.Inputs!$B$2:$B$57)</f>
        <v>0</v>
      </c>
      <c r="D41" s="3">
        <f>WIOD.ThreeME_V3!D41 * Pond.Inputs!$B41/SUMPRODUCT(WIOD.ThreeME_V3!D$2:D$57,Pond.Inputs!$B$2:$B$57)</f>
        <v>0</v>
      </c>
      <c r="E41" s="3">
        <f>WIOD.ThreeME_V3!E41 * Pond.Inputs!$B41/SUMPRODUCT(WIOD.ThreeME_V3!E$2:E$57,Pond.Inputs!$B$2:$B$57)</f>
        <v>0</v>
      </c>
      <c r="F41" s="3">
        <f>WIOD.ThreeME_V3!F41 * Pond.Inputs!$B41/SUMPRODUCT(WIOD.ThreeME_V3!F$2:F$57,Pond.Inputs!$B$2:$B$57)</f>
        <v>0</v>
      </c>
      <c r="G41" s="3">
        <f>WIOD.ThreeME_V3!G41 * Pond.Inputs!$B41/SUMPRODUCT(WIOD.ThreeME_V3!G$2:G$57,Pond.Inputs!$B$2:$B$57)</f>
        <v>0</v>
      </c>
      <c r="H41" s="3">
        <f>WIOD.ThreeME_V3!H41 * Pond.Inputs!$B41/SUMPRODUCT(WIOD.ThreeME_V3!H$2:H$57,Pond.Inputs!$B$2:$B$57)</f>
        <v>0</v>
      </c>
      <c r="I41" s="3">
        <f>WIOD.ThreeME_V3!I41 * Pond.Inputs!$B41/SUMPRODUCT(WIOD.ThreeME_V3!I$2:I$57,Pond.Inputs!$B$2:$B$57)</f>
        <v>0</v>
      </c>
      <c r="J41" s="3">
        <f>WIOD.ThreeME_V3!J41 * Pond.Inputs!$B41/SUMPRODUCT(WIOD.ThreeME_V3!J$2:J$57,Pond.Inputs!$B$2:$B$57)</f>
        <v>0</v>
      </c>
      <c r="K41" s="3">
        <f>WIOD.ThreeME_V3!K41 * Pond.Inputs!$B41/SUMPRODUCT(WIOD.ThreeME_V3!K$2:K$57,Pond.Inputs!$B$2:$B$57)</f>
        <v>0</v>
      </c>
      <c r="L41" s="3">
        <f>WIOD.ThreeME_V3!L41 * Pond.Inputs!$B41/SUMPRODUCT(WIOD.ThreeME_V3!L$2:L$57,Pond.Inputs!$B$2:$B$57)</f>
        <v>0</v>
      </c>
      <c r="M41" s="3">
        <f>WIOD.ThreeME_V3!M41 * Pond.Inputs!$B41/SUMPRODUCT(WIOD.ThreeME_V3!M$2:M$57,Pond.Inputs!$B$2:$B$57)</f>
        <v>0</v>
      </c>
      <c r="N41" s="3">
        <f>WIOD.ThreeME_V3!N41 * Pond.Inputs!$B41/SUMPRODUCT(WIOD.ThreeME_V3!N$2:N$57,Pond.Inputs!$B$2:$B$57)</f>
        <v>0</v>
      </c>
      <c r="O41" s="3">
        <f>WIOD.ThreeME_V3!O41 * Pond.Inputs!$B41/SUMPRODUCT(WIOD.ThreeME_V3!O$2:O$57,Pond.Inputs!$B$2:$B$57)</f>
        <v>0</v>
      </c>
      <c r="P41" s="3">
        <f>WIOD.ThreeME_V3!P41 * Pond.Inputs!$B41/SUMPRODUCT(WIOD.ThreeME_V3!P$2:P$57,Pond.Inputs!$B$2:$B$57)</f>
        <v>0</v>
      </c>
      <c r="Q41" s="3">
        <f>WIOD.ThreeME_V3!Q41 * Pond.Inputs!$B41/SUMPRODUCT(WIOD.ThreeME_V3!Q$2:Q$57,Pond.Inputs!$B$2:$B$57)</f>
        <v>0</v>
      </c>
      <c r="R41" s="3">
        <f>WIOD.ThreeME_V3!R41 * Pond.Inputs!$B41/SUMPRODUCT(WIOD.ThreeME_V3!R$2:R$57,Pond.Inputs!$B$2:$B$57)</f>
        <v>5.4089421057590091E-2</v>
      </c>
      <c r="S41" s="3">
        <f>WIOD.ThreeME_V3!S41 * Pond.Inputs!$B41/SUMPRODUCT(WIOD.ThreeME_V3!S$2:S$57,Pond.Inputs!$B$2:$B$57)</f>
        <v>0</v>
      </c>
      <c r="T41" s="3">
        <f>WIOD.ThreeME_V3!T41 * Pond.Inputs!$B41/SUMPRODUCT(WIOD.ThreeME_V3!T$2:T$57,Pond.Inputs!$B$2:$B$57)</f>
        <v>0</v>
      </c>
      <c r="U41" s="3">
        <f>WIOD.ThreeME_V3!U41 * Pond.Inputs!$B41/SUMPRODUCT(WIOD.ThreeME_V3!U$2:U$57,Pond.Inputs!$B$2:$B$57)</f>
        <v>0</v>
      </c>
      <c r="V41" s="3">
        <f>WIOD.ThreeME_V3!V41 * Pond.Inputs!$B41/SUMPRODUCT(WIOD.ThreeME_V3!V$2:V$57,Pond.Inputs!$B$2:$B$57)</f>
        <v>0</v>
      </c>
      <c r="W41" s="3">
        <f>WIOD.ThreeME_V3!W41 * Pond.Inputs!$B41/SUMPRODUCT(WIOD.ThreeME_V3!W$2:W$57,Pond.Inputs!$B$2:$B$57)</f>
        <v>0</v>
      </c>
      <c r="X41" s="3">
        <f>WIOD.ThreeME_V3!X41 * Pond.Inputs!$B41/SUMPRODUCT(WIOD.ThreeME_V3!X$2:X$57,Pond.Inputs!$B$2:$B$57)</f>
        <v>0</v>
      </c>
      <c r="Y41" s="3">
        <f>WIOD.ThreeME_V3!Y41 * Pond.Inputs!$B41/SUMPRODUCT(WIOD.ThreeME_V3!Y$2:Y$57,Pond.Inputs!$B$2:$B$57)</f>
        <v>0</v>
      </c>
      <c r="Z41" s="3">
        <f>WIOD.ThreeME_V3!Z41 * Pond.Inputs!$B41/SUMPRODUCT(WIOD.ThreeME_V3!Z$2:Z$57,Pond.Inputs!$B$2:$B$57)</f>
        <v>0</v>
      </c>
      <c r="AA41" s="3">
        <f>WIOD.ThreeME_V3!AA41 * Pond.Inputs!$B41/SUMPRODUCT(WIOD.ThreeME_V3!AA$2:AA$57,Pond.Inputs!$B$2:$B$57)</f>
        <v>0</v>
      </c>
      <c r="AB41" s="3">
        <f>WIOD.ThreeME_V3!AB41 * Pond.Inputs!$B41/SUMPRODUCT(WIOD.ThreeME_V3!AB$2:AB$57,Pond.Inputs!$B$2:$B$57)</f>
        <v>0</v>
      </c>
      <c r="AC41" s="3">
        <f>WIOD.ThreeME_V3!AC41 * Pond.Inputs!$B41/SUMPRODUCT(WIOD.ThreeME_V3!AC$2:AC$57,Pond.Inputs!$B$2:$B$57)</f>
        <v>0</v>
      </c>
      <c r="AD41" s="3">
        <f>WIOD.ThreeME_V3!AD41 * Pond.Inputs!$B41/SUMPRODUCT(WIOD.ThreeME_V3!AD$2:AD$57,Pond.Inputs!$B$2:$B$57)</f>
        <v>0</v>
      </c>
      <c r="AE41" s="3">
        <f>WIOD.ThreeME_V3!AE41 * Pond.Inputs!$B41/SUMPRODUCT(WIOD.ThreeME_V3!AE$2:AE$57,Pond.Inputs!$B$2:$B$57)</f>
        <v>0</v>
      </c>
      <c r="AF41" s="3">
        <f>WIOD.ThreeME_V3!AF41 * Pond.Inputs!$B41/SUMPRODUCT(WIOD.ThreeME_V3!AF$2:AF$57,Pond.Inputs!$B$2:$B$57)</f>
        <v>0</v>
      </c>
      <c r="AG41" s="3">
        <f>WIOD.ThreeME_V3!AG41 * Pond.Inputs!$B41/SUMPRODUCT(WIOD.ThreeME_V3!AG$2:AG$57,Pond.Inputs!$B$2:$B$57)</f>
        <v>0</v>
      </c>
    </row>
    <row r="42" spans="1:33" x14ac:dyDescent="0.2">
      <c r="A42" s="1" t="s">
        <v>53</v>
      </c>
      <c r="B42" s="3">
        <f>WIOD.ThreeME_V3!B42 * Pond.Inputs!$B42/SUMPRODUCT(WIOD.ThreeME_V3!B$2:B$57,Pond.Inputs!$B$2:$B$57)</f>
        <v>0</v>
      </c>
      <c r="C42" s="3">
        <f>WIOD.ThreeME_V3!C42 * Pond.Inputs!$B42/SUMPRODUCT(WIOD.ThreeME_V3!C$2:C$57,Pond.Inputs!$B$2:$B$57)</f>
        <v>0</v>
      </c>
      <c r="D42" s="3">
        <f>WIOD.ThreeME_V3!D42 * Pond.Inputs!$B42/SUMPRODUCT(WIOD.ThreeME_V3!D$2:D$57,Pond.Inputs!$B$2:$B$57)</f>
        <v>0</v>
      </c>
      <c r="E42" s="3">
        <f>WIOD.ThreeME_V3!E42 * Pond.Inputs!$B42/SUMPRODUCT(WIOD.ThreeME_V3!E$2:E$57,Pond.Inputs!$B$2:$B$57)</f>
        <v>0</v>
      </c>
      <c r="F42" s="3">
        <f>WIOD.ThreeME_V3!F42 * Pond.Inputs!$B42/SUMPRODUCT(WIOD.ThreeME_V3!F$2:F$57,Pond.Inputs!$B$2:$B$57)</f>
        <v>0</v>
      </c>
      <c r="G42" s="3">
        <f>WIOD.ThreeME_V3!G42 * Pond.Inputs!$B42/SUMPRODUCT(WIOD.ThreeME_V3!G$2:G$57,Pond.Inputs!$B$2:$B$57)</f>
        <v>0</v>
      </c>
      <c r="H42" s="3">
        <f>WIOD.ThreeME_V3!H42 * Pond.Inputs!$B42/SUMPRODUCT(WIOD.ThreeME_V3!H$2:H$57,Pond.Inputs!$B$2:$B$57)</f>
        <v>0</v>
      </c>
      <c r="I42" s="3">
        <f>WIOD.ThreeME_V3!I42 * Pond.Inputs!$B42/SUMPRODUCT(WIOD.ThreeME_V3!I$2:I$57,Pond.Inputs!$B$2:$B$57)</f>
        <v>0</v>
      </c>
      <c r="J42" s="3">
        <f>WIOD.ThreeME_V3!J42 * Pond.Inputs!$B42/SUMPRODUCT(WIOD.ThreeME_V3!J$2:J$57,Pond.Inputs!$B$2:$B$57)</f>
        <v>0</v>
      </c>
      <c r="K42" s="3">
        <f>WIOD.ThreeME_V3!K42 * Pond.Inputs!$B42/SUMPRODUCT(WIOD.ThreeME_V3!K$2:K$57,Pond.Inputs!$B$2:$B$57)</f>
        <v>0</v>
      </c>
      <c r="L42" s="3">
        <f>WIOD.ThreeME_V3!L42 * Pond.Inputs!$B42/SUMPRODUCT(WIOD.ThreeME_V3!L$2:L$57,Pond.Inputs!$B$2:$B$57)</f>
        <v>0</v>
      </c>
      <c r="M42" s="3">
        <f>WIOD.ThreeME_V3!M42 * Pond.Inputs!$B42/SUMPRODUCT(WIOD.ThreeME_V3!M$2:M$57,Pond.Inputs!$B$2:$B$57)</f>
        <v>0</v>
      </c>
      <c r="N42" s="3">
        <f>WIOD.ThreeME_V3!N42 * Pond.Inputs!$B42/SUMPRODUCT(WIOD.ThreeME_V3!N$2:N$57,Pond.Inputs!$B$2:$B$57)</f>
        <v>0</v>
      </c>
      <c r="O42" s="3">
        <f>WIOD.ThreeME_V3!O42 * Pond.Inputs!$B42/SUMPRODUCT(WIOD.ThreeME_V3!O$2:O$57,Pond.Inputs!$B$2:$B$57)</f>
        <v>0</v>
      </c>
      <c r="P42" s="3">
        <f>WIOD.ThreeME_V3!P42 * Pond.Inputs!$B42/SUMPRODUCT(WIOD.ThreeME_V3!P$2:P$57,Pond.Inputs!$B$2:$B$57)</f>
        <v>0</v>
      </c>
      <c r="Q42" s="3">
        <f>WIOD.ThreeME_V3!Q42 * Pond.Inputs!$B42/SUMPRODUCT(WIOD.ThreeME_V3!Q$2:Q$57,Pond.Inputs!$B$2:$B$57)</f>
        <v>0</v>
      </c>
      <c r="R42" s="3">
        <f>WIOD.ThreeME_V3!R42 * Pond.Inputs!$B42/SUMPRODUCT(WIOD.ThreeME_V3!R$2:R$57,Pond.Inputs!$B$2:$B$57)</f>
        <v>8.6128096840790286E-2</v>
      </c>
      <c r="S42" s="3">
        <f>WIOD.ThreeME_V3!S42 * Pond.Inputs!$B42/SUMPRODUCT(WIOD.ThreeME_V3!S$2:S$57,Pond.Inputs!$B$2:$B$57)</f>
        <v>0</v>
      </c>
      <c r="T42" s="3">
        <f>WIOD.ThreeME_V3!T42 * Pond.Inputs!$B42/SUMPRODUCT(WIOD.ThreeME_V3!T$2:T$57,Pond.Inputs!$B$2:$B$57)</f>
        <v>0</v>
      </c>
      <c r="U42" s="3">
        <f>WIOD.ThreeME_V3!U42 * Pond.Inputs!$B42/SUMPRODUCT(WIOD.ThreeME_V3!U$2:U$57,Pond.Inputs!$B$2:$B$57)</f>
        <v>0</v>
      </c>
      <c r="V42" s="3">
        <f>WIOD.ThreeME_V3!V42 * Pond.Inputs!$B42/SUMPRODUCT(WIOD.ThreeME_V3!V$2:V$57,Pond.Inputs!$B$2:$B$57)</f>
        <v>0</v>
      </c>
      <c r="W42" s="3">
        <f>WIOD.ThreeME_V3!W42 * Pond.Inputs!$B42/SUMPRODUCT(WIOD.ThreeME_V3!W$2:W$57,Pond.Inputs!$B$2:$B$57)</f>
        <v>0</v>
      </c>
      <c r="X42" s="3">
        <f>WIOD.ThreeME_V3!X42 * Pond.Inputs!$B42/SUMPRODUCT(WIOD.ThreeME_V3!X$2:X$57,Pond.Inputs!$B$2:$B$57)</f>
        <v>0</v>
      </c>
      <c r="Y42" s="3">
        <f>WIOD.ThreeME_V3!Y42 * Pond.Inputs!$B42/SUMPRODUCT(WIOD.ThreeME_V3!Y$2:Y$57,Pond.Inputs!$B$2:$B$57)</f>
        <v>0</v>
      </c>
      <c r="Z42" s="3">
        <f>WIOD.ThreeME_V3!Z42 * Pond.Inputs!$B42/SUMPRODUCT(WIOD.ThreeME_V3!Z$2:Z$57,Pond.Inputs!$B$2:$B$57)</f>
        <v>0</v>
      </c>
      <c r="AA42" s="3">
        <f>WIOD.ThreeME_V3!AA42 * Pond.Inputs!$B42/SUMPRODUCT(WIOD.ThreeME_V3!AA$2:AA$57,Pond.Inputs!$B$2:$B$57)</f>
        <v>0</v>
      </c>
      <c r="AB42" s="3">
        <f>WIOD.ThreeME_V3!AB42 * Pond.Inputs!$B42/SUMPRODUCT(WIOD.ThreeME_V3!AB$2:AB$57,Pond.Inputs!$B$2:$B$57)</f>
        <v>0</v>
      </c>
      <c r="AC42" s="3">
        <f>WIOD.ThreeME_V3!AC42 * Pond.Inputs!$B42/SUMPRODUCT(WIOD.ThreeME_V3!AC$2:AC$57,Pond.Inputs!$B$2:$B$57)</f>
        <v>0</v>
      </c>
      <c r="AD42" s="3">
        <f>WIOD.ThreeME_V3!AD42 * Pond.Inputs!$B42/SUMPRODUCT(WIOD.ThreeME_V3!AD$2:AD$57,Pond.Inputs!$B$2:$B$57)</f>
        <v>0</v>
      </c>
      <c r="AE42" s="3">
        <f>WIOD.ThreeME_V3!AE42 * Pond.Inputs!$B42/SUMPRODUCT(WIOD.ThreeME_V3!AE$2:AE$57,Pond.Inputs!$B$2:$B$57)</f>
        <v>0</v>
      </c>
      <c r="AF42" s="3">
        <f>WIOD.ThreeME_V3!AF42 * Pond.Inputs!$B42/SUMPRODUCT(WIOD.ThreeME_V3!AF$2:AF$57,Pond.Inputs!$B$2:$B$57)</f>
        <v>0</v>
      </c>
      <c r="AG42" s="3">
        <f>WIOD.ThreeME_V3!AG42 * Pond.Inputs!$B42/SUMPRODUCT(WIOD.ThreeME_V3!AG$2:AG$57,Pond.Inputs!$B$2:$B$57)</f>
        <v>0</v>
      </c>
    </row>
    <row r="43" spans="1:33" x14ac:dyDescent="0.2">
      <c r="A43" s="1" t="s">
        <v>54</v>
      </c>
      <c r="B43" s="3">
        <f>WIOD.ThreeME_V3!B43 * Pond.Inputs!$B43/SUMPRODUCT(WIOD.ThreeME_V3!B$2:B$57,Pond.Inputs!$B$2:$B$57)</f>
        <v>0</v>
      </c>
      <c r="C43" s="3">
        <f>WIOD.ThreeME_V3!C43 * Pond.Inputs!$B43/SUMPRODUCT(WIOD.ThreeME_V3!C$2:C$57,Pond.Inputs!$B$2:$B$57)</f>
        <v>0</v>
      </c>
      <c r="D43" s="3">
        <f>WIOD.ThreeME_V3!D43 * Pond.Inputs!$B43/SUMPRODUCT(WIOD.ThreeME_V3!D$2:D$57,Pond.Inputs!$B$2:$B$57)</f>
        <v>0</v>
      </c>
      <c r="E43" s="3">
        <f>WIOD.ThreeME_V3!E43 * Pond.Inputs!$B43/SUMPRODUCT(WIOD.ThreeME_V3!E$2:E$57,Pond.Inputs!$B$2:$B$57)</f>
        <v>0</v>
      </c>
      <c r="F43" s="3">
        <f>WIOD.ThreeME_V3!F43 * Pond.Inputs!$B43/SUMPRODUCT(WIOD.ThreeME_V3!F$2:F$57,Pond.Inputs!$B$2:$B$57)</f>
        <v>0</v>
      </c>
      <c r="G43" s="3">
        <f>WIOD.ThreeME_V3!G43 * Pond.Inputs!$B43/SUMPRODUCT(WIOD.ThreeME_V3!G$2:G$57,Pond.Inputs!$B$2:$B$57)</f>
        <v>0</v>
      </c>
      <c r="H43" s="3">
        <f>WIOD.ThreeME_V3!H43 * Pond.Inputs!$B43/SUMPRODUCT(WIOD.ThreeME_V3!H$2:H$57,Pond.Inputs!$B$2:$B$57)</f>
        <v>0</v>
      </c>
      <c r="I43" s="3">
        <f>WIOD.ThreeME_V3!I43 * Pond.Inputs!$B43/SUMPRODUCT(WIOD.ThreeME_V3!I$2:I$57,Pond.Inputs!$B$2:$B$57)</f>
        <v>0</v>
      </c>
      <c r="J43" s="3">
        <f>WIOD.ThreeME_V3!J43 * Pond.Inputs!$B43/SUMPRODUCT(WIOD.ThreeME_V3!J$2:J$57,Pond.Inputs!$B$2:$B$57)</f>
        <v>0</v>
      </c>
      <c r="K43" s="3">
        <f>WIOD.ThreeME_V3!K43 * Pond.Inputs!$B43/SUMPRODUCT(WIOD.ThreeME_V3!K$2:K$57,Pond.Inputs!$B$2:$B$57)</f>
        <v>0</v>
      </c>
      <c r="L43" s="3">
        <f>WIOD.ThreeME_V3!L43 * Pond.Inputs!$B43/SUMPRODUCT(WIOD.ThreeME_V3!L$2:L$57,Pond.Inputs!$B$2:$B$57)</f>
        <v>0</v>
      </c>
      <c r="M43" s="3">
        <f>WIOD.ThreeME_V3!M43 * Pond.Inputs!$B43/SUMPRODUCT(WIOD.ThreeME_V3!M$2:M$57,Pond.Inputs!$B$2:$B$57)</f>
        <v>0</v>
      </c>
      <c r="N43" s="3">
        <f>WIOD.ThreeME_V3!N43 * Pond.Inputs!$B43/SUMPRODUCT(WIOD.ThreeME_V3!N$2:N$57,Pond.Inputs!$B$2:$B$57)</f>
        <v>0</v>
      </c>
      <c r="O43" s="3">
        <f>WIOD.ThreeME_V3!O43 * Pond.Inputs!$B43/SUMPRODUCT(WIOD.ThreeME_V3!O$2:O$57,Pond.Inputs!$B$2:$B$57)</f>
        <v>0</v>
      </c>
      <c r="P43" s="3">
        <f>WIOD.ThreeME_V3!P43 * Pond.Inputs!$B43/SUMPRODUCT(WIOD.ThreeME_V3!P$2:P$57,Pond.Inputs!$B$2:$B$57)</f>
        <v>0</v>
      </c>
      <c r="Q43" s="3">
        <f>WIOD.ThreeME_V3!Q43 * Pond.Inputs!$B43/SUMPRODUCT(WIOD.ThreeME_V3!Q$2:Q$57,Pond.Inputs!$B$2:$B$57)</f>
        <v>0</v>
      </c>
      <c r="R43" s="3">
        <f>WIOD.ThreeME_V3!R43 * Pond.Inputs!$B43/SUMPRODUCT(WIOD.ThreeME_V3!R$2:R$57,Pond.Inputs!$B$2:$B$57)</f>
        <v>4.3179402192982781E-2</v>
      </c>
      <c r="S43" s="3">
        <f>WIOD.ThreeME_V3!S43 * Pond.Inputs!$B43/SUMPRODUCT(WIOD.ThreeME_V3!S$2:S$57,Pond.Inputs!$B$2:$B$57)</f>
        <v>0</v>
      </c>
      <c r="T43" s="3">
        <f>WIOD.ThreeME_V3!T43 * Pond.Inputs!$B43/SUMPRODUCT(WIOD.ThreeME_V3!T$2:T$57,Pond.Inputs!$B$2:$B$57)</f>
        <v>0</v>
      </c>
      <c r="U43" s="3">
        <f>WIOD.ThreeME_V3!U43 * Pond.Inputs!$B43/SUMPRODUCT(WIOD.ThreeME_V3!U$2:U$57,Pond.Inputs!$B$2:$B$57)</f>
        <v>0</v>
      </c>
      <c r="V43" s="3">
        <f>WIOD.ThreeME_V3!V43 * Pond.Inputs!$B43/SUMPRODUCT(WIOD.ThreeME_V3!V$2:V$57,Pond.Inputs!$B$2:$B$57)</f>
        <v>0</v>
      </c>
      <c r="W43" s="3">
        <f>WIOD.ThreeME_V3!W43 * Pond.Inputs!$B43/SUMPRODUCT(WIOD.ThreeME_V3!W$2:W$57,Pond.Inputs!$B$2:$B$57)</f>
        <v>0</v>
      </c>
      <c r="X43" s="3">
        <f>WIOD.ThreeME_V3!X43 * Pond.Inputs!$B43/SUMPRODUCT(WIOD.ThreeME_V3!X$2:X$57,Pond.Inputs!$B$2:$B$57)</f>
        <v>0</v>
      </c>
      <c r="Y43" s="3">
        <f>WIOD.ThreeME_V3!Y43 * Pond.Inputs!$B43/SUMPRODUCT(WIOD.ThreeME_V3!Y$2:Y$57,Pond.Inputs!$B$2:$B$57)</f>
        <v>0</v>
      </c>
      <c r="Z43" s="3">
        <f>WIOD.ThreeME_V3!Z43 * Pond.Inputs!$B43/SUMPRODUCT(WIOD.ThreeME_V3!Z$2:Z$57,Pond.Inputs!$B$2:$B$57)</f>
        <v>0</v>
      </c>
      <c r="AA43" s="3">
        <f>WIOD.ThreeME_V3!AA43 * Pond.Inputs!$B43/SUMPRODUCT(WIOD.ThreeME_V3!AA$2:AA$57,Pond.Inputs!$B$2:$B$57)</f>
        <v>0</v>
      </c>
      <c r="AB43" s="3">
        <f>WIOD.ThreeME_V3!AB43 * Pond.Inputs!$B43/SUMPRODUCT(WIOD.ThreeME_V3!AB$2:AB$57,Pond.Inputs!$B$2:$B$57)</f>
        <v>0</v>
      </c>
      <c r="AC43" s="3">
        <f>WIOD.ThreeME_V3!AC43 * Pond.Inputs!$B43/SUMPRODUCT(WIOD.ThreeME_V3!AC$2:AC$57,Pond.Inputs!$B$2:$B$57)</f>
        <v>0</v>
      </c>
      <c r="AD43" s="3">
        <f>WIOD.ThreeME_V3!AD43 * Pond.Inputs!$B43/SUMPRODUCT(WIOD.ThreeME_V3!AD$2:AD$57,Pond.Inputs!$B$2:$B$57)</f>
        <v>0</v>
      </c>
      <c r="AE43" s="3">
        <f>WIOD.ThreeME_V3!AE43 * Pond.Inputs!$B43/SUMPRODUCT(WIOD.ThreeME_V3!AE$2:AE$57,Pond.Inputs!$B$2:$B$57)</f>
        <v>0</v>
      </c>
      <c r="AF43" s="3">
        <f>WIOD.ThreeME_V3!AF43 * Pond.Inputs!$B43/SUMPRODUCT(WIOD.ThreeME_V3!AF$2:AF$57,Pond.Inputs!$B$2:$B$57)</f>
        <v>0</v>
      </c>
      <c r="AG43" s="3">
        <f>WIOD.ThreeME_V3!AG43 * Pond.Inputs!$B43/SUMPRODUCT(WIOD.ThreeME_V3!AG$2:AG$57,Pond.Inputs!$B$2:$B$57)</f>
        <v>0</v>
      </c>
    </row>
    <row r="44" spans="1:33" x14ac:dyDescent="0.2">
      <c r="A44" s="1" t="s">
        <v>55</v>
      </c>
      <c r="B44" s="3">
        <f>WIOD.ThreeME_V3!B44 * Pond.Inputs!$B44/SUMPRODUCT(WIOD.ThreeME_V3!B$2:B$57,Pond.Inputs!$B$2:$B$57)</f>
        <v>0</v>
      </c>
      <c r="C44" s="3">
        <f>WIOD.ThreeME_V3!C44 * Pond.Inputs!$B44/SUMPRODUCT(WIOD.ThreeME_V3!C$2:C$57,Pond.Inputs!$B$2:$B$57)</f>
        <v>0</v>
      </c>
      <c r="D44" s="3">
        <f>WIOD.ThreeME_V3!D44 * Pond.Inputs!$B44/SUMPRODUCT(WIOD.ThreeME_V3!D$2:D$57,Pond.Inputs!$B$2:$B$57)</f>
        <v>0</v>
      </c>
      <c r="E44" s="3">
        <f>WIOD.ThreeME_V3!E44 * Pond.Inputs!$B44/SUMPRODUCT(WIOD.ThreeME_V3!E$2:E$57,Pond.Inputs!$B$2:$B$57)</f>
        <v>0</v>
      </c>
      <c r="F44" s="3">
        <f>WIOD.ThreeME_V3!F44 * Pond.Inputs!$B44/SUMPRODUCT(WIOD.ThreeME_V3!F$2:F$57,Pond.Inputs!$B$2:$B$57)</f>
        <v>0</v>
      </c>
      <c r="G44" s="3">
        <f>WIOD.ThreeME_V3!G44 * Pond.Inputs!$B44/SUMPRODUCT(WIOD.ThreeME_V3!G$2:G$57,Pond.Inputs!$B$2:$B$57)</f>
        <v>0</v>
      </c>
      <c r="H44" s="3">
        <f>WIOD.ThreeME_V3!H44 * Pond.Inputs!$B44/SUMPRODUCT(WIOD.ThreeME_V3!H$2:H$57,Pond.Inputs!$B$2:$B$57)</f>
        <v>0</v>
      </c>
      <c r="I44" s="3">
        <f>WIOD.ThreeME_V3!I44 * Pond.Inputs!$B44/SUMPRODUCT(WIOD.ThreeME_V3!I$2:I$57,Pond.Inputs!$B$2:$B$57)</f>
        <v>0</v>
      </c>
      <c r="J44" s="3">
        <f>WIOD.ThreeME_V3!J44 * Pond.Inputs!$B44/SUMPRODUCT(WIOD.ThreeME_V3!J$2:J$57,Pond.Inputs!$B$2:$B$57)</f>
        <v>0</v>
      </c>
      <c r="K44" s="3">
        <f>WIOD.ThreeME_V3!K44 * Pond.Inputs!$B44/SUMPRODUCT(WIOD.ThreeME_V3!K$2:K$57,Pond.Inputs!$B$2:$B$57)</f>
        <v>0</v>
      </c>
      <c r="L44" s="3">
        <f>WIOD.ThreeME_V3!L44 * Pond.Inputs!$B44/SUMPRODUCT(WIOD.ThreeME_V3!L$2:L$57,Pond.Inputs!$B$2:$B$57)</f>
        <v>0</v>
      </c>
      <c r="M44" s="3">
        <f>WIOD.ThreeME_V3!M44 * Pond.Inputs!$B44/SUMPRODUCT(WIOD.ThreeME_V3!M$2:M$57,Pond.Inputs!$B$2:$B$57)</f>
        <v>0</v>
      </c>
      <c r="N44" s="3">
        <f>WIOD.ThreeME_V3!N44 * Pond.Inputs!$B44/SUMPRODUCT(WIOD.ThreeME_V3!N$2:N$57,Pond.Inputs!$B$2:$B$57)</f>
        <v>0</v>
      </c>
      <c r="O44" s="3">
        <f>WIOD.ThreeME_V3!O44 * Pond.Inputs!$B44/SUMPRODUCT(WIOD.ThreeME_V3!O$2:O$57,Pond.Inputs!$B$2:$B$57)</f>
        <v>0</v>
      </c>
      <c r="P44" s="3">
        <f>WIOD.ThreeME_V3!P44 * Pond.Inputs!$B44/SUMPRODUCT(WIOD.ThreeME_V3!P$2:P$57,Pond.Inputs!$B$2:$B$57)</f>
        <v>0</v>
      </c>
      <c r="Q44" s="3">
        <f>WIOD.ThreeME_V3!Q44 * Pond.Inputs!$B44/SUMPRODUCT(WIOD.ThreeME_V3!Q$2:Q$57,Pond.Inputs!$B$2:$B$57)</f>
        <v>0</v>
      </c>
      <c r="R44" s="3">
        <f>WIOD.ThreeME_V3!R44 * Pond.Inputs!$B44/SUMPRODUCT(WIOD.ThreeME_V3!R$2:R$57,Pond.Inputs!$B$2:$B$57)</f>
        <v>2.7831044927141668E-2</v>
      </c>
      <c r="S44" s="3">
        <f>WIOD.ThreeME_V3!S44 * Pond.Inputs!$B44/SUMPRODUCT(WIOD.ThreeME_V3!S$2:S$57,Pond.Inputs!$B$2:$B$57)</f>
        <v>0</v>
      </c>
      <c r="T44" s="3">
        <f>WIOD.ThreeME_V3!T44 * Pond.Inputs!$B44/SUMPRODUCT(WIOD.ThreeME_V3!T$2:T$57,Pond.Inputs!$B$2:$B$57)</f>
        <v>0</v>
      </c>
      <c r="U44" s="3">
        <f>WIOD.ThreeME_V3!U44 * Pond.Inputs!$B44/SUMPRODUCT(WIOD.ThreeME_V3!U$2:U$57,Pond.Inputs!$B$2:$B$57)</f>
        <v>0</v>
      </c>
      <c r="V44" s="3">
        <f>WIOD.ThreeME_V3!V44 * Pond.Inputs!$B44/SUMPRODUCT(WIOD.ThreeME_V3!V$2:V$57,Pond.Inputs!$B$2:$B$57)</f>
        <v>0</v>
      </c>
      <c r="W44" s="3">
        <f>WIOD.ThreeME_V3!W44 * Pond.Inputs!$B44/SUMPRODUCT(WIOD.ThreeME_V3!W$2:W$57,Pond.Inputs!$B$2:$B$57)</f>
        <v>0</v>
      </c>
      <c r="X44" s="3">
        <f>WIOD.ThreeME_V3!X44 * Pond.Inputs!$B44/SUMPRODUCT(WIOD.ThreeME_V3!X$2:X$57,Pond.Inputs!$B$2:$B$57)</f>
        <v>0</v>
      </c>
      <c r="Y44" s="3">
        <f>WIOD.ThreeME_V3!Y44 * Pond.Inputs!$B44/SUMPRODUCT(WIOD.ThreeME_V3!Y$2:Y$57,Pond.Inputs!$B$2:$B$57)</f>
        <v>0</v>
      </c>
      <c r="Z44" s="3">
        <f>WIOD.ThreeME_V3!Z44 * Pond.Inputs!$B44/SUMPRODUCT(WIOD.ThreeME_V3!Z$2:Z$57,Pond.Inputs!$B$2:$B$57)</f>
        <v>0</v>
      </c>
      <c r="AA44" s="3">
        <f>WIOD.ThreeME_V3!AA44 * Pond.Inputs!$B44/SUMPRODUCT(WIOD.ThreeME_V3!AA$2:AA$57,Pond.Inputs!$B$2:$B$57)</f>
        <v>0</v>
      </c>
      <c r="AB44" s="3">
        <f>WIOD.ThreeME_V3!AB44 * Pond.Inputs!$B44/SUMPRODUCT(WIOD.ThreeME_V3!AB$2:AB$57,Pond.Inputs!$B$2:$B$57)</f>
        <v>0</v>
      </c>
      <c r="AC44" s="3">
        <f>WIOD.ThreeME_V3!AC44 * Pond.Inputs!$B44/SUMPRODUCT(WIOD.ThreeME_V3!AC$2:AC$57,Pond.Inputs!$B$2:$B$57)</f>
        <v>0</v>
      </c>
      <c r="AD44" s="3">
        <f>WIOD.ThreeME_V3!AD44 * Pond.Inputs!$B44/SUMPRODUCT(WIOD.ThreeME_V3!AD$2:AD$57,Pond.Inputs!$B$2:$B$57)</f>
        <v>0</v>
      </c>
      <c r="AE44" s="3">
        <f>WIOD.ThreeME_V3!AE44 * Pond.Inputs!$B44/SUMPRODUCT(WIOD.ThreeME_V3!AE$2:AE$57,Pond.Inputs!$B$2:$B$57)</f>
        <v>0</v>
      </c>
      <c r="AF44" s="3">
        <f>WIOD.ThreeME_V3!AF44 * Pond.Inputs!$B44/SUMPRODUCT(WIOD.ThreeME_V3!AF$2:AF$57,Pond.Inputs!$B$2:$B$57)</f>
        <v>0</v>
      </c>
      <c r="AG44" s="3">
        <f>WIOD.ThreeME_V3!AG44 * Pond.Inputs!$B44/SUMPRODUCT(WIOD.ThreeME_V3!AG$2:AG$57,Pond.Inputs!$B$2:$B$57)</f>
        <v>0</v>
      </c>
    </row>
    <row r="45" spans="1:33" x14ac:dyDescent="0.2">
      <c r="A45" s="1" t="s">
        <v>56</v>
      </c>
      <c r="B45" s="3">
        <f>WIOD.ThreeME_V3!B45 * Pond.Inputs!$B45/SUMPRODUCT(WIOD.ThreeME_V3!B$2:B$57,Pond.Inputs!$B$2:$B$57)</f>
        <v>0</v>
      </c>
      <c r="C45" s="3">
        <f>WIOD.ThreeME_V3!C45 * Pond.Inputs!$B45/SUMPRODUCT(WIOD.ThreeME_V3!C$2:C$57,Pond.Inputs!$B$2:$B$57)</f>
        <v>0</v>
      </c>
      <c r="D45" s="3">
        <f>WIOD.ThreeME_V3!D45 * Pond.Inputs!$B45/SUMPRODUCT(WIOD.ThreeME_V3!D$2:D$57,Pond.Inputs!$B$2:$B$57)</f>
        <v>0</v>
      </c>
      <c r="E45" s="3">
        <f>WIOD.ThreeME_V3!E45 * Pond.Inputs!$B45/SUMPRODUCT(WIOD.ThreeME_V3!E$2:E$57,Pond.Inputs!$B$2:$B$57)</f>
        <v>0</v>
      </c>
      <c r="F45" s="3">
        <f>WIOD.ThreeME_V3!F45 * Pond.Inputs!$B45/SUMPRODUCT(WIOD.ThreeME_V3!F$2:F$57,Pond.Inputs!$B$2:$B$57)</f>
        <v>0</v>
      </c>
      <c r="G45" s="3">
        <f>WIOD.ThreeME_V3!G45 * Pond.Inputs!$B45/SUMPRODUCT(WIOD.ThreeME_V3!G$2:G$57,Pond.Inputs!$B$2:$B$57)</f>
        <v>0</v>
      </c>
      <c r="H45" s="3">
        <f>WIOD.ThreeME_V3!H45 * Pond.Inputs!$B45/SUMPRODUCT(WIOD.ThreeME_V3!H$2:H$57,Pond.Inputs!$B$2:$B$57)</f>
        <v>0</v>
      </c>
      <c r="I45" s="3">
        <f>WIOD.ThreeME_V3!I45 * Pond.Inputs!$B45/SUMPRODUCT(WIOD.ThreeME_V3!I$2:I$57,Pond.Inputs!$B$2:$B$57)</f>
        <v>0</v>
      </c>
      <c r="J45" s="3">
        <f>WIOD.ThreeME_V3!J45 * Pond.Inputs!$B45/SUMPRODUCT(WIOD.ThreeME_V3!J$2:J$57,Pond.Inputs!$B$2:$B$57)</f>
        <v>0</v>
      </c>
      <c r="K45" s="3">
        <f>WIOD.ThreeME_V3!K45 * Pond.Inputs!$B45/SUMPRODUCT(WIOD.ThreeME_V3!K$2:K$57,Pond.Inputs!$B$2:$B$57)</f>
        <v>0</v>
      </c>
      <c r="L45" s="3">
        <f>WIOD.ThreeME_V3!L45 * Pond.Inputs!$B45/SUMPRODUCT(WIOD.ThreeME_V3!L$2:L$57,Pond.Inputs!$B$2:$B$57)</f>
        <v>0</v>
      </c>
      <c r="M45" s="3">
        <f>WIOD.ThreeME_V3!M45 * Pond.Inputs!$B45/SUMPRODUCT(WIOD.ThreeME_V3!M$2:M$57,Pond.Inputs!$B$2:$B$57)</f>
        <v>0</v>
      </c>
      <c r="N45" s="3">
        <f>WIOD.ThreeME_V3!N45 * Pond.Inputs!$B45/SUMPRODUCT(WIOD.ThreeME_V3!N$2:N$57,Pond.Inputs!$B$2:$B$57)</f>
        <v>0</v>
      </c>
      <c r="O45" s="3">
        <f>WIOD.ThreeME_V3!O45 * Pond.Inputs!$B45/SUMPRODUCT(WIOD.ThreeME_V3!O$2:O$57,Pond.Inputs!$B$2:$B$57)</f>
        <v>0</v>
      </c>
      <c r="P45" s="3">
        <f>WIOD.ThreeME_V3!P45 * Pond.Inputs!$B45/SUMPRODUCT(WIOD.ThreeME_V3!P$2:P$57,Pond.Inputs!$B$2:$B$57)</f>
        <v>0</v>
      </c>
      <c r="Q45" s="3">
        <f>WIOD.ThreeME_V3!Q45 * Pond.Inputs!$B45/SUMPRODUCT(WIOD.ThreeME_V3!Q$2:Q$57,Pond.Inputs!$B$2:$B$57)</f>
        <v>0</v>
      </c>
      <c r="R45" s="3">
        <f>WIOD.ThreeME_V3!R45 * Pond.Inputs!$B45/SUMPRODUCT(WIOD.ThreeME_V3!R$2:R$57,Pond.Inputs!$B$2:$B$57)</f>
        <v>0.22506596677959714</v>
      </c>
      <c r="S45" s="3">
        <f>WIOD.ThreeME_V3!S45 * Pond.Inputs!$B45/SUMPRODUCT(WIOD.ThreeME_V3!S$2:S$57,Pond.Inputs!$B$2:$B$57)</f>
        <v>0</v>
      </c>
      <c r="T45" s="3">
        <f>WIOD.ThreeME_V3!T45 * Pond.Inputs!$B45/SUMPRODUCT(WIOD.ThreeME_V3!T$2:T$57,Pond.Inputs!$B$2:$B$57)</f>
        <v>0</v>
      </c>
      <c r="U45" s="3">
        <f>WIOD.ThreeME_V3!U45 * Pond.Inputs!$B45/SUMPRODUCT(WIOD.ThreeME_V3!U$2:U$57,Pond.Inputs!$B$2:$B$57)</f>
        <v>0</v>
      </c>
      <c r="V45" s="3">
        <f>WIOD.ThreeME_V3!V45 * Pond.Inputs!$B45/SUMPRODUCT(WIOD.ThreeME_V3!V$2:V$57,Pond.Inputs!$B$2:$B$57)</f>
        <v>0</v>
      </c>
      <c r="W45" s="3">
        <f>WIOD.ThreeME_V3!W45 * Pond.Inputs!$B45/SUMPRODUCT(WIOD.ThreeME_V3!W$2:W$57,Pond.Inputs!$B$2:$B$57)</f>
        <v>0</v>
      </c>
      <c r="X45" s="3">
        <f>WIOD.ThreeME_V3!X45 * Pond.Inputs!$B45/SUMPRODUCT(WIOD.ThreeME_V3!X$2:X$57,Pond.Inputs!$B$2:$B$57)</f>
        <v>0</v>
      </c>
      <c r="Y45" s="3">
        <f>WIOD.ThreeME_V3!Y45 * Pond.Inputs!$B45/SUMPRODUCT(WIOD.ThreeME_V3!Y$2:Y$57,Pond.Inputs!$B$2:$B$57)</f>
        <v>0</v>
      </c>
      <c r="Z45" s="3">
        <f>WIOD.ThreeME_V3!Z45 * Pond.Inputs!$B45/SUMPRODUCT(WIOD.ThreeME_V3!Z$2:Z$57,Pond.Inputs!$B$2:$B$57)</f>
        <v>0</v>
      </c>
      <c r="AA45" s="3">
        <f>WIOD.ThreeME_V3!AA45 * Pond.Inputs!$B45/SUMPRODUCT(WIOD.ThreeME_V3!AA$2:AA$57,Pond.Inputs!$B$2:$B$57)</f>
        <v>0</v>
      </c>
      <c r="AB45" s="3">
        <f>WIOD.ThreeME_V3!AB45 * Pond.Inputs!$B45/SUMPRODUCT(WIOD.ThreeME_V3!AB$2:AB$57,Pond.Inputs!$B$2:$B$57)</f>
        <v>0</v>
      </c>
      <c r="AC45" s="3">
        <f>WIOD.ThreeME_V3!AC45 * Pond.Inputs!$B45/SUMPRODUCT(WIOD.ThreeME_V3!AC$2:AC$57,Pond.Inputs!$B$2:$B$57)</f>
        <v>0</v>
      </c>
      <c r="AD45" s="3">
        <f>WIOD.ThreeME_V3!AD45 * Pond.Inputs!$B45/SUMPRODUCT(WIOD.ThreeME_V3!AD$2:AD$57,Pond.Inputs!$B$2:$B$57)</f>
        <v>0</v>
      </c>
      <c r="AE45" s="3">
        <f>WIOD.ThreeME_V3!AE45 * Pond.Inputs!$B45/SUMPRODUCT(WIOD.ThreeME_V3!AE$2:AE$57,Pond.Inputs!$B$2:$B$57)</f>
        <v>0</v>
      </c>
      <c r="AF45" s="3">
        <f>WIOD.ThreeME_V3!AF45 * Pond.Inputs!$B45/SUMPRODUCT(WIOD.ThreeME_V3!AF$2:AF$57,Pond.Inputs!$B$2:$B$57)</f>
        <v>0</v>
      </c>
      <c r="AG45" s="3">
        <f>WIOD.ThreeME_V3!AG45 * Pond.Inputs!$B45/SUMPRODUCT(WIOD.ThreeME_V3!AG$2:AG$57,Pond.Inputs!$B$2:$B$57)</f>
        <v>0</v>
      </c>
    </row>
    <row r="46" spans="1:33" x14ac:dyDescent="0.2">
      <c r="A46" s="1" t="s">
        <v>57</v>
      </c>
      <c r="B46" s="3">
        <f>WIOD.ThreeME_V3!B46 * Pond.Inputs!$B46/SUMPRODUCT(WIOD.ThreeME_V3!B$2:B$57,Pond.Inputs!$B$2:$B$57)</f>
        <v>0</v>
      </c>
      <c r="C46" s="3">
        <f>WIOD.ThreeME_V3!C46 * Pond.Inputs!$B46/SUMPRODUCT(WIOD.ThreeME_V3!C$2:C$57,Pond.Inputs!$B$2:$B$57)</f>
        <v>0</v>
      </c>
      <c r="D46" s="3">
        <f>WIOD.ThreeME_V3!D46 * Pond.Inputs!$B46/SUMPRODUCT(WIOD.ThreeME_V3!D$2:D$57,Pond.Inputs!$B$2:$B$57)</f>
        <v>0</v>
      </c>
      <c r="E46" s="3">
        <f>WIOD.ThreeME_V3!E46 * Pond.Inputs!$B46/SUMPRODUCT(WIOD.ThreeME_V3!E$2:E$57,Pond.Inputs!$B$2:$B$57)</f>
        <v>0</v>
      </c>
      <c r="F46" s="3">
        <f>WIOD.ThreeME_V3!F46 * Pond.Inputs!$B46/SUMPRODUCT(WIOD.ThreeME_V3!F$2:F$57,Pond.Inputs!$B$2:$B$57)</f>
        <v>0</v>
      </c>
      <c r="G46" s="3">
        <f>WIOD.ThreeME_V3!G46 * Pond.Inputs!$B46/SUMPRODUCT(WIOD.ThreeME_V3!G$2:G$57,Pond.Inputs!$B$2:$B$57)</f>
        <v>0</v>
      </c>
      <c r="H46" s="3">
        <f>WIOD.ThreeME_V3!H46 * Pond.Inputs!$B46/SUMPRODUCT(WIOD.ThreeME_V3!H$2:H$57,Pond.Inputs!$B$2:$B$57)</f>
        <v>0</v>
      </c>
      <c r="I46" s="3">
        <f>WIOD.ThreeME_V3!I46 * Pond.Inputs!$B46/SUMPRODUCT(WIOD.ThreeME_V3!I$2:I$57,Pond.Inputs!$B$2:$B$57)</f>
        <v>0</v>
      </c>
      <c r="J46" s="3">
        <f>WIOD.ThreeME_V3!J46 * Pond.Inputs!$B46/SUMPRODUCT(WIOD.ThreeME_V3!J$2:J$57,Pond.Inputs!$B$2:$B$57)</f>
        <v>0</v>
      </c>
      <c r="K46" s="3">
        <f>WIOD.ThreeME_V3!K46 * Pond.Inputs!$B46/SUMPRODUCT(WIOD.ThreeME_V3!K$2:K$57,Pond.Inputs!$B$2:$B$57)</f>
        <v>0</v>
      </c>
      <c r="L46" s="3">
        <f>WIOD.ThreeME_V3!L46 * Pond.Inputs!$B46/SUMPRODUCT(WIOD.ThreeME_V3!L$2:L$57,Pond.Inputs!$B$2:$B$57)</f>
        <v>0</v>
      </c>
      <c r="M46" s="3">
        <f>WIOD.ThreeME_V3!M46 * Pond.Inputs!$B46/SUMPRODUCT(WIOD.ThreeME_V3!M$2:M$57,Pond.Inputs!$B$2:$B$57)</f>
        <v>0</v>
      </c>
      <c r="N46" s="3">
        <f>WIOD.ThreeME_V3!N46 * Pond.Inputs!$B46/SUMPRODUCT(WIOD.ThreeME_V3!N$2:N$57,Pond.Inputs!$B$2:$B$57)</f>
        <v>0</v>
      </c>
      <c r="O46" s="3">
        <f>WIOD.ThreeME_V3!O46 * Pond.Inputs!$B46/SUMPRODUCT(WIOD.ThreeME_V3!O$2:O$57,Pond.Inputs!$B$2:$B$57)</f>
        <v>0</v>
      </c>
      <c r="P46" s="3">
        <f>WIOD.ThreeME_V3!P46 * Pond.Inputs!$B46/SUMPRODUCT(WIOD.ThreeME_V3!P$2:P$57,Pond.Inputs!$B$2:$B$57)</f>
        <v>0</v>
      </c>
      <c r="Q46" s="3">
        <f>WIOD.ThreeME_V3!Q46 * Pond.Inputs!$B46/SUMPRODUCT(WIOD.ThreeME_V3!Q$2:Q$57,Pond.Inputs!$B$2:$B$57)</f>
        <v>0</v>
      </c>
      <c r="R46" s="3">
        <f>WIOD.ThreeME_V3!R46 * Pond.Inputs!$B46/SUMPRODUCT(WIOD.ThreeME_V3!R$2:R$57,Pond.Inputs!$B$2:$B$57)</f>
        <v>0.11294284164931415</v>
      </c>
      <c r="S46" s="3">
        <f>WIOD.ThreeME_V3!S46 * Pond.Inputs!$B46/SUMPRODUCT(WIOD.ThreeME_V3!S$2:S$57,Pond.Inputs!$B$2:$B$57)</f>
        <v>0</v>
      </c>
      <c r="T46" s="3">
        <f>WIOD.ThreeME_V3!T46 * Pond.Inputs!$B46/SUMPRODUCT(WIOD.ThreeME_V3!T$2:T$57,Pond.Inputs!$B$2:$B$57)</f>
        <v>0</v>
      </c>
      <c r="U46" s="3">
        <f>WIOD.ThreeME_V3!U46 * Pond.Inputs!$B46/SUMPRODUCT(WIOD.ThreeME_V3!U$2:U$57,Pond.Inputs!$B$2:$B$57)</f>
        <v>0</v>
      </c>
      <c r="V46" s="3">
        <f>WIOD.ThreeME_V3!V46 * Pond.Inputs!$B46/SUMPRODUCT(WIOD.ThreeME_V3!V$2:V$57,Pond.Inputs!$B$2:$B$57)</f>
        <v>0</v>
      </c>
      <c r="W46" s="3">
        <f>WIOD.ThreeME_V3!W46 * Pond.Inputs!$B46/SUMPRODUCT(WIOD.ThreeME_V3!W$2:W$57,Pond.Inputs!$B$2:$B$57)</f>
        <v>0</v>
      </c>
      <c r="X46" s="3">
        <f>WIOD.ThreeME_V3!X46 * Pond.Inputs!$B46/SUMPRODUCT(WIOD.ThreeME_V3!X$2:X$57,Pond.Inputs!$B$2:$B$57)</f>
        <v>0</v>
      </c>
      <c r="Y46" s="3">
        <f>WIOD.ThreeME_V3!Y46 * Pond.Inputs!$B46/SUMPRODUCT(WIOD.ThreeME_V3!Y$2:Y$57,Pond.Inputs!$B$2:$B$57)</f>
        <v>0</v>
      </c>
      <c r="Z46" s="3">
        <f>WIOD.ThreeME_V3!Z46 * Pond.Inputs!$B46/SUMPRODUCT(WIOD.ThreeME_V3!Z$2:Z$57,Pond.Inputs!$B$2:$B$57)</f>
        <v>0</v>
      </c>
      <c r="AA46" s="3">
        <f>WIOD.ThreeME_V3!AA46 * Pond.Inputs!$B46/SUMPRODUCT(WIOD.ThreeME_V3!AA$2:AA$57,Pond.Inputs!$B$2:$B$57)</f>
        <v>0</v>
      </c>
      <c r="AB46" s="3">
        <f>WIOD.ThreeME_V3!AB46 * Pond.Inputs!$B46/SUMPRODUCT(WIOD.ThreeME_V3!AB$2:AB$57,Pond.Inputs!$B$2:$B$57)</f>
        <v>0</v>
      </c>
      <c r="AC46" s="3">
        <f>WIOD.ThreeME_V3!AC46 * Pond.Inputs!$B46/SUMPRODUCT(WIOD.ThreeME_V3!AC$2:AC$57,Pond.Inputs!$B$2:$B$57)</f>
        <v>0</v>
      </c>
      <c r="AD46" s="3">
        <f>WIOD.ThreeME_V3!AD46 * Pond.Inputs!$B46/SUMPRODUCT(WIOD.ThreeME_V3!AD$2:AD$57,Pond.Inputs!$B$2:$B$57)</f>
        <v>0</v>
      </c>
      <c r="AE46" s="3">
        <f>WIOD.ThreeME_V3!AE46 * Pond.Inputs!$B46/SUMPRODUCT(WIOD.ThreeME_V3!AE$2:AE$57,Pond.Inputs!$B$2:$B$57)</f>
        <v>0</v>
      </c>
      <c r="AF46" s="3">
        <f>WIOD.ThreeME_V3!AF46 * Pond.Inputs!$B46/SUMPRODUCT(WIOD.ThreeME_V3!AF$2:AF$57,Pond.Inputs!$B$2:$B$57)</f>
        <v>0</v>
      </c>
      <c r="AG46" s="3">
        <f>WIOD.ThreeME_V3!AG46 * Pond.Inputs!$B46/SUMPRODUCT(WIOD.ThreeME_V3!AG$2:AG$57,Pond.Inputs!$B$2:$B$57)</f>
        <v>0</v>
      </c>
    </row>
    <row r="47" spans="1:33" x14ac:dyDescent="0.2">
      <c r="A47" s="1" t="s">
        <v>58</v>
      </c>
      <c r="B47" s="3">
        <f>WIOD.ThreeME_V3!B47 * Pond.Inputs!$B47/SUMPRODUCT(WIOD.ThreeME_V3!B$2:B$57,Pond.Inputs!$B$2:$B$57)</f>
        <v>0</v>
      </c>
      <c r="C47" s="3">
        <f>WIOD.ThreeME_V3!C47 * Pond.Inputs!$B47/SUMPRODUCT(WIOD.ThreeME_V3!C$2:C$57,Pond.Inputs!$B$2:$B$57)</f>
        <v>0</v>
      </c>
      <c r="D47" s="3">
        <f>WIOD.ThreeME_V3!D47 * Pond.Inputs!$B47/SUMPRODUCT(WIOD.ThreeME_V3!D$2:D$57,Pond.Inputs!$B$2:$B$57)</f>
        <v>0</v>
      </c>
      <c r="E47" s="3">
        <f>WIOD.ThreeME_V3!E47 * Pond.Inputs!$B47/SUMPRODUCT(WIOD.ThreeME_V3!E$2:E$57,Pond.Inputs!$B$2:$B$57)</f>
        <v>0</v>
      </c>
      <c r="F47" s="3">
        <f>WIOD.ThreeME_V3!F47 * Pond.Inputs!$B47/SUMPRODUCT(WIOD.ThreeME_V3!F$2:F$57,Pond.Inputs!$B$2:$B$57)</f>
        <v>0</v>
      </c>
      <c r="G47" s="3">
        <f>WIOD.ThreeME_V3!G47 * Pond.Inputs!$B47/SUMPRODUCT(WIOD.ThreeME_V3!G$2:G$57,Pond.Inputs!$B$2:$B$57)</f>
        <v>0</v>
      </c>
      <c r="H47" s="3">
        <f>WIOD.ThreeME_V3!H47 * Pond.Inputs!$B47/SUMPRODUCT(WIOD.ThreeME_V3!H$2:H$57,Pond.Inputs!$B$2:$B$57)</f>
        <v>0</v>
      </c>
      <c r="I47" s="3">
        <f>WIOD.ThreeME_V3!I47 * Pond.Inputs!$B47/SUMPRODUCT(WIOD.ThreeME_V3!I$2:I$57,Pond.Inputs!$B$2:$B$57)</f>
        <v>0</v>
      </c>
      <c r="J47" s="3">
        <f>WIOD.ThreeME_V3!J47 * Pond.Inputs!$B47/SUMPRODUCT(WIOD.ThreeME_V3!J$2:J$57,Pond.Inputs!$B$2:$B$57)</f>
        <v>0</v>
      </c>
      <c r="K47" s="3">
        <f>WIOD.ThreeME_V3!K47 * Pond.Inputs!$B47/SUMPRODUCT(WIOD.ThreeME_V3!K$2:K$57,Pond.Inputs!$B$2:$B$57)</f>
        <v>0</v>
      </c>
      <c r="L47" s="3">
        <f>WIOD.ThreeME_V3!L47 * Pond.Inputs!$B47/SUMPRODUCT(WIOD.ThreeME_V3!L$2:L$57,Pond.Inputs!$B$2:$B$57)</f>
        <v>0</v>
      </c>
      <c r="M47" s="3">
        <f>WIOD.ThreeME_V3!M47 * Pond.Inputs!$B47/SUMPRODUCT(WIOD.ThreeME_V3!M$2:M$57,Pond.Inputs!$B$2:$B$57)</f>
        <v>0</v>
      </c>
      <c r="N47" s="3">
        <f>WIOD.ThreeME_V3!N47 * Pond.Inputs!$B47/SUMPRODUCT(WIOD.ThreeME_V3!N$2:N$57,Pond.Inputs!$B$2:$B$57)</f>
        <v>0</v>
      </c>
      <c r="O47" s="3">
        <f>WIOD.ThreeME_V3!O47 * Pond.Inputs!$B47/SUMPRODUCT(WIOD.ThreeME_V3!O$2:O$57,Pond.Inputs!$B$2:$B$57)</f>
        <v>0</v>
      </c>
      <c r="P47" s="3">
        <f>WIOD.ThreeME_V3!P47 * Pond.Inputs!$B47/SUMPRODUCT(WIOD.ThreeME_V3!P$2:P$57,Pond.Inputs!$B$2:$B$57)</f>
        <v>0</v>
      </c>
      <c r="Q47" s="3">
        <f>WIOD.ThreeME_V3!Q47 * Pond.Inputs!$B47/SUMPRODUCT(WIOD.ThreeME_V3!Q$2:Q$57,Pond.Inputs!$B$2:$B$57)</f>
        <v>0</v>
      </c>
      <c r="R47" s="3">
        <f>WIOD.ThreeME_V3!R47 * Pond.Inputs!$B47/SUMPRODUCT(WIOD.ThreeME_V3!R$2:R$57,Pond.Inputs!$B$2:$B$57)</f>
        <v>4.5541372687639047E-2</v>
      </c>
      <c r="S47" s="3">
        <f>WIOD.ThreeME_V3!S47 * Pond.Inputs!$B47/SUMPRODUCT(WIOD.ThreeME_V3!S$2:S$57,Pond.Inputs!$B$2:$B$57)</f>
        <v>0</v>
      </c>
      <c r="T47" s="3">
        <f>WIOD.ThreeME_V3!T47 * Pond.Inputs!$B47/SUMPRODUCT(WIOD.ThreeME_V3!T$2:T$57,Pond.Inputs!$B$2:$B$57)</f>
        <v>0</v>
      </c>
      <c r="U47" s="3">
        <f>WIOD.ThreeME_V3!U47 * Pond.Inputs!$B47/SUMPRODUCT(WIOD.ThreeME_V3!U$2:U$57,Pond.Inputs!$B$2:$B$57)</f>
        <v>0</v>
      </c>
      <c r="V47" s="3">
        <f>WIOD.ThreeME_V3!V47 * Pond.Inputs!$B47/SUMPRODUCT(WIOD.ThreeME_V3!V$2:V$57,Pond.Inputs!$B$2:$B$57)</f>
        <v>0</v>
      </c>
      <c r="W47" s="3">
        <f>WIOD.ThreeME_V3!W47 * Pond.Inputs!$B47/SUMPRODUCT(WIOD.ThreeME_V3!W$2:W$57,Pond.Inputs!$B$2:$B$57)</f>
        <v>0</v>
      </c>
      <c r="X47" s="3">
        <f>WIOD.ThreeME_V3!X47 * Pond.Inputs!$B47/SUMPRODUCT(WIOD.ThreeME_V3!X$2:X$57,Pond.Inputs!$B$2:$B$57)</f>
        <v>0</v>
      </c>
      <c r="Y47" s="3">
        <f>WIOD.ThreeME_V3!Y47 * Pond.Inputs!$B47/SUMPRODUCT(WIOD.ThreeME_V3!Y$2:Y$57,Pond.Inputs!$B$2:$B$57)</f>
        <v>0</v>
      </c>
      <c r="Z47" s="3">
        <f>WIOD.ThreeME_V3!Z47 * Pond.Inputs!$B47/SUMPRODUCT(WIOD.ThreeME_V3!Z$2:Z$57,Pond.Inputs!$B$2:$B$57)</f>
        <v>0</v>
      </c>
      <c r="AA47" s="3">
        <f>WIOD.ThreeME_V3!AA47 * Pond.Inputs!$B47/SUMPRODUCT(WIOD.ThreeME_V3!AA$2:AA$57,Pond.Inputs!$B$2:$B$57)</f>
        <v>0</v>
      </c>
      <c r="AB47" s="3">
        <f>WIOD.ThreeME_V3!AB47 * Pond.Inputs!$B47/SUMPRODUCT(WIOD.ThreeME_V3!AB$2:AB$57,Pond.Inputs!$B$2:$B$57)</f>
        <v>0</v>
      </c>
      <c r="AC47" s="3">
        <f>WIOD.ThreeME_V3!AC47 * Pond.Inputs!$B47/SUMPRODUCT(WIOD.ThreeME_V3!AC$2:AC$57,Pond.Inputs!$B$2:$B$57)</f>
        <v>0</v>
      </c>
      <c r="AD47" s="3">
        <f>WIOD.ThreeME_V3!AD47 * Pond.Inputs!$B47/SUMPRODUCT(WIOD.ThreeME_V3!AD$2:AD$57,Pond.Inputs!$B$2:$B$57)</f>
        <v>0</v>
      </c>
      <c r="AE47" s="3">
        <f>WIOD.ThreeME_V3!AE47 * Pond.Inputs!$B47/SUMPRODUCT(WIOD.ThreeME_V3!AE$2:AE$57,Pond.Inputs!$B$2:$B$57)</f>
        <v>0</v>
      </c>
      <c r="AF47" s="3">
        <f>WIOD.ThreeME_V3!AF47 * Pond.Inputs!$B47/SUMPRODUCT(WIOD.ThreeME_V3!AF$2:AF$57,Pond.Inputs!$B$2:$B$57)</f>
        <v>0</v>
      </c>
      <c r="AG47" s="3">
        <f>WIOD.ThreeME_V3!AG47 * Pond.Inputs!$B47/SUMPRODUCT(WIOD.ThreeME_V3!AG$2:AG$57,Pond.Inputs!$B$2:$B$57)</f>
        <v>0</v>
      </c>
    </row>
    <row r="48" spans="1:33" x14ac:dyDescent="0.2">
      <c r="A48" s="1" t="s">
        <v>59</v>
      </c>
      <c r="B48" s="3">
        <f>WIOD.ThreeME_V3!B48 * Pond.Inputs!$B48/SUMPRODUCT(WIOD.ThreeME_V3!B$2:B$57,Pond.Inputs!$B$2:$B$57)</f>
        <v>0</v>
      </c>
      <c r="C48" s="3">
        <f>WIOD.ThreeME_V3!C48 * Pond.Inputs!$B48/SUMPRODUCT(WIOD.ThreeME_V3!C$2:C$57,Pond.Inputs!$B$2:$B$57)</f>
        <v>0</v>
      </c>
      <c r="D48" s="3">
        <f>WIOD.ThreeME_V3!D48 * Pond.Inputs!$B48/SUMPRODUCT(WIOD.ThreeME_V3!D$2:D$57,Pond.Inputs!$B$2:$B$57)</f>
        <v>0</v>
      </c>
      <c r="E48" s="3">
        <f>WIOD.ThreeME_V3!E48 * Pond.Inputs!$B48/SUMPRODUCT(WIOD.ThreeME_V3!E$2:E$57,Pond.Inputs!$B$2:$B$57)</f>
        <v>0</v>
      </c>
      <c r="F48" s="3">
        <f>WIOD.ThreeME_V3!F48 * Pond.Inputs!$B48/SUMPRODUCT(WIOD.ThreeME_V3!F$2:F$57,Pond.Inputs!$B$2:$B$57)</f>
        <v>0</v>
      </c>
      <c r="G48" s="3">
        <f>WIOD.ThreeME_V3!G48 * Pond.Inputs!$B48/SUMPRODUCT(WIOD.ThreeME_V3!G$2:G$57,Pond.Inputs!$B$2:$B$57)</f>
        <v>0</v>
      </c>
      <c r="H48" s="3">
        <f>WIOD.ThreeME_V3!H48 * Pond.Inputs!$B48/SUMPRODUCT(WIOD.ThreeME_V3!H$2:H$57,Pond.Inputs!$B$2:$B$57)</f>
        <v>0</v>
      </c>
      <c r="I48" s="3">
        <f>WIOD.ThreeME_V3!I48 * Pond.Inputs!$B48/SUMPRODUCT(WIOD.ThreeME_V3!I$2:I$57,Pond.Inputs!$B$2:$B$57)</f>
        <v>0</v>
      </c>
      <c r="J48" s="3">
        <f>WIOD.ThreeME_V3!J48 * Pond.Inputs!$B48/SUMPRODUCT(WIOD.ThreeME_V3!J$2:J$57,Pond.Inputs!$B$2:$B$57)</f>
        <v>0</v>
      </c>
      <c r="K48" s="3">
        <f>WIOD.ThreeME_V3!K48 * Pond.Inputs!$B48/SUMPRODUCT(WIOD.ThreeME_V3!K$2:K$57,Pond.Inputs!$B$2:$B$57)</f>
        <v>0</v>
      </c>
      <c r="L48" s="3">
        <f>WIOD.ThreeME_V3!L48 * Pond.Inputs!$B48/SUMPRODUCT(WIOD.ThreeME_V3!L$2:L$57,Pond.Inputs!$B$2:$B$57)</f>
        <v>0</v>
      </c>
      <c r="M48" s="3">
        <f>WIOD.ThreeME_V3!M48 * Pond.Inputs!$B48/SUMPRODUCT(WIOD.ThreeME_V3!M$2:M$57,Pond.Inputs!$B$2:$B$57)</f>
        <v>0</v>
      </c>
      <c r="N48" s="3">
        <f>WIOD.ThreeME_V3!N48 * Pond.Inputs!$B48/SUMPRODUCT(WIOD.ThreeME_V3!N$2:N$57,Pond.Inputs!$B$2:$B$57)</f>
        <v>0</v>
      </c>
      <c r="O48" s="3">
        <f>WIOD.ThreeME_V3!O48 * Pond.Inputs!$B48/SUMPRODUCT(WIOD.ThreeME_V3!O$2:O$57,Pond.Inputs!$B$2:$B$57)</f>
        <v>0</v>
      </c>
      <c r="P48" s="3">
        <f>WIOD.ThreeME_V3!P48 * Pond.Inputs!$B48/SUMPRODUCT(WIOD.ThreeME_V3!P$2:P$57,Pond.Inputs!$B$2:$B$57)</f>
        <v>0</v>
      </c>
      <c r="Q48" s="3">
        <f>WIOD.ThreeME_V3!Q48 * Pond.Inputs!$B48/SUMPRODUCT(WIOD.ThreeME_V3!Q$2:Q$57,Pond.Inputs!$B$2:$B$57)</f>
        <v>0</v>
      </c>
      <c r="R48" s="3">
        <f>WIOD.ThreeME_V3!R48 * Pond.Inputs!$B48/SUMPRODUCT(WIOD.ThreeME_V3!R$2:R$57,Pond.Inputs!$B$2:$B$57)</f>
        <v>4.4571807537979583E-2</v>
      </c>
      <c r="S48" s="3">
        <f>WIOD.ThreeME_V3!S48 * Pond.Inputs!$B48/SUMPRODUCT(WIOD.ThreeME_V3!S$2:S$57,Pond.Inputs!$B$2:$B$57)</f>
        <v>0</v>
      </c>
      <c r="T48" s="3">
        <f>WIOD.ThreeME_V3!T48 * Pond.Inputs!$B48/SUMPRODUCT(WIOD.ThreeME_V3!T$2:T$57,Pond.Inputs!$B$2:$B$57)</f>
        <v>0</v>
      </c>
      <c r="U48" s="3">
        <f>WIOD.ThreeME_V3!U48 * Pond.Inputs!$B48/SUMPRODUCT(WIOD.ThreeME_V3!U$2:U$57,Pond.Inputs!$B$2:$B$57)</f>
        <v>0</v>
      </c>
      <c r="V48" s="3">
        <f>WIOD.ThreeME_V3!V48 * Pond.Inputs!$B48/SUMPRODUCT(WIOD.ThreeME_V3!V$2:V$57,Pond.Inputs!$B$2:$B$57)</f>
        <v>0</v>
      </c>
      <c r="W48" s="3">
        <f>WIOD.ThreeME_V3!W48 * Pond.Inputs!$B48/SUMPRODUCT(WIOD.ThreeME_V3!W$2:W$57,Pond.Inputs!$B$2:$B$57)</f>
        <v>0</v>
      </c>
      <c r="X48" s="3">
        <f>WIOD.ThreeME_V3!X48 * Pond.Inputs!$B48/SUMPRODUCT(WIOD.ThreeME_V3!X$2:X$57,Pond.Inputs!$B$2:$B$57)</f>
        <v>0</v>
      </c>
      <c r="Y48" s="3">
        <f>WIOD.ThreeME_V3!Y48 * Pond.Inputs!$B48/SUMPRODUCT(WIOD.ThreeME_V3!Y$2:Y$57,Pond.Inputs!$B$2:$B$57)</f>
        <v>0</v>
      </c>
      <c r="Z48" s="3">
        <f>WIOD.ThreeME_V3!Z48 * Pond.Inputs!$B48/SUMPRODUCT(WIOD.ThreeME_V3!Z$2:Z$57,Pond.Inputs!$B$2:$B$57)</f>
        <v>0</v>
      </c>
      <c r="AA48" s="3">
        <f>WIOD.ThreeME_V3!AA48 * Pond.Inputs!$B48/SUMPRODUCT(WIOD.ThreeME_V3!AA$2:AA$57,Pond.Inputs!$B$2:$B$57)</f>
        <v>0</v>
      </c>
      <c r="AB48" s="3">
        <f>WIOD.ThreeME_V3!AB48 * Pond.Inputs!$B48/SUMPRODUCT(WIOD.ThreeME_V3!AB$2:AB$57,Pond.Inputs!$B$2:$B$57)</f>
        <v>0</v>
      </c>
      <c r="AC48" s="3">
        <f>WIOD.ThreeME_V3!AC48 * Pond.Inputs!$B48/SUMPRODUCT(WIOD.ThreeME_V3!AC$2:AC$57,Pond.Inputs!$B$2:$B$57)</f>
        <v>0</v>
      </c>
      <c r="AD48" s="3">
        <f>WIOD.ThreeME_V3!AD48 * Pond.Inputs!$B48/SUMPRODUCT(WIOD.ThreeME_V3!AD$2:AD$57,Pond.Inputs!$B$2:$B$57)</f>
        <v>0</v>
      </c>
      <c r="AE48" s="3">
        <f>WIOD.ThreeME_V3!AE48 * Pond.Inputs!$B48/SUMPRODUCT(WIOD.ThreeME_V3!AE$2:AE$57,Pond.Inputs!$B$2:$B$57)</f>
        <v>0</v>
      </c>
      <c r="AF48" s="3">
        <f>WIOD.ThreeME_V3!AF48 * Pond.Inputs!$B48/SUMPRODUCT(WIOD.ThreeME_V3!AF$2:AF$57,Pond.Inputs!$B$2:$B$57)</f>
        <v>0</v>
      </c>
      <c r="AG48" s="3">
        <f>WIOD.ThreeME_V3!AG48 * Pond.Inputs!$B48/SUMPRODUCT(WIOD.ThreeME_V3!AG$2:AG$57,Pond.Inputs!$B$2:$B$57)</f>
        <v>0</v>
      </c>
    </row>
    <row r="49" spans="1:33" x14ac:dyDescent="0.2">
      <c r="A49" s="1" t="s">
        <v>60</v>
      </c>
      <c r="B49" s="3">
        <f>WIOD.ThreeME_V3!B49 * Pond.Inputs!$B49/SUMPRODUCT(WIOD.ThreeME_V3!B$2:B$57,Pond.Inputs!$B$2:$B$57)</f>
        <v>0</v>
      </c>
      <c r="C49" s="3">
        <f>WIOD.ThreeME_V3!C49 * Pond.Inputs!$B49/SUMPRODUCT(WIOD.ThreeME_V3!C$2:C$57,Pond.Inputs!$B$2:$B$57)</f>
        <v>0</v>
      </c>
      <c r="D49" s="3">
        <f>WIOD.ThreeME_V3!D49 * Pond.Inputs!$B49/SUMPRODUCT(WIOD.ThreeME_V3!D$2:D$57,Pond.Inputs!$B$2:$B$57)</f>
        <v>0</v>
      </c>
      <c r="E49" s="3">
        <f>WIOD.ThreeME_V3!E49 * Pond.Inputs!$B49/SUMPRODUCT(WIOD.ThreeME_V3!E$2:E$57,Pond.Inputs!$B$2:$B$57)</f>
        <v>0</v>
      </c>
      <c r="F49" s="3">
        <f>WIOD.ThreeME_V3!F49 * Pond.Inputs!$B49/SUMPRODUCT(WIOD.ThreeME_V3!F$2:F$57,Pond.Inputs!$B$2:$B$57)</f>
        <v>0</v>
      </c>
      <c r="G49" s="3">
        <f>WIOD.ThreeME_V3!G49 * Pond.Inputs!$B49/SUMPRODUCT(WIOD.ThreeME_V3!G$2:G$57,Pond.Inputs!$B$2:$B$57)</f>
        <v>0</v>
      </c>
      <c r="H49" s="3">
        <f>WIOD.ThreeME_V3!H49 * Pond.Inputs!$B49/SUMPRODUCT(WIOD.ThreeME_V3!H$2:H$57,Pond.Inputs!$B$2:$B$57)</f>
        <v>0</v>
      </c>
      <c r="I49" s="3">
        <f>WIOD.ThreeME_V3!I49 * Pond.Inputs!$B49/SUMPRODUCT(WIOD.ThreeME_V3!I$2:I$57,Pond.Inputs!$B$2:$B$57)</f>
        <v>0</v>
      </c>
      <c r="J49" s="3">
        <f>WIOD.ThreeME_V3!J49 * Pond.Inputs!$B49/SUMPRODUCT(WIOD.ThreeME_V3!J$2:J$57,Pond.Inputs!$B$2:$B$57)</f>
        <v>0</v>
      </c>
      <c r="K49" s="3">
        <f>WIOD.ThreeME_V3!K49 * Pond.Inputs!$B49/SUMPRODUCT(WIOD.ThreeME_V3!K$2:K$57,Pond.Inputs!$B$2:$B$57)</f>
        <v>0</v>
      </c>
      <c r="L49" s="3">
        <f>WIOD.ThreeME_V3!L49 * Pond.Inputs!$B49/SUMPRODUCT(WIOD.ThreeME_V3!L$2:L$57,Pond.Inputs!$B$2:$B$57)</f>
        <v>0</v>
      </c>
      <c r="M49" s="3">
        <f>WIOD.ThreeME_V3!M49 * Pond.Inputs!$B49/SUMPRODUCT(WIOD.ThreeME_V3!M$2:M$57,Pond.Inputs!$B$2:$B$57)</f>
        <v>0</v>
      </c>
      <c r="N49" s="3">
        <f>WIOD.ThreeME_V3!N49 * Pond.Inputs!$B49/SUMPRODUCT(WIOD.ThreeME_V3!N$2:N$57,Pond.Inputs!$B$2:$B$57)</f>
        <v>0</v>
      </c>
      <c r="O49" s="3">
        <f>WIOD.ThreeME_V3!O49 * Pond.Inputs!$B49/SUMPRODUCT(WIOD.ThreeME_V3!O$2:O$57,Pond.Inputs!$B$2:$B$57)</f>
        <v>0</v>
      </c>
      <c r="P49" s="3">
        <f>WIOD.ThreeME_V3!P49 * Pond.Inputs!$B49/SUMPRODUCT(WIOD.ThreeME_V3!P$2:P$57,Pond.Inputs!$B$2:$B$57)</f>
        <v>0</v>
      </c>
      <c r="Q49" s="3">
        <f>WIOD.ThreeME_V3!Q49 * Pond.Inputs!$B49/SUMPRODUCT(WIOD.ThreeME_V3!Q$2:Q$57,Pond.Inputs!$B$2:$B$57)</f>
        <v>0</v>
      </c>
      <c r="R49" s="3">
        <f>WIOD.ThreeME_V3!R49 * Pond.Inputs!$B49/SUMPRODUCT(WIOD.ThreeME_V3!R$2:R$57,Pond.Inputs!$B$2:$B$57)</f>
        <v>1.3878060305913754E-2</v>
      </c>
      <c r="S49" s="3">
        <f>WIOD.ThreeME_V3!S49 * Pond.Inputs!$B49/SUMPRODUCT(WIOD.ThreeME_V3!S$2:S$57,Pond.Inputs!$B$2:$B$57)</f>
        <v>0</v>
      </c>
      <c r="T49" s="3">
        <f>WIOD.ThreeME_V3!T49 * Pond.Inputs!$B49/SUMPRODUCT(WIOD.ThreeME_V3!T$2:T$57,Pond.Inputs!$B$2:$B$57)</f>
        <v>0</v>
      </c>
      <c r="U49" s="3">
        <f>WIOD.ThreeME_V3!U49 * Pond.Inputs!$B49/SUMPRODUCT(WIOD.ThreeME_V3!U$2:U$57,Pond.Inputs!$B$2:$B$57)</f>
        <v>0</v>
      </c>
      <c r="V49" s="3">
        <f>WIOD.ThreeME_V3!V49 * Pond.Inputs!$B49/SUMPRODUCT(WIOD.ThreeME_V3!V$2:V$57,Pond.Inputs!$B$2:$B$57)</f>
        <v>0</v>
      </c>
      <c r="W49" s="3">
        <f>WIOD.ThreeME_V3!W49 * Pond.Inputs!$B49/SUMPRODUCT(WIOD.ThreeME_V3!W$2:W$57,Pond.Inputs!$B$2:$B$57)</f>
        <v>0</v>
      </c>
      <c r="X49" s="3">
        <f>WIOD.ThreeME_V3!X49 * Pond.Inputs!$B49/SUMPRODUCT(WIOD.ThreeME_V3!X$2:X$57,Pond.Inputs!$B$2:$B$57)</f>
        <v>0</v>
      </c>
      <c r="Y49" s="3">
        <f>WIOD.ThreeME_V3!Y49 * Pond.Inputs!$B49/SUMPRODUCT(WIOD.ThreeME_V3!Y$2:Y$57,Pond.Inputs!$B$2:$B$57)</f>
        <v>0</v>
      </c>
      <c r="Z49" s="3">
        <f>WIOD.ThreeME_V3!Z49 * Pond.Inputs!$B49/SUMPRODUCT(WIOD.ThreeME_V3!Z$2:Z$57,Pond.Inputs!$B$2:$B$57)</f>
        <v>0</v>
      </c>
      <c r="AA49" s="3">
        <f>WIOD.ThreeME_V3!AA49 * Pond.Inputs!$B49/SUMPRODUCT(WIOD.ThreeME_V3!AA$2:AA$57,Pond.Inputs!$B$2:$B$57)</f>
        <v>0</v>
      </c>
      <c r="AB49" s="3">
        <f>WIOD.ThreeME_V3!AB49 * Pond.Inputs!$B49/SUMPRODUCT(WIOD.ThreeME_V3!AB$2:AB$57,Pond.Inputs!$B$2:$B$57)</f>
        <v>0</v>
      </c>
      <c r="AC49" s="3">
        <f>WIOD.ThreeME_V3!AC49 * Pond.Inputs!$B49/SUMPRODUCT(WIOD.ThreeME_V3!AC$2:AC$57,Pond.Inputs!$B$2:$B$57)</f>
        <v>0</v>
      </c>
      <c r="AD49" s="3">
        <f>WIOD.ThreeME_V3!AD49 * Pond.Inputs!$B49/SUMPRODUCT(WIOD.ThreeME_V3!AD$2:AD$57,Pond.Inputs!$B$2:$B$57)</f>
        <v>0</v>
      </c>
      <c r="AE49" s="3">
        <f>WIOD.ThreeME_V3!AE49 * Pond.Inputs!$B49/SUMPRODUCT(WIOD.ThreeME_V3!AE$2:AE$57,Pond.Inputs!$B$2:$B$57)</f>
        <v>0</v>
      </c>
      <c r="AF49" s="3">
        <f>WIOD.ThreeME_V3!AF49 * Pond.Inputs!$B49/SUMPRODUCT(WIOD.ThreeME_V3!AF$2:AF$57,Pond.Inputs!$B$2:$B$57)</f>
        <v>0</v>
      </c>
      <c r="AG49" s="3">
        <f>WIOD.ThreeME_V3!AG49 * Pond.Inputs!$B49/SUMPRODUCT(WIOD.ThreeME_V3!AG$2:AG$57,Pond.Inputs!$B$2:$B$57)</f>
        <v>0</v>
      </c>
    </row>
    <row r="50" spans="1:33" x14ac:dyDescent="0.2">
      <c r="A50" s="1" t="s">
        <v>61</v>
      </c>
      <c r="B50" s="3">
        <f>WIOD.ThreeME_V3!B50 * Pond.Inputs!$B50/SUMPRODUCT(WIOD.ThreeME_V3!B$2:B$57,Pond.Inputs!$B$2:$B$57)</f>
        <v>0</v>
      </c>
      <c r="C50" s="3">
        <f>WIOD.ThreeME_V3!C50 * Pond.Inputs!$B50/SUMPRODUCT(WIOD.ThreeME_V3!C$2:C$57,Pond.Inputs!$B$2:$B$57)</f>
        <v>0</v>
      </c>
      <c r="D50" s="3">
        <f>WIOD.ThreeME_V3!D50 * Pond.Inputs!$B50/SUMPRODUCT(WIOD.ThreeME_V3!D$2:D$57,Pond.Inputs!$B$2:$B$57)</f>
        <v>0</v>
      </c>
      <c r="E50" s="3">
        <f>WIOD.ThreeME_V3!E50 * Pond.Inputs!$B50/SUMPRODUCT(WIOD.ThreeME_V3!E$2:E$57,Pond.Inputs!$B$2:$B$57)</f>
        <v>0</v>
      </c>
      <c r="F50" s="3">
        <f>WIOD.ThreeME_V3!F50 * Pond.Inputs!$B50/SUMPRODUCT(WIOD.ThreeME_V3!F$2:F$57,Pond.Inputs!$B$2:$B$57)</f>
        <v>0</v>
      </c>
      <c r="G50" s="3">
        <f>WIOD.ThreeME_V3!G50 * Pond.Inputs!$B50/SUMPRODUCT(WIOD.ThreeME_V3!G$2:G$57,Pond.Inputs!$B$2:$B$57)</f>
        <v>0</v>
      </c>
      <c r="H50" s="3">
        <f>WIOD.ThreeME_V3!H50 * Pond.Inputs!$B50/SUMPRODUCT(WIOD.ThreeME_V3!H$2:H$57,Pond.Inputs!$B$2:$B$57)</f>
        <v>0</v>
      </c>
      <c r="I50" s="3">
        <f>WIOD.ThreeME_V3!I50 * Pond.Inputs!$B50/SUMPRODUCT(WIOD.ThreeME_V3!I$2:I$57,Pond.Inputs!$B$2:$B$57)</f>
        <v>0</v>
      </c>
      <c r="J50" s="3">
        <f>WIOD.ThreeME_V3!J50 * Pond.Inputs!$B50/SUMPRODUCT(WIOD.ThreeME_V3!J$2:J$57,Pond.Inputs!$B$2:$B$57)</f>
        <v>0</v>
      </c>
      <c r="K50" s="3">
        <f>WIOD.ThreeME_V3!K50 * Pond.Inputs!$B50/SUMPRODUCT(WIOD.ThreeME_V3!K$2:K$57,Pond.Inputs!$B$2:$B$57)</f>
        <v>0</v>
      </c>
      <c r="L50" s="3">
        <f>WIOD.ThreeME_V3!L50 * Pond.Inputs!$B50/SUMPRODUCT(WIOD.ThreeME_V3!L$2:L$57,Pond.Inputs!$B$2:$B$57)</f>
        <v>0</v>
      </c>
      <c r="M50" s="3">
        <f>WIOD.ThreeME_V3!M50 * Pond.Inputs!$B50/SUMPRODUCT(WIOD.ThreeME_V3!M$2:M$57,Pond.Inputs!$B$2:$B$57)</f>
        <v>0</v>
      </c>
      <c r="N50" s="3">
        <f>WIOD.ThreeME_V3!N50 * Pond.Inputs!$B50/SUMPRODUCT(WIOD.ThreeME_V3!N$2:N$57,Pond.Inputs!$B$2:$B$57)</f>
        <v>0</v>
      </c>
      <c r="O50" s="3">
        <f>WIOD.ThreeME_V3!O50 * Pond.Inputs!$B50/SUMPRODUCT(WIOD.ThreeME_V3!O$2:O$57,Pond.Inputs!$B$2:$B$57)</f>
        <v>0</v>
      </c>
      <c r="P50" s="3">
        <f>WIOD.ThreeME_V3!P50 * Pond.Inputs!$B50/SUMPRODUCT(WIOD.ThreeME_V3!P$2:P$57,Pond.Inputs!$B$2:$B$57)</f>
        <v>0</v>
      </c>
      <c r="Q50" s="3">
        <f>WIOD.ThreeME_V3!Q50 * Pond.Inputs!$B50/SUMPRODUCT(WIOD.ThreeME_V3!Q$2:Q$57,Pond.Inputs!$B$2:$B$57)</f>
        <v>0</v>
      </c>
      <c r="R50" s="3">
        <f>WIOD.ThreeME_V3!R50 * Pond.Inputs!$B50/SUMPRODUCT(WIOD.ThreeME_V3!R$2:R$57,Pond.Inputs!$B$2:$B$57)</f>
        <v>9.4055979590913236E-3</v>
      </c>
      <c r="S50" s="3">
        <f>WIOD.ThreeME_V3!S50 * Pond.Inputs!$B50/SUMPRODUCT(WIOD.ThreeME_V3!S$2:S$57,Pond.Inputs!$B$2:$B$57)</f>
        <v>0</v>
      </c>
      <c r="T50" s="3">
        <f>WIOD.ThreeME_V3!T50 * Pond.Inputs!$B50/SUMPRODUCT(WIOD.ThreeME_V3!T$2:T$57,Pond.Inputs!$B$2:$B$57)</f>
        <v>0</v>
      </c>
      <c r="U50" s="3">
        <f>WIOD.ThreeME_V3!U50 * Pond.Inputs!$B50/SUMPRODUCT(WIOD.ThreeME_V3!U$2:U$57,Pond.Inputs!$B$2:$B$57)</f>
        <v>0</v>
      </c>
      <c r="V50" s="3">
        <f>WIOD.ThreeME_V3!V50 * Pond.Inputs!$B50/SUMPRODUCT(WIOD.ThreeME_V3!V$2:V$57,Pond.Inputs!$B$2:$B$57)</f>
        <v>0</v>
      </c>
      <c r="W50" s="3">
        <f>WIOD.ThreeME_V3!W50 * Pond.Inputs!$B50/SUMPRODUCT(WIOD.ThreeME_V3!W$2:W$57,Pond.Inputs!$B$2:$B$57)</f>
        <v>0</v>
      </c>
      <c r="X50" s="3">
        <f>WIOD.ThreeME_V3!X50 * Pond.Inputs!$B50/SUMPRODUCT(WIOD.ThreeME_V3!X$2:X$57,Pond.Inputs!$B$2:$B$57)</f>
        <v>0</v>
      </c>
      <c r="Y50" s="3">
        <f>WIOD.ThreeME_V3!Y50 * Pond.Inputs!$B50/SUMPRODUCT(WIOD.ThreeME_V3!Y$2:Y$57,Pond.Inputs!$B$2:$B$57)</f>
        <v>0</v>
      </c>
      <c r="Z50" s="3">
        <f>WIOD.ThreeME_V3!Z50 * Pond.Inputs!$B50/SUMPRODUCT(WIOD.ThreeME_V3!Z$2:Z$57,Pond.Inputs!$B$2:$B$57)</f>
        <v>0</v>
      </c>
      <c r="AA50" s="3">
        <f>WIOD.ThreeME_V3!AA50 * Pond.Inputs!$B50/SUMPRODUCT(WIOD.ThreeME_V3!AA$2:AA$57,Pond.Inputs!$B$2:$B$57)</f>
        <v>0</v>
      </c>
      <c r="AB50" s="3">
        <f>WIOD.ThreeME_V3!AB50 * Pond.Inputs!$B50/SUMPRODUCT(WIOD.ThreeME_V3!AB$2:AB$57,Pond.Inputs!$B$2:$B$57)</f>
        <v>0</v>
      </c>
      <c r="AC50" s="3">
        <f>WIOD.ThreeME_V3!AC50 * Pond.Inputs!$B50/SUMPRODUCT(WIOD.ThreeME_V3!AC$2:AC$57,Pond.Inputs!$B$2:$B$57)</f>
        <v>0</v>
      </c>
      <c r="AD50" s="3">
        <f>WIOD.ThreeME_V3!AD50 * Pond.Inputs!$B50/SUMPRODUCT(WIOD.ThreeME_V3!AD$2:AD$57,Pond.Inputs!$B$2:$B$57)</f>
        <v>0</v>
      </c>
      <c r="AE50" s="3">
        <f>WIOD.ThreeME_V3!AE50 * Pond.Inputs!$B50/SUMPRODUCT(WIOD.ThreeME_V3!AE$2:AE$57,Pond.Inputs!$B$2:$B$57)</f>
        <v>0</v>
      </c>
      <c r="AF50" s="3">
        <f>WIOD.ThreeME_V3!AF50 * Pond.Inputs!$B50/SUMPRODUCT(WIOD.ThreeME_V3!AF$2:AF$57,Pond.Inputs!$B$2:$B$57)</f>
        <v>0</v>
      </c>
      <c r="AG50" s="3">
        <f>WIOD.ThreeME_V3!AG50 * Pond.Inputs!$B50/SUMPRODUCT(WIOD.ThreeME_V3!AG$2:AG$57,Pond.Inputs!$B$2:$B$57)</f>
        <v>0</v>
      </c>
    </row>
    <row r="51" spans="1:33" x14ac:dyDescent="0.2">
      <c r="A51" s="1" t="s">
        <v>62</v>
      </c>
      <c r="B51" s="3">
        <f>WIOD.ThreeME_V3!B51 * Pond.Inputs!$B51/SUMPRODUCT(WIOD.ThreeME_V3!B$2:B$57,Pond.Inputs!$B$2:$B$57)</f>
        <v>0</v>
      </c>
      <c r="C51" s="3">
        <f>WIOD.ThreeME_V3!C51 * Pond.Inputs!$B51/SUMPRODUCT(WIOD.ThreeME_V3!C$2:C$57,Pond.Inputs!$B$2:$B$57)</f>
        <v>0</v>
      </c>
      <c r="D51" s="3">
        <f>WIOD.ThreeME_V3!D51 * Pond.Inputs!$B51/SUMPRODUCT(WIOD.ThreeME_V3!D$2:D$57,Pond.Inputs!$B$2:$B$57)</f>
        <v>0</v>
      </c>
      <c r="E51" s="3">
        <f>WIOD.ThreeME_V3!E51 * Pond.Inputs!$B51/SUMPRODUCT(WIOD.ThreeME_V3!E$2:E$57,Pond.Inputs!$B$2:$B$57)</f>
        <v>0</v>
      </c>
      <c r="F51" s="3">
        <f>WIOD.ThreeME_V3!F51 * Pond.Inputs!$B51/SUMPRODUCT(WIOD.ThreeME_V3!F$2:F$57,Pond.Inputs!$B$2:$B$57)</f>
        <v>0</v>
      </c>
      <c r="G51" s="3">
        <f>WIOD.ThreeME_V3!G51 * Pond.Inputs!$B51/SUMPRODUCT(WIOD.ThreeME_V3!G$2:G$57,Pond.Inputs!$B$2:$B$57)</f>
        <v>0</v>
      </c>
      <c r="H51" s="3">
        <f>WIOD.ThreeME_V3!H51 * Pond.Inputs!$B51/SUMPRODUCT(WIOD.ThreeME_V3!H$2:H$57,Pond.Inputs!$B$2:$B$57)</f>
        <v>0</v>
      </c>
      <c r="I51" s="3">
        <f>WIOD.ThreeME_V3!I51 * Pond.Inputs!$B51/SUMPRODUCT(WIOD.ThreeME_V3!I$2:I$57,Pond.Inputs!$B$2:$B$57)</f>
        <v>0</v>
      </c>
      <c r="J51" s="3">
        <f>WIOD.ThreeME_V3!J51 * Pond.Inputs!$B51/SUMPRODUCT(WIOD.ThreeME_V3!J$2:J$57,Pond.Inputs!$B$2:$B$57)</f>
        <v>0</v>
      </c>
      <c r="K51" s="3">
        <f>WIOD.ThreeME_V3!K51 * Pond.Inputs!$B51/SUMPRODUCT(WIOD.ThreeME_V3!K$2:K$57,Pond.Inputs!$B$2:$B$57)</f>
        <v>0</v>
      </c>
      <c r="L51" s="3">
        <f>WIOD.ThreeME_V3!L51 * Pond.Inputs!$B51/SUMPRODUCT(WIOD.ThreeME_V3!L$2:L$57,Pond.Inputs!$B$2:$B$57)</f>
        <v>0</v>
      </c>
      <c r="M51" s="3">
        <f>WIOD.ThreeME_V3!M51 * Pond.Inputs!$B51/SUMPRODUCT(WIOD.ThreeME_V3!M$2:M$57,Pond.Inputs!$B$2:$B$57)</f>
        <v>0</v>
      </c>
      <c r="N51" s="3">
        <f>WIOD.ThreeME_V3!N51 * Pond.Inputs!$B51/SUMPRODUCT(WIOD.ThreeME_V3!N$2:N$57,Pond.Inputs!$B$2:$B$57)</f>
        <v>0</v>
      </c>
      <c r="O51" s="3">
        <f>WIOD.ThreeME_V3!O51 * Pond.Inputs!$B51/SUMPRODUCT(WIOD.ThreeME_V3!O$2:O$57,Pond.Inputs!$B$2:$B$57)</f>
        <v>0</v>
      </c>
      <c r="P51" s="3">
        <f>WIOD.ThreeME_V3!P51 * Pond.Inputs!$B51/SUMPRODUCT(WIOD.ThreeME_V3!P$2:P$57,Pond.Inputs!$B$2:$B$57)</f>
        <v>0</v>
      </c>
      <c r="Q51" s="3">
        <f>WIOD.ThreeME_V3!Q51 * Pond.Inputs!$B51/SUMPRODUCT(WIOD.ThreeME_V3!Q$2:Q$57,Pond.Inputs!$B$2:$B$57)</f>
        <v>0</v>
      </c>
      <c r="R51" s="3">
        <f>WIOD.ThreeME_V3!R51 * Pond.Inputs!$B51/SUMPRODUCT(WIOD.ThreeME_V3!R$2:R$57,Pond.Inputs!$B$2:$B$57)</f>
        <v>0.13248918604746046</v>
      </c>
      <c r="S51" s="3">
        <f>WIOD.ThreeME_V3!S51 * Pond.Inputs!$B51/SUMPRODUCT(WIOD.ThreeME_V3!S$2:S$57,Pond.Inputs!$B$2:$B$57)</f>
        <v>0</v>
      </c>
      <c r="T51" s="3">
        <f>WIOD.ThreeME_V3!T51 * Pond.Inputs!$B51/SUMPRODUCT(WIOD.ThreeME_V3!T$2:T$57,Pond.Inputs!$B$2:$B$57)</f>
        <v>0</v>
      </c>
      <c r="U51" s="3">
        <f>WIOD.ThreeME_V3!U51 * Pond.Inputs!$B51/SUMPRODUCT(WIOD.ThreeME_V3!U$2:U$57,Pond.Inputs!$B$2:$B$57)</f>
        <v>0</v>
      </c>
      <c r="V51" s="3">
        <f>WIOD.ThreeME_V3!V51 * Pond.Inputs!$B51/SUMPRODUCT(WIOD.ThreeME_V3!V$2:V$57,Pond.Inputs!$B$2:$B$57)</f>
        <v>0</v>
      </c>
      <c r="W51" s="3">
        <f>WIOD.ThreeME_V3!W51 * Pond.Inputs!$B51/SUMPRODUCT(WIOD.ThreeME_V3!W$2:W$57,Pond.Inputs!$B$2:$B$57)</f>
        <v>0</v>
      </c>
      <c r="X51" s="3">
        <f>WIOD.ThreeME_V3!X51 * Pond.Inputs!$B51/SUMPRODUCT(WIOD.ThreeME_V3!X$2:X$57,Pond.Inputs!$B$2:$B$57)</f>
        <v>0</v>
      </c>
      <c r="Y51" s="3">
        <f>WIOD.ThreeME_V3!Y51 * Pond.Inputs!$B51/SUMPRODUCT(WIOD.ThreeME_V3!Y$2:Y$57,Pond.Inputs!$B$2:$B$57)</f>
        <v>0</v>
      </c>
      <c r="Z51" s="3">
        <f>WIOD.ThreeME_V3!Z51 * Pond.Inputs!$B51/SUMPRODUCT(WIOD.ThreeME_V3!Z$2:Z$57,Pond.Inputs!$B$2:$B$57)</f>
        <v>0</v>
      </c>
      <c r="AA51" s="3">
        <f>WIOD.ThreeME_V3!AA51 * Pond.Inputs!$B51/SUMPRODUCT(WIOD.ThreeME_V3!AA$2:AA$57,Pond.Inputs!$B$2:$B$57)</f>
        <v>0</v>
      </c>
      <c r="AB51" s="3">
        <f>WIOD.ThreeME_V3!AB51 * Pond.Inputs!$B51/SUMPRODUCT(WIOD.ThreeME_V3!AB$2:AB$57,Pond.Inputs!$B$2:$B$57)</f>
        <v>0</v>
      </c>
      <c r="AC51" s="3">
        <f>WIOD.ThreeME_V3!AC51 * Pond.Inputs!$B51/SUMPRODUCT(WIOD.ThreeME_V3!AC$2:AC$57,Pond.Inputs!$B$2:$B$57)</f>
        <v>0</v>
      </c>
      <c r="AD51" s="3">
        <f>WIOD.ThreeME_V3!AD51 * Pond.Inputs!$B51/SUMPRODUCT(WIOD.ThreeME_V3!AD$2:AD$57,Pond.Inputs!$B$2:$B$57)</f>
        <v>0</v>
      </c>
      <c r="AE51" s="3">
        <f>WIOD.ThreeME_V3!AE51 * Pond.Inputs!$B51/SUMPRODUCT(WIOD.ThreeME_V3!AE$2:AE$57,Pond.Inputs!$B$2:$B$57)</f>
        <v>0</v>
      </c>
      <c r="AF51" s="3">
        <f>WIOD.ThreeME_V3!AF51 * Pond.Inputs!$B51/SUMPRODUCT(WIOD.ThreeME_V3!AF$2:AF$57,Pond.Inputs!$B$2:$B$57)</f>
        <v>0</v>
      </c>
      <c r="AG51" s="3">
        <f>WIOD.ThreeME_V3!AG51 * Pond.Inputs!$B51/SUMPRODUCT(WIOD.ThreeME_V3!AG$2:AG$57,Pond.Inputs!$B$2:$B$57)</f>
        <v>0</v>
      </c>
    </row>
    <row r="52" spans="1:33" x14ac:dyDescent="0.2">
      <c r="A52" s="1" t="s">
        <v>63</v>
      </c>
      <c r="B52" s="3">
        <f>WIOD.ThreeME_V3!B52 * Pond.Inputs!$B52/SUMPRODUCT(WIOD.ThreeME_V3!B$2:B$57,Pond.Inputs!$B$2:$B$57)</f>
        <v>0</v>
      </c>
      <c r="C52" s="3">
        <f>WIOD.ThreeME_V3!C52 * Pond.Inputs!$B52/SUMPRODUCT(WIOD.ThreeME_V3!C$2:C$57,Pond.Inputs!$B$2:$B$57)</f>
        <v>0</v>
      </c>
      <c r="D52" s="3">
        <f>WIOD.ThreeME_V3!D52 * Pond.Inputs!$B52/SUMPRODUCT(WIOD.ThreeME_V3!D$2:D$57,Pond.Inputs!$B$2:$B$57)</f>
        <v>0</v>
      </c>
      <c r="E52" s="3">
        <f>WIOD.ThreeME_V3!E52 * Pond.Inputs!$B52/SUMPRODUCT(WIOD.ThreeME_V3!E$2:E$57,Pond.Inputs!$B$2:$B$57)</f>
        <v>0</v>
      </c>
      <c r="F52" s="3">
        <f>WIOD.ThreeME_V3!F52 * Pond.Inputs!$B52/SUMPRODUCT(WIOD.ThreeME_V3!F$2:F$57,Pond.Inputs!$B$2:$B$57)</f>
        <v>0</v>
      </c>
      <c r="G52" s="3">
        <f>WIOD.ThreeME_V3!G52 * Pond.Inputs!$B52/SUMPRODUCT(WIOD.ThreeME_V3!G$2:G$57,Pond.Inputs!$B$2:$B$57)</f>
        <v>0</v>
      </c>
      <c r="H52" s="3">
        <f>WIOD.ThreeME_V3!H52 * Pond.Inputs!$B52/SUMPRODUCT(WIOD.ThreeME_V3!H$2:H$57,Pond.Inputs!$B$2:$B$57)</f>
        <v>0</v>
      </c>
      <c r="I52" s="3">
        <f>WIOD.ThreeME_V3!I52 * Pond.Inputs!$B52/SUMPRODUCT(WIOD.ThreeME_V3!I$2:I$57,Pond.Inputs!$B$2:$B$57)</f>
        <v>0</v>
      </c>
      <c r="J52" s="3">
        <f>WIOD.ThreeME_V3!J52 * Pond.Inputs!$B52/SUMPRODUCT(WIOD.ThreeME_V3!J$2:J$57,Pond.Inputs!$B$2:$B$57)</f>
        <v>0</v>
      </c>
      <c r="K52" s="3">
        <f>WIOD.ThreeME_V3!K52 * Pond.Inputs!$B52/SUMPRODUCT(WIOD.ThreeME_V3!K$2:K$57,Pond.Inputs!$B$2:$B$57)</f>
        <v>0</v>
      </c>
      <c r="L52" s="3">
        <f>WIOD.ThreeME_V3!L52 * Pond.Inputs!$B52/SUMPRODUCT(WIOD.ThreeME_V3!L$2:L$57,Pond.Inputs!$B$2:$B$57)</f>
        <v>0</v>
      </c>
      <c r="M52" s="3">
        <f>WIOD.ThreeME_V3!M52 * Pond.Inputs!$B52/SUMPRODUCT(WIOD.ThreeME_V3!M$2:M$57,Pond.Inputs!$B$2:$B$57)</f>
        <v>0</v>
      </c>
      <c r="N52" s="3">
        <f>WIOD.ThreeME_V3!N52 * Pond.Inputs!$B52/SUMPRODUCT(WIOD.ThreeME_V3!N$2:N$57,Pond.Inputs!$B$2:$B$57)</f>
        <v>0</v>
      </c>
      <c r="O52" s="3">
        <f>WIOD.ThreeME_V3!O52 * Pond.Inputs!$B52/SUMPRODUCT(WIOD.ThreeME_V3!O$2:O$57,Pond.Inputs!$B$2:$B$57)</f>
        <v>0</v>
      </c>
      <c r="P52" s="3">
        <f>WIOD.ThreeME_V3!P52 * Pond.Inputs!$B52/SUMPRODUCT(WIOD.ThreeME_V3!P$2:P$57,Pond.Inputs!$B$2:$B$57)</f>
        <v>0</v>
      </c>
      <c r="Q52" s="3">
        <f>WIOD.ThreeME_V3!Q52 * Pond.Inputs!$B52/SUMPRODUCT(WIOD.ThreeME_V3!Q$2:Q$57,Pond.Inputs!$B$2:$B$57)</f>
        <v>0</v>
      </c>
      <c r="R52" s="3">
        <f>WIOD.ThreeME_V3!R52 * Pond.Inputs!$B52/SUMPRODUCT(WIOD.ThreeME_V3!R$2:R$57,Pond.Inputs!$B$2:$B$57)</f>
        <v>0</v>
      </c>
      <c r="S52" s="3">
        <f>WIOD.ThreeME_V3!S52 * Pond.Inputs!$B52/SUMPRODUCT(WIOD.ThreeME_V3!S$2:S$57,Pond.Inputs!$B$2:$B$57)</f>
        <v>0.30861704517970129</v>
      </c>
      <c r="T52" s="3">
        <f>WIOD.ThreeME_V3!T52 * Pond.Inputs!$B52/SUMPRODUCT(WIOD.ThreeME_V3!T$2:T$57,Pond.Inputs!$B$2:$B$57)</f>
        <v>0</v>
      </c>
      <c r="U52" s="3">
        <f>WIOD.ThreeME_V3!U52 * Pond.Inputs!$B52/SUMPRODUCT(WIOD.ThreeME_V3!U$2:U$57,Pond.Inputs!$B$2:$B$57)</f>
        <v>0</v>
      </c>
      <c r="V52" s="3">
        <f>WIOD.ThreeME_V3!V52 * Pond.Inputs!$B52/SUMPRODUCT(WIOD.ThreeME_V3!V$2:V$57,Pond.Inputs!$B$2:$B$57)</f>
        <v>0</v>
      </c>
      <c r="W52" s="3">
        <f>WIOD.ThreeME_V3!W52 * Pond.Inputs!$B52/SUMPRODUCT(WIOD.ThreeME_V3!W$2:W$57,Pond.Inputs!$B$2:$B$57)</f>
        <v>0</v>
      </c>
      <c r="X52" s="3">
        <f>WIOD.ThreeME_V3!X52 * Pond.Inputs!$B52/SUMPRODUCT(WIOD.ThreeME_V3!X$2:X$57,Pond.Inputs!$B$2:$B$57)</f>
        <v>0</v>
      </c>
      <c r="Y52" s="3">
        <f>WIOD.ThreeME_V3!Y52 * Pond.Inputs!$B52/SUMPRODUCT(WIOD.ThreeME_V3!Y$2:Y$57,Pond.Inputs!$B$2:$B$57)</f>
        <v>0</v>
      </c>
      <c r="Z52" s="3">
        <f>WIOD.ThreeME_V3!Z52 * Pond.Inputs!$B52/SUMPRODUCT(WIOD.ThreeME_V3!Z$2:Z$57,Pond.Inputs!$B$2:$B$57)</f>
        <v>0</v>
      </c>
      <c r="AA52" s="3">
        <f>WIOD.ThreeME_V3!AA52 * Pond.Inputs!$B52/SUMPRODUCT(WIOD.ThreeME_V3!AA$2:AA$57,Pond.Inputs!$B$2:$B$57)</f>
        <v>0</v>
      </c>
      <c r="AB52" s="3">
        <f>WIOD.ThreeME_V3!AB52 * Pond.Inputs!$B52/SUMPRODUCT(WIOD.ThreeME_V3!AB$2:AB$57,Pond.Inputs!$B$2:$B$57)</f>
        <v>0</v>
      </c>
      <c r="AC52" s="3">
        <f>WIOD.ThreeME_V3!AC52 * Pond.Inputs!$B52/SUMPRODUCT(WIOD.ThreeME_V3!AC$2:AC$57,Pond.Inputs!$B$2:$B$57)</f>
        <v>0</v>
      </c>
      <c r="AD52" s="3">
        <f>WIOD.ThreeME_V3!AD52 * Pond.Inputs!$B52/SUMPRODUCT(WIOD.ThreeME_V3!AD$2:AD$57,Pond.Inputs!$B$2:$B$57)</f>
        <v>0</v>
      </c>
      <c r="AE52" s="3">
        <f>WIOD.ThreeME_V3!AE52 * Pond.Inputs!$B52/SUMPRODUCT(WIOD.ThreeME_V3!AE$2:AE$57,Pond.Inputs!$B$2:$B$57)</f>
        <v>0</v>
      </c>
      <c r="AF52" s="3">
        <f>WIOD.ThreeME_V3!AF52 * Pond.Inputs!$B52/SUMPRODUCT(WIOD.ThreeME_V3!AF$2:AF$57,Pond.Inputs!$B$2:$B$57)</f>
        <v>0</v>
      </c>
      <c r="AG52" s="3">
        <f>WIOD.ThreeME_V3!AG52 * Pond.Inputs!$B52/SUMPRODUCT(WIOD.ThreeME_V3!AG$2:AG$57,Pond.Inputs!$B$2:$B$57)</f>
        <v>0</v>
      </c>
    </row>
    <row r="53" spans="1:33" x14ac:dyDescent="0.2">
      <c r="A53" s="1" t="s">
        <v>64</v>
      </c>
      <c r="B53" s="3">
        <f>WIOD.ThreeME_V3!B53 * Pond.Inputs!$B53/SUMPRODUCT(WIOD.ThreeME_V3!B$2:B$57,Pond.Inputs!$B$2:$B$57)</f>
        <v>0</v>
      </c>
      <c r="C53" s="3">
        <f>WIOD.ThreeME_V3!C53 * Pond.Inputs!$B53/SUMPRODUCT(WIOD.ThreeME_V3!C$2:C$57,Pond.Inputs!$B$2:$B$57)</f>
        <v>0</v>
      </c>
      <c r="D53" s="3">
        <f>WIOD.ThreeME_V3!D53 * Pond.Inputs!$B53/SUMPRODUCT(WIOD.ThreeME_V3!D$2:D$57,Pond.Inputs!$B$2:$B$57)</f>
        <v>0</v>
      </c>
      <c r="E53" s="3">
        <f>WIOD.ThreeME_V3!E53 * Pond.Inputs!$B53/SUMPRODUCT(WIOD.ThreeME_V3!E$2:E$57,Pond.Inputs!$B$2:$B$57)</f>
        <v>0</v>
      </c>
      <c r="F53" s="3">
        <f>WIOD.ThreeME_V3!F53 * Pond.Inputs!$B53/SUMPRODUCT(WIOD.ThreeME_V3!F$2:F$57,Pond.Inputs!$B$2:$B$57)</f>
        <v>0</v>
      </c>
      <c r="G53" s="3">
        <f>WIOD.ThreeME_V3!G53 * Pond.Inputs!$B53/SUMPRODUCT(WIOD.ThreeME_V3!G$2:G$57,Pond.Inputs!$B$2:$B$57)</f>
        <v>0</v>
      </c>
      <c r="H53" s="3">
        <f>WIOD.ThreeME_V3!H53 * Pond.Inputs!$B53/SUMPRODUCT(WIOD.ThreeME_V3!H$2:H$57,Pond.Inputs!$B$2:$B$57)</f>
        <v>0</v>
      </c>
      <c r="I53" s="3">
        <f>WIOD.ThreeME_V3!I53 * Pond.Inputs!$B53/SUMPRODUCT(WIOD.ThreeME_V3!I$2:I$57,Pond.Inputs!$B$2:$B$57)</f>
        <v>0</v>
      </c>
      <c r="J53" s="3">
        <f>WIOD.ThreeME_V3!J53 * Pond.Inputs!$B53/SUMPRODUCT(WIOD.ThreeME_V3!J$2:J$57,Pond.Inputs!$B$2:$B$57)</f>
        <v>0</v>
      </c>
      <c r="K53" s="3">
        <f>WIOD.ThreeME_V3!K53 * Pond.Inputs!$B53/SUMPRODUCT(WIOD.ThreeME_V3!K$2:K$57,Pond.Inputs!$B$2:$B$57)</f>
        <v>0</v>
      </c>
      <c r="L53" s="3">
        <f>WIOD.ThreeME_V3!L53 * Pond.Inputs!$B53/SUMPRODUCT(WIOD.ThreeME_V3!L$2:L$57,Pond.Inputs!$B$2:$B$57)</f>
        <v>0</v>
      </c>
      <c r="M53" s="3">
        <f>WIOD.ThreeME_V3!M53 * Pond.Inputs!$B53/SUMPRODUCT(WIOD.ThreeME_V3!M$2:M$57,Pond.Inputs!$B$2:$B$57)</f>
        <v>0</v>
      </c>
      <c r="N53" s="3">
        <f>WIOD.ThreeME_V3!N53 * Pond.Inputs!$B53/SUMPRODUCT(WIOD.ThreeME_V3!N$2:N$57,Pond.Inputs!$B$2:$B$57)</f>
        <v>0</v>
      </c>
      <c r="O53" s="3">
        <f>WIOD.ThreeME_V3!O53 * Pond.Inputs!$B53/SUMPRODUCT(WIOD.ThreeME_V3!O$2:O$57,Pond.Inputs!$B$2:$B$57)</f>
        <v>0</v>
      </c>
      <c r="P53" s="3">
        <f>WIOD.ThreeME_V3!P53 * Pond.Inputs!$B53/SUMPRODUCT(WIOD.ThreeME_V3!P$2:P$57,Pond.Inputs!$B$2:$B$57)</f>
        <v>0</v>
      </c>
      <c r="Q53" s="3">
        <f>WIOD.ThreeME_V3!Q53 * Pond.Inputs!$B53/SUMPRODUCT(WIOD.ThreeME_V3!Q$2:Q$57,Pond.Inputs!$B$2:$B$57)</f>
        <v>0</v>
      </c>
      <c r="R53" s="3">
        <f>WIOD.ThreeME_V3!R53 * Pond.Inputs!$B53/SUMPRODUCT(WIOD.ThreeME_V3!R$2:R$57,Pond.Inputs!$B$2:$B$57)</f>
        <v>0</v>
      </c>
      <c r="S53" s="3">
        <f>WIOD.ThreeME_V3!S53 * Pond.Inputs!$B53/SUMPRODUCT(WIOD.ThreeME_V3!S$2:S$57,Pond.Inputs!$B$2:$B$57)</f>
        <v>0.18159752584283492</v>
      </c>
      <c r="T53" s="3">
        <f>WIOD.ThreeME_V3!T53 * Pond.Inputs!$B53/SUMPRODUCT(WIOD.ThreeME_V3!T$2:T$57,Pond.Inputs!$B$2:$B$57)</f>
        <v>0</v>
      </c>
      <c r="U53" s="3">
        <f>WIOD.ThreeME_V3!U53 * Pond.Inputs!$B53/SUMPRODUCT(WIOD.ThreeME_V3!U$2:U$57,Pond.Inputs!$B$2:$B$57)</f>
        <v>0</v>
      </c>
      <c r="V53" s="3">
        <f>WIOD.ThreeME_V3!V53 * Pond.Inputs!$B53/SUMPRODUCT(WIOD.ThreeME_V3!V$2:V$57,Pond.Inputs!$B$2:$B$57)</f>
        <v>0</v>
      </c>
      <c r="W53" s="3">
        <f>WIOD.ThreeME_V3!W53 * Pond.Inputs!$B53/SUMPRODUCT(WIOD.ThreeME_V3!W$2:W$57,Pond.Inputs!$B$2:$B$57)</f>
        <v>0</v>
      </c>
      <c r="X53" s="3">
        <f>WIOD.ThreeME_V3!X53 * Pond.Inputs!$B53/SUMPRODUCT(WIOD.ThreeME_V3!X$2:X$57,Pond.Inputs!$B$2:$B$57)</f>
        <v>0</v>
      </c>
      <c r="Y53" s="3">
        <f>WIOD.ThreeME_V3!Y53 * Pond.Inputs!$B53/SUMPRODUCT(WIOD.ThreeME_V3!Y$2:Y$57,Pond.Inputs!$B$2:$B$57)</f>
        <v>0</v>
      </c>
      <c r="Z53" s="3">
        <f>WIOD.ThreeME_V3!Z53 * Pond.Inputs!$B53/SUMPRODUCT(WIOD.ThreeME_V3!Z$2:Z$57,Pond.Inputs!$B$2:$B$57)</f>
        <v>0</v>
      </c>
      <c r="AA53" s="3">
        <f>WIOD.ThreeME_V3!AA53 * Pond.Inputs!$B53/SUMPRODUCT(WIOD.ThreeME_V3!AA$2:AA$57,Pond.Inputs!$B$2:$B$57)</f>
        <v>0</v>
      </c>
      <c r="AB53" s="3">
        <f>WIOD.ThreeME_V3!AB53 * Pond.Inputs!$B53/SUMPRODUCT(WIOD.ThreeME_V3!AB$2:AB$57,Pond.Inputs!$B$2:$B$57)</f>
        <v>0</v>
      </c>
      <c r="AC53" s="3">
        <f>WIOD.ThreeME_V3!AC53 * Pond.Inputs!$B53/SUMPRODUCT(WIOD.ThreeME_V3!AC$2:AC$57,Pond.Inputs!$B$2:$B$57)</f>
        <v>0</v>
      </c>
      <c r="AD53" s="3">
        <f>WIOD.ThreeME_V3!AD53 * Pond.Inputs!$B53/SUMPRODUCT(WIOD.ThreeME_V3!AD$2:AD$57,Pond.Inputs!$B$2:$B$57)</f>
        <v>0</v>
      </c>
      <c r="AE53" s="3">
        <f>WIOD.ThreeME_V3!AE53 * Pond.Inputs!$B53/SUMPRODUCT(WIOD.ThreeME_V3!AE$2:AE$57,Pond.Inputs!$B$2:$B$57)</f>
        <v>0</v>
      </c>
      <c r="AF53" s="3">
        <f>WIOD.ThreeME_V3!AF53 * Pond.Inputs!$B53/SUMPRODUCT(WIOD.ThreeME_V3!AF$2:AF$57,Pond.Inputs!$B$2:$B$57)</f>
        <v>0</v>
      </c>
      <c r="AG53" s="3">
        <f>WIOD.ThreeME_V3!AG53 * Pond.Inputs!$B53/SUMPRODUCT(WIOD.ThreeME_V3!AG$2:AG$57,Pond.Inputs!$B$2:$B$57)</f>
        <v>0</v>
      </c>
    </row>
    <row r="54" spans="1:33" x14ac:dyDescent="0.2">
      <c r="A54" s="1" t="s">
        <v>65</v>
      </c>
      <c r="B54" s="3">
        <f>WIOD.ThreeME_V3!B54 * Pond.Inputs!$B54/SUMPRODUCT(WIOD.ThreeME_V3!B$2:B$57,Pond.Inputs!$B$2:$B$57)</f>
        <v>0</v>
      </c>
      <c r="C54" s="3">
        <f>WIOD.ThreeME_V3!C54 * Pond.Inputs!$B54/SUMPRODUCT(WIOD.ThreeME_V3!C$2:C$57,Pond.Inputs!$B$2:$B$57)</f>
        <v>0</v>
      </c>
      <c r="D54" s="3">
        <f>WIOD.ThreeME_V3!D54 * Pond.Inputs!$B54/SUMPRODUCT(WIOD.ThreeME_V3!D$2:D$57,Pond.Inputs!$B$2:$B$57)</f>
        <v>0</v>
      </c>
      <c r="E54" s="3">
        <f>WIOD.ThreeME_V3!E54 * Pond.Inputs!$B54/SUMPRODUCT(WIOD.ThreeME_V3!E$2:E$57,Pond.Inputs!$B$2:$B$57)</f>
        <v>0</v>
      </c>
      <c r="F54" s="3">
        <f>WIOD.ThreeME_V3!F54 * Pond.Inputs!$B54/SUMPRODUCT(WIOD.ThreeME_V3!F$2:F$57,Pond.Inputs!$B$2:$B$57)</f>
        <v>0</v>
      </c>
      <c r="G54" s="3">
        <f>WIOD.ThreeME_V3!G54 * Pond.Inputs!$B54/SUMPRODUCT(WIOD.ThreeME_V3!G$2:G$57,Pond.Inputs!$B$2:$B$57)</f>
        <v>0</v>
      </c>
      <c r="H54" s="3">
        <f>WIOD.ThreeME_V3!H54 * Pond.Inputs!$B54/SUMPRODUCT(WIOD.ThreeME_V3!H$2:H$57,Pond.Inputs!$B$2:$B$57)</f>
        <v>0</v>
      </c>
      <c r="I54" s="3">
        <f>WIOD.ThreeME_V3!I54 * Pond.Inputs!$B54/SUMPRODUCT(WIOD.ThreeME_V3!I$2:I$57,Pond.Inputs!$B$2:$B$57)</f>
        <v>0</v>
      </c>
      <c r="J54" s="3">
        <f>WIOD.ThreeME_V3!J54 * Pond.Inputs!$B54/SUMPRODUCT(WIOD.ThreeME_V3!J$2:J$57,Pond.Inputs!$B$2:$B$57)</f>
        <v>0</v>
      </c>
      <c r="K54" s="3">
        <f>WIOD.ThreeME_V3!K54 * Pond.Inputs!$B54/SUMPRODUCT(WIOD.ThreeME_V3!K$2:K$57,Pond.Inputs!$B$2:$B$57)</f>
        <v>0</v>
      </c>
      <c r="L54" s="3">
        <f>WIOD.ThreeME_V3!L54 * Pond.Inputs!$B54/SUMPRODUCT(WIOD.ThreeME_V3!L$2:L$57,Pond.Inputs!$B$2:$B$57)</f>
        <v>0</v>
      </c>
      <c r="M54" s="3">
        <f>WIOD.ThreeME_V3!M54 * Pond.Inputs!$B54/SUMPRODUCT(WIOD.ThreeME_V3!M$2:M$57,Pond.Inputs!$B$2:$B$57)</f>
        <v>0</v>
      </c>
      <c r="N54" s="3">
        <f>WIOD.ThreeME_V3!N54 * Pond.Inputs!$B54/SUMPRODUCT(WIOD.ThreeME_V3!N$2:N$57,Pond.Inputs!$B$2:$B$57)</f>
        <v>0</v>
      </c>
      <c r="O54" s="3">
        <f>WIOD.ThreeME_V3!O54 * Pond.Inputs!$B54/SUMPRODUCT(WIOD.ThreeME_V3!O$2:O$57,Pond.Inputs!$B$2:$B$57)</f>
        <v>0</v>
      </c>
      <c r="P54" s="3">
        <f>WIOD.ThreeME_V3!P54 * Pond.Inputs!$B54/SUMPRODUCT(WIOD.ThreeME_V3!P$2:P$57,Pond.Inputs!$B$2:$B$57)</f>
        <v>0</v>
      </c>
      <c r="Q54" s="3">
        <f>WIOD.ThreeME_V3!Q54 * Pond.Inputs!$B54/SUMPRODUCT(WIOD.ThreeME_V3!Q$2:Q$57,Pond.Inputs!$B$2:$B$57)</f>
        <v>0</v>
      </c>
      <c r="R54" s="3">
        <f>WIOD.ThreeME_V3!R54 * Pond.Inputs!$B54/SUMPRODUCT(WIOD.ThreeME_V3!R$2:R$57,Pond.Inputs!$B$2:$B$57)</f>
        <v>0</v>
      </c>
      <c r="S54" s="3">
        <f>WIOD.ThreeME_V3!S54 * Pond.Inputs!$B54/SUMPRODUCT(WIOD.ThreeME_V3!S$2:S$57,Pond.Inputs!$B$2:$B$57)</f>
        <v>0.3340727563639278</v>
      </c>
      <c r="T54" s="3">
        <f>WIOD.ThreeME_V3!T54 * Pond.Inputs!$B54/SUMPRODUCT(WIOD.ThreeME_V3!T$2:T$57,Pond.Inputs!$B$2:$B$57)</f>
        <v>0</v>
      </c>
      <c r="U54" s="3">
        <f>WIOD.ThreeME_V3!U54 * Pond.Inputs!$B54/SUMPRODUCT(WIOD.ThreeME_V3!U$2:U$57,Pond.Inputs!$B$2:$B$57)</f>
        <v>0</v>
      </c>
      <c r="V54" s="3">
        <f>WIOD.ThreeME_V3!V54 * Pond.Inputs!$B54/SUMPRODUCT(WIOD.ThreeME_V3!V$2:V$57,Pond.Inputs!$B$2:$B$57)</f>
        <v>0</v>
      </c>
      <c r="W54" s="3">
        <f>WIOD.ThreeME_V3!W54 * Pond.Inputs!$B54/SUMPRODUCT(WIOD.ThreeME_V3!W$2:W$57,Pond.Inputs!$B$2:$B$57)</f>
        <v>0</v>
      </c>
      <c r="X54" s="3">
        <f>WIOD.ThreeME_V3!X54 * Pond.Inputs!$B54/SUMPRODUCT(WIOD.ThreeME_V3!X$2:X$57,Pond.Inputs!$B$2:$B$57)</f>
        <v>0</v>
      </c>
      <c r="Y54" s="3">
        <f>WIOD.ThreeME_V3!Y54 * Pond.Inputs!$B54/SUMPRODUCT(WIOD.ThreeME_V3!Y$2:Y$57,Pond.Inputs!$B$2:$B$57)</f>
        <v>0</v>
      </c>
      <c r="Z54" s="3">
        <f>WIOD.ThreeME_V3!Z54 * Pond.Inputs!$B54/SUMPRODUCT(WIOD.ThreeME_V3!Z$2:Z$57,Pond.Inputs!$B$2:$B$57)</f>
        <v>0</v>
      </c>
      <c r="AA54" s="3">
        <f>WIOD.ThreeME_V3!AA54 * Pond.Inputs!$B54/SUMPRODUCT(WIOD.ThreeME_V3!AA$2:AA$57,Pond.Inputs!$B$2:$B$57)</f>
        <v>0</v>
      </c>
      <c r="AB54" s="3">
        <f>WIOD.ThreeME_V3!AB54 * Pond.Inputs!$B54/SUMPRODUCT(WIOD.ThreeME_V3!AB$2:AB$57,Pond.Inputs!$B$2:$B$57)</f>
        <v>0</v>
      </c>
      <c r="AC54" s="3">
        <f>WIOD.ThreeME_V3!AC54 * Pond.Inputs!$B54/SUMPRODUCT(WIOD.ThreeME_V3!AC$2:AC$57,Pond.Inputs!$B$2:$B$57)</f>
        <v>0</v>
      </c>
      <c r="AD54" s="3">
        <f>WIOD.ThreeME_V3!AD54 * Pond.Inputs!$B54/SUMPRODUCT(WIOD.ThreeME_V3!AD$2:AD$57,Pond.Inputs!$B$2:$B$57)</f>
        <v>0</v>
      </c>
      <c r="AE54" s="3">
        <f>WIOD.ThreeME_V3!AE54 * Pond.Inputs!$B54/SUMPRODUCT(WIOD.ThreeME_V3!AE$2:AE$57,Pond.Inputs!$B$2:$B$57)</f>
        <v>0</v>
      </c>
      <c r="AF54" s="3">
        <f>WIOD.ThreeME_V3!AF54 * Pond.Inputs!$B54/SUMPRODUCT(WIOD.ThreeME_V3!AF$2:AF$57,Pond.Inputs!$B$2:$B$57)</f>
        <v>0</v>
      </c>
      <c r="AG54" s="3">
        <f>WIOD.ThreeME_V3!AG54 * Pond.Inputs!$B54/SUMPRODUCT(WIOD.ThreeME_V3!AG$2:AG$57,Pond.Inputs!$B$2:$B$57)</f>
        <v>0</v>
      </c>
    </row>
    <row r="55" spans="1:33" x14ac:dyDescent="0.2">
      <c r="A55" s="1" t="s">
        <v>66</v>
      </c>
      <c r="B55" s="3">
        <f>WIOD.ThreeME_V3!B55 * Pond.Inputs!$B55/SUMPRODUCT(WIOD.ThreeME_V3!B$2:B$57,Pond.Inputs!$B$2:$B$57)</f>
        <v>0</v>
      </c>
      <c r="C55" s="3">
        <f>WIOD.ThreeME_V3!C55 * Pond.Inputs!$B55/SUMPRODUCT(WIOD.ThreeME_V3!C$2:C$57,Pond.Inputs!$B$2:$B$57)</f>
        <v>0</v>
      </c>
      <c r="D55" s="3">
        <f>WIOD.ThreeME_V3!D55 * Pond.Inputs!$B55/SUMPRODUCT(WIOD.ThreeME_V3!D$2:D$57,Pond.Inputs!$B$2:$B$57)</f>
        <v>0</v>
      </c>
      <c r="E55" s="3">
        <f>WIOD.ThreeME_V3!E55 * Pond.Inputs!$B55/SUMPRODUCT(WIOD.ThreeME_V3!E$2:E$57,Pond.Inputs!$B$2:$B$57)</f>
        <v>0</v>
      </c>
      <c r="F55" s="3">
        <f>WIOD.ThreeME_V3!F55 * Pond.Inputs!$B55/SUMPRODUCT(WIOD.ThreeME_V3!F$2:F$57,Pond.Inputs!$B$2:$B$57)</f>
        <v>0</v>
      </c>
      <c r="G55" s="3">
        <f>WIOD.ThreeME_V3!G55 * Pond.Inputs!$B55/SUMPRODUCT(WIOD.ThreeME_V3!G$2:G$57,Pond.Inputs!$B$2:$B$57)</f>
        <v>0</v>
      </c>
      <c r="H55" s="3">
        <f>WIOD.ThreeME_V3!H55 * Pond.Inputs!$B55/SUMPRODUCT(WIOD.ThreeME_V3!H$2:H$57,Pond.Inputs!$B$2:$B$57)</f>
        <v>0</v>
      </c>
      <c r="I55" s="3">
        <f>WIOD.ThreeME_V3!I55 * Pond.Inputs!$B55/SUMPRODUCT(WIOD.ThreeME_V3!I$2:I$57,Pond.Inputs!$B$2:$B$57)</f>
        <v>0</v>
      </c>
      <c r="J55" s="3">
        <f>WIOD.ThreeME_V3!J55 * Pond.Inputs!$B55/SUMPRODUCT(WIOD.ThreeME_V3!J$2:J$57,Pond.Inputs!$B$2:$B$57)</f>
        <v>0</v>
      </c>
      <c r="K55" s="3">
        <f>WIOD.ThreeME_V3!K55 * Pond.Inputs!$B55/SUMPRODUCT(WIOD.ThreeME_V3!K$2:K$57,Pond.Inputs!$B$2:$B$57)</f>
        <v>0</v>
      </c>
      <c r="L55" s="3">
        <f>WIOD.ThreeME_V3!L55 * Pond.Inputs!$B55/SUMPRODUCT(WIOD.ThreeME_V3!L$2:L$57,Pond.Inputs!$B$2:$B$57)</f>
        <v>0</v>
      </c>
      <c r="M55" s="3">
        <f>WIOD.ThreeME_V3!M55 * Pond.Inputs!$B55/SUMPRODUCT(WIOD.ThreeME_V3!M$2:M$57,Pond.Inputs!$B$2:$B$57)</f>
        <v>0</v>
      </c>
      <c r="N55" s="3">
        <f>WIOD.ThreeME_V3!N55 * Pond.Inputs!$B55/SUMPRODUCT(WIOD.ThreeME_V3!N$2:N$57,Pond.Inputs!$B$2:$B$57)</f>
        <v>0</v>
      </c>
      <c r="O55" s="3">
        <f>WIOD.ThreeME_V3!O55 * Pond.Inputs!$B55/SUMPRODUCT(WIOD.ThreeME_V3!O$2:O$57,Pond.Inputs!$B$2:$B$57)</f>
        <v>0</v>
      </c>
      <c r="P55" s="3">
        <f>WIOD.ThreeME_V3!P55 * Pond.Inputs!$B55/SUMPRODUCT(WIOD.ThreeME_V3!P$2:P$57,Pond.Inputs!$B$2:$B$57)</f>
        <v>0</v>
      </c>
      <c r="Q55" s="3">
        <f>WIOD.ThreeME_V3!Q55 * Pond.Inputs!$B55/SUMPRODUCT(WIOD.ThreeME_V3!Q$2:Q$57,Pond.Inputs!$B$2:$B$57)</f>
        <v>0</v>
      </c>
      <c r="R55" s="3">
        <f>WIOD.ThreeME_V3!R55 * Pond.Inputs!$B55/SUMPRODUCT(WIOD.ThreeME_V3!R$2:R$57,Pond.Inputs!$B$2:$B$57)</f>
        <v>0</v>
      </c>
      <c r="S55" s="3">
        <f>WIOD.ThreeME_V3!S55 * Pond.Inputs!$B55/SUMPRODUCT(WIOD.ThreeME_V3!S$2:S$57,Pond.Inputs!$B$2:$B$57)</f>
        <v>0.13052295336053457</v>
      </c>
      <c r="T55" s="3">
        <f>WIOD.ThreeME_V3!T55 * Pond.Inputs!$B55/SUMPRODUCT(WIOD.ThreeME_V3!T$2:T$57,Pond.Inputs!$B$2:$B$57)</f>
        <v>0</v>
      </c>
      <c r="U55" s="3">
        <f>WIOD.ThreeME_V3!U55 * Pond.Inputs!$B55/SUMPRODUCT(WIOD.ThreeME_V3!U$2:U$57,Pond.Inputs!$B$2:$B$57)</f>
        <v>0</v>
      </c>
      <c r="V55" s="3">
        <f>WIOD.ThreeME_V3!V55 * Pond.Inputs!$B55/SUMPRODUCT(WIOD.ThreeME_V3!V$2:V$57,Pond.Inputs!$B$2:$B$57)</f>
        <v>0</v>
      </c>
      <c r="W55" s="3">
        <f>WIOD.ThreeME_V3!W55 * Pond.Inputs!$B55/SUMPRODUCT(WIOD.ThreeME_V3!W$2:W$57,Pond.Inputs!$B$2:$B$57)</f>
        <v>0</v>
      </c>
      <c r="X55" s="3">
        <f>WIOD.ThreeME_V3!X55 * Pond.Inputs!$B55/SUMPRODUCT(WIOD.ThreeME_V3!X$2:X$57,Pond.Inputs!$B$2:$B$57)</f>
        <v>0</v>
      </c>
      <c r="Y55" s="3">
        <f>WIOD.ThreeME_V3!Y55 * Pond.Inputs!$B55/SUMPRODUCT(WIOD.ThreeME_V3!Y$2:Y$57,Pond.Inputs!$B$2:$B$57)</f>
        <v>0</v>
      </c>
      <c r="Z55" s="3">
        <f>WIOD.ThreeME_V3!Z55 * Pond.Inputs!$B55/SUMPRODUCT(WIOD.ThreeME_V3!Z$2:Z$57,Pond.Inputs!$B$2:$B$57)</f>
        <v>0</v>
      </c>
      <c r="AA55" s="3">
        <f>WIOD.ThreeME_V3!AA55 * Pond.Inputs!$B55/SUMPRODUCT(WIOD.ThreeME_V3!AA$2:AA$57,Pond.Inputs!$B$2:$B$57)</f>
        <v>0</v>
      </c>
      <c r="AB55" s="3">
        <f>WIOD.ThreeME_V3!AB55 * Pond.Inputs!$B55/SUMPRODUCT(WIOD.ThreeME_V3!AB$2:AB$57,Pond.Inputs!$B$2:$B$57)</f>
        <v>0</v>
      </c>
      <c r="AC55" s="3">
        <f>WIOD.ThreeME_V3!AC55 * Pond.Inputs!$B55/SUMPRODUCT(WIOD.ThreeME_V3!AC$2:AC$57,Pond.Inputs!$B$2:$B$57)</f>
        <v>0</v>
      </c>
      <c r="AD55" s="3">
        <f>WIOD.ThreeME_V3!AD55 * Pond.Inputs!$B55/SUMPRODUCT(WIOD.ThreeME_V3!AD$2:AD$57,Pond.Inputs!$B$2:$B$57)</f>
        <v>0</v>
      </c>
      <c r="AE55" s="3">
        <f>WIOD.ThreeME_V3!AE55 * Pond.Inputs!$B55/SUMPRODUCT(WIOD.ThreeME_V3!AE$2:AE$57,Pond.Inputs!$B$2:$B$57)</f>
        <v>0</v>
      </c>
      <c r="AF55" s="3">
        <f>WIOD.ThreeME_V3!AF55 * Pond.Inputs!$B55/SUMPRODUCT(WIOD.ThreeME_V3!AF$2:AF$57,Pond.Inputs!$B$2:$B$57)</f>
        <v>0</v>
      </c>
      <c r="AG55" s="3">
        <f>WIOD.ThreeME_V3!AG55 * Pond.Inputs!$B55/SUMPRODUCT(WIOD.ThreeME_V3!AG$2:AG$57,Pond.Inputs!$B$2:$B$57)</f>
        <v>0</v>
      </c>
    </row>
    <row r="56" spans="1:33" x14ac:dyDescent="0.2">
      <c r="A56" s="1" t="s">
        <v>67</v>
      </c>
      <c r="B56" s="3">
        <f>WIOD.ThreeME_V3!B56 * Pond.Inputs!$B56/SUMPRODUCT(WIOD.ThreeME_V3!B$2:B$57,Pond.Inputs!$B$2:$B$57)</f>
        <v>0</v>
      </c>
      <c r="C56" s="3">
        <f>WIOD.ThreeME_V3!C56 * Pond.Inputs!$B56/SUMPRODUCT(WIOD.ThreeME_V3!C$2:C$57,Pond.Inputs!$B$2:$B$57)</f>
        <v>0</v>
      </c>
      <c r="D56" s="3">
        <f>WIOD.ThreeME_V3!D56 * Pond.Inputs!$B56/SUMPRODUCT(WIOD.ThreeME_V3!D$2:D$57,Pond.Inputs!$B$2:$B$57)</f>
        <v>0</v>
      </c>
      <c r="E56" s="3">
        <f>WIOD.ThreeME_V3!E56 * Pond.Inputs!$B56/SUMPRODUCT(WIOD.ThreeME_V3!E$2:E$57,Pond.Inputs!$B$2:$B$57)</f>
        <v>0</v>
      </c>
      <c r="F56" s="3">
        <f>WIOD.ThreeME_V3!F56 * Pond.Inputs!$B56/SUMPRODUCT(WIOD.ThreeME_V3!F$2:F$57,Pond.Inputs!$B$2:$B$57)</f>
        <v>0</v>
      </c>
      <c r="G56" s="3">
        <f>WIOD.ThreeME_V3!G56 * Pond.Inputs!$B56/SUMPRODUCT(WIOD.ThreeME_V3!G$2:G$57,Pond.Inputs!$B$2:$B$57)</f>
        <v>0</v>
      </c>
      <c r="H56" s="3">
        <f>WIOD.ThreeME_V3!H56 * Pond.Inputs!$B56/SUMPRODUCT(WIOD.ThreeME_V3!H$2:H$57,Pond.Inputs!$B$2:$B$57)</f>
        <v>0</v>
      </c>
      <c r="I56" s="3">
        <f>WIOD.ThreeME_V3!I56 * Pond.Inputs!$B56/SUMPRODUCT(WIOD.ThreeME_V3!I$2:I$57,Pond.Inputs!$B$2:$B$57)</f>
        <v>0</v>
      </c>
      <c r="J56" s="3">
        <f>WIOD.ThreeME_V3!J56 * Pond.Inputs!$B56/SUMPRODUCT(WIOD.ThreeME_V3!J$2:J$57,Pond.Inputs!$B$2:$B$57)</f>
        <v>0</v>
      </c>
      <c r="K56" s="3">
        <f>WIOD.ThreeME_V3!K56 * Pond.Inputs!$B56/SUMPRODUCT(WIOD.ThreeME_V3!K$2:K$57,Pond.Inputs!$B$2:$B$57)</f>
        <v>0</v>
      </c>
      <c r="L56" s="3">
        <f>WIOD.ThreeME_V3!L56 * Pond.Inputs!$B56/SUMPRODUCT(WIOD.ThreeME_V3!L$2:L$57,Pond.Inputs!$B$2:$B$57)</f>
        <v>0</v>
      </c>
      <c r="M56" s="3">
        <f>WIOD.ThreeME_V3!M56 * Pond.Inputs!$B56/SUMPRODUCT(WIOD.ThreeME_V3!M$2:M$57,Pond.Inputs!$B$2:$B$57)</f>
        <v>0</v>
      </c>
      <c r="N56" s="3">
        <f>WIOD.ThreeME_V3!N56 * Pond.Inputs!$B56/SUMPRODUCT(WIOD.ThreeME_V3!N$2:N$57,Pond.Inputs!$B$2:$B$57)</f>
        <v>0</v>
      </c>
      <c r="O56" s="3">
        <f>WIOD.ThreeME_V3!O56 * Pond.Inputs!$B56/SUMPRODUCT(WIOD.ThreeME_V3!O$2:O$57,Pond.Inputs!$B$2:$B$57)</f>
        <v>0</v>
      </c>
      <c r="P56" s="3">
        <f>WIOD.ThreeME_V3!P56 * Pond.Inputs!$B56/SUMPRODUCT(WIOD.ThreeME_V3!P$2:P$57,Pond.Inputs!$B$2:$B$57)</f>
        <v>0</v>
      </c>
      <c r="Q56" s="3">
        <f>WIOD.ThreeME_V3!Q56 * Pond.Inputs!$B56/SUMPRODUCT(WIOD.ThreeME_V3!Q$2:Q$57,Pond.Inputs!$B$2:$B$57)</f>
        <v>0</v>
      </c>
      <c r="R56" s="3">
        <f>WIOD.ThreeME_V3!R56 * Pond.Inputs!$B56/SUMPRODUCT(WIOD.ThreeME_V3!R$2:R$57,Pond.Inputs!$B$2:$B$57)</f>
        <v>0</v>
      </c>
      <c r="S56" s="3">
        <f>WIOD.ThreeME_V3!S56 * Pond.Inputs!$B56/SUMPRODUCT(WIOD.ThreeME_V3!S$2:S$57,Pond.Inputs!$B$2:$B$57)</f>
        <v>4.9760784723424777E-3</v>
      </c>
      <c r="T56" s="3">
        <f>WIOD.ThreeME_V3!T56 * Pond.Inputs!$B56/SUMPRODUCT(WIOD.ThreeME_V3!T$2:T$57,Pond.Inputs!$B$2:$B$57)</f>
        <v>0</v>
      </c>
      <c r="U56" s="3">
        <f>WIOD.ThreeME_V3!U56 * Pond.Inputs!$B56/SUMPRODUCT(WIOD.ThreeME_V3!U$2:U$57,Pond.Inputs!$B$2:$B$57)</f>
        <v>0</v>
      </c>
      <c r="V56" s="3">
        <f>WIOD.ThreeME_V3!V56 * Pond.Inputs!$B56/SUMPRODUCT(WIOD.ThreeME_V3!V$2:V$57,Pond.Inputs!$B$2:$B$57)</f>
        <v>0</v>
      </c>
      <c r="W56" s="3">
        <f>WIOD.ThreeME_V3!W56 * Pond.Inputs!$B56/SUMPRODUCT(WIOD.ThreeME_V3!W$2:W$57,Pond.Inputs!$B$2:$B$57)</f>
        <v>0</v>
      </c>
      <c r="X56" s="3">
        <f>WIOD.ThreeME_V3!X56 * Pond.Inputs!$B56/SUMPRODUCT(WIOD.ThreeME_V3!X$2:X$57,Pond.Inputs!$B$2:$B$57)</f>
        <v>0</v>
      </c>
      <c r="Y56" s="3">
        <f>WIOD.ThreeME_V3!Y56 * Pond.Inputs!$B56/SUMPRODUCT(WIOD.ThreeME_V3!Y$2:Y$57,Pond.Inputs!$B$2:$B$57)</f>
        <v>0</v>
      </c>
      <c r="Z56" s="3">
        <f>WIOD.ThreeME_V3!Z56 * Pond.Inputs!$B56/SUMPRODUCT(WIOD.ThreeME_V3!Z$2:Z$57,Pond.Inputs!$B$2:$B$57)</f>
        <v>0</v>
      </c>
      <c r="AA56" s="3">
        <f>WIOD.ThreeME_V3!AA56 * Pond.Inputs!$B56/SUMPRODUCT(WIOD.ThreeME_V3!AA$2:AA$57,Pond.Inputs!$B$2:$B$57)</f>
        <v>0</v>
      </c>
      <c r="AB56" s="3">
        <f>WIOD.ThreeME_V3!AB56 * Pond.Inputs!$B56/SUMPRODUCT(WIOD.ThreeME_V3!AB$2:AB$57,Pond.Inputs!$B$2:$B$57)</f>
        <v>0</v>
      </c>
      <c r="AC56" s="3">
        <f>WIOD.ThreeME_V3!AC56 * Pond.Inputs!$B56/SUMPRODUCT(WIOD.ThreeME_V3!AC$2:AC$57,Pond.Inputs!$B$2:$B$57)</f>
        <v>0</v>
      </c>
      <c r="AD56" s="3">
        <f>WIOD.ThreeME_V3!AD56 * Pond.Inputs!$B56/SUMPRODUCT(WIOD.ThreeME_V3!AD$2:AD$57,Pond.Inputs!$B$2:$B$57)</f>
        <v>0</v>
      </c>
      <c r="AE56" s="3">
        <f>WIOD.ThreeME_V3!AE56 * Pond.Inputs!$B56/SUMPRODUCT(WIOD.ThreeME_V3!AE$2:AE$57,Pond.Inputs!$B$2:$B$57)</f>
        <v>0</v>
      </c>
      <c r="AF56" s="3">
        <f>WIOD.ThreeME_V3!AF56 * Pond.Inputs!$B56/SUMPRODUCT(WIOD.ThreeME_V3!AF$2:AF$57,Pond.Inputs!$B$2:$B$57)</f>
        <v>0</v>
      </c>
      <c r="AG56" s="3">
        <f>WIOD.ThreeME_V3!AG56 * Pond.Inputs!$B56/SUMPRODUCT(WIOD.ThreeME_V3!AG$2:AG$57,Pond.Inputs!$B$2:$B$57)</f>
        <v>0</v>
      </c>
    </row>
    <row r="57" spans="1:33" x14ac:dyDescent="0.2">
      <c r="A57" s="1" t="s">
        <v>68</v>
      </c>
      <c r="B57" s="3">
        <f>WIOD.ThreeME_V3!B57 * Pond.Inputs!$B57/SUMPRODUCT(WIOD.ThreeME_V3!B$2:B$57,Pond.Inputs!$B$2:$B$57)</f>
        <v>0</v>
      </c>
      <c r="C57" s="3">
        <f>WIOD.ThreeME_V3!C57 * Pond.Inputs!$B57/SUMPRODUCT(WIOD.ThreeME_V3!C$2:C$57,Pond.Inputs!$B$2:$B$57)</f>
        <v>0</v>
      </c>
      <c r="D57" s="3">
        <f>WIOD.ThreeME_V3!D57 * Pond.Inputs!$B57/SUMPRODUCT(WIOD.ThreeME_V3!D$2:D$57,Pond.Inputs!$B$2:$B$57)</f>
        <v>0</v>
      </c>
      <c r="E57" s="3">
        <f>WIOD.ThreeME_V3!E57 * Pond.Inputs!$B57/SUMPRODUCT(WIOD.ThreeME_V3!E$2:E$57,Pond.Inputs!$B$2:$B$57)</f>
        <v>0</v>
      </c>
      <c r="F57" s="3">
        <f>WIOD.ThreeME_V3!F57 * Pond.Inputs!$B57/SUMPRODUCT(WIOD.ThreeME_V3!F$2:F$57,Pond.Inputs!$B$2:$B$57)</f>
        <v>0</v>
      </c>
      <c r="G57" s="3">
        <f>WIOD.ThreeME_V3!G57 * Pond.Inputs!$B57/SUMPRODUCT(WIOD.ThreeME_V3!G$2:G$57,Pond.Inputs!$B$2:$B$57)</f>
        <v>0</v>
      </c>
      <c r="H57" s="3">
        <f>WIOD.ThreeME_V3!H57 * Pond.Inputs!$B57/SUMPRODUCT(WIOD.ThreeME_V3!H$2:H$57,Pond.Inputs!$B$2:$B$57)</f>
        <v>0</v>
      </c>
      <c r="I57" s="3">
        <f>WIOD.ThreeME_V3!I57 * Pond.Inputs!$B57/SUMPRODUCT(WIOD.ThreeME_V3!I$2:I$57,Pond.Inputs!$B$2:$B$57)</f>
        <v>0</v>
      </c>
      <c r="J57" s="3">
        <f>WIOD.ThreeME_V3!J57 * Pond.Inputs!$B57/SUMPRODUCT(WIOD.ThreeME_V3!J$2:J$57,Pond.Inputs!$B$2:$B$57)</f>
        <v>0</v>
      </c>
      <c r="K57" s="3">
        <f>WIOD.ThreeME_V3!K57 * Pond.Inputs!$B57/SUMPRODUCT(WIOD.ThreeME_V3!K$2:K$57,Pond.Inputs!$B$2:$B$57)</f>
        <v>0</v>
      </c>
      <c r="L57" s="3">
        <f>WIOD.ThreeME_V3!L57 * Pond.Inputs!$B57/SUMPRODUCT(WIOD.ThreeME_V3!L$2:L$57,Pond.Inputs!$B$2:$B$57)</f>
        <v>0</v>
      </c>
      <c r="M57" s="3">
        <f>WIOD.ThreeME_V3!M57 * Pond.Inputs!$B57/SUMPRODUCT(WIOD.ThreeME_V3!M$2:M$57,Pond.Inputs!$B$2:$B$57)</f>
        <v>0</v>
      </c>
      <c r="N57" s="3">
        <f>WIOD.ThreeME_V3!N57 * Pond.Inputs!$B57/SUMPRODUCT(WIOD.ThreeME_V3!N$2:N$57,Pond.Inputs!$B$2:$B$57)</f>
        <v>0</v>
      </c>
      <c r="O57" s="3">
        <f>WIOD.ThreeME_V3!O57 * Pond.Inputs!$B57/SUMPRODUCT(WIOD.ThreeME_V3!O$2:O$57,Pond.Inputs!$B$2:$B$57)</f>
        <v>0</v>
      </c>
      <c r="P57" s="3">
        <f>WIOD.ThreeME_V3!P57 * Pond.Inputs!$B57/SUMPRODUCT(WIOD.ThreeME_V3!P$2:P$57,Pond.Inputs!$B$2:$B$57)</f>
        <v>0</v>
      </c>
      <c r="Q57" s="3">
        <f>WIOD.ThreeME_V3!Q57 * Pond.Inputs!$B57/SUMPRODUCT(WIOD.ThreeME_V3!Q$2:Q$57,Pond.Inputs!$B$2:$B$57)</f>
        <v>0</v>
      </c>
      <c r="R57" s="3">
        <f>WIOD.ThreeME_V3!R57 * Pond.Inputs!$B57/SUMPRODUCT(WIOD.ThreeME_V3!R$2:R$57,Pond.Inputs!$B$2:$B$57)</f>
        <v>0</v>
      </c>
      <c r="S57" s="3">
        <f>WIOD.ThreeME_V3!S57 * Pond.Inputs!$B57/SUMPRODUCT(WIOD.ThreeME_V3!S$2:S$57,Pond.Inputs!$B$2:$B$57)</f>
        <v>0</v>
      </c>
      <c r="T57" s="3">
        <f>WIOD.ThreeME_V3!T57 * Pond.Inputs!$B57/SUMPRODUCT(WIOD.ThreeME_V3!T$2:T$57,Pond.Inputs!$B$2:$B$57)</f>
        <v>0</v>
      </c>
      <c r="U57" s="3">
        <f>WIOD.ThreeME_V3!U57 * Pond.Inputs!$B57/SUMPRODUCT(WIOD.ThreeME_V3!U$2:U$57,Pond.Inputs!$B$2:$B$57)</f>
        <v>0</v>
      </c>
      <c r="V57" s="3">
        <f>WIOD.ThreeME_V3!V57 * Pond.Inputs!$B57/SUMPRODUCT(WIOD.ThreeME_V3!V$2:V$57,Pond.Inputs!$B$2:$B$57)</f>
        <v>0</v>
      </c>
      <c r="W57" s="3">
        <f>WIOD.ThreeME_V3!W57 * Pond.Inputs!$B57/SUMPRODUCT(WIOD.ThreeME_V3!W$2:W$57,Pond.Inputs!$B$2:$B$57)</f>
        <v>0</v>
      </c>
      <c r="X57" s="3">
        <f>WIOD.ThreeME_V3!X57 * Pond.Inputs!$B57/SUMPRODUCT(WIOD.ThreeME_V3!X$2:X$57,Pond.Inputs!$B$2:$B$57)</f>
        <v>0</v>
      </c>
      <c r="Y57" s="3">
        <f>WIOD.ThreeME_V3!Y57 * Pond.Inputs!$B57/SUMPRODUCT(WIOD.ThreeME_V3!Y$2:Y$57,Pond.Inputs!$B$2:$B$57)</f>
        <v>0</v>
      </c>
      <c r="Z57" s="3">
        <f>WIOD.ThreeME_V3!Z57 * Pond.Inputs!$B57/SUMPRODUCT(WIOD.ThreeME_V3!Z$2:Z$57,Pond.Inputs!$B$2:$B$57)</f>
        <v>0</v>
      </c>
      <c r="AA57" s="3">
        <f>WIOD.ThreeME_V3!AA57 * Pond.Inputs!$B57/SUMPRODUCT(WIOD.ThreeME_V3!AA$2:AA$57,Pond.Inputs!$B$2:$B$57)</f>
        <v>0</v>
      </c>
      <c r="AB57" s="3">
        <f>WIOD.ThreeME_V3!AB57 * Pond.Inputs!$B57/SUMPRODUCT(WIOD.ThreeME_V3!AB$2:AB$57,Pond.Inputs!$B$2:$B$57)</f>
        <v>0</v>
      </c>
      <c r="AC57" s="3">
        <f>WIOD.ThreeME_V3!AC57 * Pond.Inputs!$B57/SUMPRODUCT(WIOD.ThreeME_V3!AC$2:AC$57,Pond.Inputs!$B$2:$B$57)</f>
        <v>0</v>
      </c>
      <c r="AD57" s="3">
        <f>WIOD.ThreeME_V3!AD57 * Pond.Inputs!$B57/SUMPRODUCT(WIOD.ThreeME_V3!AD$2:AD$57,Pond.Inputs!$B$2:$B$57)</f>
        <v>0</v>
      </c>
      <c r="AE57" s="3">
        <f>WIOD.ThreeME_V3!AE57 * Pond.Inputs!$B57/SUMPRODUCT(WIOD.ThreeME_V3!AE$2:AE$57,Pond.Inputs!$B$2:$B$57)</f>
        <v>0</v>
      </c>
      <c r="AF57" s="3">
        <f>WIOD.ThreeME_V3!AF57 * Pond.Inputs!$B57/SUMPRODUCT(WIOD.ThreeME_V3!AF$2:AF$57,Pond.Inputs!$B$2:$B$57)</f>
        <v>0</v>
      </c>
      <c r="AG57" s="3">
        <f>WIOD.ThreeME_V3!AG57 * Pond.Inputs!$B57/SUMPRODUCT(WIOD.ThreeME_V3!AG$2:AG$57,Pond.Inputs!$B$2:$B$57)</f>
        <v>0</v>
      </c>
    </row>
  </sheetData>
  <conditionalFormatting sqref="B2:AG57">
    <cfRule type="cellIs" dxfId="3" priority="2" operator="equal">
      <formula>1</formula>
    </cfRule>
  </conditionalFormatting>
  <conditionalFormatting sqref="B2:AG57">
    <cfRule type="cellIs" dxfId="2" priority="1" operator="between">
      <formula>0.001</formula>
      <formula>0.9999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E95C-9342-6A4F-861D-FB4C98DC0ED8}">
  <dimension ref="A1:T82"/>
  <sheetViews>
    <sheetView topLeftCell="A17" workbookViewId="0">
      <selection activeCell="R57" sqref="R57"/>
    </sheetView>
  </sheetViews>
  <sheetFormatPr baseColWidth="10" defaultColWidth="9.1640625" defaultRowHeight="16" x14ac:dyDescent="0.2"/>
  <cols>
    <col min="1" max="1" width="41.6640625" customWidth="1"/>
    <col min="2" max="11" width="11.1640625" customWidth="1"/>
    <col min="12" max="12" width="11" customWidth="1"/>
  </cols>
  <sheetData>
    <row r="1" spans="1:20" ht="80" customHeight="1" x14ac:dyDescent="0.2">
      <c r="B1" s="5" t="s">
        <v>154</v>
      </c>
      <c r="C1" s="5" t="s">
        <v>155</v>
      </c>
      <c r="D1" s="5" t="s">
        <v>156</v>
      </c>
      <c r="E1" s="5" t="s">
        <v>157</v>
      </c>
      <c r="F1" s="5" t="s">
        <v>158</v>
      </c>
      <c r="G1" s="5" t="s">
        <v>159</v>
      </c>
      <c r="H1" s="5" t="s">
        <v>160</v>
      </c>
      <c r="I1" s="5" t="s">
        <v>41</v>
      </c>
      <c r="J1" s="5" t="s">
        <v>161</v>
      </c>
      <c r="K1" s="5" t="s">
        <v>162</v>
      </c>
      <c r="L1" s="5" t="s">
        <v>163</v>
      </c>
      <c r="M1" s="6" t="s">
        <v>164</v>
      </c>
      <c r="N1" s="6" t="s">
        <v>165</v>
      </c>
      <c r="O1" s="6" t="s">
        <v>166</v>
      </c>
      <c r="P1" s="6" t="s">
        <v>167</v>
      </c>
      <c r="Q1" s="6" t="s">
        <v>168</v>
      </c>
      <c r="R1" s="6" t="s">
        <v>169</v>
      </c>
      <c r="S1" s="7"/>
      <c r="T1" s="7"/>
    </row>
    <row r="2" spans="1:20" x14ac:dyDescent="0.2">
      <c r="A2" s="1" t="s">
        <v>15</v>
      </c>
      <c r="B2" s="8">
        <f>WIOD.NAF17!B2 * Pond.Inputs!$B2/SUMPRODUCT(WIOD.NAF17!B$2:B$57,Pond.Inputs!$B$2:$B$57)</f>
        <v>0.91518806025321131</v>
      </c>
      <c r="C2" s="8">
        <f>WIOD.NAF17!C2 * Pond.Inputs!$B2/SUMPRODUCT(WIOD.NAF17!C$2:C$57,Pond.Inputs!$B$2:$B$57)</f>
        <v>0</v>
      </c>
      <c r="D2" s="8">
        <f>WIOD.NAF17!D2 * Pond.Inputs!$B2/SUMPRODUCT(WIOD.NAF17!D$2:D$57,Pond.Inputs!$B$2:$B$57)</f>
        <v>0</v>
      </c>
      <c r="E2" s="8">
        <f>WIOD.NAF17!E2 * Pond.Inputs!$B2/SUMPRODUCT(WIOD.NAF17!E$2:E$57,Pond.Inputs!$B$2:$B$57)</f>
        <v>0</v>
      </c>
      <c r="F2" s="8">
        <f>WIOD.NAF17!F2 * Pond.Inputs!$B2/SUMPRODUCT(WIOD.NAF17!F$2:F$57,Pond.Inputs!$B$2:$B$57)</f>
        <v>0</v>
      </c>
      <c r="G2" s="8">
        <f>WIOD.NAF17!G2 * Pond.Inputs!$B2/SUMPRODUCT(WIOD.NAF17!G$2:G$57,Pond.Inputs!$B$2:$B$57)</f>
        <v>0</v>
      </c>
      <c r="H2" s="8">
        <f>WIOD.NAF17!H2 * Pond.Inputs!$B2/SUMPRODUCT(WIOD.NAF17!H$2:H$57,Pond.Inputs!$B$2:$B$57)</f>
        <v>0</v>
      </c>
      <c r="I2" s="8">
        <f>WIOD.NAF17!I2 * Pond.Inputs!$B2/SUMPRODUCT(WIOD.NAF17!I$2:I$57,Pond.Inputs!$B$2:$B$57)</f>
        <v>0</v>
      </c>
      <c r="J2" s="8">
        <f>WIOD.NAF17!J2 * Pond.Inputs!$B2/SUMPRODUCT(WIOD.NAF17!J$2:J$57,Pond.Inputs!$B$2:$B$57)</f>
        <v>0</v>
      </c>
      <c r="K2" s="8">
        <f>WIOD.NAF17!K2 * Pond.Inputs!$B2/SUMPRODUCT(WIOD.NAF17!K$2:K$57,Pond.Inputs!$B$2:$B$57)</f>
        <v>0</v>
      </c>
      <c r="L2" s="8">
        <f>WIOD.NAF17!L2 * Pond.Inputs!$B2/SUMPRODUCT(WIOD.NAF17!L$2:L$57,Pond.Inputs!$B$2:$B$57)</f>
        <v>0</v>
      </c>
      <c r="M2" s="8">
        <f>WIOD.NAF17!M2 * Pond.Inputs!$B2/SUMPRODUCT(WIOD.NAF17!M$2:M$57,Pond.Inputs!$B$2:$B$57)</f>
        <v>0</v>
      </c>
      <c r="N2" s="8">
        <f>WIOD.NAF17!N2 * Pond.Inputs!$B2/SUMPRODUCT(WIOD.NAF17!N$2:N$57,Pond.Inputs!$B$2:$B$57)</f>
        <v>0</v>
      </c>
      <c r="O2" s="8">
        <f>WIOD.NAF17!O2 * Pond.Inputs!$B2/SUMPRODUCT(WIOD.NAF17!O$2:O$57,Pond.Inputs!$B$2:$B$57)</f>
        <v>0</v>
      </c>
      <c r="P2" s="8">
        <f>WIOD.NAF17!P2 * Pond.Inputs!$B2/SUMPRODUCT(WIOD.NAF17!P$2:P$57,Pond.Inputs!$B$2:$B$57)</f>
        <v>0</v>
      </c>
      <c r="Q2" s="8">
        <f>WIOD.NAF17!Q2 * Pond.Inputs!$B2/SUMPRODUCT(WIOD.NAF17!Q$2:Q$57,Pond.Inputs!$B$2:$B$57)</f>
        <v>0</v>
      </c>
      <c r="R2" s="8">
        <f>WIOD.NAF17!R2 * Pond.Inputs!$B2/SUMPRODUCT(WIOD.NAF17!R$2:R$57,Pond.Inputs!$B$2:$B$57)</f>
        <v>0</v>
      </c>
    </row>
    <row r="3" spans="1:20" x14ac:dyDescent="0.2">
      <c r="A3" s="1" t="s">
        <v>16</v>
      </c>
      <c r="B3" s="8">
        <f>WIOD.NAF17!B3 * Pond.Inputs!$B3/SUMPRODUCT(WIOD.NAF17!B$2:B$57,Pond.Inputs!$B$2:$B$57)</f>
        <v>5.8312540430644121E-2</v>
      </c>
      <c r="C3" s="8">
        <f>WIOD.NAF17!C3 * Pond.Inputs!$B3/SUMPRODUCT(WIOD.NAF17!C$2:C$57,Pond.Inputs!$B$2:$B$57)</f>
        <v>0</v>
      </c>
      <c r="D3" s="8">
        <f>WIOD.NAF17!D3 * Pond.Inputs!$B3/SUMPRODUCT(WIOD.NAF17!D$2:D$57,Pond.Inputs!$B$2:$B$57)</f>
        <v>0</v>
      </c>
      <c r="E3" s="8">
        <f>WIOD.NAF17!E3 * Pond.Inputs!$B3/SUMPRODUCT(WIOD.NAF17!E$2:E$57,Pond.Inputs!$B$2:$B$57)</f>
        <v>0</v>
      </c>
      <c r="F3" s="8">
        <f>WIOD.NAF17!F3 * Pond.Inputs!$B3/SUMPRODUCT(WIOD.NAF17!F$2:F$57,Pond.Inputs!$B$2:$B$57)</f>
        <v>0</v>
      </c>
      <c r="G3" s="8">
        <f>WIOD.NAF17!G3 * Pond.Inputs!$B3/SUMPRODUCT(WIOD.NAF17!G$2:G$57,Pond.Inputs!$B$2:$B$57)</f>
        <v>0</v>
      </c>
      <c r="H3" s="8">
        <f>WIOD.NAF17!H3 * Pond.Inputs!$B3/SUMPRODUCT(WIOD.NAF17!H$2:H$57,Pond.Inputs!$B$2:$B$57)</f>
        <v>0</v>
      </c>
      <c r="I3" s="8">
        <f>WIOD.NAF17!I3 * Pond.Inputs!$B3/SUMPRODUCT(WIOD.NAF17!I$2:I$57,Pond.Inputs!$B$2:$B$57)</f>
        <v>0</v>
      </c>
      <c r="J3" s="8">
        <f>WIOD.NAF17!J3 * Pond.Inputs!$B3/SUMPRODUCT(WIOD.NAF17!J$2:J$57,Pond.Inputs!$B$2:$B$57)</f>
        <v>0</v>
      </c>
      <c r="K3" s="8">
        <f>WIOD.NAF17!K3 * Pond.Inputs!$B3/SUMPRODUCT(WIOD.NAF17!K$2:K$57,Pond.Inputs!$B$2:$B$57)</f>
        <v>0</v>
      </c>
      <c r="L3" s="8">
        <f>WIOD.NAF17!L3 * Pond.Inputs!$B3/SUMPRODUCT(WIOD.NAF17!L$2:L$57,Pond.Inputs!$B$2:$B$57)</f>
        <v>0</v>
      </c>
      <c r="M3" s="8">
        <f>WIOD.NAF17!M3 * Pond.Inputs!$B3/SUMPRODUCT(WIOD.NAF17!M$2:M$57,Pond.Inputs!$B$2:$B$57)</f>
        <v>0</v>
      </c>
      <c r="N3" s="8">
        <f>WIOD.NAF17!N3 * Pond.Inputs!$B3/SUMPRODUCT(WIOD.NAF17!N$2:N$57,Pond.Inputs!$B$2:$B$57)</f>
        <v>0</v>
      </c>
      <c r="O3" s="8">
        <f>WIOD.NAF17!O3 * Pond.Inputs!$B3/SUMPRODUCT(WIOD.NAF17!O$2:O$57,Pond.Inputs!$B$2:$B$57)</f>
        <v>0</v>
      </c>
      <c r="P3" s="8">
        <f>WIOD.NAF17!P3 * Pond.Inputs!$B3/SUMPRODUCT(WIOD.NAF17!P$2:P$57,Pond.Inputs!$B$2:$B$57)</f>
        <v>0</v>
      </c>
      <c r="Q3" s="8">
        <f>WIOD.NAF17!Q3 * Pond.Inputs!$B3/SUMPRODUCT(WIOD.NAF17!Q$2:Q$57,Pond.Inputs!$B$2:$B$57)</f>
        <v>0</v>
      </c>
      <c r="R3" s="8">
        <f>WIOD.NAF17!R3 * Pond.Inputs!$B3/SUMPRODUCT(WIOD.NAF17!R$2:R$57,Pond.Inputs!$B$2:$B$57)</f>
        <v>0</v>
      </c>
    </row>
    <row r="4" spans="1:20" x14ac:dyDescent="0.2">
      <c r="A4" s="1" t="s">
        <v>17</v>
      </c>
      <c r="B4" s="8">
        <f>WIOD.NAF17!B4 * Pond.Inputs!$B4/SUMPRODUCT(WIOD.NAF17!B$2:B$57,Pond.Inputs!$B$2:$B$57)</f>
        <v>2.6499399316144534E-2</v>
      </c>
      <c r="C4" s="8">
        <f>WIOD.NAF17!C4 * Pond.Inputs!$B4/SUMPRODUCT(WIOD.NAF17!C$2:C$57,Pond.Inputs!$B$2:$B$57)</f>
        <v>0</v>
      </c>
      <c r="D4" s="8">
        <f>WIOD.NAF17!D4 * Pond.Inputs!$B4/SUMPRODUCT(WIOD.NAF17!D$2:D$57,Pond.Inputs!$B$2:$B$57)</f>
        <v>0</v>
      </c>
      <c r="E4" s="8">
        <f>WIOD.NAF17!E4 * Pond.Inputs!$B4/SUMPRODUCT(WIOD.NAF17!E$2:E$57,Pond.Inputs!$B$2:$B$57)</f>
        <v>0</v>
      </c>
      <c r="F4" s="8">
        <f>WIOD.NAF17!F4 * Pond.Inputs!$B4/SUMPRODUCT(WIOD.NAF17!F$2:F$57,Pond.Inputs!$B$2:$B$57)</f>
        <v>0</v>
      </c>
      <c r="G4" s="8">
        <f>WIOD.NAF17!G4 * Pond.Inputs!$B4/SUMPRODUCT(WIOD.NAF17!G$2:G$57,Pond.Inputs!$B$2:$B$57)</f>
        <v>0</v>
      </c>
      <c r="H4" s="8">
        <f>WIOD.NAF17!H4 * Pond.Inputs!$B4/SUMPRODUCT(WIOD.NAF17!H$2:H$57,Pond.Inputs!$B$2:$B$57)</f>
        <v>0</v>
      </c>
      <c r="I4" s="8">
        <f>WIOD.NAF17!I4 * Pond.Inputs!$B4/SUMPRODUCT(WIOD.NAF17!I$2:I$57,Pond.Inputs!$B$2:$B$57)</f>
        <v>0</v>
      </c>
      <c r="J4" s="8">
        <f>WIOD.NAF17!J4 * Pond.Inputs!$B4/SUMPRODUCT(WIOD.NAF17!J$2:J$57,Pond.Inputs!$B$2:$B$57)</f>
        <v>0</v>
      </c>
      <c r="K4" s="8">
        <f>WIOD.NAF17!K4 * Pond.Inputs!$B4/SUMPRODUCT(WIOD.NAF17!K$2:K$57,Pond.Inputs!$B$2:$B$57)</f>
        <v>0</v>
      </c>
      <c r="L4" s="8">
        <f>WIOD.NAF17!L4 * Pond.Inputs!$B4/SUMPRODUCT(WIOD.NAF17!L$2:L$57,Pond.Inputs!$B$2:$B$57)</f>
        <v>0</v>
      </c>
      <c r="M4" s="8">
        <f>WIOD.NAF17!M4 * Pond.Inputs!$B4/SUMPRODUCT(WIOD.NAF17!M$2:M$57,Pond.Inputs!$B$2:$B$57)</f>
        <v>0</v>
      </c>
      <c r="N4" s="8">
        <f>WIOD.NAF17!N4 * Pond.Inputs!$B4/SUMPRODUCT(WIOD.NAF17!N$2:N$57,Pond.Inputs!$B$2:$B$57)</f>
        <v>0</v>
      </c>
      <c r="O4" s="8">
        <f>WIOD.NAF17!O4 * Pond.Inputs!$B4/SUMPRODUCT(WIOD.NAF17!O$2:O$57,Pond.Inputs!$B$2:$B$57)</f>
        <v>0</v>
      </c>
      <c r="P4" s="8">
        <f>WIOD.NAF17!P4 * Pond.Inputs!$B4/SUMPRODUCT(WIOD.NAF17!P$2:P$57,Pond.Inputs!$B$2:$B$57)</f>
        <v>0</v>
      </c>
      <c r="Q4" s="8">
        <f>WIOD.NAF17!Q4 * Pond.Inputs!$B4/SUMPRODUCT(WIOD.NAF17!Q$2:Q$57,Pond.Inputs!$B$2:$B$57)</f>
        <v>0</v>
      </c>
      <c r="R4" s="8">
        <f>WIOD.NAF17!R4 * Pond.Inputs!$B4/SUMPRODUCT(WIOD.NAF17!R$2:R$57,Pond.Inputs!$B$2:$B$57)</f>
        <v>0</v>
      </c>
    </row>
    <row r="5" spans="1:20" x14ac:dyDescent="0.2">
      <c r="A5" s="1" t="s">
        <v>18</v>
      </c>
      <c r="B5" s="8">
        <f>WIOD.NAF17!B5 * Pond.Inputs!$B5/SUMPRODUCT(WIOD.NAF17!B$2:B$57,Pond.Inputs!$B$2:$B$57)</f>
        <v>0</v>
      </c>
      <c r="C5" s="8">
        <f>WIOD.NAF17!C5 * Pond.Inputs!$B5/SUMPRODUCT(WIOD.NAF17!C$2:C$57,Pond.Inputs!$B$2:$B$57)</f>
        <v>3.6096265560165978E-2</v>
      </c>
      <c r="D5" s="8">
        <f>WIOD.NAF17!D5 * Pond.Inputs!$B5/SUMPRODUCT(WIOD.NAF17!D$2:D$57,Pond.Inputs!$B$2:$B$57)</f>
        <v>0</v>
      </c>
      <c r="E5" s="8">
        <f>WIOD.NAF17!E5 * Pond.Inputs!$B5/SUMPRODUCT(WIOD.NAF17!E$2:E$57,Pond.Inputs!$B$2:$B$57)</f>
        <v>0</v>
      </c>
      <c r="F5" s="8">
        <f>WIOD.NAF17!F5 * Pond.Inputs!$B5/SUMPRODUCT(WIOD.NAF17!F$2:F$57,Pond.Inputs!$B$2:$B$57)</f>
        <v>0</v>
      </c>
      <c r="G5" s="8">
        <f>WIOD.NAF17!G5 * Pond.Inputs!$B5/SUMPRODUCT(WIOD.NAF17!G$2:G$57,Pond.Inputs!$B$2:$B$57)</f>
        <v>0</v>
      </c>
      <c r="H5" s="8">
        <f>WIOD.NAF17!H5 * Pond.Inputs!$B5/SUMPRODUCT(WIOD.NAF17!H$2:H$57,Pond.Inputs!$B$2:$B$57)</f>
        <v>0</v>
      </c>
      <c r="I5" s="8">
        <f>WIOD.NAF17!I5 * Pond.Inputs!$B5/SUMPRODUCT(WIOD.NAF17!I$2:I$57,Pond.Inputs!$B$2:$B$57)</f>
        <v>0</v>
      </c>
      <c r="J5" s="8">
        <f>WIOD.NAF17!J5 * Pond.Inputs!$B5/SUMPRODUCT(WIOD.NAF17!J$2:J$57,Pond.Inputs!$B$2:$B$57)</f>
        <v>0</v>
      </c>
      <c r="K5" s="8">
        <f>WIOD.NAF17!K5 * Pond.Inputs!$B5/SUMPRODUCT(WIOD.NAF17!K$2:K$57,Pond.Inputs!$B$2:$B$57)</f>
        <v>0</v>
      </c>
      <c r="L5" s="8">
        <f>WIOD.NAF17!L5 * Pond.Inputs!$B5/SUMPRODUCT(WIOD.NAF17!L$2:L$57,Pond.Inputs!$B$2:$B$57)</f>
        <v>0</v>
      </c>
      <c r="M5" s="8">
        <f>WIOD.NAF17!M5 * Pond.Inputs!$B5/SUMPRODUCT(WIOD.NAF17!M$2:M$57,Pond.Inputs!$B$2:$B$57)</f>
        <v>0</v>
      </c>
      <c r="N5" s="8">
        <f>WIOD.NAF17!N5 * Pond.Inputs!$B5/SUMPRODUCT(WIOD.NAF17!N$2:N$57,Pond.Inputs!$B$2:$B$57)</f>
        <v>0</v>
      </c>
      <c r="O5" s="8">
        <f>WIOD.NAF17!O5 * Pond.Inputs!$B5/SUMPRODUCT(WIOD.NAF17!O$2:O$57,Pond.Inputs!$B$2:$B$57)</f>
        <v>0</v>
      </c>
      <c r="P5" s="8">
        <f>WIOD.NAF17!P5 * Pond.Inputs!$B5/SUMPRODUCT(WIOD.NAF17!P$2:P$57,Pond.Inputs!$B$2:$B$57)</f>
        <v>0</v>
      </c>
      <c r="Q5" s="8">
        <f>WIOD.NAF17!Q5 * Pond.Inputs!$B5/SUMPRODUCT(WIOD.NAF17!Q$2:Q$57,Pond.Inputs!$B$2:$B$57)</f>
        <v>0</v>
      </c>
      <c r="R5" s="8">
        <f>WIOD.NAF17!R5 * Pond.Inputs!$B5/SUMPRODUCT(WIOD.NAF17!R$2:R$57,Pond.Inputs!$B$2:$B$57)</f>
        <v>0</v>
      </c>
    </row>
    <row r="6" spans="1:20" x14ac:dyDescent="0.2">
      <c r="A6" s="1" t="s">
        <v>19</v>
      </c>
      <c r="B6" s="8">
        <f>WIOD.NAF17!B6 * Pond.Inputs!$B6/SUMPRODUCT(WIOD.NAF17!B$2:B$57,Pond.Inputs!$B$2:$B$57)</f>
        <v>0</v>
      </c>
      <c r="C6" s="8">
        <f>WIOD.NAF17!C6 * Pond.Inputs!$B6/SUMPRODUCT(WIOD.NAF17!C$2:C$57,Pond.Inputs!$B$2:$B$57)</f>
        <v>0</v>
      </c>
      <c r="D6" s="8">
        <f>WIOD.NAF17!D6 * Pond.Inputs!$B6/SUMPRODUCT(WIOD.NAF17!D$2:D$57,Pond.Inputs!$B$2:$B$57)</f>
        <v>1</v>
      </c>
      <c r="E6" s="8">
        <f>WIOD.NAF17!E6 * Pond.Inputs!$B6/SUMPRODUCT(WIOD.NAF17!E$2:E$57,Pond.Inputs!$B$2:$B$57)</f>
        <v>0</v>
      </c>
      <c r="F6" s="8">
        <f>WIOD.NAF17!F6 * Pond.Inputs!$B6/SUMPRODUCT(WIOD.NAF17!F$2:F$57,Pond.Inputs!$B$2:$B$57)</f>
        <v>0</v>
      </c>
      <c r="G6" s="8">
        <f>WIOD.NAF17!G6 * Pond.Inputs!$B6/SUMPRODUCT(WIOD.NAF17!G$2:G$57,Pond.Inputs!$B$2:$B$57)</f>
        <v>0</v>
      </c>
      <c r="H6" s="8">
        <f>WIOD.NAF17!H6 * Pond.Inputs!$B6/SUMPRODUCT(WIOD.NAF17!H$2:H$57,Pond.Inputs!$B$2:$B$57)</f>
        <v>0</v>
      </c>
      <c r="I6" s="8">
        <f>WIOD.NAF17!I6 * Pond.Inputs!$B6/SUMPRODUCT(WIOD.NAF17!I$2:I$57,Pond.Inputs!$B$2:$B$57)</f>
        <v>0</v>
      </c>
      <c r="J6" s="8">
        <f>WIOD.NAF17!J6 * Pond.Inputs!$B6/SUMPRODUCT(WIOD.NAF17!J$2:J$57,Pond.Inputs!$B$2:$B$57)</f>
        <v>0</v>
      </c>
      <c r="K6" s="8">
        <f>WIOD.NAF17!K6 * Pond.Inputs!$B6/SUMPRODUCT(WIOD.NAF17!K$2:K$57,Pond.Inputs!$B$2:$B$57)</f>
        <v>0</v>
      </c>
      <c r="L6" s="8">
        <f>WIOD.NAF17!L6 * Pond.Inputs!$B6/SUMPRODUCT(WIOD.NAF17!L$2:L$57,Pond.Inputs!$B$2:$B$57)</f>
        <v>0</v>
      </c>
      <c r="M6" s="8">
        <f>WIOD.NAF17!M6 * Pond.Inputs!$B6/SUMPRODUCT(WIOD.NAF17!M$2:M$57,Pond.Inputs!$B$2:$B$57)</f>
        <v>0</v>
      </c>
      <c r="N6" s="8">
        <f>WIOD.NAF17!N6 * Pond.Inputs!$B6/SUMPRODUCT(WIOD.NAF17!N$2:N$57,Pond.Inputs!$B$2:$B$57)</f>
        <v>0</v>
      </c>
      <c r="O6" s="8">
        <f>WIOD.NAF17!O6 * Pond.Inputs!$B6/SUMPRODUCT(WIOD.NAF17!O$2:O$57,Pond.Inputs!$B$2:$B$57)</f>
        <v>0</v>
      </c>
      <c r="P6" s="8">
        <f>WIOD.NAF17!P6 * Pond.Inputs!$B6/SUMPRODUCT(WIOD.NAF17!P$2:P$57,Pond.Inputs!$B$2:$B$57)</f>
        <v>0</v>
      </c>
      <c r="Q6" s="8">
        <f>WIOD.NAF17!Q6 * Pond.Inputs!$B6/SUMPRODUCT(WIOD.NAF17!Q$2:Q$57,Pond.Inputs!$B$2:$B$57)</f>
        <v>0</v>
      </c>
      <c r="R6" s="8">
        <f>WIOD.NAF17!R6 * Pond.Inputs!$B6/SUMPRODUCT(WIOD.NAF17!R$2:R$57,Pond.Inputs!$B$2:$B$57)</f>
        <v>0</v>
      </c>
    </row>
    <row r="7" spans="1:20" x14ac:dyDescent="0.2">
      <c r="A7" s="1" t="s">
        <v>20</v>
      </c>
      <c r="B7" s="8">
        <f>WIOD.NAF17!B7 * Pond.Inputs!$B7/SUMPRODUCT(WIOD.NAF17!B$2:B$57,Pond.Inputs!$B$2:$B$57)</f>
        <v>0</v>
      </c>
      <c r="C7" s="8">
        <f>WIOD.NAF17!C7 * Pond.Inputs!$B7/SUMPRODUCT(WIOD.NAF17!C$2:C$57,Pond.Inputs!$B$2:$B$57)</f>
        <v>0</v>
      </c>
      <c r="D7" s="8">
        <f>WIOD.NAF17!D7 * Pond.Inputs!$B7/SUMPRODUCT(WIOD.NAF17!D$2:D$57,Pond.Inputs!$B$2:$B$57)</f>
        <v>0</v>
      </c>
      <c r="E7" s="8">
        <f>WIOD.NAF17!E7 * Pond.Inputs!$B7/SUMPRODUCT(WIOD.NAF17!E$2:E$57,Pond.Inputs!$B$2:$B$57)</f>
        <v>0</v>
      </c>
      <c r="F7" s="8">
        <f>WIOD.NAF17!F7 * Pond.Inputs!$B7/SUMPRODUCT(WIOD.NAF17!F$2:F$57,Pond.Inputs!$B$2:$B$57)</f>
        <v>0</v>
      </c>
      <c r="G7" s="8">
        <f>WIOD.NAF17!G7 * Pond.Inputs!$B7/SUMPRODUCT(WIOD.NAF17!G$2:G$57,Pond.Inputs!$B$2:$B$57)</f>
        <v>0</v>
      </c>
      <c r="H7" s="8">
        <f>WIOD.NAF17!H7 * Pond.Inputs!$B7/SUMPRODUCT(WIOD.NAF17!H$2:H$57,Pond.Inputs!$B$2:$B$57)</f>
        <v>4.8090895129183547E-2</v>
      </c>
      <c r="I7" s="8">
        <f>WIOD.NAF17!I7 * Pond.Inputs!$B7/SUMPRODUCT(WIOD.NAF17!I$2:I$57,Pond.Inputs!$B$2:$B$57)</f>
        <v>0</v>
      </c>
      <c r="J7" s="8">
        <f>WIOD.NAF17!J7 * Pond.Inputs!$B7/SUMPRODUCT(WIOD.NAF17!J$2:J$57,Pond.Inputs!$B$2:$B$57)</f>
        <v>0</v>
      </c>
      <c r="K7" s="8">
        <f>WIOD.NAF17!K7 * Pond.Inputs!$B7/SUMPRODUCT(WIOD.NAF17!K$2:K$57,Pond.Inputs!$B$2:$B$57)</f>
        <v>0</v>
      </c>
      <c r="L7" s="8">
        <f>WIOD.NAF17!L7 * Pond.Inputs!$B7/SUMPRODUCT(WIOD.NAF17!L$2:L$57,Pond.Inputs!$B$2:$B$57)</f>
        <v>0</v>
      </c>
      <c r="M7" s="8">
        <f>WIOD.NAF17!M7 * Pond.Inputs!$B7/SUMPRODUCT(WIOD.NAF17!M$2:M$57,Pond.Inputs!$B$2:$B$57)</f>
        <v>0</v>
      </c>
      <c r="N7" s="8">
        <f>WIOD.NAF17!N7 * Pond.Inputs!$B7/SUMPRODUCT(WIOD.NAF17!N$2:N$57,Pond.Inputs!$B$2:$B$57)</f>
        <v>0</v>
      </c>
      <c r="O7" s="8">
        <f>WIOD.NAF17!O7 * Pond.Inputs!$B7/SUMPRODUCT(WIOD.NAF17!O$2:O$57,Pond.Inputs!$B$2:$B$57)</f>
        <v>0</v>
      </c>
      <c r="P7" s="8">
        <f>WIOD.NAF17!P7 * Pond.Inputs!$B7/SUMPRODUCT(WIOD.NAF17!P$2:P$57,Pond.Inputs!$B$2:$B$57)</f>
        <v>0</v>
      </c>
      <c r="Q7" s="8">
        <f>WIOD.NAF17!Q7 * Pond.Inputs!$B7/SUMPRODUCT(WIOD.NAF17!Q$2:Q$57,Pond.Inputs!$B$2:$B$57)</f>
        <v>0</v>
      </c>
      <c r="R7" s="8">
        <f>WIOD.NAF17!R7 * Pond.Inputs!$B7/SUMPRODUCT(WIOD.NAF17!R$2:R$57,Pond.Inputs!$B$2:$B$57)</f>
        <v>0</v>
      </c>
    </row>
    <row r="8" spans="1:20" x14ac:dyDescent="0.2">
      <c r="A8" s="1" t="s">
        <v>21</v>
      </c>
      <c r="B8" s="8">
        <f>WIOD.NAF17!B8 * Pond.Inputs!$B8/SUMPRODUCT(WIOD.NAF17!B$2:B$57,Pond.Inputs!$B$2:$B$57)</f>
        <v>0</v>
      </c>
      <c r="C8" s="8">
        <f>WIOD.NAF17!C8 * Pond.Inputs!$B8/SUMPRODUCT(WIOD.NAF17!C$2:C$57,Pond.Inputs!$B$2:$B$57)</f>
        <v>0</v>
      </c>
      <c r="D8" s="8">
        <f>WIOD.NAF17!D8 * Pond.Inputs!$B8/SUMPRODUCT(WIOD.NAF17!D$2:D$57,Pond.Inputs!$B$2:$B$57)</f>
        <v>0</v>
      </c>
      <c r="E8" s="8">
        <f>WIOD.NAF17!E8 * Pond.Inputs!$B8/SUMPRODUCT(WIOD.NAF17!E$2:E$57,Pond.Inputs!$B$2:$B$57)</f>
        <v>0</v>
      </c>
      <c r="F8" s="8">
        <f>WIOD.NAF17!F8 * Pond.Inputs!$B8/SUMPRODUCT(WIOD.NAF17!F$2:F$57,Pond.Inputs!$B$2:$B$57)</f>
        <v>0</v>
      </c>
      <c r="G8" s="8">
        <f>WIOD.NAF17!G8 * Pond.Inputs!$B8/SUMPRODUCT(WIOD.NAF17!G$2:G$57,Pond.Inputs!$B$2:$B$57)</f>
        <v>0</v>
      </c>
      <c r="H8" s="8">
        <f>WIOD.NAF17!H8 * Pond.Inputs!$B8/SUMPRODUCT(WIOD.NAF17!H$2:H$57,Pond.Inputs!$B$2:$B$57)</f>
        <v>3.0509055252991836E-2</v>
      </c>
      <c r="I8" s="8">
        <f>WIOD.NAF17!I8 * Pond.Inputs!$B8/SUMPRODUCT(WIOD.NAF17!I$2:I$57,Pond.Inputs!$B$2:$B$57)</f>
        <v>0</v>
      </c>
      <c r="J8" s="8">
        <f>WIOD.NAF17!J8 * Pond.Inputs!$B8/SUMPRODUCT(WIOD.NAF17!J$2:J$57,Pond.Inputs!$B$2:$B$57)</f>
        <v>0</v>
      </c>
      <c r="K8" s="8">
        <f>WIOD.NAF17!K8 * Pond.Inputs!$B8/SUMPRODUCT(WIOD.NAF17!K$2:K$57,Pond.Inputs!$B$2:$B$57)</f>
        <v>0</v>
      </c>
      <c r="L8" s="8">
        <f>WIOD.NAF17!L8 * Pond.Inputs!$B8/SUMPRODUCT(WIOD.NAF17!L$2:L$57,Pond.Inputs!$B$2:$B$57)</f>
        <v>0</v>
      </c>
      <c r="M8" s="8">
        <f>WIOD.NAF17!M8 * Pond.Inputs!$B8/SUMPRODUCT(WIOD.NAF17!M$2:M$57,Pond.Inputs!$B$2:$B$57)</f>
        <v>0</v>
      </c>
      <c r="N8" s="8">
        <f>WIOD.NAF17!N8 * Pond.Inputs!$B8/SUMPRODUCT(WIOD.NAF17!N$2:N$57,Pond.Inputs!$B$2:$B$57)</f>
        <v>0</v>
      </c>
      <c r="O8" s="8">
        <f>WIOD.NAF17!O8 * Pond.Inputs!$B8/SUMPRODUCT(WIOD.NAF17!O$2:O$57,Pond.Inputs!$B$2:$B$57)</f>
        <v>0</v>
      </c>
      <c r="P8" s="8">
        <f>WIOD.NAF17!P8 * Pond.Inputs!$B8/SUMPRODUCT(WIOD.NAF17!P$2:P$57,Pond.Inputs!$B$2:$B$57)</f>
        <v>0</v>
      </c>
      <c r="Q8" s="8">
        <f>WIOD.NAF17!Q8 * Pond.Inputs!$B8/SUMPRODUCT(WIOD.NAF17!Q$2:Q$57,Pond.Inputs!$B$2:$B$57)</f>
        <v>0</v>
      </c>
      <c r="R8" s="8">
        <f>WIOD.NAF17!R8 * Pond.Inputs!$B8/SUMPRODUCT(WIOD.NAF17!R$2:R$57,Pond.Inputs!$B$2:$B$57)</f>
        <v>0</v>
      </c>
    </row>
    <row r="9" spans="1:20" x14ac:dyDescent="0.2">
      <c r="A9" s="1" t="s">
        <v>22</v>
      </c>
      <c r="B9" s="8">
        <f>WIOD.NAF17!B9 * Pond.Inputs!$B9/SUMPRODUCT(WIOD.NAF17!B$2:B$57,Pond.Inputs!$B$2:$B$57)</f>
        <v>0</v>
      </c>
      <c r="C9" s="8">
        <f>WIOD.NAF17!C9 * Pond.Inputs!$B9/SUMPRODUCT(WIOD.NAF17!C$2:C$57,Pond.Inputs!$B$2:$B$57)</f>
        <v>0</v>
      </c>
      <c r="D9" s="8">
        <f>WIOD.NAF17!D9 * Pond.Inputs!$B9/SUMPRODUCT(WIOD.NAF17!D$2:D$57,Pond.Inputs!$B$2:$B$57)</f>
        <v>0</v>
      </c>
      <c r="E9" s="8">
        <f>WIOD.NAF17!E9 * Pond.Inputs!$B9/SUMPRODUCT(WIOD.NAF17!E$2:E$57,Pond.Inputs!$B$2:$B$57)</f>
        <v>0</v>
      </c>
      <c r="F9" s="8">
        <f>WIOD.NAF17!F9 * Pond.Inputs!$B9/SUMPRODUCT(WIOD.NAF17!F$2:F$57,Pond.Inputs!$B$2:$B$57)</f>
        <v>0</v>
      </c>
      <c r="G9" s="8">
        <f>WIOD.NAF17!G9 * Pond.Inputs!$B9/SUMPRODUCT(WIOD.NAF17!G$2:G$57,Pond.Inputs!$B$2:$B$57)</f>
        <v>0</v>
      </c>
      <c r="H9" s="8">
        <f>WIOD.NAF17!H9 * Pond.Inputs!$B9/SUMPRODUCT(WIOD.NAF17!H$2:H$57,Pond.Inputs!$B$2:$B$57)</f>
        <v>4.8241520668186703E-2</v>
      </c>
      <c r="I9" s="8">
        <f>WIOD.NAF17!I9 * Pond.Inputs!$B9/SUMPRODUCT(WIOD.NAF17!I$2:I$57,Pond.Inputs!$B$2:$B$57)</f>
        <v>0</v>
      </c>
      <c r="J9" s="8">
        <f>WIOD.NAF17!J9 * Pond.Inputs!$B9/SUMPRODUCT(WIOD.NAF17!J$2:J$57,Pond.Inputs!$B$2:$B$57)</f>
        <v>0</v>
      </c>
      <c r="K9" s="8">
        <f>WIOD.NAF17!K9 * Pond.Inputs!$B9/SUMPRODUCT(WIOD.NAF17!K$2:K$57,Pond.Inputs!$B$2:$B$57)</f>
        <v>0</v>
      </c>
      <c r="L9" s="8">
        <f>WIOD.NAF17!L9 * Pond.Inputs!$B9/SUMPRODUCT(WIOD.NAF17!L$2:L$57,Pond.Inputs!$B$2:$B$57)</f>
        <v>0</v>
      </c>
      <c r="M9" s="8">
        <f>WIOD.NAF17!M9 * Pond.Inputs!$B9/SUMPRODUCT(WIOD.NAF17!M$2:M$57,Pond.Inputs!$B$2:$B$57)</f>
        <v>0</v>
      </c>
      <c r="N9" s="8">
        <f>WIOD.NAF17!N9 * Pond.Inputs!$B9/SUMPRODUCT(WIOD.NAF17!N$2:N$57,Pond.Inputs!$B$2:$B$57)</f>
        <v>0</v>
      </c>
      <c r="O9" s="8">
        <f>WIOD.NAF17!O9 * Pond.Inputs!$B9/SUMPRODUCT(WIOD.NAF17!O$2:O$57,Pond.Inputs!$B$2:$B$57)</f>
        <v>0</v>
      </c>
      <c r="P9" s="8">
        <f>WIOD.NAF17!P9 * Pond.Inputs!$B9/SUMPRODUCT(WIOD.NAF17!P$2:P$57,Pond.Inputs!$B$2:$B$57)</f>
        <v>0</v>
      </c>
      <c r="Q9" s="8">
        <f>WIOD.NAF17!Q9 * Pond.Inputs!$B9/SUMPRODUCT(WIOD.NAF17!Q$2:Q$57,Pond.Inputs!$B$2:$B$57)</f>
        <v>0</v>
      </c>
      <c r="R9" s="8">
        <f>WIOD.NAF17!R9 * Pond.Inputs!$B9/SUMPRODUCT(WIOD.NAF17!R$2:R$57,Pond.Inputs!$B$2:$B$57)</f>
        <v>0</v>
      </c>
    </row>
    <row r="10" spans="1:20" x14ac:dyDescent="0.2">
      <c r="A10" s="1" t="s">
        <v>23</v>
      </c>
      <c r="B10" s="8">
        <f>WIOD.NAF17!B10 * Pond.Inputs!$B10/SUMPRODUCT(WIOD.NAF17!B$2:B$57,Pond.Inputs!$B$2:$B$57)</f>
        <v>0</v>
      </c>
      <c r="C10" s="8">
        <f>WIOD.NAF17!C10 * Pond.Inputs!$B10/SUMPRODUCT(WIOD.NAF17!C$2:C$57,Pond.Inputs!$B$2:$B$57)</f>
        <v>0</v>
      </c>
      <c r="D10" s="8">
        <f>WIOD.NAF17!D10 * Pond.Inputs!$B10/SUMPRODUCT(WIOD.NAF17!D$2:D$57,Pond.Inputs!$B$2:$B$57)</f>
        <v>0</v>
      </c>
      <c r="E10" s="8">
        <f>WIOD.NAF17!E10 * Pond.Inputs!$B10/SUMPRODUCT(WIOD.NAF17!E$2:E$57,Pond.Inputs!$B$2:$B$57)</f>
        <v>0</v>
      </c>
      <c r="F10" s="8">
        <f>WIOD.NAF17!F10 * Pond.Inputs!$B10/SUMPRODUCT(WIOD.NAF17!F$2:F$57,Pond.Inputs!$B$2:$B$57)</f>
        <v>0.10622661678246927</v>
      </c>
      <c r="G10" s="8">
        <f>WIOD.NAF17!G10 * Pond.Inputs!$B10/SUMPRODUCT(WIOD.NAF17!G$2:G$57,Pond.Inputs!$B$2:$B$57)</f>
        <v>0</v>
      </c>
      <c r="H10" s="8">
        <f>WIOD.NAF17!H10 * Pond.Inputs!$B10/SUMPRODUCT(WIOD.NAF17!H$2:H$57,Pond.Inputs!$B$2:$B$57)</f>
        <v>0</v>
      </c>
      <c r="I10" s="8">
        <f>WIOD.NAF17!I10 * Pond.Inputs!$B10/SUMPRODUCT(WIOD.NAF17!I$2:I$57,Pond.Inputs!$B$2:$B$57)</f>
        <v>0</v>
      </c>
      <c r="J10" s="8">
        <f>WIOD.NAF17!J10 * Pond.Inputs!$B10/SUMPRODUCT(WIOD.NAF17!J$2:J$57,Pond.Inputs!$B$2:$B$57)</f>
        <v>0</v>
      </c>
      <c r="K10" s="8">
        <f>WIOD.NAF17!K10 * Pond.Inputs!$B10/SUMPRODUCT(WIOD.NAF17!K$2:K$57,Pond.Inputs!$B$2:$B$57)</f>
        <v>0</v>
      </c>
      <c r="L10" s="8">
        <f>WIOD.NAF17!L10 * Pond.Inputs!$B10/SUMPRODUCT(WIOD.NAF17!L$2:L$57,Pond.Inputs!$B$2:$B$57)</f>
        <v>0</v>
      </c>
      <c r="M10" s="8">
        <f>WIOD.NAF17!M10 * Pond.Inputs!$B10/SUMPRODUCT(WIOD.NAF17!M$2:M$57,Pond.Inputs!$B$2:$B$57)</f>
        <v>0</v>
      </c>
      <c r="N10" s="8">
        <f>WIOD.NAF17!N10 * Pond.Inputs!$B10/SUMPRODUCT(WIOD.NAF17!N$2:N$57,Pond.Inputs!$B$2:$B$57)</f>
        <v>0</v>
      </c>
      <c r="O10" s="8">
        <f>WIOD.NAF17!O10 * Pond.Inputs!$B10/SUMPRODUCT(WIOD.NAF17!O$2:O$57,Pond.Inputs!$B$2:$B$57)</f>
        <v>0</v>
      </c>
      <c r="P10" s="8">
        <f>WIOD.NAF17!P10 * Pond.Inputs!$B10/SUMPRODUCT(WIOD.NAF17!P$2:P$57,Pond.Inputs!$B$2:$B$57)</f>
        <v>0</v>
      </c>
      <c r="Q10" s="8">
        <f>WIOD.NAF17!Q10 * Pond.Inputs!$B10/SUMPRODUCT(WIOD.NAF17!Q$2:Q$57,Pond.Inputs!$B$2:$B$57)</f>
        <v>0</v>
      </c>
      <c r="R10" s="8">
        <f>WIOD.NAF17!R10 * Pond.Inputs!$B10/SUMPRODUCT(WIOD.NAF17!R$2:R$57,Pond.Inputs!$B$2:$B$57)</f>
        <v>0</v>
      </c>
    </row>
    <row r="11" spans="1:20" x14ac:dyDescent="0.2">
      <c r="A11" s="1" t="s">
        <v>24</v>
      </c>
      <c r="B11" s="8">
        <f>WIOD.NAF17!B11 * Pond.Inputs!$B11/SUMPRODUCT(WIOD.NAF17!B$2:B$57,Pond.Inputs!$B$2:$B$57)</f>
        <v>0</v>
      </c>
      <c r="C11" s="8">
        <f>WIOD.NAF17!C11 * Pond.Inputs!$B11/SUMPRODUCT(WIOD.NAF17!C$2:C$57,Pond.Inputs!$B$2:$B$57)</f>
        <v>0</v>
      </c>
      <c r="D11" s="8">
        <f>WIOD.NAF17!D11 * Pond.Inputs!$B11/SUMPRODUCT(WIOD.NAF17!D$2:D$57,Pond.Inputs!$B$2:$B$57)</f>
        <v>0</v>
      </c>
      <c r="E11" s="8">
        <f>WIOD.NAF17!E11 * Pond.Inputs!$B11/SUMPRODUCT(WIOD.NAF17!E$2:E$57,Pond.Inputs!$B$2:$B$57)</f>
        <v>1</v>
      </c>
      <c r="F11" s="8">
        <f>WIOD.NAF17!F11 * Pond.Inputs!$B11/SUMPRODUCT(WIOD.NAF17!F$2:F$57,Pond.Inputs!$B$2:$B$57)</f>
        <v>0</v>
      </c>
      <c r="G11" s="8">
        <f>WIOD.NAF17!G11 * Pond.Inputs!$B11/SUMPRODUCT(WIOD.NAF17!G$2:G$57,Pond.Inputs!$B$2:$B$57)</f>
        <v>0</v>
      </c>
      <c r="H11" s="8">
        <f>WIOD.NAF17!H11 * Pond.Inputs!$B11/SUMPRODUCT(WIOD.NAF17!H$2:H$57,Pond.Inputs!$B$2:$B$57)</f>
        <v>0</v>
      </c>
      <c r="I11" s="8">
        <f>WIOD.NAF17!I11 * Pond.Inputs!$B11/SUMPRODUCT(WIOD.NAF17!I$2:I$57,Pond.Inputs!$B$2:$B$57)</f>
        <v>0</v>
      </c>
      <c r="J11" s="8">
        <f>WIOD.NAF17!J11 * Pond.Inputs!$B11/SUMPRODUCT(WIOD.NAF17!J$2:J$57,Pond.Inputs!$B$2:$B$57)</f>
        <v>0</v>
      </c>
      <c r="K11" s="8">
        <f>WIOD.NAF17!K11 * Pond.Inputs!$B11/SUMPRODUCT(WIOD.NAF17!K$2:K$57,Pond.Inputs!$B$2:$B$57)</f>
        <v>0</v>
      </c>
      <c r="L11" s="8">
        <f>WIOD.NAF17!L11 * Pond.Inputs!$B11/SUMPRODUCT(WIOD.NAF17!L$2:L$57,Pond.Inputs!$B$2:$B$57)</f>
        <v>0</v>
      </c>
      <c r="M11" s="8">
        <f>WIOD.NAF17!M11 * Pond.Inputs!$B11/SUMPRODUCT(WIOD.NAF17!M$2:M$57,Pond.Inputs!$B$2:$B$57)</f>
        <v>0</v>
      </c>
      <c r="N11" s="8">
        <f>WIOD.NAF17!N11 * Pond.Inputs!$B11/SUMPRODUCT(WIOD.NAF17!N$2:N$57,Pond.Inputs!$B$2:$B$57)</f>
        <v>0</v>
      </c>
      <c r="O11" s="8">
        <f>WIOD.NAF17!O11 * Pond.Inputs!$B11/SUMPRODUCT(WIOD.NAF17!O$2:O$57,Pond.Inputs!$B$2:$B$57)</f>
        <v>0</v>
      </c>
      <c r="P11" s="8">
        <f>WIOD.NAF17!P11 * Pond.Inputs!$B11/SUMPRODUCT(WIOD.NAF17!P$2:P$57,Pond.Inputs!$B$2:$B$57)</f>
        <v>0</v>
      </c>
      <c r="Q11" s="8">
        <f>WIOD.NAF17!Q11 * Pond.Inputs!$B11/SUMPRODUCT(WIOD.NAF17!Q$2:Q$57,Pond.Inputs!$B$2:$B$57)</f>
        <v>0</v>
      </c>
      <c r="R11" s="8">
        <f>WIOD.NAF17!R11 * Pond.Inputs!$B11/SUMPRODUCT(WIOD.NAF17!R$2:R$57,Pond.Inputs!$B$2:$B$57)</f>
        <v>0</v>
      </c>
    </row>
    <row r="12" spans="1:20" x14ac:dyDescent="0.2">
      <c r="A12" s="1" t="s">
        <v>25</v>
      </c>
      <c r="B12" s="8">
        <f>WIOD.NAF17!B12 * Pond.Inputs!$B12/SUMPRODUCT(WIOD.NAF17!B$2:B$57,Pond.Inputs!$B$2:$B$57)</f>
        <v>0</v>
      </c>
      <c r="C12" s="8">
        <f>WIOD.NAF17!C12 * Pond.Inputs!$B12/SUMPRODUCT(WIOD.NAF17!C$2:C$57,Pond.Inputs!$B$2:$B$57)</f>
        <v>0</v>
      </c>
      <c r="D12" s="8">
        <f>WIOD.NAF17!D12 * Pond.Inputs!$B12/SUMPRODUCT(WIOD.NAF17!D$2:D$57,Pond.Inputs!$B$2:$B$57)</f>
        <v>0</v>
      </c>
      <c r="E12" s="8">
        <f>WIOD.NAF17!E12 * Pond.Inputs!$B12/SUMPRODUCT(WIOD.NAF17!E$2:E$57,Pond.Inputs!$B$2:$B$57)</f>
        <v>0</v>
      </c>
      <c r="F12" s="8">
        <f>WIOD.NAF17!F12 * Pond.Inputs!$B12/SUMPRODUCT(WIOD.NAF17!F$2:F$57,Pond.Inputs!$B$2:$B$57)</f>
        <v>0</v>
      </c>
      <c r="G12" s="8">
        <f>WIOD.NAF17!G12 * Pond.Inputs!$B12/SUMPRODUCT(WIOD.NAF17!G$2:G$57,Pond.Inputs!$B$2:$B$57)</f>
        <v>0</v>
      </c>
      <c r="H12" s="8">
        <f>WIOD.NAF17!H12 * Pond.Inputs!$B12/SUMPRODUCT(WIOD.NAF17!H$2:H$57,Pond.Inputs!$B$2:$B$57)</f>
        <v>0.1989999645586967</v>
      </c>
      <c r="I12" s="8">
        <f>WIOD.NAF17!I12 * Pond.Inputs!$B12/SUMPRODUCT(WIOD.NAF17!I$2:I$57,Pond.Inputs!$B$2:$B$57)</f>
        <v>0</v>
      </c>
      <c r="J12" s="8">
        <f>WIOD.NAF17!J12 * Pond.Inputs!$B12/SUMPRODUCT(WIOD.NAF17!J$2:J$57,Pond.Inputs!$B$2:$B$57)</f>
        <v>0</v>
      </c>
      <c r="K12" s="8">
        <f>WIOD.NAF17!K12 * Pond.Inputs!$B12/SUMPRODUCT(WIOD.NAF17!K$2:K$57,Pond.Inputs!$B$2:$B$57)</f>
        <v>0</v>
      </c>
      <c r="L12" s="8">
        <f>WIOD.NAF17!L12 * Pond.Inputs!$B12/SUMPRODUCT(WIOD.NAF17!L$2:L$57,Pond.Inputs!$B$2:$B$57)</f>
        <v>0</v>
      </c>
      <c r="M12" s="8">
        <f>WIOD.NAF17!M12 * Pond.Inputs!$B12/SUMPRODUCT(WIOD.NAF17!M$2:M$57,Pond.Inputs!$B$2:$B$57)</f>
        <v>0</v>
      </c>
      <c r="N12" s="8">
        <f>WIOD.NAF17!N12 * Pond.Inputs!$B12/SUMPRODUCT(WIOD.NAF17!N$2:N$57,Pond.Inputs!$B$2:$B$57)</f>
        <v>0</v>
      </c>
      <c r="O12" s="8">
        <f>WIOD.NAF17!O12 * Pond.Inputs!$B12/SUMPRODUCT(WIOD.NAF17!O$2:O$57,Pond.Inputs!$B$2:$B$57)</f>
        <v>0</v>
      </c>
      <c r="P12" s="8">
        <f>WIOD.NAF17!P12 * Pond.Inputs!$B12/SUMPRODUCT(WIOD.NAF17!P$2:P$57,Pond.Inputs!$B$2:$B$57)</f>
        <v>0</v>
      </c>
      <c r="Q12" s="8">
        <f>WIOD.NAF17!Q12 * Pond.Inputs!$B12/SUMPRODUCT(WIOD.NAF17!Q$2:Q$57,Pond.Inputs!$B$2:$B$57)</f>
        <v>0</v>
      </c>
      <c r="R12" s="8">
        <f>WIOD.NAF17!R12 * Pond.Inputs!$B12/SUMPRODUCT(WIOD.NAF17!R$2:R$57,Pond.Inputs!$B$2:$B$57)</f>
        <v>0</v>
      </c>
    </row>
    <row r="13" spans="1:20" x14ac:dyDescent="0.2">
      <c r="A13" s="1" t="s">
        <v>26</v>
      </c>
      <c r="B13" s="8">
        <f>WIOD.NAF17!B13 * Pond.Inputs!$B13/SUMPRODUCT(WIOD.NAF17!B$2:B$57,Pond.Inputs!$B$2:$B$57)</f>
        <v>0</v>
      </c>
      <c r="C13" s="8">
        <f>WIOD.NAF17!C13 * Pond.Inputs!$B13/SUMPRODUCT(WIOD.NAF17!C$2:C$57,Pond.Inputs!$B$2:$B$57)</f>
        <v>0</v>
      </c>
      <c r="D13" s="8">
        <f>WIOD.NAF17!D13 * Pond.Inputs!$B13/SUMPRODUCT(WIOD.NAF17!D$2:D$57,Pond.Inputs!$B$2:$B$57)</f>
        <v>0</v>
      </c>
      <c r="E13" s="8">
        <f>WIOD.NAF17!E13 * Pond.Inputs!$B13/SUMPRODUCT(WIOD.NAF17!E$2:E$57,Pond.Inputs!$B$2:$B$57)</f>
        <v>0</v>
      </c>
      <c r="F13" s="8">
        <f>WIOD.NAF17!F13 * Pond.Inputs!$B13/SUMPRODUCT(WIOD.NAF17!F$2:F$57,Pond.Inputs!$B$2:$B$57)</f>
        <v>0</v>
      </c>
      <c r="G13" s="8">
        <f>WIOD.NAF17!G13 * Pond.Inputs!$B13/SUMPRODUCT(WIOD.NAF17!G$2:G$57,Pond.Inputs!$B$2:$B$57)</f>
        <v>0</v>
      </c>
      <c r="H13" s="8">
        <f>WIOD.NAF17!H13 * Pond.Inputs!$B13/SUMPRODUCT(WIOD.NAF17!H$2:H$57,Pond.Inputs!$B$2:$B$57)</f>
        <v>7.3295568655711366E-2</v>
      </c>
      <c r="I13" s="8">
        <f>WIOD.NAF17!I13 * Pond.Inputs!$B13/SUMPRODUCT(WIOD.NAF17!I$2:I$57,Pond.Inputs!$B$2:$B$57)</f>
        <v>0</v>
      </c>
      <c r="J13" s="8">
        <f>WIOD.NAF17!J13 * Pond.Inputs!$B13/SUMPRODUCT(WIOD.NAF17!J$2:J$57,Pond.Inputs!$B$2:$B$57)</f>
        <v>0</v>
      </c>
      <c r="K13" s="8">
        <f>WIOD.NAF17!K13 * Pond.Inputs!$B13/SUMPRODUCT(WIOD.NAF17!K$2:K$57,Pond.Inputs!$B$2:$B$57)</f>
        <v>0</v>
      </c>
      <c r="L13" s="8">
        <f>WIOD.NAF17!L13 * Pond.Inputs!$B13/SUMPRODUCT(WIOD.NAF17!L$2:L$57,Pond.Inputs!$B$2:$B$57)</f>
        <v>0</v>
      </c>
      <c r="M13" s="8">
        <f>WIOD.NAF17!M13 * Pond.Inputs!$B13/SUMPRODUCT(WIOD.NAF17!M$2:M$57,Pond.Inputs!$B$2:$B$57)</f>
        <v>0</v>
      </c>
      <c r="N13" s="8">
        <f>WIOD.NAF17!N13 * Pond.Inputs!$B13/SUMPRODUCT(WIOD.NAF17!N$2:N$57,Pond.Inputs!$B$2:$B$57)</f>
        <v>0</v>
      </c>
      <c r="O13" s="8">
        <f>WIOD.NAF17!O13 * Pond.Inputs!$B13/SUMPRODUCT(WIOD.NAF17!O$2:O$57,Pond.Inputs!$B$2:$B$57)</f>
        <v>0</v>
      </c>
      <c r="P13" s="8">
        <f>WIOD.NAF17!P13 * Pond.Inputs!$B13/SUMPRODUCT(WIOD.NAF17!P$2:P$57,Pond.Inputs!$B$2:$B$57)</f>
        <v>0</v>
      </c>
      <c r="Q13" s="8">
        <f>WIOD.NAF17!Q13 * Pond.Inputs!$B13/SUMPRODUCT(WIOD.NAF17!Q$2:Q$57,Pond.Inputs!$B$2:$B$57)</f>
        <v>0</v>
      </c>
      <c r="R13" s="8">
        <f>WIOD.NAF17!R13 * Pond.Inputs!$B13/SUMPRODUCT(WIOD.NAF17!R$2:R$57,Pond.Inputs!$B$2:$B$57)</f>
        <v>0</v>
      </c>
    </row>
    <row r="14" spans="1:20" x14ac:dyDescent="0.2">
      <c r="A14" s="1" t="s">
        <v>27</v>
      </c>
      <c r="B14" s="8">
        <f>WIOD.NAF17!B14 * Pond.Inputs!$B14/SUMPRODUCT(WIOD.NAF17!B$2:B$57,Pond.Inputs!$B$2:$B$57)</f>
        <v>0</v>
      </c>
      <c r="C14" s="8">
        <f>WIOD.NAF17!C14 * Pond.Inputs!$B14/SUMPRODUCT(WIOD.NAF17!C$2:C$57,Pond.Inputs!$B$2:$B$57)</f>
        <v>0</v>
      </c>
      <c r="D14" s="8">
        <f>WIOD.NAF17!D14 * Pond.Inputs!$B14/SUMPRODUCT(WIOD.NAF17!D$2:D$57,Pond.Inputs!$B$2:$B$57)</f>
        <v>0</v>
      </c>
      <c r="E14" s="8">
        <f>WIOD.NAF17!E14 * Pond.Inputs!$B14/SUMPRODUCT(WIOD.NAF17!E$2:E$57,Pond.Inputs!$B$2:$B$57)</f>
        <v>0</v>
      </c>
      <c r="F14" s="8">
        <f>WIOD.NAF17!F14 * Pond.Inputs!$B14/SUMPRODUCT(WIOD.NAF17!F$2:F$57,Pond.Inputs!$B$2:$B$57)</f>
        <v>0</v>
      </c>
      <c r="G14" s="8">
        <f>WIOD.NAF17!G14 * Pond.Inputs!$B14/SUMPRODUCT(WIOD.NAF17!G$2:G$57,Pond.Inputs!$B$2:$B$57)</f>
        <v>0</v>
      </c>
      <c r="H14" s="8">
        <f>WIOD.NAF17!H14 * Pond.Inputs!$B14/SUMPRODUCT(WIOD.NAF17!H$2:H$57,Pond.Inputs!$B$2:$B$57)</f>
        <v>8.9817122874998517E-2</v>
      </c>
      <c r="I14" s="8">
        <f>WIOD.NAF17!I14 * Pond.Inputs!$B14/SUMPRODUCT(WIOD.NAF17!I$2:I$57,Pond.Inputs!$B$2:$B$57)</f>
        <v>0</v>
      </c>
      <c r="J14" s="8">
        <f>WIOD.NAF17!J14 * Pond.Inputs!$B14/SUMPRODUCT(WIOD.NAF17!J$2:J$57,Pond.Inputs!$B$2:$B$57)</f>
        <v>0</v>
      </c>
      <c r="K14" s="8">
        <f>WIOD.NAF17!K14 * Pond.Inputs!$B14/SUMPRODUCT(WIOD.NAF17!K$2:K$57,Pond.Inputs!$B$2:$B$57)</f>
        <v>0</v>
      </c>
      <c r="L14" s="8">
        <f>WIOD.NAF17!L14 * Pond.Inputs!$B14/SUMPRODUCT(WIOD.NAF17!L$2:L$57,Pond.Inputs!$B$2:$B$57)</f>
        <v>0</v>
      </c>
      <c r="M14" s="8">
        <f>WIOD.NAF17!M14 * Pond.Inputs!$B14/SUMPRODUCT(WIOD.NAF17!M$2:M$57,Pond.Inputs!$B$2:$B$57)</f>
        <v>0</v>
      </c>
      <c r="N14" s="8">
        <f>WIOD.NAF17!N14 * Pond.Inputs!$B14/SUMPRODUCT(WIOD.NAF17!N$2:N$57,Pond.Inputs!$B$2:$B$57)</f>
        <v>0</v>
      </c>
      <c r="O14" s="8">
        <f>WIOD.NAF17!O14 * Pond.Inputs!$B14/SUMPRODUCT(WIOD.NAF17!O$2:O$57,Pond.Inputs!$B$2:$B$57)</f>
        <v>0</v>
      </c>
      <c r="P14" s="8">
        <f>WIOD.NAF17!P14 * Pond.Inputs!$B14/SUMPRODUCT(WIOD.NAF17!P$2:P$57,Pond.Inputs!$B$2:$B$57)</f>
        <v>0</v>
      </c>
      <c r="Q14" s="8">
        <f>WIOD.NAF17!Q14 * Pond.Inputs!$B14/SUMPRODUCT(WIOD.NAF17!Q$2:Q$57,Pond.Inputs!$B$2:$B$57)</f>
        <v>0</v>
      </c>
      <c r="R14" s="8">
        <f>WIOD.NAF17!R14 * Pond.Inputs!$B14/SUMPRODUCT(WIOD.NAF17!R$2:R$57,Pond.Inputs!$B$2:$B$57)</f>
        <v>0</v>
      </c>
    </row>
    <row r="15" spans="1:20" x14ac:dyDescent="0.2">
      <c r="A15" s="1" t="s">
        <v>28</v>
      </c>
      <c r="B15" s="8">
        <f>WIOD.NAF17!B15 * Pond.Inputs!$B15/SUMPRODUCT(WIOD.NAF17!B$2:B$57,Pond.Inputs!$B$2:$B$57)</f>
        <v>0</v>
      </c>
      <c r="C15" s="8">
        <f>WIOD.NAF17!C15 * Pond.Inputs!$B15/SUMPRODUCT(WIOD.NAF17!C$2:C$57,Pond.Inputs!$B$2:$B$57)</f>
        <v>0</v>
      </c>
      <c r="D15" s="8">
        <f>WIOD.NAF17!D15 * Pond.Inputs!$B15/SUMPRODUCT(WIOD.NAF17!D$2:D$57,Pond.Inputs!$B$2:$B$57)</f>
        <v>0</v>
      </c>
      <c r="E15" s="8">
        <f>WIOD.NAF17!E15 * Pond.Inputs!$B15/SUMPRODUCT(WIOD.NAF17!E$2:E$57,Pond.Inputs!$B$2:$B$57)</f>
        <v>0</v>
      </c>
      <c r="F15" s="8">
        <f>WIOD.NAF17!F15 * Pond.Inputs!$B15/SUMPRODUCT(WIOD.NAF17!F$2:F$57,Pond.Inputs!$B$2:$B$57)</f>
        <v>0</v>
      </c>
      <c r="G15" s="8">
        <f>WIOD.NAF17!G15 * Pond.Inputs!$B15/SUMPRODUCT(WIOD.NAF17!G$2:G$57,Pond.Inputs!$B$2:$B$57)</f>
        <v>0</v>
      </c>
      <c r="H15" s="8">
        <f>WIOD.NAF17!H15 * Pond.Inputs!$B15/SUMPRODUCT(WIOD.NAF17!H$2:H$57,Pond.Inputs!$B$2:$B$57)</f>
        <v>7.0655191560244315E-2</v>
      </c>
      <c r="I15" s="8">
        <f>WIOD.NAF17!I15 * Pond.Inputs!$B15/SUMPRODUCT(WIOD.NAF17!I$2:I$57,Pond.Inputs!$B$2:$B$57)</f>
        <v>0</v>
      </c>
      <c r="J15" s="8">
        <f>WIOD.NAF17!J15 * Pond.Inputs!$B15/SUMPRODUCT(WIOD.NAF17!J$2:J$57,Pond.Inputs!$B$2:$B$57)</f>
        <v>0</v>
      </c>
      <c r="K15" s="8">
        <f>WIOD.NAF17!K15 * Pond.Inputs!$B15/SUMPRODUCT(WIOD.NAF17!K$2:K$57,Pond.Inputs!$B$2:$B$57)</f>
        <v>0</v>
      </c>
      <c r="L15" s="8">
        <f>WIOD.NAF17!L15 * Pond.Inputs!$B15/SUMPRODUCT(WIOD.NAF17!L$2:L$57,Pond.Inputs!$B$2:$B$57)</f>
        <v>0</v>
      </c>
      <c r="M15" s="8">
        <f>WIOD.NAF17!M15 * Pond.Inputs!$B15/SUMPRODUCT(WIOD.NAF17!M$2:M$57,Pond.Inputs!$B$2:$B$57)</f>
        <v>0</v>
      </c>
      <c r="N15" s="8">
        <f>WIOD.NAF17!N15 * Pond.Inputs!$B15/SUMPRODUCT(WIOD.NAF17!N$2:N$57,Pond.Inputs!$B$2:$B$57)</f>
        <v>0</v>
      </c>
      <c r="O15" s="8">
        <f>WIOD.NAF17!O15 * Pond.Inputs!$B15/SUMPRODUCT(WIOD.NAF17!O$2:O$57,Pond.Inputs!$B$2:$B$57)</f>
        <v>0</v>
      </c>
      <c r="P15" s="8">
        <f>WIOD.NAF17!P15 * Pond.Inputs!$B15/SUMPRODUCT(WIOD.NAF17!P$2:P$57,Pond.Inputs!$B$2:$B$57)</f>
        <v>0</v>
      </c>
      <c r="Q15" s="8">
        <f>WIOD.NAF17!Q15 * Pond.Inputs!$B15/SUMPRODUCT(WIOD.NAF17!Q$2:Q$57,Pond.Inputs!$B$2:$B$57)</f>
        <v>0</v>
      </c>
      <c r="R15" s="8">
        <f>WIOD.NAF17!R15 * Pond.Inputs!$B15/SUMPRODUCT(WIOD.NAF17!R$2:R$57,Pond.Inputs!$B$2:$B$57)</f>
        <v>0</v>
      </c>
    </row>
    <row r="16" spans="1:20" x14ac:dyDescent="0.2">
      <c r="A16" s="1" t="s">
        <v>29</v>
      </c>
      <c r="B16" s="8">
        <f>WIOD.NAF17!B16 * Pond.Inputs!$B16/SUMPRODUCT(WIOD.NAF17!B$2:B$57,Pond.Inputs!$B$2:$B$57)</f>
        <v>0</v>
      </c>
      <c r="C16" s="8">
        <f>WIOD.NAF17!C16 * Pond.Inputs!$B16/SUMPRODUCT(WIOD.NAF17!C$2:C$57,Pond.Inputs!$B$2:$B$57)</f>
        <v>0</v>
      </c>
      <c r="D16" s="8">
        <f>WIOD.NAF17!D16 * Pond.Inputs!$B16/SUMPRODUCT(WIOD.NAF17!D$2:D$57,Pond.Inputs!$B$2:$B$57)</f>
        <v>0</v>
      </c>
      <c r="E16" s="8">
        <f>WIOD.NAF17!E16 * Pond.Inputs!$B16/SUMPRODUCT(WIOD.NAF17!E$2:E$57,Pond.Inputs!$B$2:$B$57)</f>
        <v>0</v>
      </c>
      <c r="F16" s="8">
        <f>WIOD.NAF17!F16 * Pond.Inputs!$B16/SUMPRODUCT(WIOD.NAF17!F$2:F$57,Pond.Inputs!$B$2:$B$57)</f>
        <v>0</v>
      </c>
      <c r="G16" s="8">
        <f>WIOD.NAF17!G16 * Pond.Inputs!$B16/SUMPRODUCT(WIOD.NAF17!G$2:G$57,Pond.Inputs!$B$2:$B$57)</f>
        <v>0</v>
      </c>
      <c r="H16" s="8">
        <f>WIOD.NAF17!H16 * Pond.Inputs!$B16/SUMPRODUCT(WIOD.NAF17!H$2:H$57,Pond.Inputs!$B$2:$B$57)</f>
        <v>9.5833284109300976E-2</v>
      </c>
      <c r="I16" s="8">
        <f>WIOD.NAF17!I16 * Pond.Inputs!$B16/SUMPRODUCT(WIOD.NAF17!I$2:I$57,Pond.Inputs!$B$2:$B$57)</f>
        <v>0</v>
      </c>
      <c r="J16" s="8">
        <f>WIOD.NAF17!J16 * Pond.Inputs!$B16/SUMPRODUCT(WIOD.NAF17!J$2:J$57,Pond.Inputs!$B$2:$B$57)</f>
        <v>0</v>
      </c>
      <c r="K16" s="8">
        <f>WIOD.NAF17!K16 * Pond.Inputs!$B16/SUMPRODUCT(WIOD.NAF17!K$2:K$57,Pond.Inputs!$B$2:$B$57)</f>
        <v>0</v>
      </c>
      <c r="L16" s="8">
        <f>WIOD.NAF17!L16 * Pond.Inputs!$B16/SUMPRODUCT(WIOD.NAF17!L$2:L$57,Pond.Inputs!$B$2:$B$57)</f>
        <v>0</v>
      </c>
      <c r="M16" s="8">
        <f>WIOD.NAF17!M16 * Pond.Inputs!$B16/SUMPRODUCT(WIOD.NAF17!M$2:M$57,Pond.Inputs!$B$2:$B$57)</f>
        <v>0</v>
      </c>
      <c r="N16" s="8">
        <f>WIOD.NAF17!N16 * Pond.Inputs!$B16/SUMPRODUCT(WIOD.NAF17!N$2:N$57,Pond.Inputs!$B$2:$B$57)</f>
        <v>0</v>
      </c>
      <c r="O16" s="8">
        <f>WIOD.NAF17!O16 * Pond.Inputs!$B16/SUMPRODUCT(WIOD.NAF17!O$2:O$57,Pond.Inputs!$B$2:$B$57)</f>
        <v>0</v>
      </c>
      <c r="P16" s="8">
        <f>WIOD.NAF17!P16 * Pond.Inputs!$B16/SUMPRODUCT(WIOD.NAF17!P$2:P$57,Pond.Inputs!$B$2:$B$57)</f>
        <v>0</v>
      </c>
      <c r="Q16" s="8">
        <f>WIOD.NAF17!Q16 * Pond.Inputs!$B16/SUMPRODUCT(WIOD.NAF17!Q$2:Q$57,Pond.Inputs!$B$2:$B$57)</f>
        <v>0</v>
      </c>
      <c r="R16" s="8">
        <f>WIOD.NAF17!R16 * Pond.Inputs!$B16/SUMPRODUCT(WIOD.NAF17!R$2:R$57,Pond.Inputs!$B$2:$B$57)</f>
        <v>0</v>
      </c>
    </row>
    <row r="17" spans="1:18" x14ac:dyDescent="0.2">
      <c r="A17" s="1" t="s">
        <v>30</v>
      </c>
      <c r="B17" s="8">
        <f>WIOD.NAF17!B17 * Pond.Inputs!$B17/SUMPRODUCT(WIOD.NAF17!B$2:B$57,Pond.Inputs!$B$2:$B$57)</f>
        <v>0</v>
      </c>
      <c r="C17" s="8">
        <f>WIOD.NAF17!C17 * Pond.Inputs!$B17/SUMPRODUCT(WIOD.NAF17!C$2:C$57,Pond.Inputs!$B$2:$B$57)</f>
        <v>0</v>
      </c>
      <c r="D17" s="8">
        <f>WIOD.NAF17!D17 * Pond.Inputs!$B17/SUMPRODUCT(WIOD.NAF17!D$2:D$57,Pond.Inputs!$B$2:$B$57)</f>
        <v>0</v>
      </c>
      <c r="E17" s="8">
        <f>WIOD.NAF17!E17 * Pond.Inputs!$B17/SUMPRODUCT(WIOD.NAF17!E$2:E$57,Pond.Inputs!$B$2:$B$57)</f>
        <v>0</v>
      </c>
      <c r="F17" s="8">
        <f>WIOD.NAF17!F17 * Pond.Inputs!$B17/SUMPRODUCT(WIOD.NAF17!F$2:F$57,Pond.Inputs!$B$2:$B$57)</f>
        <v>0</v>
      </c>
      <c r="G17" s="8">
        <f>WIOD.NAF17!G17 * Pond.Inputs!$B17/SUMPRODUCT(WIOD.NAF17!G$2:G$57,Pond.Inputs!$B$2:$B$57)</f>
        <v>0</v>
      </c>
      <c r="H17" s="8">
        <f>WIOD.NAF17!H17 * Pond.Inputs!$B17/SUMPRODUCT(WIOD.NAF17!H$2:H$57,Pond.Inputs!$B$2:$B$57)</f>
        <v>0.14465072595602915</v>
      </c>
      <c r="I17" s="8">
        <f>WIOD.NAF17!I17 * Pond.Inputs!$B17/SUMPRODUCT(WIOD.NAF17!I$2:I$57,Pond.Inputs!$B$2:$B$57)</f>
        <v>0</v>
      </c>
      <c r="J17" s="8">
        <f>WIOD.NAF17!J17 * Pond.Inputs!$B17/SUMPRODUCT(WIOD.NAF17!J$2:J$57,Pond.Inputs!$B$2:$B$57)</f>
        <v>0</v>
      </c>
      <c r="K17" s="8">
        <f>WIOD.NAF17!K17 * Pond.Inputs!$B17/SUMPRODUCT(WIOD.NAF17!K$2:K$57,Pond.Inputs!$B$2:$B$57)</f>
        <v>0</v>
      </c>
      <c r="L17" s="8">
        <f>WIOD.NAF17!L17 * Pond.Inputs!$B17/SUMPRODUCT(WIOD.NAF17!L$2:L$57,Pond.Inputs!$B$2:$B$57)</f>
        <v>0</v>
      </c>
      <c r="M17" s="8">
        <f>WIOD.NAF17!M17 * Pond.Inputs!$B17/SUMPRODUCT(WIOD.NAF17!M$2:M$57,Pond.Inputs!$B$2:$B$57)</f>
        <v>0</v>
      </c>
      <c r="N17" s="8">
        <f>WIOD.NAF17!N17 * Pond.Inputs!$B17/SUMPRODUCT(WIOD.NAF17!N$2:N$57,Pond.Inputs!$B$2:$B$57)</f>
        <v>0</v>
      </c>
      <c r="O17" s="8">
        <f>WIOD.NAF17!O17 * Pond.Inputs!$B17/SUMPRODUCT(WIOD.NAF17!O$2:O$57,Pond.Inputs!$B$2:$B$57)</f>
        <v>0</v>
      </c>
      <c r="P17" s="8">
        <f>WIOD.NAF17!P17 * Pond.Inputs!$B17/SUMPRODUCT(WIOD.NAF17!P$2:P$57,Pond.Inputs!$B$2:$B$57)</f>
        <v>0</v>
      </c>
      <c r="Q17" s="8">
        <f>WIOD.NAF17!Q17 * Pond.Inputs!$B17/SUMPRODUCT(WIOD.NAF17!Q$2:Q$57,Pond.Inputs!$B$2:$B$57)</f>
        <v>0</v>
      </c>
      <c r="R17" s="8">
        <f>WIOD.NAF17!R17 * Pond.Inputs!$B17/SUMPRODUCT(WIOD.NAF17!R$2:R$57,Pond.Inputs!$B$2:$B$57)</f>
        <v>0</v>
      </c>
    </row>
    <row r="18" spans="1:18" x14ac:dyDescent="0.2">
      <c r="A18" s="1" t="s">
        <v>31</v>
      </c>
      <c r="B18" s="8">
        <f>WIOD.NAF17!B18 * Pond.Inputs!$B18/SUMPRODUCT(WIOD.NAF17!B$2:B$57,Pond.Inputs!$B$2:$B$57)</f>
        <v>0</v>
      </c>
      <c r="C18" s="8">
        <f>WIOD.NAF17!C18 * Pond.Inputs!$B18/SUMPRODUCT(WIOD.NAF17!C$2:C$57,Pond.Inputs!$B$2:$B$57)</f>
        <v>0</v>
      </c>
      <c r="D18" s="8">
        <f>WIOD.NAF17!D18 * Pond.Inputs!$B18/SUMPRODUCT(WIOD.NAF17!D$2:D$57,Pond.Inputs!$B$2:$B$57)</f>
        <v>0</v>
      </c>
      <c r="E18" s="8">
        <f>WIOD.NAF17!E18 * Pond.Inputs!$B18/SUMPRODUCT(WIOD.NAF17!E$2:E$57,Pond.Inputs!$B$2:$B$57)</f>
        <v>0</v>
      </c>
      <c r="F18" s="8">
        <f>WIOD.NAF17!F18 * Pond.Inputs!$B18/SUMPRODUCT(WIOD.NAF17!F$2:F$57,Pond.Inputs!$B$2:$B$57)</f>
        <v>0.25153661143773381</v>
      </c>
      <c r="G18" s="8">
        <f>WIOD.NAF17!G18 * Pond.Inputs!$B18/SUMPRODUCT(WIOD.NAF17!G$2:G$57,Pond.Inputs!$B$2:$B$57)</f>
        <v>0</v>
      </c>
      <c r="H18" s="8">
        <f>WIOD.NAF17!H18 * Pond.Inputs!$B18/SUMPRODUCT(WIOD.NAF17!H$2:H$57,Pond.Inputs!$B$2:$B$57)</f>
        <v>0</v>
      </c>
      <c r="I18" s="8">
        <f>WIOD.NAF17!I18 * Pond.Inputs!$B18/SUMPRODUCT(WIOD.NAF17!I$2:I$57,Pond.Inputs!$B$2:$B$57)</f>
        <v>0</v>
      </c>
      <c r="J18" s="8">
        <f>WIOD.NAF17!J18 * Pond.Inputs!$B18/SUMPRODUCT(WIOD.NAF17!J$2:J$57,Pond.Inputs!$B$2:$B$57)</f>
        <v>0</v>
      </c>
      <c r="K18" s="8">
        <f>WIOD.NAF17!K18 * Pond.Inputs!$B18/SUMPRODUCT(WIOD.NAF17!K$2:K$57,Pond.Inputs!$B$2:$B$57)</f>
        <v>0</v>
      </c>
      <c r="L18" s="8">
        <f>WIOD.NAF17!L18 * Pond.Inputs!$B18/SUMPRODUCT(WIOD.NAF17!L$2:L$57,Pond.Inputs!$B$2:$B$57)</f>
        <v>0</v>
      </c>
      <c r="M18" s="8">
        <f>WIOD.NAF17!M18 * Pond.Inputs!$B18/SUMPRODUCT(WIOD.NAF17!M$2:M$57,Pond.Inputs!$B$2:$B$57)</f>
        <v>0</v>
      </c>
      <c r="N18" s="8">
        <f>WIOD.NAF17!N18 * Pond.Inputs!$B18/SUMPRODUCT(WIOD.NAF17!N$2:N$57,Pond.Inputs!$B$2:$B$57)</f>
        <v>0</v>
      </c>
      <c r="O18" s="8">
        <f>WIOD.NAF17!O18 * Pond.Inputs!$B18/SUMPRODUCT(WIOD.NAF17!O$2:O$57,Pond.Inputs!$B$2:$B$57)</f>
        <v>0</v>
      </c>
      <c r="P18" s="8">
        <f>WIOD.NAF17!P18 * Pond.Inputs!$B18/SUMPRODUCT(WIOD.NAF17!P$2:P$57,Pond.Inputs!$B$2:$B$57)</f>
        <v>0</v>
      </c>
      <c r="Q18" s="8">
        <f>WIOD.NAF17!Q18 * Pond.Inputs!$B18/SUMPRODUCT(WIOD.NAF17!Q$2:Q$57,Pond.Inputs!$B$2:$B$57)</f>
        <v>0</v>
      </c>
      <c r="R18" s="8">
        <f>WIOD.NAF17!R18 * Pond.Inputs!$B18/SUMPRODUCT(WIOD.NAF17!R$2:R$57,Pond.Inputs!$B$2:$B$57)</f>
        <v>0</v>
      </c>
    </row>
    <row r="19" spans="1:18" x14ac:dyDescent="0.2">
      <c r="A19" s="1" t="s">
        <v>32</v>
      </c>
      <c r="B19" s="8">
        <f>WIOD.NAF17!B19 * Pond.Inputs!$B19/SUMPRODUCT(WIOD.NAF17!B$2:B$57,Pond.Inputs!$B$2:$B$57)</f>
        <v>0</v>
      </c>
      <c r="C19" s="8">
        <f>WIOD.NAF17!C19 * Pond.Inputs!$B19/SUMPRODUCT(WIOD.NAF17!C$2:C$57,Pond.Inputs!$B$2:$B$57)</f>
        <v>0</v>
      </c>
      <c r="D19" s="8">
        <f>WIOD.NAF17!D19 * Pond.Inputs!$B19/SUMPRODUCT(WIOD.NAF17!D$2:D$57,Pond.Inputs!$B$2:$B$57)</f>
        <v>0</v>
      </c>
      <c r="E19" s="8">
        <f>WIOD.NAF17!E19 * Pond.Inputs!$B19/SUMPRODUCT(WIOD.NAF17!E$2:E$57,Pond.Inputs!$B$2:$B$57)</f>
        <v>0</v>
      </c>
      <c r="F19" s="8">
        <f>WIOD.NAF17!F19 * Pond.Inputs!$B19/SUMPRODUCT(WIOD.NAF17!F$2:F$57,Pond.Inputs!$B$2:$B$57)</f>
        <v>0.22580393728843756</v>
      </c>
      <c r="G19" s="8">
        <f>WIOD.NAF17!G19 * Pond.Inputs!$B19/SUMPRODUCT(WIOD.NAF17!G$2:G$57,Pond.Inputs!$B$2:$B$57)</f>
        <v>0</v>
      </c>
      <c r="H19" s="8">
        <f>WIOD.NAF17!H19 * Pond.Inputs!$B19/SUMPRODUCT(WIOD.NAF17!H$2:H$57,Pond.Inputs!$B$2:$B$57)</f>
        <v>0</v>
      </c>
      <c r="I19" s="8">
        <f>WIOD.NAF17!I19 * Pond.Inputs!$B19/SUMPRODUCT(WIOD.NAF17!I$2:I$57,Pond.Inputs!$B$2:$B$57)</f>
        <v>0</v>
      </c>
      <c r="J19" s="8">
        <f>WIOD.NAF17!J19 * Pond.Inputs!$B19/SUMPRODUCT(WIOD.NAF17!J$2:J$57,Pond.Inputs!$B$2:$B$57)</f>
        <v>0</v>
      </c>
      <c r="K19" s="8">
        <f>WIOD.NAF17!K19 * Pond.Inputs!$B19/SUMPRODUCT(WIOD.NAF17!K$2:K$57,Pond.Inputs!$B$2:$B$57)</f>
        <v>0</v>
      </c>
      <c r="L19" s="8">
        <f>WIOD.NAF17!L19 * Pond.Inputs!$B19/SUMPRODUCT(WIOD.NAF17!L$2:L$57,Pond.Inputs!$B$2:$B$57)</f>
        <v>0</v>
      </c>
      <c r="M19" s="8">
        <f>WIOD.NAF17!M19 * Pond.Inputs!$B19/SUMPRODUCT(WIOD.NAF17!M$2:M$57,Pond.Inputs!$B$2:$B$57)</f>
        <v>0</v>
      </c>
      <c r="N19" s="8">
        <f>WIOD.NAF17!N19 * Pond.Inputs!$B19/SUMPRODUCT(WIOD.NAF17!N$2:N$57,Pond.Inputs!$B$2:$B$57)</f>
        <v>0</v>
      </c>
      <c r="O19" s="8">
        <f>WIOD.NAF17!O19 * Pond.Inputs!$B19/SUMPRODUCT(WIOD.NAF17!O$2:O$57,Pond.Inputs!$B$2:$B$57)</f>
        <v>0</v>
      </c>
      <c r="P19" s="8">
        <f>WIOD.NAF17!P19 * Pond.Inputs!$B19/SUMPRODUCT(WIOD.NAF17!P$2:P$57,Pond.Inputs!$B$2:$B$57)</f>
        <v>0</v>
      </c>
      <c r="Q19" s="8">
        <f>WIOD.NAF17!Q19 * Pond.Inputs!$B19/SUMPRODUCT(WIOD.NAF17!Q$2:Q$57,Pond.Inputs!$B$2:$B$57)</f>
        <v>0</v>
      </c>
      <c r="R19" s="8">
        <f>WIOD.NAF17!R19 * Pond.Inputs!$B19/SUMPRODUCT(WIOD.NAF17!R$2:R$57,Pond.Inputs!$B$2:$B$57)</f>
        <v>0</v>
      </c>
    </row>
    <row r="20" spans="1:18" x14ac:dyDescent="0.2">
      <c r="A20" s="1" t="s">
        <v>33</v>
      </c>
      <c r="B20" s="8">
        <f>WIOD.NAF17!B20 * Pond.Inputs!$B20/SUMPRODUCT(WIOD.NAF17!B$2:B$57,Pond.Inputs!$B$2:$B$57)</f>
        <v>0</v>
      </c>
      <c r="C20" s="8">
        <f>WIOD.NAF17!C20 * Pond.Inputs!$B20/SUMPRODUCT(WIOD.NAF17!C$2:C$57,Pond.Inputs!$B$2:$B$57)</f>
        <v>0</v>
      </c>
      <c r="D20" s="8">
        <f>WIOD.NAF17!D20 * Pond.Inputs!$B20/SUMPRODUCT(WIOD.NAF17!D$2:D$57,Pond.Inputs!$B$2:$B$57)</f>
        <v>0</v>
      </c>
      <c r="E20" s="8">
        <f>WIOD.NAF17!E20 * Pond.Inputs!$B20/SUMPRODUCT(WIOD.NAF17!E$2:E$57,Pond.Inputs!$B$2:$B$57)</f>
        <v>0</v>
      </c>
      <c r="F20" s="8">
        <f>WIOD.NAF17!F20 * Pond.Inputs!$B20/SUMPRODUCT(WIOD.NAF17!F$2:F$57,Pond.Inputs!$B$2:$B$57)</f>
        <v>0.41643283449135937</v>
      </c>
      <c r="G20" s="8">
        <f>WIOD.NAF17!G20 * Pond.Inputs!$B20/SUMPRODUCT(WIOD.NAF17!G$2:G$57,Pond.Inputs!$B$2:$B$57)</f>
        <v>0</v>
      </c>
      <c r="H20" s="8">
        <f>WIOD.NAF17!H20 * Pond.Inputs!$B20/SUMPRODUCT(WIOD.NAF17!H$2:H$57,Pond.Inputs!$B$2:$B$57)</f>
        <v>0</v>
      </c>
      <c r="I20" s="8">
        <f>WIOD.NAF17!I20 * Pond.Inputs!$B20/SUMPRODUCT(WIOD.NAF17!I$2:I$57,Pond.Inputs!$B$2:$B$57)</f>
        <v>0</v>
      </c>
      <c r="J20" s="8">
        <f>WIOD.NAF17!J20 * Pond.Inputs!$B20/SUMPRODUCT(WIOD.NAF17!J$2:J$57,Pond.Inputs!$B$2:$B$57)</f>
        <v>0</v>
      </c>
      <c r="K20" s="8">
        <f>WIOD.NAF17!K20 * Pond.Inputs!$B20/SUMPRODUCT(WIOD.NAF17!K$2:K$57,Pond.Inputs!$B$2:$B$57)</f>
        <v>0</v>
      </c>
      <c r="L20" s="8">
        <f>WIOD.NAF17!L20 * Pond.Inputs!$B20/SUMPRODUCT(WIOD.NAF17!L$2:L$57,Pond.Inputs!$B$2:$B$57)</f>
        <v>0</v>
      </c>
      <c r="M20" s="8">
        <f>WIOD.NAF17!M20 * Pond.Inputs!$B20/SUMPRODUCT(WIOD.NAF17!M$2:M$57,Pond.Inputs!$B$2:$B$57)</f>
        <v>0</v>
      </c>
      <c r="N20" s="8">
        <f>WIOD.NAF17!N20 * Pond.Inputs!$B20/SUMPRODUCT(WIOD.NAF17!N$2:N$57,Pond.Inputs!$B$2:$B$57)</f>
        <v>0</v>
      </c>
      <c r="O20" s="8">
        <f>WIOD.NAF17!O20 * Pond.Inputs!$B20/SUMPRODUCT(WIOD.NAF17!O$2:O$57,Pond.Inputs!$B$2:$B$57)</f>
        <v>0</v>
      </c>
      <c r="P20" s="8">
        <f>WIOD.NAF17!P20 * Pond.Inputs!$B20/SUMPRODUCT(WIOD.NAF17!P$2:P$57,Pond.Inputs!$B$2:$B$57)</f>
        <v>0</v>
      </c>
      <c r="Q20" s="8">
        <f>WIOD.NAF17!Q20 * Pond.Inputs!$B20/SUMPRODUCT(WIOD.NAF17!Q$2:Q$57,Pond.Inputs!$B$2:$B$57)</f>
        <v>0</v>
      </c>
      <c r="R20" s="8">
        <f>WIOD.NAF17!R20 * Pond.Inputs!$B20/SUMPRODUCT(WIOD.NAF17!R$2:R$57,Pond.Inputs!$B$2:$B$57)</f>
        <v>0</v>
      </c>
    </row>
    <row r="21" spans="1:18" x14ac:dyDescent="0.2">
      <c r="A21" s="1" t="s">
        <v>34</v>
      </c>
      <c r="B21" s="8">
        <f>WIOD.NAF17!B21 * Pond.Inputs!$B21/SUMPRODUCT(WIOD.NAF17!B$2:B$57,Pond.Inputs!$B$2:$B$57)</f>
        <v>0</v>
      </c>
      <c r="C21" s="8">
        <f>WIOD.NAF17!C21 * Pond.Inputs!$B21/SUMPRODUCT(WIOD.NAF17!C$2:C$57,Pond.Inputs!$B$2:$B$57)</f>
        <v>0</v>
      </c>
      <c r="D21" s="8">
        <f>WIOD.NAF17!D21 * Pond.Inputs!$B21/SUMPRODUCT(WIOD.NAF17!D$2:D$57,Pond.Inputs!$B$2:$B$57)</f>
        <v>0</v>
      </c>
      <c r="E21" s="8">
        <f>WIOD.NAF17!E21 * Pond.Inputs!$B21/SUMPRODUCT(WIOD.NAF17!E$2:E$57,Pond.Inputs!$B$2:$B$57)</f>
        <v>0</v>
      </c>
      <c r="F21" s="8">
        <f>WIOD.NAF17!F21 * Pond.Inputs!$B21/SUMPRODUCT(WIOD.NAF17!F$2:F$57,Pond.Inputs!$B$2:$B$57)</f>
        <v>0</v>
      </c>
      <c r="G21" s="8">
        <f>WIOD.NAF17!G21 * Pond.Inputs!$B21/SUMPRODUCT(WIOD.NAF17!G$2:G$57,Pond.Inputs!$B$2:$B$57)</f>
        <v>0.47401975268846086</v>
      </c>
      <c r="H21" s="8">
        <f>WIOD.NAF17!H21 * Pond.Inputs!$B21/SUMPRODUCT(WIOD.NAF17!H$2:H$57,Pond.Inputs!$B$2:$B$57)</f>
        <v>0</v>
      </c>
      <c r="I21" s="8">
        <f>WIOD.NAF17!I21 * Pond.Inputs!$B21/SUMPRODUCT(WIOD.NAF17!I$2:I$57,Pond.Inputs!$B$2:$B$57)</f>
        <v>0</v>
      </c>
      <c r="J21" s="8">
        <f>WIOD.NAF17!J21 * Pond.Inputs!$B21/SUMPRODUCT(WIOD.NAF17!J$2:J$57,Pond.Inputs!$B$2:$B$57)</f>
        <v>0</v>
      </c>
      <c r="K21" s="8">
        <f>WIOD.NAF17!K21 * Pond.Inputs!$B21/SUMPRODUCT(WIOD.NAF17!K$2:K$57,Pond.Inputs!$B$2:$B$57)</f>
        <v>0</v>
      </c>
      <c r="L21" s="8">
        <f>WIOD.NAF17!L21 * Pond.Inputs!$B21/SUMPRODUCT(WIOD.NAF17!L$2:L$57,Pond.Inputs!$B$2:$B$57)</f>
        <v>0</v>
      </c>
      <c r="M21" s="8">
        <f>WIOD.NAF17!M21 * Pond.Inputs!$B21/SUMPRODUCT(WIOD.NAF17!M$2:M$57,Pond.Inputs!$B$2:$B$57)</f>
        <v>0</v>
      </c>
      <c r="N21" s="8">
        <f>WIOD.NAF17!N21 * Pond.Inputs!$B21/SUMPRODUCT(WIOD.NAF17!N$2:N$57,Pond.Inputs!$B$2:$B$57)</f>
        <v>0</v>
      </c>
      <c r="O21" s="8">
        <f>WIOD.NAF17!O21 * Pond.Inputs!$B21/SUMPRODUCT(WIOD.NAF17!O$2:O$57,Pond.Inputs!$B$2:$B$57)</f>
        <v>0</v>
      </c>
      <c r="P21" s="8">
        <f>WIOD.NAF17!P21 * Pond.Inputs!$B21/SUMPRODUCT(WIOD.NAF17!P$2:P$57,Pond.Inputs!$B$2:$B$57)</f>
        <v>0</v>
      </c>
      <c r="Q21" s="8">
        <f>WIOD.NAF17!Q21 * Pond.Inputs!$B21/SUMPRODUCT(WIOD.NAF17!Q$2:Q$57,Pond.Inputs!$B$2:$B$57)</f>
        <v>0</v>
      </c>
      <c r="R21" s="8">
        <f>WIOD.NAF17!R21 * Pond.Inputs!$B21/SUMPRODUCT(WIOD.NAF17!R$2:R$57,Pond.Inputs!$B$2:$B$57)</f>
        <v>0</v>
      </c>
    </row>
    <row r="22" spans="1:18" x14ac:dyDescent="0.2">
      <c r="A22" s="1" t="s">
        <v>35</v>
      </c>
      <c r="B22" s="8">
        <f>WIOD.NAF17!B22 * Pond.Inputs!$B22/SUMPRODUCT(WIOD.NAF17!B$2:B$57,Pond.Inputs!$B$2:$B$57)</f>
        <v>0</v>
      </c>
      <c r="C22" s="8">
        <f>WIOD.NAF17!C22 * Pond.Inputs!$B22/SUMPRODUCT(WIOD.NAF17!C$2:C$57,Pond.Inputs!$B$2:$B$57)</f>
        <v>0</v>
      </c>
      <c r="D22" s="8">
        <f>WIOD.NAF17!D22 * Pond.Inputs!$B22/SUMPRODUCT(WIOD.NAF17!D$2:D$57,Pond.Inputs!$B$2:$B$57)</f>
        <v>0</v>
      </c>
      <c r="E22" s="8">
        <f>WIOD.NAF17!E22 * Pond.Inputs!$B22/SUMPRODUCT(WIOD.NAF17!E$2:E$57,Pond.Inputs!$B$2:$B$57)</f>
        <v>0</v>
      </c>
      <c r="F22" s="8">
        <f>WIOD.NAF17!F22 * Pond.Inputs!$B22/SUMPRODUCT(WIOD.NAF17!F$2:F$57,Pond.Inputs!$B$2:$B$57)</f>
        <v>0</v>
      </c>
      <c r="G22" s="8">
        <f>WIOD.NAF17!G22 * Pond.Inputs!$B22/SUMPRODUCT(WIOD.NAF17!G$2:G$57,Pond.Inputs!$B$2:$B$57)</f>
        <v>0.52598024731153914</v>
      </c>
      <c r="H22" s="8">
        <f>WIOD.NAF17!H22 * Pond.Inputs!$B22/SUMPRODUCT(WIOD.NAF17!H$2:H$57,Pond.Inputs!$B$2:$B$57)</f>
        <v>0</v>
      </c>
      <c r="I22" s="8">
        <f>WIOD.NAF17!I22 * Pond.Inputs!$B22/SUMPRODUCT(WIOD.NAF17!I$2:I$57,Pond.Inputs!$B$2:$B$57)</f>
        <v>0</v>
      </c>
      <c r="J22" s="8">
        <f>WIOD.NAF17!J22 * Pond.Inputs!$B22/SUMPRODUCT(WIOD.NAF17!J$2:J$57,Pond.Inputs!$B$2:$B$57)</f>
        <v>0</v>
      </c>
      <c r="K22" s="8">
        <f>WIOD.NAF17!K22 * Pond.Inputs!$B22/SUMPRODUCT(WIOD.NAF17!K$2:K$57,Pond.Inputs!$B$2:$B$57)</f>
        <v>0</v>
      </c>
      <c r="L22" s="8">
        <f>WIOD.NAF17!L22 * Pond.Inputs!$B22/SUMPRODUCT(WIOD.NAF17!L$2:L$57,Pond.Inputs!$B$2:$B$57)</f>
        <v>0</v>
      </c>
      <c r="M22" s="8">
        <f>WIOD.NAF17!M22 * Pond.Inputs!$B22/SUMPRODUCT(WIOD.NAF17!M$2:M$57,Pond.Inputs!$B$2:$B$57)</f>
        <v>0</v>
      </c>
      <c r="N22" s="8">
        <f>WIOD.NAF17!N22 * Pond.Inputs!$B22/SUMPRODUCT(WIOD.NAF17!N$2:N$57,Pond.Inputs!$B$2:$B$57)</f>
        <v>0</v>
      </c>
      <c r="O22" s="8">
        <f>WIOD.NAF17!O22 * Pond.Inputs!$B22/SUMPRODUCT(WIOD.NAF17!O$2:O$57,Pond.Inputs!$B$2:$B$57)</f>
        <v>0</v>
      </c>
      <c r="P22" s="8">
        <f>WIOD.NAF17!P22 * Pond.Inputs!$B22/SUMPRODUCT(WIOD.NAF17!P$2:P$57,Pond.Inputs!$B$2:$B$57)</f>
        <v>0</v>
      </c>
      <c r="Q22" s="8">
        <f>WIOD.NAF17!Q22 * Pond.Inputs!$B22/SUMPRODUCT(WIOD.NAF17!Q$2:Q$57,Pond.Inputs!$B$2:$B$57)</f>
        <v>0</v>
      </c>
      <c r="R22" s="8">
        <f>WIOD.NAF17!R22 * Pond.Inputs!$B22/SUMPRODUCT(WIOD.NAF17!R$2:R$57,Pond.Inputs!$B$2:$B$57)</f>
        <v>0</v>
      </c>
    </row>
    <row r="23" spans="1:18" x14ac:dyDescent="0.2">
      <c r="A23" s="1" t="s">
        <v>36</v>
      </c>
      <c r="B23" s="8">
        <f>WIOD.NAF17!B23 * Pond.Inputs!$B23/SUMPRODUCT(WIOD.NAF17!B$2:B$57,Pond.Inputs!$B$2:$B$57)</f>
        <v>0</v>
      </c>
      <c r="C23" s="8">
        <f>WIOD.NAF17!C23 * Pond.Inputs!$B23/SUMPRODUCT(WIOD.NAF17!C$2:C$57,Pond.Inputs!$B$2:$B$57)</f>
        <v>0</v>
      </c>
      <c r="D23" s="8">
        <f>WIOD.NAF17!D23 * Pond.Inputs!$B23/SUMPRODUCT(WIOD.NAF17!D$2:D$57,Pond.Inputs!$B$2:$B$57)</f>
        <v>0</v>
      </c>
      <c r="E23" s="8">
        <f>WIOD.NAF17!E23 * Pond.Inputs!$B23/SUMPRODUCT(WIOD.NAF17!E$2:E$57,Pond.Inputs!$B$2:$B$57)</f>
        <v>0</v>
      </c>
      <c r="F23" s="8">
        <f>WIOD.NAF17!F23 * Pond.Inputs!$B23/SUMPRODUCT(WIOD.NAF17!F$2:F$57,Pond.Inputs!$B$2:$B$57)</f>
        <v>0</v>
      </c>
      <c r="G23" s="8">
        <f>WIOD.NAF17!G23 * Pond.Inputs!$B23/SUMPRODUCT(WIOD.NAF17!G$2:G$57,Pond.Inputs!$B$2:$B$57)</f>
        <v>0</v>
      </c>
      <c r="H23" s="8">
        <f>WIOD.NAF17!H23 * Pond.Inputs!$B23/SUMPRODUCT(WIOD.NAF17!H$2:H$57,Pond.Inputs!$B$2:$B$57)</f>
        <v>4.8173591503538227E-2</v>
      </c>
      <c r="I23" s="8">
        <f>WIOD.NAF17!I23 * Pond.Inputs!$B23/SUMPRODUCT(WIOD.NAF17!I$2:I$57,Pond.Inputs!$B$2:$B$57)</f>
        <v>0</v>
      </c>
      <c r="J23" s="8">
        <f>WIOD.NAF17!J23 * Pond.Inputs!$B23/SUMPRODUCT(WIOD.NAF17!J$2:J$57,Pond.Inputs!$B$2:$B$57)</f>
        <v>0</v>
      </c>
      <c r="K23" s="8">
        <f>WIOD.NAF17!K23 * Pond.Inputs!$B23/SUMPRODUCT(WIOD.NAF17!K$2:K$57,Pond.Inputs!$B$2:$B$57)</f>
        <v>0</v>
      </c>
      <c r="L23" s="8">
        <f>WIOD.NAF17!L23 * Pond.Inputs!$B23/SUMPRODUCT(WIOD.NAF17!L$2:L$57,Pond.Inputs!$B$2:$B$57)</f>
        <v>0</v>
      </c>
      <c r="M23" s="8">
        <f>WIOD.NAF17!M23 * Pond.Inputs!$B23/SUMPRODUCT(WIOD.NAF17!M$2:M$57,Pond.Inputs!$B$2:$B$57)</f>
        <v>0</v>
      </c>
      <c r="N23" s="8">
        <f>WIOD.NAF17!N23 * Pond.Inputs!$B23/SUMPRODUCT(WIOD.NAF17!N$2:N$57,Pond.Inputs!$B$2:$B$57)</f>
        <v>0</v>
      </c>
      <c r="O23" s="8">
        <f>WIOD.NAF17!O23 * Pond.Inputs!$B23/SUMPRODUCT(WIOD.NAF17!O$2:O$57,Pond.Inputs!$B$2:$B$57)</f>
        <v>0</v>
      </c>
      <c r="P23" s="8">
        <f>WIOD.NAF17!P23 * Pond.Inputs!$B23/SUMPRODUCT(WIOD.NAF17!P$2:P$57,Pond.Inputs!$B$2:$B$57)</f>
        <v>0</v>
      </c>
      <c r="Q23" s="8">
        <f>WIOD.NAF17!Q23 * Pond.Inputs!$B23/SUMPRODUCT(WIOD.NAF17!Q$2:Q$57,Pond.Inputs!$B$2:$B$57)</f>
        <v>0</v>
      </c>
      <c r="R23" s="8">
        <f>WIOD.NAF17!R23 * Pond.Inputs!$B23/SUMPRODUCT(WIOD.NAF17!R$2:R$57,Pond.Inputs!$B$2:$B$57)</f>
        <v>0</v>
      </c>
    </row>
    <row r="24" spans="1:18" x14ac:dyDescent="0.2">
      <c r="A24" s="1" t="s">
        <v>37</v>
      </c>
      <c r="B24" s="8">
        <f>WIOD.NAF17!B24 * Pond.Inputs!$B24/SUMPRODUCT(WIOD.NAF17!B$2:B$57,Pond.Inputs!$B$2:$B$57)</f>
        <v>0</v>
      </c>
      <c r="C24" s="8">
        <f>WIOD.NAF17!C24 * Pond.Inputs!$B24/SUMPRODUCT(WIOD.NAF17!C$2:C$57,Pond.Inputs!$B$2:$B$57)</f>
        <v>0</v>
      </c>
      <c r="D24" s="8">
        <f>WIOD.NAF17!D24 * Pond.Inputs!$B24/SUMPRODUCT(WIOD.NAF17!D$2:D$57,Pond.Inputs!$B$2:$B$57)</f>
        <v>0</v>
      </c>
      <c r="E24" s="8">
        <f>WIOD.NAF17!E24 * Pond.Inputs!$B24/SUMPRODUCT(WIOD.NAF17!E$2:E$57,Pond.Inputs!$B$2:$B$57)</f>
        <v>0</v>
      </c>
      <c r="F24" s="8">
        <f>WIOD.NAF17!F24 * Pond.Inputs!$B24/SUMPRODUCT(WIOD.NAF17!F$2:F$57,Pond.Inputs!$B$2:$B$57)</f>
        <v>0</v>
      </c>
      <c r="G24" s="8">
        <f>WIOD.NAF17!G24 * Pond.Inputs!$B24/SUMPRODUCT(WIOD.NAF17!G$2:G$57,Pond.Inputs!$B$2:$B$57)</f>
        <v>0</v>
      </c>
      <c r="H24" s="8">
        <f>WIOD.NAF17!H24 * Pond.Inputs!$B24/SUMPRODUCT(WIOD.NAF17!H$2:H$57,Pond.Inputs!$B$2:$B$57)</f>
        <v>0.15173307973111866</v>
      </c>
      <c r="I24" s="8">
        <f>WIOD.NAF17!I24 * Pond.Inputs!$B24/SUMPRODUCT(WIOD.NAF17!I$2:I$57,Pond.Inputs!$B$2:$B$57)</f>
        <v>0</v>
      </c>
      <c r="J24" s="8">
        <f>WIOD.NAF17!J24 * Pond.Inputs!$B24/SUMPRODUCT(WIOD.NAF17!J$2:J$57,Pond.Inputs!$B$2:$B$57)</f>
        <v>0</v>
      </c>
      <c r="K24" s="8">
        <f>WIOD.NAF17!K24 * Pond.Inputs!$B24/SUMPRODUCT(WIOD.NAF17!K$2:K$57,Pond.Inputs!$B$2:$B$57)</f>
        <v>0</v>
      </c>
      <c r="L24" s="8">
        <f>WIOD.NAF17!L24 * Pond.Inputs!$B24/SUMPRODUCT(WIOD.NAF17!L$2:L$57,Pond.Inputs!$B$2:$B$57)</f>
        <v>0</v>
      </c>
      <c r="M24" s="8">
        <f>WIOD.NAF17!M24 * Pond.Inputs!$B24/SUMPRODUCT(WIOD.NAF17!M$2:M$57,Pond.Inputs!$B$2:$B$57)</f>
        <v>0</v>
      </c>
      <c r="N24" s="8">
        <f>WIOD.NAF17!N24 * Pond.Inputs!$B24/SUMPRODUCT(WIOD.NAF17!N$2:N$57,Pond.Inputs!$B$2:$B$57)</f>
        <v>0</v>
      </c>
      <c r="O24" s="8">
        <f>WIOD.NAF17!O24 * Pond.Inputs!$B24/SUMPRODUCT(WIOD.NAF17!O$2:O$57,Pond.Inputs!$B$2:$B$57)</f>
        <v>0</v>
      </c>
      <c r="P24" s="8">
        <f>WIOD.NAF17!P24 * Pond.Inputs!$B24/SUMPRODUCT(WIOD.NAF17!P$2:P$57,Pond.Inputs!$B$2:$B$57)</f>
        <v>0</v>
      </c>
      <c r="Q24" s="8">
        <f>WIOD.NAF17!Q24 * Pond.Inputs!$B24/SUMPRODUCT(WIOD.NAF17!Q$2:Q$57,Pond.Inputs!$B$2:$B$57)</f>
        <v>0</v>
      </c>
      <c r="R24" s="8">
        <f>WIOD.NAF17!R24 * Pond.Inputs!$B24/SUMPRODUCT(WIOD.NAF17!R$2:R$57,Pond.Inputs!$B$2:$B$57)</f>
        <v>0</v>
      </c>
    </row>
    <row r="25" spans="1:18" x14ac:dyDescent="0.2">
      <c r="A25" s="1" t="s">
        <v>38</v>
      </c>
      <c r="B25" s="8">
        <f>WIOD.NAF17!B25 * Pond.Inputs!$B25/SUMPRODUCT(WIOD.NAF17!B$2:B$57,Pond.Inputs!$B$2:$B$57)</f>
        <v>0</v>
      </c>
      <c r="C25" s="8">
        <f>WIOD.NAF17!C25 * Pond.Inputs!$B25/SUMPRODUCT(WIOD.NAF17!C$2:C$57,Pond.Inputs!$B$2:$B$57)</f>
        <v>0.71325477178423236</v>
      </c>
      <c r="D25" s="8">
        <f>WIOD.NAF17!D25 * Pond.Inputs!$B25/SUMPRODUCT(WIOD.NAF17!D$2:D$57,Pond.Inputs!$B$2:$B$57)</f>
        <v>0</v>
      </c>
      <c r="E25" s="8">
        <f>WIOD.NAF17!E25 * Pond.Inputs!$B25/SUMPRODUCT(WIOD.NAF17!E$2:E$57,Pond.Inputs!$B$2:$B$57)</f>
        <v>0</v>
      </c>
      <c r="F25" s="8">
        <f>WIOD.NAF17!F25 * Pond.Inputs!$B25/SUMPRODUCT(WIOD.NAF17!F$2:F$57,Pond.Inputs!$B$2:$B$57)</f>
        <v>0</v>
      </c>
      <c r="G25" s="8">
        <f>WIOD.NAF17!G25 * Pond.Inputs!$B25/SUMPRODUCT(WIOD.NAF17!G$2:G$57,Pond.Inputs!$B$2:$B$57)</f>
        <v>0</v>
      </c>
      <c r="H25" s="8">
        <f>WIOD.NAF17!H25 * Pond.Inputs!$B25/SUMPRODUCT(WIOD.NAF17!H$2:H$57,Pond.Inputs!$B$2:$B$57)</f>
        <v>0</v>
      </c>
      <c r="I25" s="8">
        <f>WIOD.NAF17!I25 * Pond.Inputs!$B25/SUMPRODUCT(WIOD.NAF17!I$2:I$57,Pond.Inputs!$B$2:$B$57)</f>
        <v>0</v>
      </c>
      <c r="J25" s="8">
        <f>WIOD.NAF17!J25 * Pond.Inputs!$B25/SUMPRODUCT(WIOD.NAF17!J$2:J$57,Pond.Inputs!$B$2:$B$57)</f>
        <v>0</v>
      </c>
      <c r="K25" s="8">
        <f>WIOD.NAF17!K25 * Pond.Inputs!$B25/SUMPRODUCT(WIOD.NAF17!K$2:K$57,Pond.Inputs!$B$2:$B$57)</f>
        <v>0</v>
      </c>
      <c r="L25" s="8">
        <f>WIOD.NAF17!L25 * Pond.Inputs!$B25/SUMPRODUCT(WIOD.NAF17!L$2:L$57,Pond.Inputs!$B$2:$B$57)</f>
        <v>0</v>
      </c>
      <c r="M25" s="8">
        <f>WIOD.NAF17!M25 * Pond.Inputs!$B25/SUMPRODUCT(WIOD.NAF17!M$2:M$57,Pond.Inputs!$B$2:$B$57)</f>
        <v>0</v>
      </c>
      <c r="N25" s="8">
        <f>WIOD.NAF17!N25 * Pond.Inputs!$B25/SUMPRODUCT(WIOD.NAF17!N$2:N$57,Pond.Inputs!$B$2:$B$57)</f>
        <v>0</v>
      </c>
      <c r="O25" s="8">
        <f>WIOD.NAF17!O25 * Pond.Inputs!$B25/SUMPRODUCT(WIOD.NAF17!O$2:O$57,Pond.Inputs!$B$2:$B$57)</f>
        <v>0</v>
      </c>
      <c r="P25" s="8">
        <f>WIOD.NAF17!P25 * Pond.Inputs!$B25/SUMPRODUCT(WIOD.NAF17!P$2:P$57,Pond.Inputs!$B$2:$B$57)</f>
        <v>0</v>
      </c>
      <c r="Q25" s="8">
        <f>WIOD.NAF17!Q25 * Pond.Inputs!$B25/SUMPRODUCT(WIOD.NAF17!Q$2:Q$57,Pond.Inputs!$B$2:$B$57)</f>
        <v>0</v>
      </c>
      <c r="R25" s="8">
        <f>WIOD.NAF17!R25 * Pond.Inputs!$B25/SUMPRODUCT(WIOD.NAF17!R$2:R$57,Pond.Inputs!$B$2:$B$57)</f>
        <v>0</v>
      </c>
    </row>
    <row r="26" spans="1:18" x14ac:dyDescent="0.2">
      <c r="A26" s="1" t="s">
        <v>39</v>
      </c>
      <c r="B26" s="8">
        <f>WIOD.NAF17!B26 * Pond.Inputs!$B26/SUMPRODUCT(WIOD.NAF17!B$2:B$57,Pond.Inputs!$B$2:$B$57)</f>
        <v>0</v>
      </c>
      <c r="C26" s="8">
        <f>WIOD.NAF17!C26 * Pond.Inputs!$B26/SUMPRODUCT(WIOD.NAF17!C$2:C$57,Pond.Inputs!$B$2:$B$57)</f>
        <v>6.4099585062240658E-2</v>
      </c>
      <c r="D26" s="8">
        <f>WIOD.NAF17!D26 * Pond.Inputs!$B26/SUMPRODUCT(WIOD.NAF17!D$2:D$57,Pond.Inputs!$B$2:$B$57)</f>
        <v>0</v>
      </c>
      <c r="E26" s="8">
        <f>WIOD.NAF17!E26 * Pond.Inputs!$B26/SUMPRODUCT(WIOD.NAF17!E$2:E$57,Pond.Inputs!$B$2:$B$57)</f>
        <v>0</v>
      </c>
      <c r="F26" s="8">
        <f>WIOD.NAF17!F26 * Pond.Inputs!$B26/SUMPRODUCT(WIOD.NAF17!F$2:F$57,Pond.Inputs!$B$2:$B$57)</f>
        <v>0</v>
      </c>
      <c r="G26" s="8">
        <f>WIOD.NAF17!G26 * Pond.Inputs!$B26/SUMPRODUCT(WIOD.NAF17!G$2:G$57,Pond.Inputs!$B$2:$B$57)</f>
        <v>0</v>
      </c>
      <c r="H26" s="8">
        <f>WIOD.NAF17!H26 * Pond.Inputs!$B26/SUMPRODUCT(WIOD.NAF17!H$2:H$57,Pond.Inputs!$B$2:$B$57)</f>
        <v>0</v>
      </c>
      <c r="I26" s="8">
        <f>WIOD.NAF17!I26 * Pond.Inputs!$B26/SUMPRODUCT(WIOD.NAF17!I$2:I$57,Pond.Inputs!$B$2:$B$57)</f>
        <v>0</v>
      </c>
      <c r="J26" s="8">
        <f>WIOD.NAF17!J26 * Pond.Inputs!$B26/SUMPRODUCT(WIOD.NAF17!J$2:J$57,Pond.Inputs!$B$2:$B$57)</f>
        <v>0</v>
      </c>
      <c r="K26" s="8">
        <f>WIOD.NAF17!K26 * Pond.Inputs!$B26/SUMPRODUCT(WIOD.NAF17!K$2:K$57,Pond.Inputs!$B$2:$B$57)</f>
        <v>0</v>
      </c>
      <c r="L26" s="8">
        <f>WIOD.NAF17!L26 * Pond.Inputs!$B26/SUMPRODUCT(WIOD.NAF17!L$2:L$57,Pond.Inputs!$B$2:$B$57)</f>
        <v>0</v>
      </c>
      <c r="M26" s="8">
        <f>WIOD.NAF17!M26 * Pond.Inputs!$B26/SUMPRODUCT(WIOD.NAF17!M$2:M$57,Pond.Inputs!$B$2:$B$57)</f>
        <v>0</v>
      </c>
      <c r="N26" s="8">
        <f>WIOD.NAF17!N26 * Pond.Inputs!$B26/SUMPRODUCT(WIOD.NAF17!N$2:N$57,Pond.Inputs!$B$2:$B$57)</f>
        <v>0</v>
      </c>
      <c r="O26" s="8">
        <f>WIOD.NAF17!O26 * Pond.Inputs!$B26/SUMPRODUCT(WIOD.NAF17!O$2:O$57,Pond.Inputs!$B$2:$B$57)</f>
        <v>0</v>
      </c>
      <c r="P26" s="8">
        <f>WIOD.NAF17!P26 * Pond.Inputs!$B26/SUMPRODUCT(WIOD.NAF17!P$2:P$57,Pond.Inputs!$B$2:$B$57)</f>
        <v>0</v>
      </c>
      <c r="Q26" s="8">
        <f>WIOD.NAF17!Q26 * Pond.Inputs!$B26/SUMPRODUCT(WIOD.NAF17!Q$2:Q$57,Pond.Inputs!$B$2:$B$57)</f>
        <v>0</v>
      </c>
      <c r="R26" s="8">
        <f>WIOD.NAF17!R26 * Pond.Inputs!$B26/SUMPRODUCT(WIOD.NAF17!R$2:R$57,Pond.Inputs!$B$2:$B$57)</f>
        <v>0</v>
      </c>
    </row>
    <row r="27" spans="1:18" x14ac:dyDescent="0.2">
      <c r="A27" s="1" t="s">
        <v>40</v>
      </c>
      <c r="B27" s="8">
        <f>WIOD.NAF17!B27 * Pond.Inputs!$B27/SUMPRODUCT(WIOD.NAF17!B$2:B$57,Pond.Inputs!$B$2:$B$57)</f>
        <v>0</v>
      </c>
      <c r="C27" s="8">
        <f>WIOD.NAF17!C27 * Pond.Inputs!$B27/SUMPRODUCT(WIOD.NAF17!C$2:C$57,Pond.Inputs!$B$2:$B$57)</f>
        <v>0.18654937759336099</v>
      </c>
      <c r="D27" s="8">
        <f>WIOD.NAF17!D27 * Pond.Inputs!$B27/SUMPRODUCT(WIOD.NAF17!D$2:D$57,Pond.Inputs!$B$2:$B$57)</f>
        <v>0</v>
      </c>
      <c r="E27" s="8">
        <f>WIOD.NAF17!E27 * Pond.Inputs!$B27/SUMPRODUCT(WIOD.NAF17!E$2:E$57,Pond.Inputs!$B$2:$B$57)</f>
        <v>0</v>
      </c>
      <c r="F27" s="8">
        <f>WIOD.NAF17!F27 * Pond.Inputs!$B27/SUMPRODUCT(WIOD.NAF17!F$2:F$57,Pond.Inputs!$B$2:$B$57)</f>
        <v>0</v>
      </c>
      <c r="G27" s="8">
        <f>WIOD.NAF17!G27 * Pond.Inputs!$B27/SUMPRODUCT(WIOD.NAF17!G$2:G$57,Pond.Inputs!$B$2:$B$57)</f>
        <v>0</v>
      </c>
      <c r="H27" s="8">
        <f>WIOD.NAF17!H27 * Pond.Inputs!$B27/SUMPRODUCT(WIOD.NAF17!H$2:H$57,Pond.Inputs!$B$2:$B$57)</f>
        <v>0</v>
      </c>
      <c r="I27" s="8">
        <f>WIOD.NAF17!I27 * Pond.Inputs!$B27/SUMPRODUCT(WIOD.NAF17!I$2:I$57,Pond.Inputs!$B$2:$B$57)</f>
        <v>0</v>
      </c>
      <c r="J27" s="8">
        <f>WIOD.NAF17!J27 * Pond.Inputs!$B27/SUMPRODUCT(WIOD.NAF17!J$2:J$57,Pond.Inputs!$B$2:$B$57)</f>
        <v>0</v>
      </c>
      <c r="K27" s="8">
        <f>WIOD.NAF17!K27 * Pond.Inputs!$B27/SUMPRODUCT(WIOD.NAF17!K$2:K$57,Pond.Inputs!$B$2:$B$57)</f>
        <v>0</v>
      </c>
      <c r="L27" s="8">
        <f>WIOD.NAF17!L27 * Pond.Inputs!$B27/SUMPRODUCT(WIOD.NAF17!L$2:L$57,Pond.Inputs!$B$2:$B$57)</f>
        <v>0</v>
      </c>
      <c r="M27" s="8">
        <f>WIOD.NAF17!M27 * Pond.Inputs!$B27/SUMPRODUCT(WIOD.NAF17!M$2:M$57,Pond.Inputs!$B$2:$B$57)</f>
        <v>0</v>
      </c>
      <c r="N27" s="8">
        <f>WIOD.NAF17!N27 * Pond.Inputs!$B27/SUMPRODUCT(WIOD.NAF17!N$2:N$57,Pond.Inputs!$B$2:$B$57)</f>
        <v>0</v>
      </c>
      <c r="O27" s="8">
        <f>WIOD.NAF17!O27 * Pond.Inputs!$B27/SUMPRODUCT(WIOD.NAF17!O$2:O$57,Pond.Inputs!$B$2:$B$57)</f>
        <v>0</v>
      </c>
      <c r="P27" s="8">
        <f>WIOD.NAF17!P27 * Pond.Inputs!$B27/SUMPRODUCT(WIOD.NAF17!P$2:P$57,Pond.Inputs!$B$2:$B$57)</f>
        <v>0</v>
      </c>
      <c r="Q27" s="8">
        <f>WIOD.NAF17!Q27 * Pond.Inputs!$B27/SUMPRODUCT(WIOD.NAF17!Q$2:Q$57,Pond.Inputs!$B$2:$B$57)</f>
        <v>0</v>
      </c>
      <c r="R27" s="8">
        <f>WIOD.NAF17!R27 * Pond.Inputs!$B27/SUMPRODUCT(WIOD.NAF17!R$2:R$57,Pond.Inputs!$B$2:$B$57)</f>
        <v>0</v>
      </c>
    </row>
    <row r="28" spans="1:18" x14ac:dyDescent="0.2">
      <c r="A28" s="1" t="s">
        <v>41</v>
      </c>
      <c r="B28" s="8">
        <f>WIOD.NAF17!B28 * Pond.Inputs!$B28/SUMPRODUCT(WIOD.NAF17!B$2:B$57,Pond.Inputs!$B$2:$B$57)</f>
        <v>0</v>
      </c>
      <c r="C28" s="8">
        <f>WIOD.NAF17!C28 * Pond.Inputs!$B28/SUMPRODUCT(WIOD.NAF17!C$2:C$57,Pond.Inputs!$B$2:$B$57)</f>
        <v>0</v>
      </c>
      <c r="D28" s="8">
        <f>WIOD.NAF17!D28 * Pond.Inputs!$B28/SUMPRODUCT(WIOD.NAF17!D$2:D$57,Pond.Inputs!$B$2:$B$57)</f>
        <v>0</v>
      </c>
      <c r="E28" s="8">
        <f>WIOD.NAF17!E28 * Pond.Inputs!$B28/SUMPRODUCT(WIOD.NAF17!E$2:E$57,Pond.Inputs!$B$2:$B$57)</f>
        <v>0</v>
      </c>
      <c r="F28" s="8">
        <f>WIOD.NAF17!F28 * Pond.Inputs!$B28/SUMPRODUCT(WIOD.NAF17!F$2:F$57,Pond.Inputs!$B$2:$B$57)</f>
        <v>0</v>
      </c>
      <c r="G28" s="8">
        <f>WIOD.NAF17!G28 * Pond.Inputs!$B28/SUMPRODUCT(WIOD.NAF17!G$2:G$57,Pond.Inputs!$B$2:$B$57)</f>
        <v>0</v>
      </c>
      <c r="H28" s="8">
        <f>WIOD.NAF17!H28 * Pond.Inputs!$B28/SUMPRODUCT(WIOD.NAF17!H$2:H$57,Pond.Inputs!$B$2:$B$57)</f>
        <v>0</v>
      </c>
      <c r="I28" s="8">
        <f>WIOD.NAF17!I28 * Pond.Inputs!$B28/SUMPRODUCT(WIOD.NAF17!I$2:I$57,Pond.Inputs!$B$2:$B$57)</f>
        <v>1</v>
      </c>
      <c r="J28" s="8">
        <f>WIOD.NAF17!J28 * Pond.Inputs!$B28/SUMPRODUCT(WIOD.NAF17!J$2:J$57,Pond.Inputs!$B$2:$B$57)</f>
        <v>0</v>
      </c>
      <c r="K28" s="8">
        <f>WIOD.NAF17!K28 * Pond.Inputs!$B28/SUMPRODUCT(WIOD.NAF17!K$2:K$57,Pond.Inputs!$B$2:$B$57)</f>
        <v>0</v>
      </c>
      <c r="L28" s="8">
        <f>WIOD.NAF17!L28 * Pond.Inputs!$B28/SUMPRODUCT(WIOD.NAF17!L$2:L$57,Pond.Inputs!$B$2:$B$57)</f>
        <v>0</v>
      </c>
      <c r="M28" s="8">
        <f>WIOD.NAF17!M28 * Pond.Inputs!$B28/SUMPRODUCT(WIOD.NAF17!M$2:M$57,Pond.Inputs!$B$2:$B$57)</f>
        <v>0</v>
      </c>
      <c r="N28" s="8">
        <f>WIOD.NAF17!N28 * Pond.Inputs!$B28/SUMPRODUCT(WIOD.NAF17!N$2:N$57,Pond.Inputs!$B$2:$B$57)</f>
        <v>0</v>
      </c>
      <c r="O28" s="8">
        <f>WIOD.NAF17!O28 * Pond.Inputs!$B28/SUMPRODUCT(WIOD.NAF17!O$2:O$57,Pond.Inputs!$B$2:$B$57)</f>
        <v>0</v>
      </c>
      <c r="P28" s="8">
        <f>WIOD.NAF17!P28 * Pond.Inputs!$B28/SUMPRODUCT(WIOD.NAF17!P$2:P$57,Pond.Inputs!$B$2:$B$57)</f>
        <v>0</v>
      </c>
      <c r="Q28" s="8">
        <f>WIOD.NAF17!Q28 * Pond.Inputs!$B28/SUMPRODUCT(WIOD.NAF17!Q$2:Q$57,Pond.Inputs!$B$2:$B$57)</f>
        <v>0</v>
      </c>
      <c r="R28" s="8">
        <f>WIOD.NAF17!R28 * Pond.Inputs!$B28/SUMPRODUCT(WIOD.NAF17!R$2:R$57,Pond.Inputs!$B$2:$B$57)</f>
        <v>0</v>
      </c>
    </row>
    <row r="29" spans="1:18" x14ac:dyDescent="0.2">
      <c r="A29" s="1" t="s">
        <v>42</v>
      </c>
      <c r="B29" s="8">
        <f>WIOD.NAF17!B29 * Pond.Inputs!$B29/SUMPRODUCT(WIOD.NAF17!B$2:B$57,Pond.Inputs!$B$2:$B$57)</f>
        <v>0</v>
      </c>
      <c r="C29" s="8">
        <f>WIOD.NAF17!C29 * Pond.Inputs!$B29/SUMPRODUCT(WIOD.NAF17!C$2:C$57,Pond.Inputs!$B$2:$B$57)</f>
        <v>0</v>
      </c>
      <c r="D29" s="8">
        <f>WIOD.NAF17!D29 * Pond.Inputs!$B29/SUMPRODUCT(WIOD.NAF17!D$2:D$57,Pond.Inputs!$B$2:$B$57)</f>
        <v>0</v>
      </c>
      <c r="E29" s="8">
        <f>WIOD.NAF17!E29 * Pond.Inputs!$B29/SUMPRODUCT(WIOD.NAF17!E$2:E$57,Pond.Inputs!$B$2:$B$57)</f>
        <v>0</v>
      </c>
      <c r="F29" s="8">
        <f>WIOD.NAF17!F29 * Pond.Inputs!$B29/SUMPRODUCT(WIOD.NAF17!F$2:F$57,Pond.Inputs!$B$2:$B$57)</f>
        <v>0</v>
      </c>
      <c r="G29" s="8">
        <f>WIOD.NAF17!G29 * Pond.Inputs!$B29/SUMPRODUCT(WIOD.NAF17!G$2:G$57,Pond.Inputs!$B$2:$B$57)</f>
        <v>0</v>
      </c>
      <c r="H29" s="8">
        <f>WIOD.NAF17!H29 * Pond.Inputs!$B29/SUMPRODUCT(WIOD.NAF17!H$2:H$57,Pond.Inputs!$B$2:$B$57)</f>
        <v>0</v>
      </c>
      <c r="I29" s="8">
        <f>WIOD.NAF17!I29 * Pond.Inputs!$B29/SUMPRODUCT(WIOD.NAF17!I$2:I$57,Pond.Inputs!$B$2:$B$57)</f>
        <v>0</v>
      </c>
      <c r="J29" s="8">
        <f>WIOD.NAF17!J29 * Pond.Inputs!$B29/SUMPRODUCT(WIOD.NAF17!J$2:J$57,Pond.Inputs!$B$2:$B$57)</f>
        <v>0.1173155737704918</v>
      </c>
      <c r="K29" s="8">
        <f>WIOD.NAF17!K29 * Pond.Inputs!$B29/SUMPRODUCT(WIOD.NAF17!K$2:K$57,Pond.Inputs!$B$2:$B$57)</f>
        <v>0</v>
      </c>
      <c r="L29" s="8">
        <f>WIOD.NAF17!L29 * Pond.Inputs!$B29/SUMPRODUCT(WIOD.NAF17!L$2:L$57,Pond.Inputs!$B$2:$B$57)</f>
        <v>0</v>
      </c>
      <c r="M29" s="8">
        <f>WIOD.NAF17!M29 * Pond.Inputs!$B29/SUMPRODUCT(WIOD.NAF17!M$2:M$57,Pond.Inputs!$B$2:$B$57)</f>
        <v>0</v>
      </c>
      <c r="N29" s="8">
        <f>WIOD.NAF17!N29 * Pond.Inputs!$B29/SUMPRODUCT(WIOD.NAF17!N$2:N$57,Pond.Inputs!$B$2:$B$57)</f>
        <v>0</v>
      </c>
      <c r="O29" s="8">
        <f>WIOD.NAF17!O29 * Pond.Inputs!$B29/SUMPRODUCT(WIOD.NAF17!O$2:O$57,Pond.Inputs!$B$2:$B$57)</f>
        <v>0</v>
      </c>
      <c r="P29" s="8">
        <f>WIOD.NAF17!P29 * Pond.Inputs!$B29/SUMPRODUCT(WIOD.NAF17!P$2:P$57,Pond.Inputs!$B$2:$B$57)</f>
        <v>0</v>
      </c>
      <c r="Q29" s="8">
        <f>WIOD.NAF17!Q29 * Pond.Inputs!$B29/SUMPRODUCT(WIOD.NAF17!Q$2:Q$57,Pond.Inputs!$B$2:$B$57)</f>
        <v>0</v>
      </c>
      <c r="R29" s="8">
        <f>WIOD.NAF17!R29 * Pond.Inputs!$B29/SUMPRODUCT(WIOD.NAF17!R$2:R$57,Pond.Inputs!$B$2:$B$57)</f>
        <v>0</v>
      </c>
    </row>
    <row r="30" spans="1:18" x14ac:dyDescent="0.2">
      <c r="A30" s="1" t="s">
        <v>43</v>
      </c>
      <c r="B30" s="8">
        <f>WIOD.NAF17!B30 * Pond.Inputs!$B30/SUMPRODUCT(WIOD.NAF17!B$2:B$57,Pond.Inputs!$B$2:$B$57)</f>
        <v>0</v>
      </c>
      <c r="C30" s="8">
        <f>WIOD.NAF17!C30 * Pond.Inputs!$B30/SUMPRODUCT(WIOD.NAF17!C$2:C$57,Pond.Inputs!$B$2:$B$57)</f>
        <v>0</v>
      </c>
      <c r="D30" s="8">
        <f>WIOD.NAF17!D30 * Pond.Inputs!$B30/SUMPRODUCT(WIOD.NAF17!D$2:D$57,Pond.Inputs!$B$2:$B$57)</f>
        <v>0</v>
      </c>
      <c r="E30" s="8">
        <f>WIOD.NAF17!E30 * Pond.Inputs!$B30/SUMPRODUCT(WIOD.NAF17!E$2:E$57,Pond.Inputs!$B$2:$B$57)</f>
        <v>0</v>
      </c>
      <c r="F30" s="8">
        <f>WIOD.NAF17!F30 * Pond.Inputs!$B30/SUMPRODUCT(WIOD.NAF17!F$2:F$57,Pond.Inputs!$B$2:$B$57)</f>
        <v>0</v>
      </c>
      <c r="G30" s="8">
        <f>WIOD.NAF17!G30 * Pond.Inputs!$B30/SUMPRODUCT(WIOD.NAF17!G$2:G$57,Pond.Inputs!$B$2:$B$57)</f>
        <v>0</v>
      </c>
      <c r="H30" s="8">
        <f>WIOD.NAF17!H30 * Pond.Inputs!$B30/SUMPRODUCT(WIOD.NAF17!H$2:H$57,Pond.Inputs!$B$2:$B$57)</f>
        <v>0</v>
      </c>
      <c r="I30" s="8">
        <f>WIOD.NAF17!I30 * Pond.Inputs!$B30/SUMPRODUCT(WIOD.NAF17!I$2:I$57,Pond.Inputs!$B$2:$B$57)</f>
        <v>0</v>
      </c>
      <c r="J30" s="8">
        <f>WIOD.NAF17!J30 * Pond.Inputs!$B30/SUMPRODUCT(WIOD.NAF17!J$2:J$57,Pond.Inputs!$B$2:$B$57)</f>
        <v>0.5312345539171266</v>
      </c>
      <c r="K30" s="8">
        <f>WIOD.NAF17!K30 * Pond.Inputs!$B30/SUMPRODUCT(WIOD.NAF17!K$2:K$57,Pond.Inputs!$B$2:$B$57)</f>
        <v>0</v>
      </c>
      <c r="L30" s="8">
        <f>WIOD.NAF17!L30 * Pond.Inputs!$B30/SUMPRODUCT(WIOD.NAF17!L$2:L$57,Pond.Inputs!$B$2:$B$57)</f>
        <v>0</v>
      </c>
      <c r="M30" s="8">
        <f>WIOD.NAF17!M30 * Pond.Inputs!$B30/SUMPRODUCT(WIOD.NAF17!M$2:M$57,Pond.Inputs!$B$2:$B$57)</f>
        <v>0</v>
      </c>
      <c r="N30" s="8">
        <f>WIOD.NAF17!N30 * Pond.Inputs!$B30/SUMPRODUCT(WIOD.NAF17!N$2:N$57,Pond.Inputs!$B$2:$B$57)</f>
        <v>0</v>
      </c>
      <c r="O30" s="8">
        <f>WIOD.NAF17!O30 * Pond.Inputs!$B30/SUMPRODUCT(WIOD.NAF17!O$2:O$57,Pond.Inputs!$B$2:$B$57)</f>
        <v>0</v>
      </c>
      <c r="P30" s="8">
        <f>WIOD.NAF17!P30 * Pond.Inputs!$B30/SUMPRODUCT(WIOD.NAF17!P$2:P$57,Pond.Inputs!$B$2:$B$57)</f>
        <v>0</v>
      </c>
      <c r="Q30" s="8">
        <f>WIOD.NAF17!Q30 * Pond.Inputs!$B30/SUMPRODUCT(WIOD.NAF17!Q$2:Q$57,Pond.Inputs!$B$2:$B$57)</f>
        <v>0</v>
      </c>
      <c r="R30" s="8">
        <f>WIOD.NAF17!R30 * Pond.Inputs!$B30/SUMPRODUCT(WIOD.NAF17!R$2:R$57,Pond.Inputs!$B$2:$B$57)</f>
        <v>0</v>
      </c>
    </row>
    <row r="31" spans="1:18" x14ac:dyDescent="0.2">
      <c r="A31" s="1" t="s">
        <v>44</v>
      </c>
      <c r="B31" s="8">
        <f>WIOD.NAF17!B31 * Pond.Inputs!$B31/SUMPRODUCT(WIOD.NAF17!B$2:B$57,Pond.Inputs!$B$2:$B$57)</f>
        <v>0</v>
      </c>
      <c r="C31" s="8">
        <f>WIOD.NAF17!C31 * Pond.Inputs!$B31/SUMPRODUCT(WIOD.NAF17!C$2:C$57,Pond.Inputs!$B$2:$B$57)</f>
        <v>0</v>
      </c>
      <c r="D31" s="8">
        <f>WIOD.NAF17!D31 * Pond.Inputs!$B31/SUMPRODUCT(WIOD.NAF17!D$2:D$57,Pond.Inputs!$B$2:$B$57)</f>
        <v>0</v>
      </c>
      <c r="E31" s="8">
        <f>WIOD.NAF17!E31 * Pond.Inputs!$B31/SUMPRODUCT(WIOD.NAF17!E$2:E$57,Pond.Inputs!$B$2:$B$57)</f>
        <v>0</v>
      </c>
      <c r="F31" s="8">
        <f>WIOD.NAF17!F31 * Pond.Inputs!$B31/SUMPRODUCT(WIOD.NAF17!F$2:F$57,Pond.Inputs!$B$2:$B$57)</f>
        <v>0</v>
      </c>
      <c r="G31" s="8">
        <f>WIOD.NAF17!G31 * Pond.Inputs!$B31/SUMPRODUCT(WIOD.NAF17!G$2:G$57,Pond.Inputs!$B$2:$B$57)</f>
        <v>0</v>
      </c>
      <c r="H31" s="8">
        <f>WIOD.NAF17!H31 * Pond.Inputs!$B31/SUMPRODUCT(WIOD.NAF17!H$2:H$57,Pond.Inputs!$B$2:$B$57)</f>
        <v>0</v>
      </c>
      <c r="I31" s="8">
        <f>WIOD.NAF17!I31 * Pond.Inputs!$B31/SUMPRODUCT(WIOD.NAF17!I$2:I$57,Pond.Inputs!$B$2:$B$57)</f>
        <v>0</v>
      </c>
      <c r="J31" s="8">
        <f>WIOD.NAF17!J31 * Pond.Inputs!$B31/SUMPRODUCT(WIOD.NAF17!J$2:J$57,Pond.Inputs!$B$2:$B$57)</f>
        <v>0.35144987231238156</v>
      </c>
      <c r="K31" s="8">
        <f>WIOD.NAF17!K31 * Pond.Inputs!$B31/SUMPRODUCT(WIOD.NAF17!K$2:K$57,Pond.Inputs!$B$2:$B$57)</f>
        <v>0</v>
      </c>
      <c r="L31" s="8">
        <f>WIOD.NAF17!L31 * Pond.Inputs!$B31/SUMPRODUCT(WIOD.NAF17!L$2:L$57,Pond.Inputs!$B$2:$B$57)</f>
        <v>0</v>
      </c>
      <c r="M31" s="8">
        <f>WIOD.NAF17!M31 * Pond.Inputs!$B31/SUMPRODUCT(WIOD.NAF17!M$2:M$57,Pond.Inputs!$B$2:$B$57)</f>
        <v>0</v>
      </c>
      <c r="N31" s="8">
        <f>WIOD.NAF17!N31 * Pond.Inputs!$B31/SUMPRODUCT(WIOD.NAF17!N$2:N$57,Pond.Inputs!$B$2:$B$57)</f>
        <v>0</v>
      </c>
      <c r="O31" s="8">
        <f>WIOD.NAF17!O31 * Pond.Inputs!$B31/SUMPRODUCT(WIOD.NAF17!O$2:O$57,Pond.Inputs!$B$2:$B$57)</f>
        <v>0</v>
      </c>
      <c r="P31" s="8">
        <f>WIOD.NAF17!P31 * Pond.Inputs!$B31/SUMPRODUCT(WIOD.NAF17!P$2:P$57,Pond.Inputs!$B$2:$B$57)</f>
        <v>0</v>
      </c>
      <c r="Q31" s="8">
        <f>WIOD.NAF17!Q31 * Pond.Inputs!$B31/SUMPRODUCT(WIOD.NAF17!Q$2:Q$57,Pond.Inputs!$B$2:$B$57)</f>
        <v>0</v>
      </c>
      <c r="R31" s="8">
        <f>WIOD.NAF17!R31 * Pond.Inputs!$B31/SUMPRODUCT(WIOD.NAF17!R$2:R$57,Pond.Inputs!$B$2:$B$57)</f>
        <v>0</v>
      </c>
    </row>
    <row r="32" spans="1:18" x14ac:dyDescent="0.2">
      <c r="A32" s="1" t="s">
        <v>45</v>
      </c>
      <c r="B32" s="8">
        <f>WIOD.NAF17!B32 * Pond.Inputs!$B32/SUMPRODUCT(WIOD.NAF17!B$2:B$57,Pond.Inputs!$B$2:$B$57)</f>
        <v>0</v>
      </c>
      <c r="C32" s="8">
        <f>WIOD.NAF17!C32 * Pond.Inputs!$B32/SUMPRODUCT(WIOD.NAF17!C$2:C$57,Pond.Inputs!$B$2:$B$57)</f>
        <v>0</v>
      </c>
      <c r="D32" s="8">
        <f>WIOD.NAF17!D32 * Pond.Inputs!$B32/SUMPRODUCT(WIOD.NAF17!D$2:D$57,Pond.Inputs!$B$2:$B$57)</f>
        <v>0</v>
      </c>
      <c r="E32" s="8">
        <f>WIOD.NAF17!E32 * Pond.Inputs!$B32/SUMPRODUCT(WIOD.NAF17!E$2:E$57,Pond.Inputs!$B$2:$B$57)</f>
        <v>0</v>
      </c>
      <c r="F32" s="8">
        <f>WIOD.NAF17!F32 * Pond.Inputs!$B32/SUMPRODUCT(WIOD.NAF17!F$2:F$57,Pond.Inputs!$B$2:$B$57)</f>
        <v>0</v>
      </c>
      <c r="G32" s="8">
        <f>WIOD.NAF17!G32 * Pond.Inputs!$B32/SUMPRODUCT(WIOD.NAF17!G$2:G$57,Pond.Inputs!$B$2:$B$57)</f>
        <v>0</v>
      </c>
      <c r="H32" s="8">
        <f>WIOD.NAF17!H32 * Pond.Inputs!$B32/SUMPRODUCT(WIOD.NAF17!H$2:H$57,Pond.Inputs!$B$2:$B$57)</f>
        <v>0</v>
      </c>
      <c r="I32" s="8">
        <f>WIOD.NAF17!I32 * Pond.Inputs!$B32/SUMPRODUCT(WIOD.NAF17!I$2:I$57,Pond.Inputs!$B$2:$B$57)</f>
        <v>0</v>
      </c>
      <c r="J32" s="8">
        <f>WIOD.NAF17!J32 * Pond.Inputs!$B32/SUMPRODUCT(WIOD.NAF17!J$2:J$57,Pond.Inputs!$B$2:$B$57)</f>
        <v>0</v>
      </c>
      <c r="K32" s="8">
        <f>WIOD.NAF17!K32 * Pond.Inputs!$B32/SUMPRODUCT(WIOD.NAF17!K$2:K$57,Pond.Inputs!$B$2:$B$57)</f>
        <v>0.4390373556275069</v>
      </c>
      <c r="L32" s="8">
        <f>WIOD.NAF17!L32 * Pond.Inputs!$B32/SUMPRODUCT(WIOD.NAF17!L$2:L$57,Pond.Inputs!$B$2:$B$57)</f>
        <v>0</v>
      </c>
      <c r="M32" s="8">
        <f>WIOD.NAF17!M32 * Pond.Inputs!$B32/SUMPRODUCT(WIOD.NAF17!M$2:M$57,Pond.Inputs!$B$2:$B$57)</f>
        <v>0</v>
      </c>
      <c r="N32" s="8">
        <f>WIOD.NAF17!N32 * Pond.Inputs!$B32/SUMPRODUCT(WIOD.NAF17!N$2:N$57,Pond.Inputs!$B$2:$B$57)</f>
        <v>0</v>
      </c>
      <c r="O32" s="8">
        <f>WIOD.NAF17!O32 * Pond.Inputs!$B32/SUMPRODUCT(WIOD.NAF17!O$2:O$57,Pond.Inputs!$B$2:$B$57)</f>
        <v>0</v>
      </c>
      <c r="P32" s="8">
        <f>WIOD.NAF17!P32 * Pond.Inputs!$B32/SUMPRODUCT(WIOD.NAF17!P$2:P$57,Pond.Inputs!$B$2:$B$57)</f>
        <v>0</v>
      </c>
      <c r="Q32" s="8">
        <f>WIOD.NAF17!Q32 * Pond.Inputs!$B32/SUMPRODUCT(WIOD.NAF17!Q$2:Q$57,Pond.Inputs!$B$2:$B$57)</f>
        <v>0</v>
      </c>
      <c r="R32" s="8">
        <f>WIOD.NAF17!R32 * Pond.Inputs!$B32/SUMPRODUCT(WIOD.NAF17!R$2:R$57,Pond.Inputs!$B$2:$B$57)</f>
        <v>0</v>
      </c>
    </row>
    <row r="33" spans="1:18" x14ac:dyDescent="0.2">
      <c r="A33" s="1" t="s">
        <v>2</v>
      </c>
      <c r="B33" s="8">
        <f>WIOD.NAF17!B33 * Pond.Inputs!$B33/SUMPRODUCT(WIOD.NAF17!B$2:B$57,Pond.Inputs!$B$2:$B$57)</f>
        <v>0</v>
      </c>
      <c r="C33" s="8">
        <f>WIOD.NAF17!C33 * Pond.Inputs!$B33/SUMPRODUCT(WIOD.NAF17!C$2:C$57,Pond.Inputs!$B$2:$B$57)</f>
        <v>0</v>
      </c>
      <c r="D33" s="8">
        <f>WIOD.NAF17!D33 * Pond.Inputs!$B33/SUMPRODUCT(WIOD.NAF17!D$2:D$57,Pond.Inputs!$B$2:$B$57)</f>
        <v>0</v>
      </c>
      <c r="E33" s="8">
        <f>WIOD.NAF17!E33 * Pond.Inputs!$B33/SUMPRODUCT(WIOD.NAF17!E$2:E$57,Pond.Inputs!$B$2:$B$57)</f>
        <v>0</v>
      </c>
      <c r="F33" s="8">
        <f>WIOD.NAF17!F33 * Pond.Inputs!$B33/SUMPRODUCT(WIOD.NAF17!F$2:F$57,Pond.Inputs!$B$2:$B$57)</f>
        <v>0</v>
      </c>
      <c r="G33" s="8">
        <f>WIOD.NAF17!G33 * Pond.Inputs!$B33/SUMPRODUCT(WIOD.NAF17!G$2:G$57,Pond.Inputs!$B$2:$B$57)</f>
        <v>0</v>
      </c>
      <c r="H33" s="8">
        <f>WIOD.NAF17!H33 * Pond.Inputs!$B33/SUMPRODUCT(WIOD.NAF17!H$2:H$57,Pond.Inputs!$B$2:$B$57)</f>
        <v>0</v>
      </c>
      <c r="I33" s="8">
        <f>WIOD.NAF17!I33 * Pond.Inputs!$B33/SUMPRODUCT(WIOD.NAF17!I$2:I$57,Pond.Inputs!$B$2:$B$57)</f>
        <v>0</v>
      </c>
      <c r="J33" s="8">
        <f>WIOD.NAF17!J33 * Pond.Inputs!$B33/SUMPRODUCT(WIOD.NAF17!J$2:J$57,Pond.Inputs!$B$2:$B$57)</f>
        <v>0</v>
      </c>
      <c r="K33" s="8">
        <f>WIOD.NAF17!K33 * Pond.Inputs!$B33/SUMPRODUCT(WIOD.NAF17!K$2:K$57,Pond.Inputs!$B$2:$B$57)</f>
        <v>7.7041619012333751E-2</v>
      </c>
      <c r="L33" s="8">
        <f>WIOD.NAF17!L33 * Pond.Inputs!$B33/SUMPRODUCT(WIOD.NAF17!L$2:L$57,Pond.Inputs!$B$2:$B$57)</f>
        <v>0</v>
      </c>
      <c r="M33" s="8">
        <f>WIOD.NAF17!M33 * Pond.Inputs!$B33/SUMPRODUCT(WIOD.NAF17!M$2:M$57,Pond.Inputs!$B$2:$B$57)</f>
        <v>0</v>
      </c>
      <c r="N33" s="8">
        <f>WIOD.NAF17!N33 * Pond.Inputs!$B33/SUMPRODUCT(WIOD.NAF17!N$2:N$57,Pond.Inputs!$B$2:$B$57)</f>
        <v>0</v>
      </c>
      <c r="O33" s="8">
        <f>WIOD.NAF17!O33 * Pond.Inputs!$B33/SUMPRODUCT(WIOD.NAF17!O$2:O$57,Pond.Inputs!$B$2:$B$57)</f>
        <v>0</v>
      </c>
      <c r="P33" s="8">
        <f>WIOD.NAF17!P33 * Pond.Inputs!$B33/SUMPRODUCT(WIOD.NAF17!P$2:P$57,Pond.Inputs!$B$2:$B$57)</f>
        <v>0</v>
      </c>
      <c r="Q33" s="8">
        <f>WIOD.NAF17!Q33 * Pond.Inputs!$B33/SUMPRODUCT(WIOD.NAF17!Q$2:Q$57,Pond.Inputs!$B$2:$B$57)</f>
        <v>0</v>
      </c>
      <c r="R33" s="8">
        <f>WIOD.NAF17!R33 * Pond.Inputs!$B33/SUMPRODUCT(WIOD.NAF17!R$2:R$57,Pond.Inputs!$B$2:$B$57)</f>
        <v>0</v>
      </c>
    </row>
    <row r="34" spans="1:18" x14ac:dyDescent="0.2">
      <c r="A34" s="1" t="s">
        <v>3</v>
      </c>
      <c r="B34" s="8">
        <f>WIOD.NAF17!B34 * Pond.Inputs!$B34/SUMPRODUCT(WIOD.NAF17!B$2:B$57,Pond.Inputs!$B$2:$B$57)</f>
        <v>0</v>
      </c>
      <c r="C34" s="8">
        <f>WIOD.NAF17!C34 * Pond.Inputs!$B34/SUMPRODUCT(WIOD.NAF17!C$2:C$57,Pond.Inputs!$B$2:$B$57)</f>
        <v>0</v>
      </c>
      <c r="D34" s="8">
        <f>WIOD.NAF17!D34 * Pond.Inputs!$B34/SUMPRODUCT(WIOD.NAF17!D$2:D$57,Pond.Inputs!$B$2:$B$57)</f>
        <v>0</v>
      </c>
      <c r="E34" s="8">
        <f>WIOD.NAF17!E34 * Pond.Inputs!$B34/SUMPRODUCT(WIOD.NAF17!E$2:E$57,Pond.Inputs!$B$2:$B$57)</f>
        <v>0</v>
      </c>
      <c r="F34" s="8">
        <f>WIOD.NAF17!F34 * Pond.Inputs!$B34/SUMPRODUCT(WIOD.NAF17!F$2:F$57,Pond.Inputs!$B$2:$B$57)</f>
        <v>0</v>
      </c>
      <c r="G34" s="8">
        <f>WIOD.NAF17!G34 * Pond.Inputs!$B34/SUMPRODUCT(WIOD.NAF17!G$2:G$57,Pond.Inputs!$B$2:$B$57)</f>
        <v>0</v>
      </c>
      <c r="H34" s="8">
        <f>WIOD.NAF17!H34 * Pond.Inputs!$B34/SUMPRODUCT(WIOD.NAF17!H$2:H$57,Pond.Inputs!$B$2:$B$57)</f>
        <v>0</v>
      </c>
      <c r="I34" s="8">
        <f>WIOD.NAF17!I34 * Pond.Inputs!$B34/SUMPRODUCT(WIOD.NAF17!I$2:I$57,Pond.Inputs!$B$2:$B$57)</f>
        <v>0</v>
      </c>
      <c r="J34" s="8">
        <f>WIOD.NAF17!J34 * Pond.Inputs!$B34/SUMPRODUCT(WIOD.NAF17!J$2:J$57,Pond.Inputs!$B$2:$B$57)</f>
        <v>0</v>
      </c>
      <c r="K34" s="8">
        <f>WIOD.NAF17!K34 * Pond.Inputs!$B34/SUMPRODUCT(WIOD.NAF17!K$2:K$57,Pond.Inputs!$B$2:$B$57)</f>
        <v>0.10502209550196792</v>
      </c>
      <c r="L34" s="8">
        <f>WIOD.NAF17!L34 * Pond.Inputs!$B34/SUMPRODUCT(WIOD.NAF17!L$2:L$57,Pond.Inputs!$B$2:$B$57)</f>
        <v>0</v>
      </c>
      <c r="M34" s="8">
        <f>WIOD.NAF17!M34 * Pond.Inputs!$B34/SUMPRODUCT(WIOD.NAF17!M$2:M$57,Pond.Inputs!$B$2:$B$57)</f>
        <v>0</v>
      </c>
      <c r="N34" s="8">
        <f>WIOD.NAF17!N34 * Pond.Inputs!$B34/SUMPRODUCT(WIOD.NAF17!N$2:N$57,Pond.Inputs!$B$2:$B$57)</f>
        <v>0</v>
      </c>
      <c r="O34" s="8">
        <f>WIOD.NAF17!O34 * Pond.Inputs!$B34/SUMPRODUCT(WIOD.NAF17!O$2:O$57,Pond.Inputs!$B$2:$B$57)</f>
        <v>0</v>
      </c>
      <c r="P34" s="8">
        <f>WIOD.NAF17!P34 * Pond.Inputs!$B34/SUMPRODUCT(WIOD.NAF17!P$2:P$57,Pond.Inputs!$B$2:$B$57)</f>
        <v>0</v>
      </c>
      <c r="Q34" s="8">
        <f>WIOD.NAF17!Q34 * Pond.Inputs!$B34/SUMPRODUCT(WIOD.NAF17!Q$2:Q$57,Pond.Inputs!$B$2:$B$57)</f>
        <v>0</v>
      </c>
      <c r="R34" s="8">
        <f>WIOD.NAF17!R34 * Pond.Inputs!$B34/SUMPRODUCT(WIOD.NAF17!R$2:R$57,Pond.Inputs!$B$2:$B$57)</f>
        <v>0</v>
      </c>
    </row>
    <row r="35" spans="1:18" x14ac:dyDescent="0.2">
      <c r="A35" s="1" t="s">
        <v>46</v>
      </c>
      <c r="B35" s="8">
        <f>WIOD.NAF17!B35 * Pond.Inputs!$B35/SUMPRODUCT(WIOD.NAF17!B$2:B$57,Pond.Inputs!$B$2:$B$57)</f>
        <v>0</v>
      </c>
      <c r="C35" s="8">
        <f>WIOD.NAF17!C35 * Pond.Inputs!$B35/SUMPRODUCT(WIOD.NAF17!C$2:C$57,Pond.Inputs!$B$2:$B$57)</f>
        <v>0</v>
      </c>
      <c r="D35" s="8">
        <f>WIOD.NAF17!D35 * Pond.Inputs!$B35/SUMPRODUCT(WIOD.NAF17!D$2:D$57,Pond.Inputs!$B$2:$B$57)</f>
        <v>0</v>
      </c>
      <c r="E35" s="8">
        <f>WIOD.NAF17!E35 * Pond.Inputs!$B35/SUMPRODUCT(WIOD.NAF17!E$2:E$57,Pond.Inputs!$B$2:$B$57)</f>
        <v>0</v>
      </c>
      <c r="F35" s="8">
        <f>WIOD.NAF17!F35 * Pond.Inputs!$B35/SUMPRODUCT(WIOD.NAF17!F$2:F$57,Pond.Inputs!$B$2:$B$57)</f>
        <v>0</v>
      </c>
      <c r="G35" s="8">
        <f>WIOD.NAF17!G35 * Pond.Inputs!$B35/SUMPRODUCT(WIOD.NAF17!G$2:G$57,Pond.Inputs!$B$2:$B$57)</f>
        <v>0</v>
      </c>
      <c r="H35" s="8">
        <f>WIOD.NAF17!H35 * Pond.Inputs!$B35/SUMPRODUCT(WIOD.NAF17!H$2:H$57,Pond.Inputs!$B$2:$B$57)</f>
        <v>0</v>
      </c>
      <c r="I35" s="8">
        <f>WIOD.NAF17!I35 * Pond.Inputs!$B35/SUMPRODUCT(WIOD.NAF17!I$2:I$57,Pond.Inputs!$B$2:$B$57)</f>
        <v>0</v>
      </c>
      <c r="J35" s="8">
        <f>WIOD.NAF17!J35 * Pond.Inputs!$B35/SUMPRODUCT(WIOD.NAF17!J$2:J$57,Pond.Inputs!$B$2:$B$57)</f>
        <v>0</v>
      </c>
      <c r="K35" s="8">
        <f>WIOD.NAF17!K35 * Pond.Inputs!$B35/SUMPRODUCT(WIOD.NAF17!K$2:K$57,Pond.Inputs!$B$2:$B$57)</f>
        <v>0.31266074947513117</v>
      </c>
      <c r="L35" s="8">
        <f>WIOD.NAF17!L35 * Pond.Inputs!$B35/SUMPRODUCT(WIOD.NAF17!L$2:L$57,Pond.Inputs!$B$2:$B$57)</f>
        <v>0</v>
      </c>
      <c r="M35" s="8">
        <f>WIOD.NAF17!M35 * Pond.Inputs!$B35/SUMPRODUCT(WIOD.NAF17!M$2:M$57,Pond.Inputs!$B$2:$B$57)</f>
        <v>0</v>
      </c>
      <c r="N35" s="8">
        <f>WIOD.NAF17!N35 * Pond.Inputs!$B35/SUMPRODUCT(WIOD.NAF17!N$2:N$57,Pond.Inputs!$B$2:$B$57)</f>
        <v>0</v>
      </c>
      <c r="O35" s="8">
        <f>WIOD.NAF17!O35 * Pond.Inputs!$B35/SUMPRODUCT(WIOD.NAF17!O$2:O$57,Pond.Inputs!$B$2:$B$57)</f>
        <v>0</v>
      </c>
      <c r="P35" s="8">
        <f>WIOD.NAF17!P35 * Pond.Inputs!$B35/SUMPRODUCT(WIOD.NAF17!P$2:P$57,Pond.Inputs!$B$2:$B$57)</f>
        <v>0</v>
      </c>
      <c r="Q35" s="8">
        <f>WIOD.NAF17!Q35 * Pond.Inputs!$B35/SUMPRODUCT(WIOD.NAF17!Q$2:Q$57,Pond.Inputs!$B$2:$B$57)</f>
        <v>0</v>
      </c>
      <c r="R35" s="8">
        <f>WIOD.NAF17!R35 * Pond.Inputs!$B35/SUMPRODUCT(WIOD.NAF17!R$2:R$57,Pond.Inputs!$B$2:$B$57)</f>
        <v>0</v>
      </c>
    </row>
    <row r="36" spans="1:18" x14ac:dyDescent="0.2">
      <c r="A36" s="1" t="s">
        <v>47</v>
      </c>
      <c r="B36" s="8">
        <f>WIOD.NAF17!B36 * Pond.Inputs!$B36/SUMPRODUCT(WIOD.NAF17!B$2:B$57,Pond.Inputs!$B$2:$B$57)</f>
        <v>0</v>
      </c>
      <c r="C36" s="8">
        <f>WIOD.NAF17!C36 * Pond.Inputs!$B36/SUMPRODUCT(WIOD.NAF17!C$2:C$57,Pond.Inputs!$B$2:$B$57)</f>
        <v>0</v>
      </c>
      <c r="D36" s="8">
        <f>WIOD.NAF17!D36 * Pond.Inputs!$B36/SUMPRODUCT(WIOD.NAF17!D$2:D$57,Pond.Inputs!$B$2:$B$57)</f>
        <v>0</v>
      </c>
      <c r="E36" s="8">
        <f>WIOD.NAF17!E36 * Pond.Inputs!$B36/SUMPRODUCT(WIOD.NAF17!E$2:E$57,Pond.Inputs!$B$2:$B$57)</f>
        <v>0</v>
      </c>
      <c r="F36" s="8">
        <f>WIOD.NAF17!F36 * Pond.Inputs!$B36/SUMPRODUCT(WIOD.NAF17!F$2:F$57,Pond.Inputs!$B$2:$B$57)</f>
        <v>0</v>
      </c>
      <c r="G36" s="8">
        <f>WIOD.NAF17!G36 * Pond.Inputs!$B36/SUMPRODUCT(WIOD.NAF17!G$2:G$57,Pond.Inputs!$B$2:$B$57)</f>
        <v>0</v>
      </c>
      <c r="H36" s="8">
        <f>WIOD.NAF17!H36 * Pond.Inputs!$B36/SUMPRODUCT(WIOD.NAF17!H$2:H$57,Pond.Inputs!$B$2:$B$57)</f>
        <v>0</v>
      </c>
      <c r="I36" s="8">
        <f>WIOD.NAF17!I36 * Pond.Inputs!$B36/SUMPRODUCT(WIOD.NAF17!I$2:I$57,Pond.Inputs!$B$2:$B$57)</f>
        <v>0</v>
      </c>
      <c r="J36" s="8">
        <f>WIOD.NAF17!J36 * Pond.Inputs!$B36/SUMPRODUCT(WIOD.NAF17!J$2:J$57,Pond.Inputs!$B$2:$B$57)</f>
        <v>0</v>
      </c>
      <c r="K36" s="8">
        <f>WIOD.NAF17!K36 * Pond.Inputs!$B36/SUMPRODUCT(WIOD.NAF17!K$2:K$57,Pond.Inputs!$B$2:$B$57)</f>
        <v>6.6238180383060299E-2</v>
      </c>
      <c r="L36" s="8">
        <f>WIOD.NAF17!L36 * Pond.Inputs!$B36/SUMPRODUCT(WIOD.NAF17!L$2:L$57,Pond.Inputs!$B$2:$B$57)</f>
        <v>0</v>
      </c>
      <c r="M36" s="8">
        <f>WIOD.NAF17!M36 * Pond.Inputs!$B36/SUMPRODUCT(WIOD.NAF17!M$2:M$57,Pond.Inputs!$B$2:$B$57)</f>
        <v>0</v>
      </c>
      <c r="N36" s="8">
        <f>WIOD.NAF17!N36 * Pond.Inputs!$B36/SUMPRODUCT(WIOD.NAF17!N$2:N$57,Pond.Inputs!$B$2:$B$57)</f>
        <v>0</v>
      </c>
      <c r="O36" s="8">
        <f>WIOD.NAF17!O36 * Pond.Inputs!$B36/SUMPRODUCT(WIOD.NAF17!O$2:O$57,Pond.Inputs!$B$2:$B$57)</f>
        <v>0</v>
      </c>
      <c r="P36" s="8">
        <f>WIOD.NAF17!P36 * Pond.Inputs!$B36/SUMPRODUCT(WIOD.NAF17!P$2:P$57,Pond.Inputs!$B$2:$B$57)</f>
        <v>0</v>
      </c>
      <c r="Q36" s="8">
        <f>WIOD.NAF17!Q36 * Pond.Inputs!$B36/SUMPRODUCT(WIOD.NAF17!Q$2:Q$57,Pond.Inputs!$B$2:$B$57)</f>
        <v>0</v>
      </c>
      <c r="R36" s="8">
        <f>WIOD.NAF17!R36 * Pond.Inputs!$B36/SUMPRODUCT(WIOD.NAF17!R$2:R$57,Pond.Inputs!$B$2:$B$57)</f>
        <v>0</v>
      </c>
    </row>
    <row r="37" spans="1:18" x14ac:dyDescent="0.2">
      <c r="A37" s="1" t="s">
        <v>48</v>
      </c>
      <c r="B37" s="8">
        <f>WIOD.NAF17!B37 * Pond.Inputs!$B37/SUMPRODUCT(WIOD.NAF17!B$2:B$57,Pond.Inputs!$B$2:$B$57)</f>
        <v>0</v>
      </c>
      <c r="C37" s="8">
        <f>WIOD.NAF17!C37 * Pond.Inputs!$B37/SUMPRODUCT(WIOD.NAF17!C$2:C$57,Pond.Inputs!$B$2:$B$57)</f>
        <v>0</v>
      </c>
      <c r="D37" s="8">
        <f>WIOD.NAF17!D37 * Pond.Inputs!$B37/SUMPRODUCT(WIOD.NAF17!D$2:D$57,Pond.Inputs!$B$2:$B$57)</f>
        <v>0</v>
      </c>
      <c r="E37" s="8">
        <f>WIOD.NAF17!E37 * Pond.Inputs!$B37/SUMPRODUCT(WIOD.NAF17!E$2:E$57,Pond.Inputs!$B$2:$B$57)</f>
        <v>0</v>
      </c>
      <c r="F37" s="8">
        <f>WIOD.NAF17!F37 * Pond.Inputs!$B37/SUMPRODUCT(WIOD.NAF17!F$2:F$57,Pond.Inputs!$B$2:$B$57)</f>
        <v>0</v>
      </c>
      <c r="G37" s="8">
        <f>WIOD.NAF17!G37 * Pond.Inputs!$B37/SUMPRODUCT(WIOD.NAF17!G$2:G$57,Pond.Inputs!$B$2:$B$57)</f>
        <v>0</v>
      </c>
      <c r="H37" s="8">
        <f>WIOD.NAF17!H37 * Pond.Inputs!$B37/SUMPRODUCT(WIOD.NAF17!H$2:H$57,Pond.Inputs!$B$2:$B$57)</f>
        <v>0</v>
      </c>
      <c r="I37" s="8">
        <f>WIOD.NAF17!I37 * Pond.Inputs!$B37/SUMPRODUCT(WIOD.NAF17!I$2:I$57,Pond.Inputs!$B$2:$B$57)</f>
        <v>0</v>
      </c>
      <c r="J37" s="8">
        <f>WIOD.NAF17!J37 * Pond.Inputs!$B37/SUMPRODUCT(WIOD.NAF17!J$2:J$57,Pond.Inputs!$B$2:$B$57)</f>
        <v>0</v>
      </c>
      <c r="K37" s="8">
        <f>WIOD.NAF17!K37 * Pond.Inputs!$B37/SUMPRODUCT(WIOD.NAF17!K$2:K$57,Pond.Inputs!$B$2:$B$57)</f>
        <v>0</v>
      </c>
      <c r="L37" s="8">
        <f>WIOD.NAF17!L37 * Pond.Inputs!$B37/SUMPRODUCT(WIOD.NAF17!L$2:L$57,Pond.Inputs!$B$2:$B$57)</f>
        <v>1</v>
      </c>
      <c r="M37" s="8">
        <f>WIOD.NAF17!M37 * Pond.Inputs!$B37/SUMPRODUCT(WIOD.NAF17!M$2:M$57,Pond.Inputs!$B$2:$B$57)</f>
        <v>0</v>
      </c>
      <c r="N37" s="8">
        <f>WIOD.NAF17!N37 * Pond.Inputs!$B37/SUMPRODUCT(WIOD.NAF17!N$2:N$57,Pond.Inputs!$B$2:$B$57)</f>
        <v>0</v>
      </c>
      <c r="O37" s="8">
        <f>WIOD.NAF17!O37 * Pond.Inputs!$B37/SUMPRODUCT(WIOD.NAF17!O$2:O$57,Pond.Inputs!$B$2:$B$57)</f>
        <v>0</v>
      </c>
      <c r="P37" s="8">
        <f>WIOD.NAF17!P37 * Pond.Inputs!$B37/SUMPRODUCT(WIOD.NAF17!P$2:P$57,Pond.Inputs!$B$2:$B$57)</f>
        <v>0</v>
      </c>
      <c r="Q37" s="8">
        <f>WIOD.NAF17!Q37 * Pond.Inputs!$B37/SUMPRODUCT(WIOD.NAF17!Q$2:Q$57,Pond.Inputs!$B$2:$B$57)</f>
        <v>0</v>
      </c>
      <c r="R37" s="8">
        <f>WIOD.NAF17!R37 * Pond.Inputs!$B37/SUMPRODUCT(WIOD.NAF17!R$2:R$57,Pond.Inputs!$B$2:$B$57)</f>
        <v>0</v>
      </c>
    </row>
    <row r="38" spans="1:18" x14ac:dyDescent="0.2">
      <c r="A38" s="1" t="s">
        <v>49</v>
      </c>
      <c r="B38" s="8">
        <f>WIOD.NAF17!B38 * Pond.Inputs!$B38/SUMPRODUCT(WIOD.NAF17!B$2:B$57,Pond.Inputs!$B$2:$B$57)</f>
        <v>0</v>
      </c>
      <c r="C38" s="8">
        <f>WIOD.NAF17!C38 * Pond.Inputs!$B38/SUMPRODUCT(WIOD.NAF17!C$2:C$57,Pond.Inputs!$B$2:$B$57)</f>
        <v>0</v>
      </c>
      <c r="D38" s="8">
        <f>WIOD.NAF17!D38 * Pond.Inputs!$B38/SUMPRODUCT(WIOD.NAF17!D$2:D$57,Pond.Inputs!$B$2:$B$57)</f>
        <v>0</v>
      </c>
      <c r="E38" s="8">
        <f>WIOD.NAF17!E38 * Pond.Inputs!$B38/SUMPRODUCT(WIOD.NAF17!E$2:E$57,Pond.Inputs!$B$2:$B$57)</f>
        <v>0</v>
      </c>
      <c r="F38" s="8">
        <f>WIOD.NAF17!F38 * Pond.Inputs!$B38/SUMPRODUCT(WIOD.NAF17!F$2:F$57,Pond.Inputs!$B$2:$B$57)</f>
        <v>0</v>
      </c>
      <c r="G38" s="8">
        <f>WIOD.NAF17!G38 * Pond.Inputs!$B38/SUMPRODUCT(WIOD.NAF17!G$2:G$57,Pond.Inputs!$B$2:$B$57)</f>
        <v>0</v>
      </c>
      <c r="H38" s="8">
        <f>WIOD.NAF17!H38 * Pond.Inputs!$B38/SUMPRODUCT(WIOD.NAF17!H$2:H$57,Pond.Inputs!$B$2:$B$57)</f>
        <v>0</v>
      </c>
      <c r="I38" s="8">
        <f>WIOD.NAF17!I38 * Pond.Inputs!$B38/SUMPRODUCT(WIOD.NAF17!I$2:I$57,Pond.Inputs!$B$2:$B$57)</f>
        <v>0</v>
      </c>
      <c r="J38" s="8">
        <f>WIOD.NAF17!J38 * Pond.Inputs!$B38/SUMPRODUCT(WIOD.NAF17!J$2:J$57,Pond.Inputs!$B$2:$B$57)</f>
        <v>0</v>
      </c>
      <c r="K38" s="8">
        <f>WIOD.NAF17!K38 * Pond.Inputs!$B38/SUMPRODUCT(WIOD.NAF17!K$2:K$57,Pond.Inputs!$B$2:$B$57)</f>
        <v>0</v>
      </c>
      <c r="L38" s="8">
        <f>WIOD.NAF17!L38 * Pond.Inputs!$B38/SUMPRODUCT(WIOD.NAF17!L$2:L$57,Pond.Inputs!$B$2:$B$57)</f>
        <v>0</v>
      </c>
      <c r="M38" s="8">
        <f>WIOD.NAF17!M38 * Pond.Inputs!$B38/SUMPRODUCT(WIOD.NAF17!M$2:M$57,Pond.Inputs!$B$2:$B$57)</f>
        <v>0.13537421673020464</v>
      </c>
      <c r="N38" s="8">
        <f>WIOD.NAF17!N38 * Pond.Inputs!$B38/SUMPRODUCT(WIOD.NAF17!N$2:N$57,Pond.Inputs!$B$2:$B$57)</f>
        <v>0</v>
      </c>
      <c r="O38" s="8">
        <f>WIOD.NAF17!O38 * Pond.Inputs!$B38/SUMPRODUCT(WIOD.NAF17!O$2:O$57,Pond.Inputs!$B$2:$B$57)</f>
        <v>0</v>
      </c>
      <c r="P38" s="8">
        <f>WIOD.NAF17!P38 * Pond.Inputs!$B38/SUMPRODUCT(WIOD.NAF17!P$2:P$57,Pond.Inputs!$B$2:$B$57)</f>
        <v>0</v>
      </c>
      <c r="Q38" s="8">
        <f>WIOD.NAF17!Q38 * Pond.Inputs!$B38/SUMPRODUCT(WIOD.NAF17!Q$2:Q$57,Pond.Inputs!$B$2:$B$57)</f>
        <v>0</v>
      </c>
      <c r="R38" s="8">
        <f>WIOD.NAF17!R38 * Pond.Inputs!$B38/SUMPRODUCT(WIOD.NAF17!R$2:R$57,Pond.Inputs!$B$2:$B$57)</f>
        <v>0</v>
      </c>
    </row>
    <row r="39" spans="1:18" x14ac:dyDescent="0.2">
      <c r="A39" s="1" t="s">
        <v>50</v>
      </c>
      <c r="B39" s="8">
        <f>WIOD.NAF17!B39 * Pond.Inputs!$B39/SUMPRODUCT(WIOD.NAF17!B$2:B$57,Pond.Inputs!$B$2:$B$57)</f>
        <v>0</v>
      </c>
      <c r="C39" s="8">
        <f>WIOD.NAF17!C39 * Pond.Inputs!$B39/SUMPRODUCT(WIOD.NAF17!C$2:C$57,Pond.Inputs!$B$2:$B$57)</f>
        <v>0</v>
      </c>
      <c r="D39" s="8">
        <f>WIOD.NAF17!D39 * Pond.Inputs!$B39/SUMPRODUCT(WIOD.NAF17!D$2:D$57,Pond.Inputs!$B$2:$B$57)</f>
        <v>0</v>
      </c>
      <c r="E39" s="8">
        <f>WIOD.NAF17!E39 * Pond.Inputs!$B39/SUMPRODUCT(WIOD.NAF17!E$2:E$57,Pond.Inputs!$B$2:$B$57)</f>
        <v>0</v>
      </c>
      <c r="F39" s="8">
        <f>WIOD.NAF17!F39 * Pond.Inputs!$B39/SUMPRODUCT(WIOD.NAF17!F$2:F$57,Pond.Inputs!$B$2:$B$57)</f>
        <v>0</v>
      </c>
      <c r="G39" s="8">
        <f>WIOD.NAF17!G39 * Pond.Inputs!$B39/SUMPRODUCT(WIOD.NAF17!G$2:G$57,Pond.Inputs!$B$2:$B$57)</f>
        <v>0</v>
      </c>
      <c r="H39" s="8">
        <f>WIOD.NAF17!H39 * Pond.Inputs!$B39/SUMPRODUCT(WIOD.NAF17!H$2:H$57,Pond.Inputs!$B$2:$B$57)</f>
        <v>0</v>
      </c>
      <c r="I39" s="8">
        <f>WIOD.NAF17!I39 * Pond.Inputs!$B39/SUMPRODUCT(WIOD.NAF17!I$2:I$57,Pond.Inputs!$B$2:$B$57)</f>
        <v>0</v>
      </c>
      <c r="J39" s="8">
        <f>WIOD.NAF17!J39 * Pond.Inputs!$B39/SUMPRODUCT(WIOD.NAF17!J$2:J$57,Pond.Inputs!$B$2:$B$57)</f>
        <v>0</v>
      </c>
      <c r="K39" s="8">
        <f>WIOD.NAF17!K39 * Pond.Inputs!$B39/SUMPRODUCT(WIOD.NAF17!K$2:K$57,Pond.Inputs!$B$2:$B$57)</f>
        <v>0</v>
      </c>
      <c r="L39" s="8">
        <f>WIOD.NAF17!L39 * Pond.Inputs!$B39/SUMPRODUCT(WIOD.NAF17!L$2:L$57,Pond.Inputs!$B$2:$B$57)</f>
        <v>0</v>
      </c>
      <c r="M39" s="8">
        <f>WIOD.NAF17!M39 * Pond.Inputs!$B39/SUMPRODUCT(WIOD.NAF17!M$2:M$57,Pond.Inputs!$B$2:$B$57)</f>
        <v>0.14373274615485737</v>
      </c>
      <c r="N39" s="8">
        <f>WIOD.NAF17!N39 * Pond.Inputs!$B39/SUMPRODUCT(WIOD.NAF17!N$2:N$57,Pond.Inputs!$B$2:$B$57)</f>
        <v>0</v>
      </c>
      <c r="O39" s="8">
        <f>WIOD.NAF17!O39 * Pond.Inputs!$B39/SUMPRODUCT(WIOD.NAF17!O$2:O$57,Pond.Inputs!$B$2:$B$57)</f>
        <v>0</v>
      </c>
      <c r="P39" s="8">
        <f>WIOD.NAF17!P39 * Pond.Inputs!$B39/SUMPRODUCT(WIOD.NAF17!P$2:P$57,Pond.Inputs!$B$2:$B$57)</f>
        <v>0</v>
      </c>
      <c r="Q39" s="8">
        <f>WIOD.NAF17!Q39 * Pond.Inputs!$B39/SUMPRODUCT(WIOD.NAF17!Q$2:Q$57,Pond.Inputs!$B$2:$B$57)</f>
        <v>0</v>
      </c>
      <c r="R39" s="8">
        <f>WIOD.NAF17!R39 * Pond.Inputs!$B39/SUMPRODUCT(WIOD.NAF17!R$2:R$57,Pond.Inputs!$B$2:$B$57)</f>
        <v>0</v>
      </c>
    </row>
    <row r="40" spans="1:18" x14ac:dyDescent="0.2">
      <c r="A40" s="1" t="s">
        <v>51</v>
      </c>
      <c r="B40" s="8">
        <f>WIOD.NAF17!B40 * Pond.Inputs!$B40/SUMPRODUCT(WIOD.NAF17!B$2:B$57,Pond.Inputs!$B$2:$B$57)</f>
        <v>0</v>
      </c>
      <c r="C40" s="8">
        <f>WIOD.NAF17!C40 * Pond.Inputs!$B40/SUMPRODUCT(WIOD.NAF17!C$2:C$57,Pond.Inputs!$B$2:$B$57)</f>
        <v>0</v>
      </c>
      <c r="D40" s="8">
        <f>WIOD.NAF17!D40 * Pond.Inputs!$B40/SUMPRODUCT(WIOD.NAF17!D$2:D$57,Pond.Inputs!$B$2:$B$57)</f>
        <v>0</v>
      </c>
      <c r="E40" s="8">
        <f>WIOD.NAF17!E40 * Pond.Inputs!$B40/SUMPRODUCT(WIOD.NAF17!E$2:E$57,Pond.Inputs!$B$2:$B$57)</f>
        <v>0</v>
      </c>
      <c r="F40" s="8">
        <f>WIOD.NAF17!F40 * Pond.Inputs!$B40/SUMPRODUCT(WIOD.NAF17!F$2:F$57,Pond.Inputs!$B$2:$B$57)</f>
        <v>0</v>
      </c>
      <c r="G40" s="8">
        <f>WIOD.NAF17!G40 * Pond.Inputs!$B40/SUMPRODUCT(WIOD.NAF17!G$2:G$57,Pond.Inputs!$B$2:$B$57)</f>
        <v>0</v>
      </c>
      <c r="H40" s="8">
        <f>WIOD.NAF17!H40 * Pond.Inputs!$B40/SUMPRODUCT(WIOD.NAF17!H$2:H$57,Pond.Inputs!$B$2:$B$57)</f>
        <v>0</v>
      </c>
      <c r="I40" s="8">
        <f>WIOD.NAF17!I40 * Pond.Inputs!$B40/SUMPRODUCT(WIOD.NAF17!I$2:I$57,Pond.Inputs!$B$2:$B$57)</f>
        <v>0</v>
      </c>
      <c r="J40" s="8">
        <f>WIOD.NAF17!J40 * Pond.Inputs!$B40/SUMPRODUCT(WIOD.NAF17!J$2:J$57,Pond.Inputs!$B$2:$B$57)</f>
        <v>0</v>
      </c>
      <c r="K40" s="8">
        <f>WIOD.NAF17!K40 * Pond.Inputs!$B40/SUMPRODUCT(WIOD.NAF17!K$2:K$57,Pond.Inputs!$B$2:$B$57)</f>
        <v>0</v>
      </c>
      <c r="L40" s="8">
        <f>WIOD.NAF17!L40 * Pond.Inputs!$B40/SUMPRODUCT(WIOD.NAF17!L$2:L$57,Pond.Inputs!$B$2:$B$57)</f>
        <v>0</v>
      </c>
      <c r="M40" s="8">
        <f>WIOD.NAF17!M40 * Pond.Inputs!$B40/SUMPRODUCT(WIOD.NAF17!M$2:M$57,Pond.Inputs!$B$2:$B$57)</f>
        <v>0.32151308005784146</v>
      </c>
      <c r="N40" s="8">
        <f>WIOD.NAF17!N40 * Pond.Inputs!$B40/SUMPRODUCT(WIOD.NAF17!N$2:N$57,Pond.Inputs!$B$2:$B$57)</f>
        <v>0</v>
      </c>
      <c r="O40" s="8">
        <f>WIOD.NAF17!O40 * Pond.Inputs!$B40/SUMPRODUCT(WIOD.NAF17!O$2:O$57,Pond.Inputs!$B$2:$B$57)</f>
        <v>0</v>
      </c>
      <c r="P40" s="8">
        <f>WIOD.NAF17!P40 * Pond.Inputs!$B40/SUMPRODUCT(WIOD.NAF17!P$2:P$57,Pond.Inputs!$B$2:$B$57)</f>
        <v>0</v>
      </c>
      <c r="Q40" s="8">
        <f>WIOD.NAF17!Q40 * Pond.Inputs!$B40/SUMPRODUCT(WIOD.NAF17!Q$2:Q$57,Pond.Inputs!$B$2:$B$57)</f>
        <v>0</v>
      </c>
      <c r="R40" s="8">
        <f>WIOD.NAF17!R40 * Pond.Inputs!$B40/SUMPRODUCT(WIOD.NAF17!R$2:R$57,Pond.Inputs!$B$2:$B$57)</f>
        <v>0</v>
      </c>
    </row>
    <row r="41" spans="1:18" x14ac:dyDescent="0.2">
      <c r="A41" s="1" t="s">
        <v>52</v>
      </c>
      <c r="B41" s="8">
        <f>WIOD.NAF17!B41 * Pond.Inputs!$B41/SUMPRODUCT(WIOD.NAF17!B$2:B$57,Pond.Inputs!$B$2:$B$57)</f>
        <v>0</v>
      </c>
      <c r="C41" s="8">
        <f>WIOD.NAF17!C41 * Pond.Inputs!$B41/SUMPRODUCT(WIOD.NAF17!C$2:C$57,Pond.Inputs!$B$2:$B$57)</f>
        <v>0</v>
      </c>
      <c r="D41" s="8">
        <f>WIOD.NAF17!D41 * Pond.Inputs!$B41/SUMPRODUCT(WIOD.NAF17!D$2:D$57,Pond.Inputs!$B$2:$B$57)</f>
        <v>0</v>
      </c>
      <c r="E41" s="8">
        <f>WIOD.NAF17!E41 * Pond.Inputs!$B41/SUMPRODUCT(WIOD.NAF17!E$2:E$57,Pond.Inputs!$B$2:$B$57)</f>
        <v>0</v>
      </c>
      <c r="F41" s="8">
        <f>WIOD.NAF17!F41 * Pond.Inputs!$B41/SUMPRODUCT(WIOD.NAF17!F$2:F$57,Pond.Inputs!$B$2:$B$57)</f>
        <v>0</v>
      </c>
      <c r="G41" s="8">
        <f>WIOD.NAF17!G41 * Pond.Inputs!$B41/SUMPRODUCT(WIOD.NAF17!G$2:G$57,Pond.Inputs!$B$2:$B$57)</f>
        <v>0</v>
      </c>
      <c r="H41" s="8">
        <f>WIOD.NAF17!H41 * Pond.Inputs!$B41/SUMPRODUCT(WIOD.NAF17!H$2:H$57,Pond.Inputs!$B$2:$B$57)</f>
        <v>0</v>
      </c>
      <c r="I41" s="8">
        <f>WIOD.NAF17!I41 * Pond.Inputs!$B41/SUMPRODUCT(WIOD.NAF17!I$2:I$57,Pond.Inputs!$B$2:$B$57)</f>
        <v>0</v>
      </c>
      <c r="J41" s="8">
        <f>WIOD.NAF17!J41 * Pond.Inputs!$B41/SUMPRODUCT(WIOD.NAF17!J$2:J$57,Pond.Inputs!$B$2:$B$57)</f>
        <v>0</v>
      </c>
      <c r="K41" s="8">
        <f>WIOD.NAF17!K41 * Pond.Inputs!$B41/SUMPRODUCT(WIOD.NAF17!K$2:K$57,Pond.Inputs!$B$2:$B$57)</f>
        <v>0</v>
      </c>
      <c r="L41" s="8">
        <f>WIOD.NAF17!L41 * Pond.Inputs!$B41/SUMPRODUCT(WIOD.NAF17!L$2:L$57,Pond.Inputs!$B$2:$B$57)</f>
        <v>0</v>
      </c>
      <c r="M41" s="8">
        <f>WIOD.NAF17!M41 * Pond.Inputs!$B41/SUMPRODUCT(WIOD.NAF17!M$2:M$57,Pond.Inputs!$B$2:$B$57)</f>
        <v>0.39937995705709656</v>
      </c>
      <c r="N41" s="8">
        <f>WIOD.NAF17!N41 * Pond.Inputs!$B41/SUMPRODUCT(WIOD.NAF17!N$2:N$57,Pond.Inputs!$B$2:$B$57)</f>
        <v>0</v>
      </c>
      <c r="O41" s="8">
        <f>WIOD.NAF17!O41 * Pond.Inputs!$B41/SUMPRODUCT(WIOD.NAF17!O$2:O$57,Pond.Inputs!$B$2:$B$57)</f>
        <v>0</v>
      </c>
      <c r="P41" s="8">
        <f>WIOD.NAF17!P41 * Pond.Inputs!$B41/SUMPRODUCT(WIOD.NAF17!P$2:P$57,Pond.Inputs!$B$2:$B$57)</f>
        <v>0</v>
      </c>
      <c r="Q41" s="8">
        <f>WIOD.NAF17!Q41 * Pond.Inputs!$B41/SUMPRODUCT(WIOD.NAF17!Q$2:Q$57,Pond.Inputs!$B$2:$B$57)</f>
        <v>0</v>
      </c>
      <c r="R41" s="8">
        <f>WIOD.NAF17!R41 * Pond.Inputs!$B41/SUMPRODUCT(WIOD.NAF17!R$2:R$57,Pond.Inputs!$B$2:$B$57)</f>
        <v>0</v>
      </c>
    </row>
    <row r="42" spans="1:18" x14ac:dyDescent="0.2">
      <c r="A42" s="1" t="s">
        <v>53</v>
      </c>
      <c r="B42" s="8">
        <f>WIOD.NAF17!B42 * Pond.Inputs!$B42/SUMPRODUCT(WIOD.NAF17!B$2:B$57,Pond.Inputs!$B$2:$B$57)</f>
        <v>0</v>
      </c>
      <c r="C42" s="8">
        <f>WIOD.NAF17!C42 * Pond.Inputs!$B42/SUMPRODUCT(WIOD.NAF17!C$2:C$57,Pond.Inputs!$B$2:$B$57)</f>
        <v>0</v>
      </c>
      <c r="D42" s="8">
        <f>WIOD.NAF17!D42 * Pond.Inputs!$B42/SUMPRODUCT(WIOD.NAF17!D$2:D$57,Pond.Inputs!$B$2:$B$57)</f>
        <v>0</v>
      </c>
      <c r="E42" s="8">
        <f>WIOD.NAF17!E42 * Pond.Inputs!$B42/SUMPRODUCT(WIOD.NAF17!E$2:E$57,Pond.Inputs!$B$2:$B$57)</f>
        <v>0</v>
      </c>
      <c r="F42" s="8">
        <f>WIOD.NAF17!F42 * Pond.Inputs!$B42/SUMPRODUCT(WIOD.NAF17!F$2:F$57,Pond.Inputs!$B$2:$B$57)</f>
        <v>0</v>
      </c>
      <c r="G42" s="8">
        <f>WIOD.NAF17!G42 * Pond.Inputs!$B42/SUMPRODUCT(WIOD.NAF17!G$2:G$57,Pond.Inputs!$B$2:$B$57)</f>
        <v>0</v>
      </c>
      <c r="H42" s="8">
        <f>WIOD.NAF17!H42 * Pond.Inputs!$B42/SUMPRODUCT(WIOD.NAF17!H$2:H$57,Pond.Inputs!$B$2:$B$57)</f>
        <v>0</v>
      </c>
      <c r="I42" s="8">
        <f>WIOD.NAF17!I42 * Pond.Inputs!$B42/SUMPRODUCT(WIOD.NAF17!I$2:I$57,Pond.Inputs!$B$2:$B$57)</f>
        <v>0</v>
      </c>
      <c r="J42" s="8">
        <f>WIOD.NAF17!J42 * Pond.Inputs!$B42/SUMPRODUCT(WIOD.NAF17!J$2:J$57,Pond.Inputs!$B$2:$B$57)</f>
        <v>0</v>
      </c>
      <c r="K42" s="8">
        <f>WIOD.NAF17!K42 * Pond.Inputs!$B42/SUMPRODUCT(WIOD.NAF17!K$2:K$57,Pond.Inputs!$B$2:$B$57)</f>
        <v>0</v>
      </c>
      <c r="L42" s="8">
        <f>WIOD.NAF17!L42 * Pond.Inputs!$B42/SUMPRODUCT(WIOD.NAF17!L$2:L$57,Pond.Inputs!$B$2:$B$57)</f>
        <v>0</v>
      </c>
      <c r="M42" s="8">
        <f>WIOD.NAF17!M42 * Pond.Inputs!$B42/SUMPRODUCT(WIOD.NAF17!M$2:M$57,Pond.Inputs!$B$2:$B$57)</f>
        <v>0</v>
      </c>
      <c r="N42" s="8">
        <f>WIOD.NAF17!N42 * Pond.Inputs!$B42/SUMPRODUCT(WIOD.NAF17!N$2:N$57,Pond.Inputs!$B$2:$B$57)</f>
        <v>0.54810293305386004</v>
      </c>
      <c r="O42" s="8">
        <f>WIOD.NAF17!O42 * Pond.Inputs!$B42/SUMPRODUCT(WIOD.NAF17!O$2:O$57,Pond.Inputs!$B$2:$B$57)</f>
        <v>0</v>
      </c>
      <c r="P42" s="8">
        <f>WIOD.NAF17!P42 * Pond.Inputs!$B42/SUMPRODUCT(WIOD.NAF17!P$2:P$57,Pond.Inputs!$B$2:$B$57)</f>
        <v>0</v>
      </c>
      <c r="Q42" s="8">
        <f>WIOD.NAF17!Q42 * Pond.Inputs!$B42/SUMPRODUCT(WIOD.NAF17!Q$2:Q$57,Pond.Inputs!$B$2:$B$57)</f>
        <v>0</v>
      </c>
      <c r="R42" s="8">
        <f>WIOD.NAF17!R42 * Pond.Inputs!$B42/SUMPRODUCT(WIOD.NAF17!R$2:R$57,Pond.Inputs!$B$2:$B$57)</f>
        <v>0</v>
      </c>
    </row>
    <row r="43" spans="1:18" x14ac:dyDescent="0.2">
      <c r="A43" s="1" t="s">
        <v>54</v>
      </c>
      <c r="B43" s="8">
        <f>WIOD.NAF17!B43 * Pond.Inputs!$B43/SUMPRODUCT(WIOD.NAF17!B$2:B$57,Pond.Inputs!$B$2:$B$57)</f>
        <v>0</v>
      </c>
      <c r="C43" s="8">
        <f>WIOD.NAF17!C43 * Pond.Inputs!$B43/SUMPRODUCT(WIOD.NAF17!C$2:C$57,Pond.Inputs!$B$2:$B$57)</f>
        <v>0</v>
      </c>
      <c r="D43" s="8">
        <f>WIOD.NAF17!D43 * Pond.Inputs!$B43/SUMPRODUCT(WIOD.NAF17!D$2:D$57,Pond.Inputs!$B$2:$B$57)</f>
        <v>0</v>
      </c>
      <c r="E43" s="8">
        <f>WIOD.NAF17!E43 * Pond.Inputs!$B43/SUMPRODUCT(WIOD.NAF17!E$2:E$57,Pond.Inputs!$B$2:$B$57)</f>
        <v>0</v>
      </c>
      <c r="F43" s="8">
        <f>WIOD.NAF17!F43 * Pond.Inputs!$B43/SUMPRODUCT(WIOD.NAF17!F$2:F$57,Pond.Inputs!$B$2:$B$57)</f>
        <v>0</v>
      </c>
      <c r="G43" s="8">
        <f>WIOD.NAF17!G43 * Pond.Inputs!$B43/SUMPRODUCT(WIOD.NAF17!G$2:G$57,Pond.Inputs!$B$2:$B$57)</f>
        <v>0</v>
      </c>
      <c r="H43" s="8">
        <f>WIOD.NAF17!H43 * Pond.Inputs!$B43/SUMPRODUCT(WIOD.NAF17!H$2:H$57,Pond.Inputs!$B$2:$B$57)</f>
        <v>0</v>
      </c>
      <c r="I43" s="8">
        <f>WIOD.NAF17!I43 * Pond.Inputs!$B43/SUMPRODUCT(WIOD.NAF17!I$2:I$57,Pond.Inputs!$B$2:$B$57)</f>
        <v>0</v>
      </c>
      <c r="J43" s="8">
        <f>WIOD.NAF17!J43 * Pond.Inputs!$B43/SUMPRODUCT(WIOD.NAF17!J$2:J$57,Pond.Inputs!$B$2:$B$57)</f>
        <v>0</v>
      </c>
      <c r="K43" s="8">
        <f>WIOD.NAF17!K43 * Pond.Inputs!$B43/SUMPRODUCT(WIOD.NAF17!K$2:K$57,Pond.Inputs!$B$2:$B$57)</f>
        <v>0</v>
      </c>
      <c r="L43" s="8">
        <f>WIOD.NAF17!L43 * Pond.Inputs!$B43/SUMPRODUCT(WIOD.NAF17!L$2:L$57,Pond.Inputs!$B$2:$B$57)</f>
        <v>0</v>
      </c>
      <c r="M43" s="8">
        <f>WIOD.NAF17!M43 * Pond.Inputs!$B43/SUMPRODUCT(WIOD.NAF17!M$2:M$57,Pond.Inputs!$B$2:$B$57)</f>
        <v>0</v>
      </c>
      <c r="N43" s="8">
        <f>WIOD.NAF17!N43 * Pond.Inputs!$B43/SUMPRODUCT(WIOD.NAF17!N$2:N$57,Pond.Inputs!$B$2:$B$57)</f>
        <v>0.27478555613779171</v>
      </c>
      <c r="O43" s="8">
        <f>WIOD.NAF17!O43 * Pond.Inputs!$B43/SUMPRODUCT(WIOD.NAF17!O$2:O$57,Pond.Inputs!$B$2:$B$57)</f>
        <v>0</v>
      </c>
      <c r="P43" s="8">
        <f>WIOD.NAF17!P43 * Pond.Inputs!$B43/SUMPRODUCT(WIOD.NAF17!P$2:P$57,Pond.Inputs!$B$2:$B$57)</f>
        <v>0</v>
      </c>
      <c r="Q43" s="8">
        <f>WIOD.NAF17!Q43 * Pond.Inputs!$B43/SUMPRODUCT(WIOD.NAF17!Q$2:Q$57,Pond.Inputs!$B$2:$B$57)</f>
        <v>0</v>
      </c>
      <c r="R43" s="8">
        <f>WIOD.NAF17!R43 * Pond.Inputs!$B43/SUMPRODUCT(WIOD.NAF17!R$2:R$57,Pond.Inputs!$B$2:$B$57)</f>
        <v>0</v>
      </c>
    </row>
    <row r="44" spans="1:18" x14ac:dyDescent="0.2">
      <c r="A44" s="1" t="s">
        <v>55</v>
      </c>
      <c r="B44" s="8">
        <f>WIOD.NAF17!B44 * Pond.Inputs!$B44/SUMPRODUCT(WIOD.NAF17!B$2:B$57,Pond.Inputs!$B$2:$B$57)</f>
        <v>0</v>
      </c>
      <c r="C44" s="8">
        <f>WIOD.NAF17!C44 * Pond.Inputs!$B44/SUMPRODUCT(WIOD.NAF17!C$2:C$57,Pond.Inputs!$B$2:$B$57)</f>
        <v>0</v>
      </c>
      <c r="D44" s="8">
        <f>WIOD.NAF17!D44 * Pond.Inputs!$B44/SUMPRODUCT(WIOD.NAF17!D$2:D$57,Pond.Inputs!$B$2:$B$57)</f>
        <v>0</v>
      </c>
      <c r="E44" s="8">
        <f>WIOD.NAF17!E44 * Pond.Inputs!$B44/SUMPRODUCT(WIOD.NAF17!E$2:E$57,Pond.Inputs!$B$2:$B$57)</f>
        <v>0</v>
      </c>
      <c r="F44" s="8">
        <f>WIOD.NAF17!F44 * Pond.Inputs!$B44/SUMPRODUCT(WIOD.NAF17!F$2:F$57,Pond.Inputs!$B$2:$B$57)</f>
        <v>0</v>
      </c>
      <c r="G44" s="8">
        <f>WIOD.NAF17!G44 * Pond.Inputs!$B44/SUMPRODUCT(WIOD.NAF17!G$2:G$57,Pond.Inputs!$B$2:$B$57)</f>
        <v>0</v>
      </c>
      <c r="H44" s="8">
        <f>WIOD.NAF17!H44 * Pond.Inputs!$B44/SUMPRODUCT(WIOD.NAF17!H$2:H$57,Pond.Inputs!$B$2:$B$57)</f>
        <v>0</v>
      </c>
      <c r="I44" s="8">
        <f>WIOD.NAF17!I44 * Pond.Inputs!$B44/SUMPRODUCT(WIOD.NAF17!I$2:I$57,Pond.Inputs!$B$2:$B$57)</f>
        <v>0</v>
      </c>
      <c r="J44" s="8">
        <f>WIOD.NAF17!J44 * Pond.Inputs!$B44/SUMPRODUCT(WIOD.NAF17!J$2:J$57,Pond.Inputs!$B$2:$B$57)</f>
        <v>0</v>
      </c>
      <c r="K44" s="8">
        <f>WIOD.NAF17!K44 * Pond.Inputs!$B44/SUMPRODUCT(WIOD.NAF17!K$2:K$57,Pond.Inputs!$B$2:$B$57)</f>
        <v>0</v>
      </c>
      <c r="L44" s="8">
        <f>WIOD.NAF17!L44 * Pond.Inputs!$B44/SUMPRODUCT(WIOD.NAF17!L$2:L$57,Pond.Inputs!$B$2:$B$57)</f>
        <v>0</v>
      </c>
      <c r="M44" s="8">
        <f>WIOD.NAF17!M44 * Pond.Inputs!$B44/SUMPRODUCT(WIOD.NAF17!M$2:M$57,Pond.Inputs!$B$2:$B$57)</f>
        <v>0</v>
      </c>
      <c r="N44" s="8">
        <f>WIOD.NAF17!N44 * Pond.Inputs!$B44/SUMPRODUCT(WIOD.NAF17!N$2:N$57,Pond.Inputs!$B$2:$B$57)</f>
        <v>0.17711151080834833</v>
      </c>
      <c r="O44" s="8">
        <f>WIOD.NAF17!O44 * Pond.Inputs!$B44/SUMPRODUCT(WIOD.NAF17!O$2:O$57,Pond.Inputs!$B$2:$B$57)</f>
        <v>0</v>
      </c>
      <c r="P44" s="8">
        <f>WIOD.NAF17!P44 * Pond.Inputs!$B44/SUMPRODUCT(WIOD.NAF17!P$2:P$57,Pond.Inputs!$B$2:$B$57)</f>
        <v>0</v>
      </c>
      <c r="Q44" s="8">
        <f>WIOD.NAF17!Q44 * Pond.Inputs!$B44/SUMPRODUCT(WIOD.NAF17!Q$2:Q$57,Pond.Inputs!$B$2:$B$57)</f>
        <v>0</v>
      </c>
      <c r="R44" s="8">
        <f>WIOD.NAF17!R44 * Pond.Inputs!$B44/SUMPRODUCT(WIOD.NAF17!R$2:R$57,Pond.Inputs!$B$2:$B$57)</f>
        <v>0</v>
      </c>
    </row>
    <row r="45" spans="1:18" x14ac:dyDescent="0.2">
      <c r="A45" s="1" t="s">
        <v>56</v>
      </c>
      <c r="B45" s="8">
        <f>WIOD.NAF17!B45 * Pond.Inputs!$B45/SUMPRODUCT(WIOD.NAF17!B$2:B$57,Pond.Inputs!$B$2:$B$57)</f>
        <v>0</v>
      </c>
      <c r="C45" s="8">
        <f>WIOD.NAF17!C45 * Pond.Inputs!$B45/SUMPRODUCT(WIOD.NAF17!C$2:C$57,Pond.Inputs!$B$2:$B$57)</f>
        <v>0</v>
      </c>
      <c r="D45" s="8">
        <f>WIOD.NAF17!D45 * Pond.Inputs!$B45/SUMPRODUCT(WIOD.NAF17!D$2:D$57,Pond.Inputs!$B$2:$B$57)</f>
        <v>0</v>
      </c>
      <c r="E45" s="8">
        <f>WIOD.NAF17!E45 * Pond.Inputs!$B45/SUMPRODUCT(WIOD.NAF17!E$2:E$57,Pond.Inputs!$B$2:$B$57)</f>
        <v>0</v>
      </c>
      <c r="F45" s="8">
        <f>WIOD.NAF17!F45 * Pond.Inputs!$B45/SUMPRODUCT(WIOD.NAF17!F$2:F$57,Pond.Inputs!$B$2:$B$57)</f>
        <v>0</v>
      </c>
      <c r="G45" s="8">
        <f>WIOD.NAF17!G45 * Pond.Inputs!$B45/SUMPRODUCT(WIOD.NAF17!G$2:G$57,Pond.Inputs!$B$2:$B$57)</f>
        <v>0</v>
      </c>
      <c r="H45" s="8">
        <f>WIOD.NAF17!H45 * Pond.Inputs!$B45/SUMPRODUCT(WIOD.NAF17!H$2:H$57,Pond.Inputs!$B$2:$B$57)</f>
        <v>0</v>
      </c>
      <c r="I45" s="8">
        <f>WIOD.NAF17!I45 * Pond.Inputs!$B45/SUMPRODUCT(WIOD.NAF17!I$2:I$57,Pond.Inputs!$B$2:$B$57)</f>
        <v>0</v>
      </c>
      <c r="J45" s="8">
        <f>WIOD.NAF17!J45 * Pond.Inputs!$B45/SUMPRODUCT(WIOD.NAF17!J$2:J$57,Pond.Inputs!$B$2:$B$57)</f>
        <v>0</v>
      </c>
      <c r="K45" s="8">
        <f>WIOD.NAF17!K45 * Pond.Inputs!$B45/SUMPRODUCT(WIOD.NAF17!K$2:K$57,Pond.Inputs!$B$2:$B$57)</f>
        <v>0</v>
      </c>
      <c r="L45" s="8">
        <f>WIOD.NAF17!L45 * Pond.Inputs!$B45/SUMPRODUCT(WIOD.NAF17!L$2:L$57,Pond.Inputs!$B$2:$B$57)</f>
        <v>0</v>
      </c>
      <c r="M45" s="8">
        <f>WIOD.NAF17!M45 * Pond.Inputs!$B45/SUMPRODUCT(WIOD.NAF17!M$2:M$57,Pond.Inputs!$B$2:$B$57)</f>
        <v>0</v>
      </c>
      <c r="N45" s="8">
        <f>WIOD.NAF17!N45 * Pond.Inputs!$B45/SUMPRODUCT(WIOD.NAF17!N$2:N$57,Pond.Inputs!$B$2:$B$57)</f>
        <v>0</v>
      </c>
      <c r="O45" s="8">
        <f>WIOD.NAF17!O45 * Pond.Inputs!$B45/SUMPRODUCT(WIOD.NAF17!O$2:O$57,Pond.Inputs!$B$2:$B$57)</f>
        <v>1</v>
      </c>
      <c r="P45" s="8">
        <f>WIOD.NAF17!P45 * Pond.Inputs!$B45/SUMPRODUCT(WIOD.NAF17!P$2:P$57,Pond.Inputs!$B$2:$B$57)</f>
        <v>0</v>
      </c>
      <c r="Q45" s="8">
        <f>WIOD.NAF17!Q45 * Pond.Inputs!$B45/SUMPRODUCT(WIOD.NAF17!Q$2:Q$57,Pond.Inputs!$B$2:$B$57)</f>
        <v>0</v>
      </c>
      <c r="R45" s="8">
        <f>WIOD.NAF17!R45 * Pond.Inputs!$B45/SUMPRODUCT(WIOD.NAF17!R$2:R$57,Pond.Inputs!$B$2:$B$57)</f>
        <v>0</v>
      </c>
    </row>
    <row r="46" spans="1:18" x14ac:dyDescent="0.2">
      <c r="A46" s="1" t="s">
        <v>57</v>
      </c>
      <c r="B46" s="8">
        <f>WIOD.NAF17!B46 * Pond.Inputs!$B46/SUMPRODUCT(WIOD.NAF17!B$2:B$57,Pond.Inputs!$B$2:$B$57)</f>
        <v>0</v>
      </c>
      <c r="C46" s="8">
        <f>WIOD.NAF17!C46 * Pond.Inputs!$B46/SUMPRODUCT(WIOD.NAF17!C$2:C$57,Pond.Inputs!$B$2:$B$57)</f>
        <v>0</v>
      </c>
      <c r="D46" s="8">
        <f>WIOD.NAF17!D46 * Pond.Inputs!$B46/SUMPRODUCT(WIOD.NAF17!D$2:D$57,Pond.Inputs!$B$2:$B$57)</f>
        <v>0</v>
      </c>
      <c r="E46" s="8">
        <f>WIOD.NAF17!E46 * Pond.Inputs!$B46/SUMPRODUCT(WIOD.NAF17!E$2:E$57,Pond.Inputs!$B$2:$B$57)</f>
        <v>0</v>
      </c>
      <c r="F46" s="8">
        <f>WIOD.NAF17!F46 * Pond.Inputs!$B46/SUMPRODUCT(WIOD.NAF17!F$2:F$57,Pond.Inputs!$B$2:$B$57)</f>
        <v>0</v>
      </c>
      <c r="G46" s="8">
        <f>WIOD.NAF17!G46 * Pond.Inputs!$B46/SUMPRODUCT(WIOD.NAF17!G$2:G$57,Pond.Inputs!$B$2:$B$57)</f>
        <v>0</v>
      </c>
      <c r="H46" s="8">
        <f>WIOD.NAF17!H46 * Pond.Inputs!$B46/SUMPRODUCT(WIOD.NAF17!H$2:H$57,Pond.Inputs!$B$2:$B$57)</f>
        <v>0</v>
      </c>
      <c r="I46" s="8">
        <f>WIOD.NAF17!I46 * Pond.Inputs!$B46/SUMPRODUCT(WIOD.NAF17!I$2:I$57,Pond.Inputs!$B$2:$B$57)</f>
        <v>0</v>
      </c>
      <c r="J46" s="8">
        <f>WIOD.NAF17!J46 * Pond.Inputs!$B46/SUMPRODUCT(WIOD.NAF17!J$2:J$57,Pond.Inputs!$B$2:$B$57)</f>
        <v>0</v>
      </c>
      <c r="K46" s="8">
        <f>WIOD.NAF17!K46 * Pond.Inputs!$B46/SUMPRODUCT(WIOD.NAF17!K$2:K$57,Pond.Inputs!$B$2:$B$57)</f>
        <v>0</v>
      </c>
      <c r="L46" s="8">
        <f>WIOD.NAF17!L46 * Pond.Inputs!$B46/SUMPRODUCT(WIOD.NAF17!L$2:L$57,Pond.Inputs!$B$2:$B$57)</f>
        <v>0</v>
      </c>
      <c r="M46" s="8">
        <f>WIOD.NAF17!M46 * Pond.Inputs!$B46/SUMPRODUCT(WIOD.NAF17!M$2:M$57,Pond.Inputs!$B$2:$B$57)</f>
        <v>0</v>
      </c>
      <c r="N46" s="8">
        <f>WIOD.NAF17!N46 * Pond.Inputs!$B46/SUMPRODUCT(WIOD.NAF17!N$2:N$57,Pond.Inputs!$B$2:$B$57)</f>
        <v>0</v>
      </c>
      <c r="O46" s="8">
        <f>WIOD.NAF17!O46 * Pond.Inputs!$B46/SUMPRODUCT(WIOD.NAF17!O$2:O$57,Pond.Inputs!$B$2:$B$57)</f>
        <v>0</v>
      </c>
      <c r="P46" s="8">
        <f>WIOD.NAF17!P46 * Pond.Inputs!$B46/SUMPRODUCT(WIOD.NAF17!P$2:P$57,Pond.Inputs!$B$2:$B$57)</f>
        <v>0.3147540576914728</v>
      </c>
      <c r="Q46" s="8">
        <f>WIOD.NAF17!Q46 * Pond.Inputs!$B46/SUMPRODUCT(WIOD.NAF17!Q$2:Q$57,Pond.Inputs!$B$2:$B$57)</f>
        <v>0</v>
      </c>
      <c r="R46" s="8">
        <f>WIOD.NAF17!R46 * Pond.Inputs!$B46/SUMPRODUCT(WIOD.NAF17!R$2:R$57,Pond.Inputs!$B$2:$B$57)</f>
        <v>0</v>
      </c>
    </row>
    <row r="47" spans="1:18" x14ac:dyDescent="0.2">
      <c r="A47" s="1" t="s">
        <v>58</v>
      </c>
      <c r="B47" s="8">
        <f>WIOD.NAF17!B47 * Pond.Inputs!$B47/SUMPRODUCT(WIOD.NAF17!B$2:B$57,Pond.Inputs!$B$2:$B$57)</f>
        <v>0</v>
      </c>
      <c r="C47" s="8">
        <f>WIOD.NAF17!C47 * Pond.Inputs!$B47/SUMPRODUCT(WIOD.NAF17!C$2:C$57,Pond.Inputs!$B$2:$B$57)</f>
        <v>0</v>
      </c>
      <c r="D47" s="8">
        <f>WIOD.NAF17!D47 * Pond.Inputs!$B47/SUMPRODUCT(WIOD.NAF17!D$2:D$57,Pond.Inputs!$B$2:$B$57)</f>
        <v>0</v>
      </c>
      <c r="E47" s="8">
        <f>WIOD.NAF17!E47 * Pond.Inputs!$B47/SUMPRODUCT(WIOD.NAF17!E$2:E$57,Pond.Inputs!$B$2:$B$57)</f>
        <v>0</v>
      </c>
      <c r="F47" s="8">
        <f>WIOD.NAF17!F47 * Pond.Inputs!$B47/SUMPRODUCT(WIOD.NAF17!F$2:F$57,Pond.Inputs!$B$2:$B$57)</f>
        <v>0</v>
      </c>
      <c r="G47" s="8">
        <f>WIOD.NAF17!G47 * Pond.Inputs!$B47/SUMPRODUCT(WIOD.NAF17!G$2:G$57,Pond.Inputs!$B$2:$B$57)</f>
        <v>0</v>
      </c>
      <c r="H47" s="8">
        <f>WIOD.NAF17!H47 * Pond.Inputs!$B47/SUMPRODUCT(WIOD.NAF17!H$2:H$57,Pond.Inputs!$B$2:$B$57)</f>
        <v>0</v>
      </c>
      <c r="I47" s="8">
        <f>WIOD.NAF17!I47 * Pond.Inputs!$B47/SUMPRODUCT(WIOD.NAF17!I$2:I$57,Pond.Inputs!$B$2:$B$57)</f>
        <v>0</v>
      </c>
      <c r="J47" s="8">
        <f>WIOD.NAF17!J47 * Pond.Inputs!$B47/SUMPRODUCT(WIOD.NAF17!J$2:J$57,Pond.Inputs!$B$2:$B$57)</f>
        <v>0</v>
      </c>
      <c r="K47" s="8">
        <f>WIOD.NAF17!K47 * Pond.Inputs!$B47/SUMPRODUCT(WIOD.NAF17!K$2:K$57,Pond.Inputs!$B$2:$B$57)</f>
        <v>0</v>
      </c>
      <c r="L47" s="8">
        <f>WIOD.NAF17!L47 * Pond.Inputs!$B47/SUMPRODUCT(WIOD.NAF17!L$2:L$57,Pond.Inputs!$B$2:$B$57)</f>
        <v>0</v>
      </c>
      <c r="M47" s="8">
        <f>WIOD.NAF17!M47 * Pond.Inputs!$B47/SUMPRODUCT(WIOD.NAF17!M$2:M$57,Pond.Inputs!$B$2:$B$57)</f>
        <v>0</v>
      </c>
      <c r="N47" s="8">
        <f>WIOD.NAF17!N47 * Pond.Inputs!$B47/SUMPRODUCT(WIOD.NAF17!N$2:N$57,Pond.Inputs!$B$2:$B$57)</f>
        <v>0</v>
      </c>
      <c r="O47" s="8">
        <f>WIOD.NAF17!O47 * Pond.Inputs!$B47/SUMPRODUCT(WIOD.NAF17!O$2:O$57,Pond.Inputs!$B$2:$B$57)</f>
        <v>0</v>
      </c>
      <c r="P47" s="8">
        <f>WIOD.NAF17!P47 * Pond.Inputs!$B47/SUMPRODUCT(WIOD.NAF17!P$2:P$57,Pond.Inputs!$B$2:$B$57)</f>
        <v>0.1269166919917058</v>
      </c>
      <c r="Q47" s="8">
        <f>WIOD.NAF17!Q47 * Pond.Inputs!$B47/SUMPRODUCT(WIOD.NAF17!Q$2:Q$57,Pond.Inputs!$B$2:$B$57)</f>
        <v>0</v>
      </c>
      <c r="R47" s="8">
        <f>WIOD.NAF17!R47 * Pond.Inputs!$B47/SUMPRODUCT(WIOD.NAF17!R$2:R$57,Pond.Inputs!$B$2:$B$57)</f>
        <v>0</v>
      </c>
    </row>
    <row r="48" spans="1:18" x14ac:dyDescent="0.2">
      <c r="A48" s="1" t="s">
        <v>59</v>
      </c>
      <c r="B48" s="8">
        <f>WIOD.NAF17!B48 * Pond.Inputs!$B48/SUMPRODUCT(WIOD.NAF17!B$2:B$57,Pond.Inputs!$B$2:$B$57)</f>
        <v>0</v>
      </c>
      <c r="C48" s="8">
        <f>WIOD.NAF17!C48 * Pond.Inputs!$B48/SUMPRODUCT(WIOD.NAF17!C$2:C$57,Pond.Inputs!$B$2:$B$57)</f>
        <v>0</v>
      </c>
      <c r="D48" s="8">
        <f>WIOD.NAF17!D48 * Pond.Inputs!$B48/SUMPRODUCT(WIOD.NAF17!D$2:D$57,Pond.Inputs!$B$2:$B$57)</f>
        <v>0</v>
      </c>
      <c r="E48" s="8">
        <f>WIOD.NAF17!E48 * Pond.Inputs!$B48/SUMPRODUCT(WIOD.NAF17!E$2:E$57,Pond.Inputs!$B$2:$B$57)</f>
        <v>0</v>
      </c>
      <c r="F48" s="8">
        <f>WIOD.NAF17!F48 * Pond.Inputs!$B48/SUMPRODUCT(WIOD.NAF17!F$2:F$57,Pond.Inputs!$B$2:$B$57)</f>
        <v>0</v>
      </c>
      <c r="G48" s="8">
        <f>WIOD.NAF17!G48 * Pond.Inputs!$B48/SUMPRODUCT(WIOD.NAF17!G$2:G$57,Pond.Inputs!$B$2:$B$57)</f>
        <v>0</v>
      </c>
      <c r="H48" s="8">
        <f>WIOD.NAF17!H48 * Pond.Inputs!$B48/SUMPRODUCT(WIOD.NAF17!H$2:H$57,Pond.Inputs!$B$2:$B$57)</f>
        <v>0</v>
      </c>
      <c r="I48" s="8">
        <f>WIOD.NAF17!I48 * Pond.Inputs!$B48/SUMPRODUCT(WIOD.NAF17!I$2:I$57,Pond.Inputs!$B$2:$B$57)</f>
        <v>0</v>
      </c>
      <c r="J48" s="8">
        <f>WIOD.NAF17!J48 * Pond.Inputs!$B48/SUMPRODUCT(WIOD.NAF17!J$2:J$57,Pond.Inputs!$B$2:$B$57)</f>
        <v>0</v>
      </c>
      <c r="K48" s="8">
        <f>WIOD.NAF17!K48 * Pond.Inputs!$B48/SUMPRODUCT(WIOD.NAF17!K$2:K$57,Pond.Inputs!$B$2:$B$57)</f>
        <v>0</v>
      </c>
      <c r="L48" s="8">
        <f>WIOD.NAF17!L48 * Pond.Inputs!$B48/SUMPRODUCT(WIOD.NAF17!L$2:L$57,Pond.Inputs!$B$2:$B$57)</f>
        <v>0</v>
      </c>
      <c r="M48" s="8">
        <f>WIOD.NAF17!M48 * Pond.Inputs!$B48/SUMPRODUCT(WIOD.NAF17!M$2:M$57,Pond.Inputs!$B$2:$B$57)</f>
        <v>0</v>
      </c>
      <c r="N48" s="8">
        <f>WIOD.NAF17!N48 * Pond.Inputs!$B48/SUMPRODUCT(WIOD.NAF17!N$2:N$57,Pond.Inputs!$B$2:$B$57)</f>
        <v>0</v>
      </c>
      <c r="O48" s="8">
        <f>WIOD.NAF17!O48 * Pond.Inputs!$B48/SUMPRODUCT(WIOD.NAF17!O$2:O$57,Pond.Inputs!$B$2:$B$57)</f>
        <v>0</v>
      </c>
      <c r="P48" s="8">
        <f>WIOD.NAF17!P48 * Pond.Inputs!$B48/SUMPRODUCT(WIOD.NAF17!P$2:P$57,Pond.Inputs!$B$2:$B$57)</f>
        <v>0.12421466536837078</v>
      </c>
      <c r="Q48" s="8">
        <f>WIOD.NAF17!Q48 * Pond.Inputs!$B48/SUMPRODUCT(WIOD.NAF17!Q$2:Q$57,Pond.Inputs!$B$2:$B$57)</f>
        <v>0</v>
      </c>
      <c r="R48" s="8">
        <f>WIOD.NAF17!R48 * Pond.Inputs!$B48/SUMPRODUCT(WIOD.NAF17!R$2:R$57,Pond.Inputs!$B$2:$B$57)</f>
        <v>0</v>
      </c>
    </row>
    <row r="49" spans="1:18" x14ac:dyDescent="0.2">
      <c r="A49" s="1" t="s">
        <v>60</v>
      </c>
      <c r="B49" s="8">
        <f>WIOD.NAF17!B49 * Pond.Inputs!$B49/SUMPRODUCT(WIOD.NAF17!B$2:B$57,Pond.Inputs!$B$2:$B$57)</f>
        <v>0</v>
      </c>
      <c r="C49" s="8">
        <f>WIOD.NAF17!C49 * Pond.Inputs!$B49/SUMPRODUCT(WIOD.NAF17!C$2:C$57,Pond.Inputs!$B$2:$B$57)</f>
        <v>0</v>
      </c>
      <c r="D49" s="8">
        <f>WIOD.NAF17!D49 * Pond.Inputs!$B49/SUMPRODUCT(WIOD.NAF17!D$2:D$57,Pond.Inputs!$B$2:$B$57)</f>
        <v>0</v>
      </c>
      <c r="E49" s="8">
        <f>WIOD.NAF17!E49 * Pond.Inputs!$B49/SUMPRODUCT(WIOD.NAF17!E$2:E$57,Pond.Inputs!$B$2:$B$57)</f>
        <v>0</v>
      </c>
      <c r="F49" s="8">
        <f>WIOD.NAF17!F49 * Pond.Inputs!$B49/SUMPRODUCT(WIOD.NAF17!F$2:F$57,Pond.Inputs!$B$2:$B$57)</f>
        <v>0</v>
      </c>
      <c r="G49" s="8">
        <f>WIOD.NAF17!G49 * Pond.Inputs!$B49/SUMPRODUCT(WIOD.NAF17!G$2:G$57,Pond.Inputs!$B$2:$B$57)</f>
        <v>0</v>
      </c>
      <c r="H49" s="8">
        <f>WIOD.NAF17!H49 * Pond.Inputs!$B49/SUMPRODUCT(WIOD.NAF17!H$2:H$57,Pond.Inputs!$B$2:$B$57)</f>
        <v>0</v>
      </c>
      <c r="I49" s="8">
        <f>WIOD.NAF17!I49 * Pond.Inputs!$B49/SUMPRODUCT(WIOD.NAF17!I$2:I$57,Pond.Inputs!$B$2:$B$57)</f>
        <v>0</v>
      </c>
      <c r="J49" s="8">
        <f>WIOD.NAF17!J49 * Pond.Inputs!$B49/SUMPRODUCT(WIOD.NAF17!J$2:J$57,Pond.Inputs!$B$2:$B$57)</f>
        <v>0</v>
      </c>
      <c r="K49" s="8">
        <f>WIOD.NAF17!K49 * Pond.Inputs!$B49/SUMPRODUCT(WIOD.NAF17!K$2:K$57,Pond.Inputs!$B$2:$B$57)</f>
        <v>0</v>
      </c>
      <c r="L49" s="8">
        <f>WIOD.NAF17!L49 * Pond.Inputs!$B49/SUMPRODUCT(WIOD.NAF17!L$2:L$57,Pond.Inputs!$B$2:$B$57)</f>
        <v>0</v>
      </c>
      <c r="M49" s="8">
        <f>WIOD.NAF17!M49 * Pond.Inputs!$B49/SUMPRODUCT(WIOD.NAF17!M$2:M$57,Pond.Inputs!$B$2:$B$57)</f>
        <v>0</v>
      </c>
      <c r="N49" s="8">
        <f>WIOD.NAF17!N49 * Pond.Inputs!$B49/SUMPRODUCT(WIOD.NAF17!N$2:N$57,Pond.Inputs!$B$2:$B$57)</f>
        <v>0</v>
      </c>
      <c r="O49" s="8">
        <f>WIOD.NAF17!O49 * Pond.Inputs!$B49/SUMPRODUCT(WIOD.NAF17!O$2:O$57,Pond.Inputs!$B$2:$B$57)</f>
        <v>0</v>
      </c>
      <c r="P49" s="8">
        <f>WIOD.NAF17!P49 * Pond.Inputs!$B49/SUMPRODUCT(WIOD.NAF17!P$2:P$57,Pond.Inputs!$B$2:$B$57)</f>
        <v>3.8675986281064521E-2</v>
      </c>
      <c r="Q49" s="8">
        <f>WIOD.NAF17!Q49 * Pond.Inputs!$B49/SUMPRODUCT(WIOD.NAF17!Q$2:Q$57,Pond.Inputs!$B$2:$B$57)</f>
        <v>0</v>
      </c>
      <c r="R49" s="8">
        <f>WIOD.NAF17!R49 * Pond.Inputs!$B49/SUMPRODUCT(WIOD.NAF17!R$2:R$57,Pond.Inputs!$B$2:$B$57)</f>
        <v>0</v>
      </c>
    </row>
    <row r="50" spans="1:18" x14ac:dyDescent="0.2">
      <c r="A50" s="1" t="s">
        <v>61</v>
      </c>
      <c r="B50" s="8">
        <f>WIOD.NAF17!B50 * Pond.Inputs!$B50/SUMPRODUCT(WIOD.NAF17!B$2:B$57,Pond.Inputs!$B$2:$B$57)</f>
        <v>0</v>
      </c>
      <c r="C50" s="8">
        <f>WIOD.NAF17!C50 * Pond.Inputs!$B50/SUMPRODUCT(WIOD.NAF17!C$2:C$57,Pond.Inputs!$B$2:$B$57)</f>
        <v>0</v>
      </c>
      <c r="D50" s="8">
        <f>WIOD.NAF17!D50 * Pond.Inputs!$B50/SUMPRODUCT(WIOD.NAF17!D$2:D$57,Pond.Inputs!$B$2:$B$57)</f>
        <v>0</v>
      </c>
      <c r="E50" s="8">
        <f>WIOD.NAF17!E50 * Pond.Inputs!$B50/SUMPRODUCT(WIOD.NAF17!E$2:E$57,Pond.Inputs!$B$2:$B$57)</f>
        <v>0</v>
      </c>
      <c r="F50" s="8">
        <f>WIOD.NAF17!F50 * Pond.Inputs!$B50/SUMPRODUCT(WIOD.NAF17!F$2:F$57,Pond.Inputs!$B$2:$B$57)</f>
        <v>0</v>
      </c>
      <c r="G50" s="8">
        <f>WIOD.NAF17!G50 * Pond.Inputs!$B50/SUMPRODUCT(WIOD.NAF17!G$2:G$57,Pond.Inputs!$B$2:$B$57)</f>
        <v>0</v>
      </c>
      <c r="H50" s="8">
        <f>WIOD.NAF17!H50 * Pond.Inputs!$B50/SUMPRODUCT(WIOD.NAF17!H$2:H$57,Pond.Inputs!$B$2:$B$57)</f>
        <v>0</v>
      </c>
      <c r="I50" s="8">
        <f>WIOD.NAF17!I50 * Pond.Inputs!$B50/SUMPRODUCT(WIOD.NAF17!I$2:I$57,Pond.Inputs!$B$2:$B$57)</f>
        <v>0</v>
      </c>
      <c r="J50" s="8">
        <f>WIOD.NAF17!J50 * Pond.Inputs!$B50/SUMPRODUCT(WIOD.NAF17!J$2:J$57,Pond.Inputs!$B$2:$B$57)</f>
        <v>0</v>
      </c>
      <c r="K50" s="8">
        <f>WIOD.NAF17!K50 * Pond.Inputs!$B50/SUMPRODUCT(WIOD.NAF17!K$2:K$57,Pond.Inputs!$B$2:$B$57)</f>
        <v>0</v>
      </c>
      <c r="L50" s="8">
        <f>WIOD.NAF17!L50 * Pond.Inputs!$B50/SUMPRODUCT(WIOD.NAF17!L$2:L$57,Pond.Inputs!$B$2:$B$57)</f>
        <v>0</v>
      </c>
      <c r="M50" s="8">
        <f>WIOD.NAF17!M50 * Pond.Inputs!$B50/SUMPRODUCT(WIOD.NAF17!M$2:M$57,Pond.Inputs!$B$2:$B$57)</f>
        <v>0</v>
      </c>
      <c r="N50" s="8">
        <f>WIOD.NAF17!N50 * Pond.Inputs!$B50/SUMPRODUCT(WIOD.NAF17!N$2:N$57,Pond.Inputs!$B$2:$B$57)</f>
        <v>0</v>
      </c>
      <c r="O50" s="8">
        <f>WIOD.NAF17!O50 * Pond.Inputs!$B50/SUMPRODUCT(WIOD.NAF17!O$2:O$57,Pond.Inputs!$B$2:$B$57)</f>
        <v>0</v>
      </c>
      <c r="P50" s="8">
        <f>WIOD.NAF17!P50 * Pond.Inputs!$B50/SUMPRODUCT(WIOD.NAF17!P$2:P$57,Pond.Inputs!$B$2:$B$57)</f>
        <v>2.621193233149546E-2</v>
      </c>
      <c r="Q50" s="8">
        <f>WIOD.NAF17!Q50 * Pond.Inputs!$B50/SUMPRODUCT(WIOD.NAF17!Q$2:Q$57,Pond.Inputs!$B$2:$B$57)</f>
        <v>0</v>
      </c>
      <c r="R50" s="8">
        <f>WIOD.NAF17!R50 * Pond.Inputs!$B50/SUMPRODUCT(WIOD.NAF17!R$2:R$57,Pond.Inputs!$B$2:$B$57)</f>
        <v>0</v>
      </c>
    </row>
    <row r="51" spans="1:18" x14ac:dyDescent="0.2">
      <c r="A51" s="1" t="s">
        <v>62</v>
      </c>
      <c r="B51" s="8">
        <f>WIOD.NAF17!B51 * Pond.Inputs!$B51/SUMPRODUCT(WIOD.NAF17!B$2:B$57,Pond.Inputs!$B$2:$B$57)</f>
        <v>0</v>
      </c>
      <c r="C51" s="8">
        <f>WIOD.NAF17!C51 * Pond.Inputs!$B51/SUMPRODUCT(WIOD.NAF17!C$2:C$57,Pond.Inputs!$B$2:$B$57)</f>
        <v>0</v>
      </c>
      <c r="D51" s="8">
        <f>WIOD.NAF17!D51 * Pond.Inputs!$B51/SUMPRODUCT(WIOD.NAF17!D$2:D$57,Pond.Inputs!$B$2:$B$57)</f>
        <v>0</v>
      </c>
      <c r="E51" s="8">
        <f>WIOD.NAF17!E51 * Pond.Inputs!$B51/SUMPRODUCT(WIOD.NAF17!E$2:E$57,Pond.Inputs!$B$2:$B$57)</f>
        <v>0</v>
      </c>
      <c r="F51" s="8">
        <f>WIOD.NAF17!F51 * Pond.Inputs!$B51/SUMPRODUCT(WIOD.NAF17!F$2:F$57,Pond.Inputs!$B$2:$B$57)</f>
        <v>0</v>
      </c>
      <c r="G51" s="8">
        <f>WIOD.NAF17!G51 * Pond.Inputs!$B51/SUMPRODUCT(WIOD.NAF17!G$2:G$57,Pond.Inputs!$B$2:$B$57)</f>
        <v>0</v>
      </c>
      <c r="H51" s="8">
        <f>WIOD.NAF17!H51 * Pond.Inputs!$B51/SUMPRODUCT(WIOD.NAF17!H$2:H$57,Pond.Inputs!$B$2:$B$57)</f>
        <v>0</v>
      </c>
      <c r="I51" s="8">
        <f>WIOD.NAF17!I51 * Pond.Inputs!$B51/SUMPRODUCT(WIOD.NAF17!I$2:I$57,Pond.Inputs!$B$2:$B$57)</f>
        <v>0</v>
      </c>
      <c r="J51" s="8">
        <f>WIOD.NAF17!J51 * Pond.Inputs!$B51/SUMPRODUCT(WIOD.NAF17!J$2:J$57,Pond.Inputs!$B$2:$B$57)</f>
        <v>0</v>
      </c>
      <c r="K51" s="8">
        <f>WIOD.NAF17!K51 * Pond.Inputs!$B51/SUMPRODUCT(WIOD.NAF17!K$2:K$57,Pond.Inputs!$B$2:$B$57)</f>
        <v>0</v>
      </c>
      <c r="L51" s="8">
        <f>WIOD.NAF17!L51 * Pond.Inputs!$B51/SUMPRODUCT(WIOD.NAF17!L$2:L$57,Pond.Inputs!$B$2:$B$57)</f>
        <v>0</v>
      </c>
      <c r="M51" s="8">
        <f>WIOD.NAF17!M51 * Pond.Inputs!$B51/SUMPRODUCT(WIOD.NAF17!M$2:M$57,Pond.Inputs!$B$2:$B$57)</f>
        <v>0</v>
      </c>
      <c r="N51" s="8">
        <f>WIOD.NAF17!N51 * Pond.Inputs!$B51/SUMPRODUCT(WIOD.NAF17!N$2:N$57,Pond.Inputs!$B$2:$B$57)</f>
        <v>0</v>
      </c>
      <c r="O51" s="8">
        <f>WIOD.NAF17!O51 * Pond.Inputs!$B51/SUMPRODUCT(WIOD.NAF17!O$2:O$57,Pond.Inputs!$B$2:$B$57)</f>
        <v>0</v>
      </c>
      <c r="P51" s="8">
        <f>WIOD.NAF17!P51 * Pond.Inputs!$B51/SUMPRODUCT(WIOD.NAF17!P$2:P$57,Pond.Inputs!$B$2:$B$57)</f>
        <v>0.36922666633589063</v>
      </c>
      <c r="Q51" s="8">
        <f>WIOD.NAF17!Q51 * Pond.Inputs!$B51/SUMPRODUCT(WIOD.NAF17!Q$2:Q$57,Pond.Inputs!$B$2:$B$57)</f>
        <v>0</v>
      </c>
      <c r="R51" s="8">
        <f>WIOD.NAF17!R51 * Pond.Inputs!$B51/SUMPRODUCT(WIOD.NAF17!R$2:R$57,Pond.Inputs!$B$2:$B$57)</f>
        <v>0</v>
      </c>
    </row>
    <row r="52" spans="1:18" x14ac:dyDescent="0.2">
      <c r="A52" s="1" t="s">
        <v>63</v>
      </c>
      <c r="B52" s="8">
        <f>WIOD.NAF17!B52 * Pond.Inputs!$B52/SUMPRODUCT(WIOD.NAF17!B$2:B$57,Pond.Inputs!$B$2:$B$57)</f>
        <v>0</v>
      </c>
      <c r="C52" s="8">
        <f>WIOD.NAF17!C52 * Pond.Inputs!$B52/SUMPRODUCT(WIOD.NAF17!C$2:C$57,Pond.Inputs!$B$2:$B$57)</f>
        <v>0</v>
      </c>
      <c r="D52" s="8">
        <f>WIOD.NAF17!D52 * Pond.Inputs!$B52/SUMPRODUCT(WIOD.NAF17!D$2:D$57,Pond.Inputs!$B$2:$B$57)</f>
        <v>0</v>
      </c>
      <c r="E52" s="8">
        <f>WIOD.NAF17!E52 * Pond.Inputs!$B52/SUMPRODUCT(WIOD.NAF17!E$2:E$57,Pond.Inputs!$B$2:$B$57)</f>
        <v>0</v>
      </c>
      <c r="F52" s="8">
        <f>WIOD.NAF17!F52 * Pond.Inputs!$B52/SUMPRODUCT(WIOD.NAF17!F$2:F$57,Pond.Inputs!$B$2:$B$57)</f>
        <v>0</v>
      </c>
      <c r="G52" s="8">
        <f>WIOD.NAF17!G52 * Pond.Inputs!$B52/SUMPRODUCT(WIOD.NAF17!G$2:G$57,Pond.Inputs!$B$2:$B$57)</f>
        <v>0</v>
      </c>
      <c r="H52" s="8">
        <f>WIOD.NAF17!H52 * Pond.Inputs!$B52/SUMPRODUCT(WIOD.NAF17!H$2:H$57,Pond.Inputs!$B$2:$B$57)</f>
        <v>0</v>
      </c>
      <c r="I52" s="8">
        <f>WIOD.NAF17!I52 * Pond.Inputs!$B52/SUMPRODUCT(WIOD.NAF17!I$2:I$57,Pond.Inputs!$B$2:$B$57)</f>
        <v>0</v>
      </c>
      <c r="J52" s="8">
        <f>WIOD.NAF17!J52 * Pond.Inputs!$B52/SUMPRODUCT(WIOD.NAF17!J$2:J$57,Pond.Inputs!$B$2:$B$57)</f>
        <v>0</v>
      </c>
      <c r="K52" s="8">
        <f>WIOD.NAF17!K52 * Pond.Inputs!$B52/SUMPRODUCT(WIOD.NAF17!K$2:K$57,Pond.Inputs!$B$2:$B$57)</f>
        <v>0</v>
      </c>
      <c r="L52" s="8">
        <f>WIOD.NAF17!L52 * Pond.Inputs!$B52/SUMPRODUCT(WIOD.NAF17!L$2:L$57,Pond.Inputs!$B$2:$B$57)</f>
        <v>0</v>
      </c>
      <c r="M52" s="8">
        <f>WIOD.NAF17!M52 * Pond.Inputs!$B52/SUMPRODUCT(WIOD.NAF17!M$2:M$57,Pond.Inputs!$B$2:$B$57)</f>
        <v>0</v>
      </c>
      <c r="N52" s="8">
        <f>WIOD.NAF17!N52 * Pond.Inputs!$B52/SUMPRODUCT(WIOD.NAF17!N$2:N$57,Pond.Inputs!$B$2:$B$57)</f>
        <v>0</v>
      </c>
      <c r="O52" s="8">
        <f>WIOD.NAF17!O52 * Pond.Inputs!$B52/SUMPRODUCT(WIOD.NAF17!O$2:O$57,Pond.Inputs!$B$2:$B$57)</f>
        <v>0</v>
      </c>
      <c r="P52" s="8">
        <f>WIOD.NAF17!P52 * Pond.Inputs!$B52/SUMPRODUCT(WIOD.NAF17!P$2:P$57,Pond.Inputs!$B$2:$B$57)</f>
        <v>0</v>
      </c>
      <c r="Q52" s="8">
        <f>WIOD.NAF17!Q52 * Pond.Inputs!$B52/SUMPRODUCT(WIOD.NAF17!Q$2:Q$57,Pond.Inputs!$B$2:$B$57)</f>
        <v>0.37440469472971449</v>
      </c>
      <c r="R52" s="8">
        <f>WIOD.NAF17!R52 * Pond.Inputs!$B52/SUMPRODUCT(WIOD.NAF17!R$2:R$57,Pond.Inputs!$B$2:$B$57)</f>
        <v>0</v>
      </c>
    </row>
    <row r="53" spans="1:18" x14ac:dyDescent="0.2">
      <c r="A53" s="1" t="s">
        <v>64</v>
      </c>
      <c r="B53" s="8">
        <f>WIOD.NAF17!B53 * Pond.Inputs!$B53/SUMPRODUCT(WIOD.NAF17!B$2:B$57,Pond.Inputs!$B$2:$B$57)</f>
        <v>0</v>
      </c>
      <c r="C53" s="8">
        <f>WIOD.NAF17!C53 * Pond.Inputs!$B53/SUMPRODUCT(WIOD.NAF17!C$2:C$57,Pond.Inputs!$B$2:$B$57)</f>
        <v>0</v>
      </c>
      <c r="D53" s="8">
        <f>WIOD.NAF17!D53 * Pond.Inputs!$B53/SUMPRODUCT(WIOD.NAF17!D$2:D$57,Pond.Inputs!$B$2:$B$57)</f>
        <v>0</v>
      </c>
      <c r="E53" s="8">
        <f>WIOD.NAF17!E53 * Pond.Inputs!$B53/SUMPRODUCT(WIOD.NAF17!E$2:E$57,Pond.Inputs!$B$2:$B$57)</f>
        <v>0</v>
      </c>
      <c r="F53" s="8">
        <f>WIOD.NAF17!F53 * Pond.Inputs!$B53/SUMPRODUCT(WIOD.NAF17!F$2:F$57,Pond.Inputs!$B$2:$B$57)</f>
        <v>0</v>
      </c>
      <c r="G53" s="8">
        <f>WIOD.NAF17!G53 * Pond.Inputs!$B53/SUMPRODUCT(WIOD.NAF17!G$2:G$57,Pond.Inputs!$B$2:$B$57)</f>
        <v>0</v>
      </c>
      <c r="H53" s="8">
        <f>WIOD.NAF17!H53 * Pond.Inputs!$B53/SUMPRODUCT(WIOD.NAF17!H$2:H$57,Pond.Inputs!$B$2:$B$57)</f>
        <v>0</v>
      </c>
      <c r="I53" s="8">
        <f>WIOD.NAF17!I53 * Pond.Inputs!$B53/SUMPRODUCT(WIOD.NAF17!I$2:I$57,Pond.Inputs!$B$2:$B$57)</f>
        <v>0</v>
      </c>
      <c r="J53" s="8">
        <f>WIOD.NAF17!J53 * Pond.Inputs!$B53/SUMPRODUCT(WIOD.NAF17!J$2:J$57,Pond.Inputs!$B$2:$B$57)</f>
        <v>0</v>
      </c>
      <c r="K53" s="8">
        <f>WIOD.NAF17!K53 * Pond.Inputs!$B53/SUMPRODUCT(WIOD.NAF17!K$2:K$57,Pond.Inputs!$B$2:$B$57)</f>
        <v>0</v>
      </c>
      <c r="L53" s="8">
        <f>WIOD.NAF17!L53 * Pond.Inputs!$B53/SUMPRODUCT(WIOD.NAF17!L$2:L$57,Pond.Inputs!$B$2:$B$57)</f>
        <v>0</v>
      </c>
      <c r="M53" s="8">
        <f>WIOD.NAF17!M53 * Pond.Inputs!$B53/SUMPRODUCT(WIOD.NAF17!M$2:M$57,Pond.Inputs!$B$2:$B$57)</f>
        <v>0</v>
      </c>
      <c r="N53" s="8">
        <f>WIOD.NAF17!N53 * Pond.Inputs!$B53/SUMPRODUCT(WIOD.NAF17!N$2:N$57,Pond.Inputs!$B$2:$B$57)</f>
        <v>0</v>
      </c>
      <c r="O53" s="8">
        <f>WIOD.NAF17!O53 * Pond.Inputs!$B53/SUMPRODUCT(WIOD.NAF17!O$2:O$57,Pond.Inputs!$B$2:$B$57)</f>
        <v>0</v>
      </c>
      <c r="P53" s="8">
        <f>WIOD.NAF17!P53 * Pond.Inputs!$B53/SUMPRODUCT(WIOD.NAF17!P$2:P$57,Pond.Inputs!$B$2:$B$57)</f>
        <v>0</v>
      </c>
      <c r="Q53" s="8">
        <f>WIOD.NAF17!Q53 * Pond.Inputs!$B53/SUMPRODUCT(WIOD.NAF17!Q$2:Q$57,Pond.Inputs!$B$2:$B$57)</f>
        <v>0.22030852569166529</v>
      </c>
      <c r="R53" s="8">
        <f>WIOD.NAF17!R53 * Pond.Inputs!$B53/SUMPRODUCT(WIOD.NAF17!R$2:R$57,Pond.Inputs!$B$2:$B$57)</f>
        <v>0</v>
      </c>
    </row>
    <row r="54" spans="1:18" x14ac:dyDescent="0.2">
      <c r="A54" s="1" t="s">
        <v>65</v>
      </c>
      <c r="B54" s="8">
        <f>WIOD.NAF17!B54 * Pond.Inputs!$B54/SUMPRODUCT(WIOD.NAF17!B$2:B$57,Pond.Inputs!$B$2:$B$57)</f>
        <v>0</v>
      </c>
      <c r="C54" s="8">
        <f>WIOD.NAF17!C54 * Pond.Inputs!$B54/SUMPRODUCT(WIOD.NAF17!C$2:C$57,Pond.Inputs!$B$2:$B$57)</f>
        <v>0</v>
      </c>
      <c r="D54" s="8">
        <f>WIOD.NAF17!D54 * Pond.Inputs!$B54/SUMPRODUCT(WIOD.NAF17!D$2:D$57,Pond.Inputs!$B$2:$B$57)</f>
        <v>0</v>
      </c>
      <c r="E54" s="8">
        <f>WIOD.NAF17!E54 * Pond.Inputs!$B54/SUMPRODUCT(WIOD.NAF17!E$2:E$57,Pond.Inputs!$B$2:$B$57)</f>
        <v>0</v>
      </c>
      <c r="F54" s="8">
        <f>WIOD.NAF17!F54 * Pond.Inputs!$B54/SUMPRODUCT(WIOD.NAF17!F$2:F$57,Pond.Inputs!$B$2:$B$57)</f>
        <v>0</v>
      </c>
      <c r="G54" s="8">
        <f>WIOD.NAF17!G54 * Pond.Inputs!$B54/SUMPRODUCT(WIOD.NAF17!G$2:G$57,Pond.Inputs!$B$2:$B$57)</f>
        <v>0</v>
      </c>
      <c r="H54" s="8">
        <f>WIOD.NAF17!H54 * Pond.Inputs!$B54/SUMPRODUCT(WIOD.NAF17!H$2:H$57,Pond.Inputs!$B$2:$B$57)</f>
        <v>0</v>
      </c>
      <c r="I54" s="8">
        <f>WIOD.NAF17!I54 * Pond.Inputs!$B54/SUMPRODUCT(WIOD.NAF17!I$2:I$57,Pond.Inputs!$B$2:$B$57)</f>
        <v>0</v>
      </c>
      <c r="J54" s="8">
        <f>WIOD.NAF17!J54 * Pond.Inputs!$B54/SUMPRODUCT(WIOD.NAF17!J$2:J$57,Pond.Inputs!$B$2:$B$57)</f>
        <v>0</v>
      </c>
      <c r="K54" s="8">
        <f>WIOD.NAF17!K54 * Pond.Inputs!$B54/SUMPRODUCT(WIOD.NAF17!K$2:K$57,Pond.Inputs!$B$2:$B$57)</f>
        <v>0</v>
      </c>
      <c r="L54" s="8">
        <f>WIOD.NAF17!L54 * Pond.Inputs!$B54/SUMPRODUCT(WIOD.NAF17!L$2:L$57,Pond.Inputs!$B$2:$B$57)</f>
        <v>0</v>
      </c>
      <c r="M54" s="8">
        <f>WIOD.NAF17!M54 * Pond.Inputs!$B54/SUMPRODUCT(WIOD.NAF17!M$2:M$57,Pond.Inputs!$B$2:$B$57)</f>
        <v>0</v>
      </c>
      <c r="N54" s="8">
        <f>WIOD.NAF17!N54 * Pond.Inputs!$B54/SUMPRODUCT(WIOD.NAF17!N$2:N$57,Pond.Inputs!$B$2:$B$57)</f>
        <v>0</v>
      </c>
      <c r="O54" s="8">
        <f>WIOD.NAF17!O54 * Pond.Inputs!$B54/SUMPRODUCT(WIOD.NAF17!O$2:O$57,Pond.Inputs!$B$2:$B$57)</f>
        <v>0</v>
      </c>
      <c r="P54" s="8">
        <f>WIOD.NAF17!P54 * Pond.Inputs!$B54/SUMPRODUCT(WIOD.NAF17!P$2:P$57,Pond.Inputs!$B$2:$B$57)</f>
        <v>0</v>
      </c>
      <c r="Q54" s="8">
        <f>WIOD.NAF17!Q54 * Pond.Inputs!$B54/SUMPRODUCT(WIOD.NAF17!Q$2:Q$57,Pond.Inputs!$B$2:$B$57)</f>
        <v>0.40528677957862025</v>
      </c>
      <c r="R54" s="8">
        <f>WIOD.NAF17!R54 * Pond.Inputs!$B54/SUMPRODUCT(WIOD.NAF17!R$2:R$57,Pond.Inputs!$B$2:$B$57)</f>
        <v>0</v>
      </c>
    </row>
    <row r="55" spans="1:18" x14ac:dyDescent="0.2">
      <c r="A55" s="1" t="s">
        <v>66</v>
      </c>
      <c r="B55" s="8">
        <f>WIOD.NAF17!B55 * Pond.Inputs!$B55/SUMPRODUCT(WIOD.NAF17!B$2:B$57,Pond.Inputs!$B$2:$B$57)</f>
        <v>0</v>
      </c>
      <c r="C55" s="8">
        <f>WIOD.NAF17!C55 * Pond.Inputs!$B55/SUMPRODUCT(WIOD.NAF17!C$2:C$57,Pond.Inputs!$B$2:$B$57)</f>
        <v>0</v>
      </c>
      <c r="D55" s="8">
        <f>WIOD.NAF17!D55 * Pond.Inputs!$B55/SUMPRODUCT(WIOD.NAF17!D$2:D$57,Pond.Inputs!$B$2:$B$57)</f>
        <v>0</v>
      </c>
      <c r="E55" s="8">
        <f>WIOD.NAF17!E55 * Pond.Inputs!$B55/SUMPRODUCT(WIOD.NAF17!E$2:E$57,Pond.Inputs!$B$2:$B$57)</f>
        <v>0</v>
      </c>
      <c r="F55" s="8">
        <f>WIOD.NAF17!F55 * Pond.Inputs!$B55/SUMPRODUCT(WIOD.NAF17!F$2:F$57,Pond.Inputs!$B$2:$B$57)</f>
        <v>0</v>
      </c>
      <c r="G55" s="8">
        <f>WIOD.NAF17!G55 * Pond.Inputs!$B55/SUMPRODUCT(WIOD.NAF17!G$2:G$57,Pond.Inputs!$B$2:$B$57)</f>
        <v>0</v>
      </c>
      <c r="H55" s="8">
        <f>WIOD.NAF17!H55 * Pond.Inputs!$B55/SUMPRODUCT(WIOD.NAF17!H$2:H$57,Pond.Inputs!$B$2:$B$57)</f>
        <v>0</v>
      </c>
      <c r="I55" s="8">
        <f>WIOD.NAF17!I55 * Pond.Inputs!$B55/SUMPRODUCT(WIOD.NAF17!I$2:I$57,Pond.Inputs!$B$2:$B$57)</f>
        <v>0</v>
      </c>
      <c r="J55" s="8">
        <f>WIOD.NAF17!J55 * Pond.Inputs!$B55/SUMPRODUCT(WIOD.NAF17!J$2:J$57,Pond.Inputs!$B$2:$B$57)</f>
        <v>0</v>
      </c>
      <c r="K55" s="8">
        <f>WIOD.NAF17!K55 * Pond.Inputs!$B55/SUMPRODUCT(WIOD.NAF17!K$2:K$57,Pond.Inputs!$B$2:$B$57)</f>
        <v>0</v>
      </c>
      <c r="L55" s="8">
        <f>WIOD.NAF17!L55 * Pond.Inputs!$B55/SUMPRODUCT(WIOD.NAF17!L$2:L$57,Pond.Inputs!$B$2:$B$57)</f>
        <v>0</v>
      </c>
      <c r="M55" s="8">
        <f>WIOD.NAF17!M55 * Pond.Inputs!$B55/SUMPRODUCT(WIOD.NAF17!M$2:M$57,Pond.Inputs!$B$2:$B$57)</f>
        <v>0</v>
      </c>
      <c r="N55" s="8">
        <f>WIOD.NAF17!N55 * Pond.Inputs!$B55/SUMPRODUCT(WIOD.NAF17!N$2:N$57,Pond.Inputs!$B$2:$B$57)</f>
        <v>0</v>
      </c>
      <c r="O55" s="8">
        <f>WIOD.NAF17!O55 * Pond.Inputs!$B55/SUMPRODUCT(WIOD.NAF17!O$2:O$57,Pond.Inputs!$B$2:$B$57)</f>
        <v>0</v>
      </c>
      <c r="P55" s="8">
        <f>WIOD.NAF17!P55 * Pond.Inputs!$B55/SUMPRODUCT(WIOD.NAF17!P$2:P$57,Pond.Inputs!$B$2:$B$57)</f>
        <v>0</v>
      </c>
      <c r="Q55" s="8">
        <f>WIOD.NAF17!Q55 * Pond.Inputs!$B55/SUMPRODUCT(WIOD.NAF17!Q$2:Q$57,Pond.Inputs!$B$2:$B$57)</f>
        <v>0</v>
      </c>
      <c r="R55" s="8">
        <f>WIOD.NAF17!R55 * Pond.Inputs!$B55/SUMPRODUCT(WIOD.NAF17!R$2:R$57,Pond.Inputs!$B$2:$B$57)</f>
        <v>0.96327591123691636</v>
      </c>
    </row>
    <row r="56" spans="1:18" x14ac:dyDescent="0.2">
      <c r="A56" s="1" t="s">
        <v>67</v>
      </c>
      <c r="B56" s="8">
        <f>WIOD.NAF17!B56 * Pond.Inputs!$B56/SUMPRODUCT(WIOD.NAF17!B$2:B$57,Pond.Inputs!$B$2:$B$57)</f>
        <v>0</v>
      </c>
      <c r="C56" s="8">
        <f>WIOD.NAF17!C56 * Pond.Inputs!$B56/SUMPRODUCT(WIOD.NAF17!C$2:C$57,Pond.Inputs!$B$2:$B$57)</f>
        <v>0</v>
      </c>
      <c r="D56" s="8">
        <f>WIOD.NAF17!D56 * Pond.Inputs!$B56/SUMPRODUCT(WIOD.NAF17!D$2:D$57,Pond.Inputs!$B$2:$B$57)</f>
        <v>0</v>
      </c>
      <c r="E56" s="8">
        <f>WIOD.NAF17!E56 * Pond.Inputs!$B56/SUMPRODUCT(WIOD.NAF17!E$2:E$57,Pond.Inputs!$B$2:$B$57)</f>
        <v>0</v>
      </c>
      <c r="F56" s="8">
        <f>WIOD.NAF17!F56 * Pond.Inputs!$B56/SUMPRODUCT(WIOD.NAF17!F$2:F$57,Pond.Inputs!$B$2:$B$57)</f>
        <v>0</v>
      </c>
      <c r="G56" s="8">
        <f>WIOD.NAF17!G56 * Pond.Inputs!$B56/SUMPRODUCT(WIOD.NAF17!G$2:G$57,Pond.Inputs!$B$2:$B$57)</f>
        <v>0</v>
      </c>
      <c r="H56" s="8">
        <f>WIOD.NAF17!H56 * Pond.Inputs!$B56/SUMPRODUCT(WIOD.NAF17!H$2:H$57,Pond.Inputs!$B$2:$B$57)</f>
        <v>0</v>
      </c>
      <c r="I56" s="8">
        <f>WIOD.NAF17!I56 * Pond.Inputs!$B56/SUMPRODUCT(WIOD.NAF17!I$2:I$57,Pond.Inputs!$B$2:$B$57)</f>
        <v>0</v>
      </c>
      <c r="J56" s="8">
        <f>WIOD.NAF17!J56 * Pond.Inputs!$B56/SUMPRODUCT(WIOD.NAF17!J$2:J$57,Pond.Inputs!$B$2:$B$57)</f>
        <v>0</v>
      </c>
      <c r="K56" s="8">
        <f>WIOD.NAF17!K56 * Pond.Inputs!$B56/SUMPRODUCT(WIOD.NAF17!K$2:K$57,Pond.Inputs!$B$2:$B$57)</f>
        <v>0</v>
      </c>
      <c r="L56" s="8">
        <f>WIOD.NAF17!L56 * Pond.Inputs!$B56/SUMPRODUCT(WIOD.NAF17!L$2:L$57,Pond.Inputs!$B$2:$B$57)</f>
        <v>0</v>
      </c>
      <c r="M56" s="8">
        <f>WIOD.NAF17!M56 * Pond.Inputs!$B56/SUMPRODUCT(WIOD.NAF17!M$2:M$57,Pond.Inputs!$B$2:$B$57)</f>
        <v>0</v>
      </c>
      <c r="N56" s="8">
        <f>WIOD.NAF17!N56 * Pond.Inputs!$B56/SUMPRODUCT(WIOD.NAF17!N$2:N$57,Pond.Inputs!$B$2:$B$57)</f>
        <v>0</v>
      </c>
      <c r="O56" s="8">
        <f>WIOD.NAF17!O56 * Pond.Inputs!$B56/SUMPRODUCT(WIOD.NAF17!O$2:O$57,Pond.Inputs!$B$2:$B$57)</f>
        <v>0</v>
      </c>
      <c r="P56" s="8">
        <f>WIOD.NAF17!P56 * Pond.Inputs!$B56/SUMPRODUCT(WIOD.NAF17!P$2:P$57,Pond.Inputs!$B$2:$B$57)</f>
        <v>0</v>
      </c>
      <c r="Q56" s="8">
        <f>WIOD.NAF17!Q56 * Pond.Inputs!$B56/SUMPRODUCT(WIOD.NAF17!Q$2:Q$57,Pond.Inputs!$B$2:$B$57)</f>
        <v>0</v>
      </c>
      <c r="R56" s="8">
        <f>WIOD.NAF17!R56 * Pond.Inputs!$B56/SUMPRODUCT(WIOD.NAF17!R$2:R$57,Pond.Inputs!$B$2:$B$57)</f>
        <v>3.6724088763083682E-2</v>
      </c>
    </row>
    <row r="57" spans="1:18" x14ac:dyDescent="0.2">
      <c r="A57" s="1" t="s">
        <v>68</v>
      </c>
      <c r="B57" s="8">
        <f>WIOD.NAF17!B57 * Pond.Inputs!$B57/SUMPRODUCT(WIOD.NAF17!B$2:B$57,Pond.Inputs!$B$2:$B$57)</f>
        <v>0</v>
      </c>
      <c r="C57" s="8">
        <f>WIOD.NAF17!C57 * Pond.Inputs!$B57/SUMPRODUCT(WIOD.NAF17!C$2:C$57,Pond.Inputs!$B$2:$B$57)</f>
        <v>0</v>
      </c>
      <c r="D57" s="8">
        <f>WIOD.NAF17!D57 * Pond.Inputs!$B57/SUMPRODUCT(WIOD.NAF17!D$2:D$57,Pond.Inputs!$B$2:$B$57)</f>
        <v>0</v>
      </c>
      <c r="E57" s="8">
        <f>WIOD.NAF17!E57 * Pond.Inputs!$B57/SUMPRODUCT(WIOD.NAF17!E$2:E$57,Pond.Inputs!$B$2:$B$57)</f>
        <v>0</v>
      </c>
      <c r="F57" s="8">
        <f>WIOD.NAF17!F57 * Pond.Inputs!$B57/SUMPRODUCT(WIOD.NAF17!F$2:F$57,Pond.Inputs!$B$2:$B$57)</f>
        <v>0</v>
      </c>
      <c r="G57" s="8">
        <f>WIOD.NAF17!G57 * Pond.Inputs!$B57/SUMPRODUCT(WIOD.NAF17!G$2:G$57,Pond.Inputs!$B$2:$B$57)</f>
        <v>0</v>
      </c>
      <c r="H57" s="8">
        <f>WIOD.NAF17!H57 * Pond.Inputs!$B57/SUMPRODUCT(WIOD.NAF17!H$2:H$57,Pond.Inputs!$B$2:$B$57)</f>
        <v>0</v>
      </c>
      <c r="I57" s="8">
        <f>WIOD.NAF17!I57 * Pond.Inputs!$B57/SUMPRODUCT(WIOD.NAF17!I$2:I$57,Pond.Inputs!$B$2:$B$57)</f>
        <v>0</v>
      </c>
      <c r="J57" s="8">
        <f>WIOD.NAF17!J57 * Pond.Inputs!$B57/SUMPRODUCT(WIOD.NAF17!J$2:J$57,Pond.Inputs!$B$2:$B$57)</f>
        <v>0</v>
      </c>
      <c r="K57" s="8">
        <f>WIOD.NAF17!K57 * Pond.Inputs!$B57/SUMPRODUCT(WIOD.NAF17!K$2:K$57,Pond.Inputs!$B$2:$B$57)</f>
        <v>0</v>
      </c>
      <c r="L57" s="8">
        <f>WIOD.NAF17!L57 * Pond.Inputs!$B57/SUMPRODUCT(WIOD.NAF17!L$2:L$57,Pond.Inputs!$B$2:$B$57)</f>
        <v>0</v>
      </c>
      <c r="M57" s="8">
        <f>WIOD.NAF17!M57 * Pond.Inputs!$B57/SUMPRODUCT(WIOD.NAF17!M$2:M$57,Pond.Inputs!$B$2:$B$57)</f>
        <v>0</v>
      </c>
      <c r="N57" s="8">
        <f>WIOD.NAF17!N57 * Pond.Inputs!$B57/SUMPRODUCT(WIOD.NAF17!N$2:N$57,Pond.Inputs!$B$2:$B$57)</f>
        <v>0</v>
      </c>
      <c r="O57" s="8">
        <f>WIOD.NAF17!O57 * Pond.Inputs!$B57/SUMPRODUCT(WIOD.NAF17!O$2:O$57,Pond.Inputs!$B$2:$B$57)</f>
        <v>0</v>
      </c>
      <c r="P57" s="8">
        <f>WIOD.NAF17!P57 * Pond.Inputs!$B57/SUMPRODUCT(WIOD.NAF17!P$2:P$57,Pond.Inputs!$B$2:$B$57)</f>
        <v>0</v>
      </c>
      <c r="Q57" s="8">
        <f>WIOD.NAF17!Q57 * Pond.Inputs!$B57/SUMPRODUCT(WIOD.NAF17!Q$2:Q$57,Pond.Inputs!$B$2:$B$57)</f>
        <v>0</v>
      </c>
      <c r="R57" s="8">
        <f>WIOD.NAF17!R57 * Pond.Inputs!$B57/SUMPRODUCT(WIOD.NAF17!R$2:R$57,Pond.Inputs!$B$2:$B$57)</f>
        <v>0</v>
      </c>
    </row>
    <row r="58" spans="1:18" x14ac:dyDescent="0.2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8" x14ac:dyDescent="0.2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8" x14ac:dyDescent="0.2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8" x14ac:dyDescent="0.2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8" x14ac:dyDescent="0.2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8" x14ac:dyDescent="0.2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8" x14ac:dyDescent="0.2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2:12" x14ac:dyDescent="0.2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2:12" x14ac:dyDescent="0.2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2:12" x14ac:dyDescent="0.2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2:12" x14ac:dyDescent="0.2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2:12" x14ac:dyDescent="0.2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2:12" x14ac:dyDescent="0.2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2:12" x14ac:dyDescent="0.2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2:12" x14ac:dyDescent="0.2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2:12" x14ac:dyDescent="0.2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2:12" x14ac:dyDescent="0.2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2:12" x14ac:dyDescent="0.2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2:12" x14ac:dyDescent="0.2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2:12" x14ac:dyDescent="0.2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2:12" x14ac:dyDescent="0.2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2:12" x14ac:dyDescent="0.2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2:12" x14ac:dyDescent="0.2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2:12" x14ac:dyDescent="0.2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2:12" x14ac:dyDescent="0.2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</sheetData>
  <conditionalFormatting sqref="B2:R57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2430-B4E2-204F-B099-5F107895BC03}">
  <sheetPr>
    <tabColor theme="7" tint="0.39997558519241921"/>
  </sheetPr>
  <dimension ref="A1:G33"/>
  <sheetViews>
    <sheetView workbookViewId="0">
      <selection activeCell="C15" sqref="C15"/>
    </sheetView>
  </sheetViews>
  <sheetFormatPr baseColWidth="10" defaultRowHeight="16" x14ac:dyDescent="0.2"/>
  <cols>
    <col min="1" max="1" width="58.5" customWidth="1"/>
  </cols>
  <sheetData>
    <row r="1" spans="1:7" x14ac:dyDescent="0.2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</row>
    <row r="2" spans="1:7" x14ac:dyDescent="0.2">
      <c r="A2" s="2" t="s">
        <v>76</v>
      </c>
      <c r="B2">
        <f t="array" ref="B2:G33">TRANSPOSE(MMULT(TRANSPOSE(Elasticities_WIOD!C2:H57),WIOD.ThreeME_V3!B2:AG57))</f>
        <v>1.3532678071760209</v>
      </c>
      <c r="C2">
        <v>-1.2190106562347198</v>
      </c>
      <c r="D2">
        <v>-0.74856674437089099</v>
      </c>
      <c r="E2">
        <v>-26.821276335742901</v>
      </c>
      <c r="F2">
        <v>-0.36277673822878381</v>
      </c>
      <c r="G2">
        <v>17.81467717083234</v>
      </c>
    </row>
    <row r="3" spans="1:7" x14ac:dyDescent="0.2">
      <c r="A3" s="2" t="s">
        <v>77</v>
      </c>
      <c r="B3">
        <v>-0.64417518391449902</v>
      </c>
      <c r="C3">
        <v>1.89728749042491</v>
      </c>
      <c r="D3">
        <v>-0.62980054620403503</v>
      </c>
      <c r="E3">
        <v>0.75269493753205796</v>
      </c>
      <c r="F3">
        <v>-0.41463909145362399</v>
      </c>
      <c r="G3">
        <v>-6.0545740630814402</v>
      </c>
    </row>
    <row r="4" spans="1:7" x14ac:dyDescent="0.2">
      <c r="A4" s="2" t="s">
        <v>78</v>
      </c>
      <c r="B4">
        <v>-0.40614676113623999</v>
      </c>
      <c r="C4">
        <v>-1.51873541652644</v>
      </c>
      <c r="D4">
        <v>-0.62635141344800804</v>
      </c>
      <c r="E4">
        <v>-2.0896776448688099</v>
      </c>
      <c r="F4">
        <v>-0.56421323804090295</v>
      </c>
      <c r="G4">
        <v>-0.38968346574436702</v>
      </c>
    </row>
    <row r="5" spans="1:7" x14ac:dyDescent="0.2">
      <c r="A5" s="2" t="s">
        <v>34</v>
      </c>
      <c r="B5">
        <v>1.1517845839440976E-2</v>
      </c>
      <c r="C5">
        <v>2.2248907340419219E-2</v>
      </c>
      <c r="D5">
        <v>1.7644513313450428E-3</v>
      </c>
      <c r="E5">
        <v>-4.5883197048288196</v>
      </c>
      <c r="F5">
        <v>-2.269263520661537</v>
      </c>
      <c r="G5">
        <v>-3.3413199464890102</v>
      </c>
    </row>
    <row r="6" spans="1:7" x14ac:dyDescent="0.2">
      <c r="A6" s="2" t="s">
        <v>79</v>
      </c>
      <c r="B6">
        <v>-0.87455949665588895</v>
      </c>
      <c r="C6">
        <v>-0.85574640308355698</v>
      </c>
      <c r="D6">
        <v>-0.65204359924914101</v>
      </c>
      <c r="E6">
        <v>0.59852349728252496</v>
      </c>
      <c r="F6">
        <v>-0.41465781739825203</v>
      </c>
      <c r="G6">
        <v>-1.4270128061716401</v>
      </c>
    </row>
    <row r="7" spans="1:7" x14ac:dyDescent="0.2">
      <c r="A7" s="2" t="s">
        <v>80</v>
      </c>
      <c r="B7">
        <v>-1.5345360259129799</v>
      </c>
      <c r="C7">
        <v>-4.43808519778886</v>
      </c>
      <c r="D7">
        <v>-2.3821868614157271</v>
      </c>
      <c r="E7">
        <v>2.8824855368558611</v>
      </c>
      <c r="F7">
        <v>-0.66299289206241419</v>
      </c>
      <c r="G7">
        <v>-2.4542725967212964E-2</v>
      </c>
    </row>
    <row r="8" spans="1:7" x14ac:dyDescent="0.2">
      <c r="A8" s="2" t="s">
        <v>81</v>
      </c>
      <c r="B8">
        <v>-1.0172523065442789</v>
      </c>
      <c r="C8">
        <v>-1.5502188068595331</v>
      </c>
      <c r="D8">
        <v>-2.2097206927448299</v>
      </c>
      <c r="E8">
        <v>-0.70225743143284902</v>
      </c>
      <c r="F8">
        <v>-0.85283663395971299</v>
      </c>
      <c r="G8">
        <v>-3.6041733426275195</v>
      </c>
    </row>
    <row r="9" spans="1:7" x14ac:dyDescent="0.2">
      <c r="A9" s="2" t="s">
        <v>82</v>
      </c>
      <c r="B9">
        <v>-0.70951634615110004</v>
      </c>
      <c r="C9">
        <v>-0.61076879731682299</v>
      </c>
      <c r="D9">
        <v>-0.86938428244168497</v>
      </c>
      <c r="E9">
        <v>2.0583658054415999</v>
      </c>
      <c r="F9">
        <v>-0.69568365522949505</v>
      </c>
      <c r="G9">
        <v>-2.3974471122189498</v>
      </c>
    </row>
    <row r="10" spans="1:7" x14ac:dyDescent="0.2">
      <c r="A10" s="2" t="s">
        <v>83</v>
      </c>
      <c r="B10">
        <v>-1.738365985877163</v>
      </c>
      <c r="C10">
        <v>-1.6396056214916999</v>
      </c>
      <c r="D10">
        <v>-1.313553300974839</v>
      </c>
      <c r="E10">
        <v>0.29610008359264262</v>
      </c>
      <c r="F10">
        <v>-0.46487485454343902</v>
      </c>
      <c r="G10">
        <v>-2.1376487227996881</v>
      </c>
    </row>
    <row r="11" spans="1:7" x14ac:dyDescent="0.2">
      <c r="A11" s="2" t="s">
        <v>84</v>
      </c>
      <c r="B11">
        <v>-1.6082715872252915</v>
      </c>
      <c r="C11">
        <v>-2.8286594608891482</v>
      </c>
      <c r="D11">
        <v>-1.934863383282561</v>
      </c>
      <c r="E11">
        <v>-6.1539386936450118</v>
      </c>
      <c r="F11">
        <v>-3.0924630635814019</v>
      </c>
      <c r="G11">
        <v>-9.4654460766798287</v>
      </c>
    </row>
    <row r="12" spans="1:7" x14ac:dyDescent="0.2">
      <c r="A12" s="2" t="s">
        <v>85</v>
      </c>
      <c r="B12">
        <v>-0.56622787694690102</v>
      </c>
      <c r="C12">
        <v>-0.39159638145214698</v>
      </c>
      <c r="D12">
        <v>-0.63785138902726801</v>
      </c>
      <c r="E12">
        <v>-1.42125663581319</v>
      </c>
      <c r="F12">
        <v>-0.59115365499169903</v>
      </c>
      <c r="G12">
        <v>-2.4800694767979001</v>
      </c>
    </row>
    <row r="13" spans="1:7" x14ac:dyDescent="0.2">
      <c r="A13" s="2" t="s">
        <v>86</v>
      </c>
      <c r="B13">
        <v>-2.0076235035762919</v>
      </c>
      <c r="C13">
        <v>0.10686135735468699</v>
      </c>
      <c r="D13">
        <v>-0.78503017230531491</v>
      </c>
      <c r="E13">
        <v>-0.866037295299103</v>
      </c>
      <c r="F13">
        <v>-0.34255536761253103</v>
      </c>
      <c r="G13">
        <v>-8.1868507586088999</v>
      </c>
    </row>
    <row r="14" spans="1:7" x14ac:dyDescent="0.2">
      <c r="A14" s="2" t="s">
        <v>0</v>
      </c>
      <c r="B14">
        <v>-0.40333807493616203</v>
      </c>
      <c r="C14">
        <v>-0.17358482493698599</v>
      </c>
      <c r="D14">
        <v>2.32014493630836E-2</v>
      </c>
      <c r="E14">
        <v>-9.3559179844212997E-2</v>
      </c>
      <c r="F14">
        <v>-0.42325069124331099</v>
      </c>
      <c r="G14">
        <v>-1.93312791574959</v>
      </c>
    </row>
    <row r="15" spans="1:7" x14ac:dyDescent="0.2">
      <c r="A15" s="2" t="s">
        <v>1</v>
      </c>
      <c r="B15">
        <v>-0.40333807493616203</v>
      </c>
      <c r="C15">
        <v>-0.17358482493698599</v>
      </c>
      <c r="D15">
        <v>2.32014493630836E-2</v>
      </c>
      <c r="E15">
        <v>-9.3559179844212997E-2</v>
      </c>
      <c r="F15">
        <v>-0.42325069124331099</v>
      </c>
      <c r="G15">
        <v>-1.93312791574959</v>
      </c>
    </row>
    <row r="16" spans="1:7" x14ac:dyDescent="0.2">
      <c r="A16" s="2" t="s">
        <v>2</v>
      </c>
      <c r="B16">
        <v>-0.167235472002047</v>
      </c>
      <c r="C16">
        <v>-6.7303240700959097E-2</v>
      </c>
      <c r="D16">
        <v>1.4453684208628101E-2</v>
      </c>
      <c r="E16">
        <v>5.8835322094810703E-2</v>
      </c>
      <c r="F16">
        <v>-0.107647474665804</v>
      </c>
      <c r="G16">
        <v>-3.1314893036437601</v>
      </c>
    </row>
    <row r="17" spans="1:7" x14ac:dyDescent="0.2">
      <c r="A17" s="2" t="s">
        <v>3</v>
      </c>
      <c r="B17">
        <v>-2.3051281650455508</v>
      </c>
      <c r="C17">
        <v>-2.7482434119862451</v>
      </c>
      <c r="D17">
        <v>-1.9057093977173238</v>
      </c>
      <c r="E17">
        <v>-6.9532555576096229</v>
      </c>
      <c r="F17">
        <v>-1.1147717111502535</v>
      </c>
      <c r="G17">
        <v>-5.9413301825811375</v>
      </c>
    </row>
    <row r="18" spans="1:7" x14ac:dyDescent="0.2">
      <c r="A18" s="2" t="s">
        <v>4</v>
      </c>
      <c r="B18">
        <v>-8.6594371598843711</v>
      </c>
      <c r="C18">
        <v>-8.9171009621607134</v>
      </c>
      <c r="D18">
        <v>-6.5923895765147229</v>
      </c>
      <c r="E18">
        <v>-3.070790628311177</v>
      </c>
      <c r="F18">
        <v>-7.4838365517751502</v>
      </c>
      <c r="G18">
        <v>-75.441058760311336</v>
      </c>
    </row>
    <row r="19" spans="1:7" x14ac:dyDescent="0.2">
      <c r="A19" s="2" t="s">
        <v>5</v>
      </c>
      <c r="B19">
        <v>-1.9450404146144931</v>
      </c>
      <c r="C19">
        <v>-15.389646760663606</v>
      </c>
      <c r="D19">
        <v>-1.278849701054217</v>
      </c>
      <c r="E19">
        <v>-15.463367798260661</v>
      </c>
      <c r="F19">
        <v>-2.2363629663482127</v>
      </c>
      <c r="G19">
        <v>-13.911130076609478</v>
      </c>
    </row>
    <row r="20" spans="1:7" x14ac:dyDescent="0.2">
      <c r="A20" s="2" t="s">
        <v>87</v>
      </c>
      <c r="B20">
        <v>-1.62324607113894</v>
      </c>
      <c r="C20">
        <v>-1.1393520019633101</v>
      </c>
      <c r="D20">
        <v>-0.46016056276742701</v>
      </c>
      <c r="E20">
        <v>3.73935991130061</v>
      </c>
      <c r="F20">
        <v>0.51902037009872204</v>
      </c>
      <c r="G20">
        <v>-1.21071496380594</v>
      </c>
    </row>
    <row r="21" spans="1:7" x14ac:dyDescent="0.2">
      <c r="A21" s="2" t="s">
        <v>88</v>
      </c>
      <c r="B21">
        <v>-0.173427036956776</v>
      </c>
      <c r="C21">
        <v>-0.19568185520611001</v>
      </c>
      <c r="D21">
        <v>-5.3895097144285198E-2</v>
      </c>
      <c r="E21">
        <v>-0.69661570571638598</v>
      </c>
      <c r="F21">
        <v>-0.11767250744322499</v>
      </c>
      <c r="G21">
        <v>-0.44548427706895699</v>
      </c>
    </row>
    <row r="22" spans="1:7" x14ac:dyDescent="0.2">
      <c r="A22" s="2" t="s">
        <v>89</v>
      </c>
      <c r="B22">
        <v>-0.173427036956776</v>
      </c>
      <c r="C22">
        <v>-0.19568185520611001</v>
      </c>
      <c r="D22">
        <v>-5.3895097144285198E-2</v>
      </c>
      <c r="E22">
        <v>-0.69661570571638598</v>
      </c>
      <c r="F22">
        <v>-0.11767250744322499</v>
      </c>
      <c r="G22">
        <v>-0.44548427706895699</v>
      </c>
    </row>
    <row r="23" spans="1:7" x14ac:dyDescent="0.2">
      <c r="A23" s="2" t="s">
        <v>90</v>
      </c>
      <c r="B23">
        <v>-0.173427036956776</v>
      </c>
      <c r="C23">
        <v>-0.19568185520611001</v>
      </c>
      <c r="D23">
        <v>-5.3895097144285198E-2</v>
      </c>
      <c r="E23">
        <v>-0.69661570571638598</v>
      </c>
      <c r="F23">
        <v>-0.11767250744322499</v>
      </c>
      <c r="G23">
        <v>-0.44548427706895699</v>
      </c>
    </row>
    <row r="24" spans="1:7" x14ac:dyDescent="0.2">
      <c r="A24" s="2" t="s">
        <v>6</v>
      </c>
      <c r="B24">
        <v>-0.173427036956776</v>
      </c>
      <c r="C24">
        <v>-0.19568185520611001</v>
      </c>
      <c r="D24">
        <v>-5.3895097144285198E-2</v>
      </c>
      <c r="E24">
        <v>-0.69661570571638598</v>
      </c>
      <c r="F24">
        <v>-0.11767250744322499</v>
      </c>
      <c r="G24">
        <v>-0.44548427706895699</v>
      </c>
    </row>
    <row r="25" spans="1:7" x14ac:dyDescent="0.2">
      <c r="A25" s="2" t="s">
        <v>7</v>
      </c>
      <c r="B25">
        <v>-5.8731935299934799</v>
      </c>
      <c r="C25">
        <v>-0.68512135116740602</v>
      </c>
      <c r="D25">
        <v>-7.7267571267363694E-2</v>
      </c>
      <c r="E25">
        <v>1.28903386481436</v>
      </c>
      <c r="F25">
        <v>-1.41308119509442</v>
      </c>
      <c r="G25">
        <v>-0.69859948122877502</v>
      </c>
    </row>
    <row r="26" spans="1:7" x14ac:dyDescent="0.2">
      <c r="A26" s="2" t="s">
        <v>8</v>
      </c>
      <c r="B26">
        <v>-5.8731935299934799</v>
      </c>
      <c r="C26">
        <v>-0.68512135116740602</v>
      </c>
      <c r="D26">
        <v>-7.7267571267363694E-2</v>
      </c>
      <c r="E26">
        <v>1.28903386481436</v>
      </c>
      <c r="F26">
        <v>-1.41308119509442</v>
      </c>
      <c r="G26">
        <v>-0.69859948122877502</v>
      </c>
    </row>
    <row r="27" spans="1:7" x14ac:dyDescent="0.2">
      <c r="A27" s="2" t="s">
        <v>9</v>
      </c>
      <c r="B27">
        <v>-5.8731935299934799</v>
      </c>
      <c r="C27">
        <v>-0.68512135116740602</v>
      </c>
      <c r="D27">
        <v>-7.7267571267363694E-2</v>
      </c>
      <c r="E27">
        <v>1.28903386481436</v>
      </c>
      <c r="F27">
        <v>-1.41308119509442</v>
      </c>
      <c r="G27">
        <v>-0.69859948122877502</v>
      </c>
    </row>
    <row r="28" spans="1:7" x14ac:dyDescent="0.2">
      <c r="A28" s="2" t="s">
        <v>10</v>
      </c>
      <c r="B28">
        <v>-5.8731935299934799</v>
      </c>
      <c r="C28">
        <v>-0.68512135116740602</v>
      </c>
      <c r="D28">
        <v>-7.7267571267363694E-2</v>
      </c>
      <c r="E28">
        <v>1.28903386481436</v>
      </c>
      <c r="F28">
        <v>-1.41308119509442</v>
      </c>
      <c r="G28">
        <v>-0.69859948122877502</v>
      </c>
    </row>
    <row r="29" spans="1:7" x14ac:dyDescent="0.2">
      <c r="A29" s="2" t="s">
        <v>11</v>
      </c>
      <c r="B29">
        <v>-5.8731935299934799</v>
      </c>
      <c r="C29">
        <v>-0.68512135116740602</v>
      </c>
      <c r="D29">
        <v>-7.7267571267363694E-2</v>
      </c>
      <c r="E29">
        <v>1.28903386481436</v>
      </c>
      <c r="F29">
        <v>-1.41308119509442</v>
      </c>
      <c r="G29">
        <v>-0.69859948122877502</v>
      </c>
    </row>
    <row r="30" spans="1:7" x14ac:dyDescent="0.2">
      <c r="A30" s="2" t="s">
        <v>12</v>
      </c>
      <c r="B30">
        <v>-5.8731935299934799</v>
      </c>
      <c r="C30">
        <v>-0.68512135116740602</v>
      </c>
      <c r="D30">
        <v>-7.7267571267363694E-2</v>
      </c>
      <c r="E30">
        <v>1.28903386481436</v>
      </c>
      <c r="F30">
        <v>-1.41308119509442</v>
      </c>
      <c r="G30">
        <v>-0.69859948122877502</v>
      </c>
    </row>
    <row r="31" spans="1:7" x14ac:dyDescent="0.2">
      <c r="A31" s="2" t="s">
        <v>13</v>
      </c>
      <c r="B31">
        <v>-5.8731935299934799</v>
      </c>
      <c r="C31">
        <v>-0.68512135116740602</v>
      </c>
      <c r="D31">
        <v>-7.7267571267363694E-2</v>
      </c>
      <c r="E31">
        <v>1.28903386481436</v>
      </c>
      <c r="F31">
        <v>-1.41308119509442</v>
      </c>
      <c r="G31">
        <v>-0.69859948122877502</v>
      </c>
    </row>
    <row r="32" spans="1:7" x14ac:dyDescent="0.2">
      <c r="A32" s="2" t="s">
        <v>14</v>
      </c>
      <c r="B32">
        <v>-5.8731935299934799</v>
      </c>
      <c r="C32">
        <v>-0.68512135116740602</v>
      </c>
      <c r="D32">
        <v>-7.7267571267363694E-2</v>
      </c>
      <c r="E32">
        <v>1.28903386481436</v>
      </c>
      <c r="F32">
        <v>-1.41308119509442</v>
      </c>
      <c r="G32">
        <v>-0.69859948122877502</v>
      </c>
    </row>
    <row r="33" spans="1:7" x14ac:dyDescent="0.2">
      <c r="A33" s="2" t="s">
        <v>91</v>
      </c>
      <c r="B33">
        <v>-5.8731935299934799</v>
      </c>
      <c r="C33">
        <v>-0.68512135116740602</v>
      </c>
      <c r="D33">
        <v>-7.7267571267363694E-2</v>
      </c>
      <c r="E33">
        <v>1.28903386481436</v>
      </c>
      <c r="F33">
        <v>-1.41308119509442</v>
      </c>
      <c r="G33">
        <v>-0.69859948122877502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2403-2CD8-9B49-8F43-B83BF0F40809}">
  <sheetPr>
    <tabColor theme="7" tint="0.39997558519241921"/>
  </sheetPr>
  <dimension ref="A1:G33"/>
  <sheetViews>
    <sheetView tabSelected="1" workbookViewId="0">
      <selection activeCell="J7" sqref="J7"/>
    </sheetView>
  </sheetViews>
  <sheetFormatPr baseColWidth="10" defaultRowHeight="16" x14ac:dyDescent="0.2"/>
  <cols>
    <col min="1" max="1" width="58.5" customWidth="1"/>
    <col min="2" max="4" width="13.33203125" bestFit="1" customWidth="1"/>
    <col min="5" max="5" width="14.33203125" bestFit="1" customWidth="1"/>
    <col min="6" max="6" width="13.33203125" bestFit="1" customWidth="1"/>
    <col min="7" max="7" width="14.33203125" bestFit="1" customWidth="1"/>
  </cols>
  <sheetData>
    <row r="1" spans="1:7" x14ac:dyDescent="0.2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</row>
    <row r="2" spans="1:7" x14ac:dyDescent="0.2">
      <c r="A2" s="5" t="s">
        <v>154</v>
      </c>
      <c r="B2" s="11" cm="1">
        <f t="array" ref="B2:G18">TRANSPOSE(MMULT(TRANSPOSE(Elasticities_WIOD!C2:H57),'WIOD.NAF17.pond'!B2:R57))</f>
        <v>1.7756746144217423</v>
      </c>
      <c r="C2" s="11">
        <v>7.740914760867551E-3</v>
      </c>
      <c r="D2" s="11">
        <v>-0.35248862162935918</v>
      </c>
      <c r="E2" s="11">
        <v>-13.60525070088538</v>
      </c>
      <c r="F2" s="11">
        <v>-0.36568112192270952</v>
      </c>
      <c r="G2" s="11">
        <v>4.1663283306820649</v>
      </c>
    </row>
    <row r="3" spans="1:7" x14ac:dyDescent="0.2">
      <c r="A3" s="5" t="s">
        <v>155</v>
      </c>
      <c r="B3" s="11">
        <v>-4.4665073043638106</v>
      </c>
      <c r="C3" s="11">
        <v>-3.1423882814420763</v>
      </c>
      <c r="D3" s="11">
        <v>-0.12440643138692584</v>
      </c>
      <c r="E3" s="11">
        <v>-1.4397274351083829</v>
      </c>
      <c r="F3" s="11">
        <v>-1.0361908273212974</v>
      </c>
      <c r="G3" s="11">
        <v>-0.76256753238102826</v>
      </c>
    </row>
    <row r="4" spans="1:7" ht="28" x14ac:dyDescent="0.2">
      <c r="A4" s="5" t="s">
        <v>156</v>
      </c>
      <c r="B4" s="11">
        <v>-0.40614676113623999</v>
      </c>
      <c r="C4" s="11">
        <v>-1.51873541652644</v>
      </c>
      <c r="D4" s="11">
        <v>-0.62635141344800804</v>
      </c>
      <c r="E4" s="11">
        <v>-2.0896776448688099</v>
      </c>
      <c r="F4" s="11">
        <v>-0.56421323804090295</v>
      </c>
      <c r="G4" s="11">
        <v>-0.38968346574436702</v>
      </c>
    </row>
    <row r="5" spans="1:7" x14ac:dyDescent="0.2">
      <c r="A5" s="5" t="s">
        <v>157</v>
      </c>
      <c r="B5" s="11">
        <v>-0.173427036956776</v>
      </c>
      <c r="C5" s="11">
        <v>-0.19568185520611001</v>
      </c>
      <c r="D5" s="11">
        <v>-5.3895097144285198E-2</v>
      </c>
      <c r="E5" s="11">
        <v>-0.69661570571638598</v>
      </c>
      <c r="F5" s="11">
        <v>-0.11767250744322499</v>
      </c>
      <c r="G5" s="11">
        <v>-0.44548427706895699</v>
      </c>
    </row>
    <row r="6" spans="1:7" ht="28" x14ac:dyDescent="0.2">
      <c r="A6" s="5" t="s">
        <v>158</v>
      </c>
      <c r="B6" s="11">
        <v>-0.31585173281988493</v>
      </c>
      <c r="C6" s="11">
        <v>-0.38436568800576354</v>
      </c>
      <c r="D6" s="11">
        <v>-0.40330645361732748</v>
      </c>
      <c r="E6" s="11">
        <v>-3.1825802558509197E-2</v>
      </c>
      <c r="F6" s="11">
        <v>-0.66420000998321382</v>
      </c>
      <c r="G6" s="11">
        <v>-2.112472003604867</v>
      </c>
    </row>
    <row r="7" spans="1:7" x14ac:dyDescent="0.2">
      <c r="A7" s="5" t="s">
        <v>159</v>
      </c>
      <c r="B7" s="11">
        <v>6.0874451884002324E-3</v>
      </c>
      <c r="C7" s="11">
        <v>1.1638603155310444E-2</v>
      </c>
      <c r="D7" s="11">
        <v>9.5375886560170021E-4</v>
      </c>
      <c r="E7" s="11">
        <v>-2.3455178105807661</v>
      </c>
      <c r="F7" s="11">
        <v>-1.1427634384678191</v>
      </c>
      <c r="G7" s="11">
        <v>-1.6556384053521311</v>
      </c>
    </row>
    <row r="8" spans="1:7" x14ac:dyDescent="0.2">
      <c r="A8" s="5" t="s">
        <v>160</v>
      </c>
      <c r="B8" s="11">
        <v>-0.57810789081203984</v>
      </c>
      <c r="C8" s="11">
        <v>-0.73426434215040093</v>
      </c>
      <c r="D8" s="11">
        <v>-0.75161479049325652</v>
      </c>
      <c r="E8" s="11">
        <v>-9.2433593056742824E-3</v>
      </c>
      <c r="F8" s="11">
        <v>-0.34637188043476563</v>
      </c>
      <c r="G8" s="11">
        <v>-1.4766279241222653</v>
      </c>
    </row>
    <row r="9" spans="1:7" x14ac:dyDescent="0.2">
      <c r="A9" s="5" t="s">
        <v>41</v>
      </c>
      <c r="B9" s="11">
        <v>-0.50548250649798199</v>
      </c>
      <c r="C9" s="11">
        <v>0.32714917912371999</v>
      </c>
      <c r="D9" s="11">
        <v>-0.66061657406083796</v>
      </c>
      <c r="E9" s="11">
        <v>-7.5969281034135999E-2</v>
      </c>
      <c r="F9" s="11">
        <v>-0.483281789504866</v>
      </c>
      <c r="G9" s="11">
        <v>-3.53124617180953</v>
      </c>
    </row>
    <row r="10" spans="1:7" x14ac:dyDescent="0.2">
      <c r="A10" s="5" t="s">
        <v>161</v>
      </c>
      <c r="B10" s="11">
        <v>-0.3963831280796839</v>
      </c>
      <c r="C10" s="11">
        <v>-0.56329514951626236</v>
      </c>
      <c r="D10" s="11">
        <v>-0.52571519550249723</v>
      </c>
      <c r="E10" s="11">
        <v>-0.9268931718308786</v>
      </c>
      <c r="F10" s="11">
        <v>-0.30279932573068802</v>
      </c>
      <c r="G10" s="11">
        <v>-1.8469413538939583</v>
      </c>
    </row>
    <row r="11" spans="1:7" x14ac:dyDescent="0.2">
      <c r="A11" s="5" t="s">
        <v>162</v>
      </c>
      <c r="B11" s="11">
        <v>-0.37750819800471352</v>
      </c>
      <c r="C11" s="11">
        <v>-0.21026927507409438</v>
      </c>
      <c r="D11" s="11">
        <v>-0.11591265704379763</v>
      </c>
      <c r="E11" s="11">
        <v>-0.54772868447772927</v>
      </c>
      <c r="F11" s="11">
        <v>-0.24850466645410416</v>
      </c>
      <c r="G11" s="11">
        <v>-2.4631530336975778</v>
      </c>
    </row>
    <row r="12" spans="1:7" x14ac:dyDescent="0.2">
      <c r="A12" s="5" t="s">
        <v>163</v>
      </c>
      <c r="B12" s="11">
        <v>-0.455270780456344</v>
      </c>
      <c r="C12" s="11">
        <v>-0.25185593100681097</v>
      </c>
      <c r="D12" s="11">
        <v>-0.62637322562240005</v>
      </c>
      <c r="E12" s="11">
        <v>-0.24348303007512601</v>
      </c>
      <c r="F12" s="11">
        <v>-0.43495676514829501</v>
      </c>
      <c r="G12" s="11">
        <v>-1.84523739784618</v>
      </c>
    </row>
    <row r="13" spans="1:7" ht="17" x14ac:dyDescent="0.2">
      <c r="A13" s="6" t="s">
        <v>164</v>
      </c>
      <c r="B13" s="11">
        <v>-0.73528378813813378</v>
      </c>
      <c r="C13" s="11">
        <v>-0.61842791752937998</v>
      </c>
      <c r="D13" s="11">
        <v>-0.46667389798107922</v>
      </c>
      <c r="E13" s="11">
        <v>-0.30480014537287803</v>
      </c>
      <c r="F13" s="11">
        <v>-0.16358648595097672</v>
      </c>
      <c r="G13" s="11">
        <v>-1.6768037438872385</v>
      </c>
    </row>
    <row r="14" spans="1:7" ht="17" x14ac:dyDescent="0.2">
      <c r="A14" s="6" t="s">
        <v>165</v>
      </c>
      <c r="B14" s="11">
        <v>-0.55301108695816048</v>
      </c>
      <c r="C14" s="11">
        <v>-0.80646683309413592</v>
      </c>
      <c r="D14" s="11">
        <v>-0.55842952599490192</v>
      </c>
      <c r="E14" s="11">
        <v>-0.35110584971787079</v>
      </c>
      <c r="F14" s="11">
        <v>-0.32145141227475393</v>
      </c>
      <c r="G14" s="11">
        <v>-3.5459146390325822</v>
      </c>
    </row>
    <row r="15" spans="1:7" ht="17" x14ac:dyDescent="0.2">
      <c r="A15" s="6" t="s">
        <v>166</v>
      </c>
      <c r="B15" s="11">
        <v>-0.889687323361252</v>
      </c>
      <c r="C15" s="11">
        <v>-0.84602954497002003</v>
      </c>
      <c r="D15" s="11">
        <v>-0.97809301370123802</v>
      </c>
      <c r="E15" s="11">
        <v>2.7037125598525499E-2</v>
      </c>
      <c r="F15" s="11">
        <v>-0.13771405741435999</v>
      </c>
      <c r="G15" s="11">
        <v>-0.82317311300502505</v>
      </c>
    </row>
    <row r="16" spans="1:7" ht="34" x14ac:dyDescent="0.2">
      <c r="A16" s="6" t="s">
        <v>167</v>
      </c>
      <c r="B16" s="11">
        <v>-0.28414161704324226</v>
      </c>
      <c r="C16" s="11">
        <v>-0.24487122600532299</v>
      </c>
      <c r="D16" s="11">
        <v>-0.10590446421689419</v>
      </c>
      <c r="E16" s="11">
        <v>-0.30955353757677873</v>
      </c>
      <c r="F16" s="11">
        <v>-1.5254991350080727</v>
      </c>
      <c r="G16" s="11">
        <v>-13.540589692485707</v>
      </c>
    </row>
    <row r="17" spans="1:7" ht="34" x14ac:dyDescent="0.2">
      <c r="A17" s="6" t="s">
        <v>168</v>
      </c>
      <c r="B17" s="11">
        <v>-0.43527385855061251</v>
      </c>
      <c r="C17" s="11">
        <v>-0.42995384195773334</v>
      </c>
      <c r="D17" s="11">
        <v>-0.35327200483584098</v>
      </c>
      <c r="E17" s="11">
        <v>-0.9182171705271257</v>
      </c>
      <c r="F17" s="11">
        <v>-0.69498571065931536</v>
      </c>
      <c r="G17" s="11">
        <v>-4.875283520579405</v>
      </c>
    </row>
    <row r="18" spans="1:7" ht="17" x14ac:dyDescent="0.2">
      <c r="A18" s="6" t="s">
        <v>169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</row>
    <row r="19" spans="1:7" x14ac:dyDescent="0.2">
      <c r="A19" s="2" t="s">
        <v>5</v>
      </c>
    </row>
    <row r="20" spans="1:7" x14ac:dyDescent="0.2">
      <c r="A20" s="2" t="s">
        <v>87</v>
      </c>
    </row>
    <row r="21" spans="1:7" x14ac:dyDescent="0.2">
      <c r="A21" s="2" t="s">
        <v>88</v>
      </c>
    </row>
    <row r="22" spans="1:7" x14ac:dyDescent="0.2">
      <c r="A22" s="2" t="s">
        <v>89</v>
      </c>
    </row>
    <row r="23" spans="1:7" x14ac:dyDescent="0.2">
      <c r="A23" s="2" t="s">
        <v>90</v>
      </c>
    </row>
    <row r="24" spans="1:7" x14ac:dyDescent="0.2">
      <c r="A24" s="2" t="s">
        <v>6</v>
      </c>
    </row>
    <row r="25" spans="1:7" x14ac:dyDescent="0.2">
      <c r="A25" s="2" t="s">
        <v>7</v>
      </c>
    </row>
    <row r="26" spans="1:7" x14ac:dyDescent="0.2">
      <c r="A26" s="2" t="s">
        <v>8</v>
      </c>
    </row>
    <row r="27" spans="1:7" x14ac:dyDescent="0.2">
      <c r="A27" s="2" t="s">
        <v>9</v>
      </c>
    </row>
    <row r="28" spans="1:7" x14ac:dyDescent="0.2">
      <c r="A28" s="2" t="s">
        <v>10</v>
      </c>
    </row>
    <row r="29" spans="1:7" x14ac:dyDescent="0.2">
      <c r="A29" s="2" t="s">
        <v>11</v>
      </c>
    </row>
    <row r="30" spans="1:7" x14ac:dyDescent="0.2">
      <c r="A30" s="2" t="s">
        <v>12</v>
      </c>
    </row>
    <row r="31" spans="1:7" x14ac:dyDescent="0.2">
      <c r="A31" s="2" t="s">
        <v>13</v>
      </c>
    </row>
    <row r="32" spans="1:7" x14ac:dyDescent="0.2">
      <c r="A32" s="2" t="s">
        <v>14</v>
      </c>
    </row>
    <row r="33" spans="1:1" x14ac:dyDescent="0.2">
      <c r="A33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Elasticities_WIOD</vt:lpstr>
      <vt:lpstr>Pond.Inputs</vt:lpstr>
      <vt:lpstr>WIOD.NAF17</vt:lpstr>
      <vt:lpstr>WIOD.ThreeME_V3</vt:lpstr>
      <vt:lpstr>WIOD.ThreeME_V3.pond</vt:lpstr>
      <vt:lpstr>WIOD.NAF17.pond</vt:lpstr>
      <vt:lpstr>Elasticities_ThreeME_V3</vt:lpstr>
      <vt:lpstr>Elasticities_NAF17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Malliet</dc:creator>
  <cp:lastModifiedBy>Paul Malliet</cp:lastModifiedBy>
  <dcterms:created xsi:type="dcterms:W3CDTF">2021-04-09T11:44:45Z</dcterms:created>
  <dcterms:modified xsi:type="dcterms:W3CDTF">2021-08-29T16:29:21Z</dcterms:modified>
</cp:coreProperties>
</file>