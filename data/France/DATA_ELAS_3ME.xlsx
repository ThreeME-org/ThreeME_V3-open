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32760" yWindow="500" windowWidth="28800" windowHeight="17510"/>
  </bookViews>
  <sheets>
    <sheet name="Elasticities" sheetId="39" r:id="rId1"/>
    <sheet name="Elas V2" sheetId="41" r:id="rId2"/>
    <sheet name="ELAS" sheetId="37" r:id="rId3"/>
    <sheet name="produits-secteurs V2-V3" sheetId="40" r:id="rId4"/>
  </sheets>
  <externalReferences>
    <externalReference r:id="rId5"/>
    <externalReference r:id="rId6"/>
  </externalReferences>
  <definedNames>
    <definedName name="df" localSheetId="2" hidden="1">#REF!</definedName>
    <definedName name="df" localSheetId="0" hidden="1">#REF!</definedName>
    <definedName name="df" hidden="1">#REF!</definedName>
    <definedName name="formatResults">[1]ResultsEXR10!$A$50</definedName>
    <definedName name="solver_eng" hidden="1">1</definedName>
    <definedName name="solver_lhs3" localSheetId="2" hidden="1">#REF!</definedName>
    <definedName name="solver_lhs3" localSheetId="0" hidden="1">#REF!</definedName>
    <definedName name="solver_lhs3" hidden="1">#REF!</definedName>
    <definedName name="solver_lhs3_old" localSheetId="2" hidden="1">#REF!</definedName>
    <definedName name="solver_lhs3_old" localSheetId="0" hidden="1">#REF!</definedName>
    <definedName name="solver_lhs3_old" hidden="1">#REF!</definedName>
    <definedName name="solver_lhs4" localSheetId="2" hidden="1">#REF!</definedName>
    <definedName name="solver_lhs4" localSheetId="0" hidden="1">#REF!</definedName>
    <definedName name="solver_lhs4" hidden="1">#REF!</definedName>
    <definedName name="solver_lhs4_old" localSheetId="2" hidden="1">#REF!</definedName>
    <definedName name="solver_lhs4_old" localSheetId="0" hidden="1">#REF!</definedName>
    <definedName name="solver_lhs4_old" hidden="1">#REF!</definedName>
    <definedName name="solver_lhs5" localSheetId="2" hidden="1">#REF!</definedName>
    <definedName name="solver_lhs5" localSheetId="0" hidden="1">#REF!</definedName>
    <definedName name="solver_lhs5" hidden="1">#REF!</definedName>
    <definedName name="solver_lhs5_old" localSheetId="2" hidden="1">#REF!</definedName>
    <definedName name="solver_lhs5_old" localSheetId="0" hidden="1">#REF!</definedName>
    <definedName name="solver_lhs5_old" hidden="1">#REF!</definedName>
    <definedName name="solver_lhs6" localSheetId="2" hidden="1">#REF!</definedName>
    <definedName name="solver_lhs6" localSheetId="0" hidden="1">#REF!</definedName>
    <definedName name="solver_lhs6" hidden="1">#REF!</definedName>
    <definedName name="solver_lhs6_old" localSheetId="2" hidden="1">#REF!</definedName>
    <definedName name="solver_lhs6_old" localSheetId="0" hidden="1">#REF!</definedName>
    <definedName name="solver_lhs6_old" hidden="1">#REF!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od" hidden="1">2147483647</definedName>
    <definedName name="solver_rbv" hidden="1">1</definedName>
    <definedName name="solver_rel3" hidden="1">2</definedName>
    <definedName name="solver_rel4" hidden="1">2</definedName>
    <definedName name="solver_rel5" hidden="1">3</definedName>
    <definedName name="solver_rel6" hidden="1">2</definedName>
    <definedName name="solver_rhs3" hidden="1">0</definedName>
    <definedName name="solver_rhs4" hidden="1">0</definedName>
    <definedName name="solver_rhs5" localSheetId="2" hidden="1">#REF!</definedName>
    <definedName name="solver_rhs5" localSheetId="0" hidden="1">#REF!</definedName>
    <definedName name="solver_rhs5" hidden="1">#REF!</definedName>
    <definedName name="solver_rhs5_old" localSheetId="2" hidden="1">#REF!</definedName>
    <definedName name="solver_rhs5_old" localSheetId="0" hidden="1">#REF!</definedName>
    <definedName name="solver_rhs5_old" hidden="1">#REF!</definedName>
    <definedName name="solver_rhs6" localSheetId="2" hidden="1">#REF!</definedName>
    <definedName name="solver_rhs6" localSheetId="0" hidden="1">#REF!</definedName>
    <definedName name="solver_rhs6" hidden="1">#REF!</definedName>
    <definedName name="solver_rhs6_old" localSheetId="2" hidden="1">#REF!</definedName>
    <definedName name="solver_rhs6_old" localSheetId="0" hidden="1">#REF!</definedName>
    <definedName name="solver_rhs6_old" hidden="1">#REF!</definedName>
    <definedName name="Solver_rhs9" localSheetId="2" hidden="1">#REF!</definedName>
    <definedName name="Solver_rhs9" localSheetId="0" hidden="1">#REF!</definedName>
    <definedName name="Solver_rhs9" hidden="1">#REF!</definedName>
    <definedName name="solver_rlx" hidden="1">2</definedName>
    <definedName name="solver_rsd" hidden="1">0</definedName>
    <definedName name="solver_ssz" hidden="1">100</definedName>
    <definedName name="solver_ver" hidden="1">2</definedName>
  </definedNames>
  <calcPr calcId="162913"/>
  <fileRecoveryPr autoRecover="0"/>
</workbook>
</file>

<file path=xl/calcChain.xml><?xml version="1.0" encoding="utf-8"?>
<calcChain xmlns="http://schemas.openxmlformats.org/spreadsheetml/2006/main">
  <c r="A3" i="41" l="1"/>
  <c r="A4" i="41" s="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G28" i="39"/>
  <c r="G27" i="39"/>
  <c r="F27" i="39"/>
  <c r="E27" i="39"/>
  <c r="D27" i="39"/>
  <c r="C27" i="39"/>
  <c r="G26" i="39"/>
  <c r="F26" i="39"/>
  <c r="E26" i="39"/>
  <c r="D26" i="39"/>
  <c r="C26" i="39"/>
  <c r="G25" i="39"/>
  <c r="F25" i="39"/>
  <c r="E25" i="39"/>
  <c r="D25" i="39"/>
  <c r="C25" i="39"/>
  <c r="G24" i="39"/>
  <c r="F24" i="39"/>
  <c r="E24" i="39"/>
  <c r="D24" i="39"/>
  <c r="C24" i="39"/>
  <c r="G23" i="39"/>
  <c r="F23" i="39"/>
  <c r="E23" i="39"/>
  <c r="D23" i="39"/>
  <c r="C23" i="39"/>
  <c r="G22" i="39"/>
  <c r="F22" i="39"/>
  <c r="E22" i="39"/>
  <c r="D22" i="39"/>
  <c r="C22" i="39"/>
  <c r="G21" i="39"/>
  <c r="F21" i="39"/>
  <c r="E21" i="39"/>
  <c r="D21" i="39"/>
  <c r="C21" i="39"/>
  <c r="G20" i="39"/>
  <c r="F20" i="39"/>
  <c r="E20" i="39"/>
  <c r="D20" i="39"/>
  <c r="C20" i="39"/>
  <c r="G19" i="39"/>
  <c r="F19" i="39"/>
  <c r="E19" i="39"/>
  <c r="D19" i="39"/>
  <c r="C19" i="39"/>
  <c r="B27" i="39"/>
  <c r="B26" i="39"/>
  <c r="B25" i="39"/>
  <c r="B24" i="39"/>
  <c r="B23" i="39"/>
  <c r="B22" i="39"/>
  <c r="B21" i="39"/>
  <c r="B20" i="39"/>
  <c r="B19" i="39"/>
  <c r="G18" i="39"/>
  <c r="F18" i="39"/>
  <c r="E18" i="39"/>
  <c r="D18" i="39"/>
  <c r="C18" i="39"/>
  <c r="B18" i="39"/>
  <c r="G17" i="39"/>
  <c r="F17" i="39"/>
  <c r="E17" i="39"/>
  <c r="D17" i="39"/>
  <c r="C17" i="39"/>
  <c r="B17" i="39"/>
  <c r="G16" i="39"/>
  <c r="F16" i="39"/>
  <c r="E16" i="39"/>
  <c r="D16" i="39"/>
  <c r="C16" i="39"/>
  <c r="B16" i="39"/>
  <c r="G15" i="39"/>
  <c r="F15" i="39"/>
  <c r="E15" i="39"/>
  <c r="D15" i="39"/>
  <c r="C15" i="39"/>
  <c r="B15" i="39"/>
  <c r="G14" i="39"/>
  <c r="F14" i="39"/>
  <c r="E14" i="39"/>
  <c r="D14" i="39"/>
  <c r="C14" i="39"/>
  <c r="B14" i="39"/>
  <c r="G13" i="39"/>
  <c r="F13" i="39"/>
  <c r="E13" i="39"/>
  <c r="D13" i="39"/>
  <c r="C13" i="39"/>
  <c r="B13" i="39"/>
  <c r="G12" i="39"/>
  <c r="F12" i="39"/>
  <c r="E12" i="39"/>
  <c r="D12" i="39"/>
  <c r="C12" i="39"/>
  <c r="B12" i="39"/>
  <c r="G11" i="39"/>
  <c r="F11" i="39"/>
  <c r="E11" i="39"/>
  <c r="D11" i="39"/>
  <c r="C11" i="39"/>
  <c r="B11" i="39"/>
  <c r="G10" i="39"/>
  <c r="F10" i="39"/>
  <c r="E10" i="39"/>
  <c r="D10" i="39"/>
  <c r="C10" i="39"/>
  <c r="B10" i="39"/>
  <c r="G9" i="39"/>
  <c r="F9" i="39"/>
  <c r="E9" i="39"/>
  <c r="D9" i="39"/>
  <c r="C9" i="39"/>
  <c r="B9" i="39"/>
  <c r="G7" i="39"/>
  <c r="F7" i="39"/>
  <c r="E7" i="39"/>
  <c r="D7" i="39"/>
  <c r="C7" i="39"/>
  <c r="B7" i="39"/>
  <c r="G8" i="39"/>
  <c r="F8" i="39"/>
  <c r="E8" i="39"/>
  <c r="D8" i="39"/>
  <c r="C8" i="39"/>
  <c r="B8" i="39"/>
  <c r="F6" i="39"/>
  <c r="E6" i="39"/>
  <c r="D6" i="39"/>
  <c r="C6" i="39"/>
  <c r="B6" i="39"/>
  <c r="F5" i="39"/>
  <c r="E5" i="39"/>
  <c r="D5" i="39"/>
  <c r="C5" i="39"/>
  <c r="B5" i="39"/>
  <c r="C4" i="39"/>
  <c r="F3" i="39"/>
  <c r="E3" i="39"/>
  <c r="D3" i="39"/>
  <c r="C3" i="39"/>
  <c r="B3" i="39"/>
  <c r="D28" i="39" l="1"/>
  <c r="E4" i="39"/>
  <c r="F4" i="39"/>
  <c r="F28" i="39"/>
  <c r="D4" i="39"/>
  <c r="E28" i="39"/>
  <c r="G29" i="39"/>
  <c r="B28" i="39"/>
  <c r="D29" i="39"/>
  <c r="E29" i="39"/>
  <c r="B4" i="39"/>
  <c r="C28" i="39"/>
  <c r="C3" i="37"/>
  <c r="D3" i="37"/>
  <c r="E3" i="37"/>
  <c r="F3" i="37"/>
  <c r="G3" i="37"/>
  <c r="H3" i="37"/>
  <c r="C4" i="37"/>
  <c r="D4" i="37"/>
  <c r="E4" i="37"/>
  <c r="F4" i="37"/>
  <c r="G4" i="37"/>
  <c r="H4" i="37"/>
  <c r="C5" i="37"/>
  <c r="D5" i="37"/>
  <c r="E5" i="37"/>
  <c r="F5" i="37"/>
  <c r="G5" i="37"/>
  <c r="H5" i="37"/>
  <c r="C6" i="37"/>
  <c r="D6" i="37"/>
  <c r="E6" i="37"/>
  <c r="F6" i="37"/>
  <c r="G6" i="37"/>
  <c r="H6" i="37"/>
  <c r="C7" i="37"/>
  <c r="D7" i="37"/>
  <c r="E7" i="37"/>
  <c r="F7" i="37"/>
  <c r="G7" i="37"/>
  <c r="H7" i="37"/>
  <c r="C8" i="37"/>
  <c r="D8" i="37"/>
  <c r="E8" i="37"/>
  <c r="F8" i="37"/>
  <c r="G8" i="37"/>
  <c r="H8" i="37"/>
  <c r="C9" i="37"/>
  <c r="D9" i="37"/>
  <c r="E9" i="37"/>
  <c r="F9" i="37"/>
  <c r="G9" i="37"/>
  <c r="H9" i="37"/>
  <c r="C10" i="37"/>
  <c r="D10" i="37"/>
  <c r="E10" i="37"/>
  <c r="F10" i="37"/>
  <c r="G10" i="37"/>
  <c r="H10" i="37"/>
  <c r="C11" i="37"/>
  <c r="D11" i="37"/>
  <c r="E11" i="37"/>
  <c r="F11" i="37"/>
  <c r="G11" i="37"/>
  <c r="H11" i="37"/>
  <c r="C12" i="37"/>
  <c r="D12" i="37"/>
  <c r="E12" i="37"/>
  <c r="F12" i="37"/>
  <c r="G12" i="37"/>
  <c r="H12" i="37"/>
  <c r="C13" i="37"/>
  <c r="D13" i="37"/>
  <c r="E13" i="37"/>
  <c r="F13" i="37"/>
  <c r="G13" i="37"/>
  <c r="H13" i="37"/>
  <c r="C14" i="37"/>
  <c r="D14" i="37"/>
  <c r="E14" i="37"/>
  <c r="F14" i="37"/>
  <c r="G14" i="37"/>
  <c r="H14" i="37"/>
  <c r="C15" i="37"/>
  <c r="D15" i="37"/>
  <c r="E15" i="37"/>
  <c r="F15" i="37"/>
  <c r="G15" i="37"/>
  <c r="H15" i="37"/>
  <c r="C16" i="37"/>
  <c r="D16" i="37"/>
  <c r="E16" i="37"/>
  <c r="F16" i="37"/>
  <c r="G16" i="37"/>
  <c r="H16" i="37"/>
  <c r="C17" i="37"/>
  <c r="D17" i="37"/>
  <c r="E17" i="37"/>
  <c r="F17" i="37"/>
  <c r="G17" i="37"/>
  <c r="H17" i="37"/>
  <c r="C18" i="37"/>
  <c r="D18" i="37"/>
  <c r="E18" i="37"/>
  <c r="F18" i="37"/>
  <c r="G18" i="37"/>
  <c r="H18" i="37"/>
  <c r="H2" i="37"/>
  <c r="D2" i="37"/>
  <c r="E2" i="37"/>
  <c r="F2" i="37"/>
  <c r="G2" i="37"/>
  <c r="C2" i="37"/>
  <c r="G30" i="39" l="1"/>
  <c r="B29" i="39"/>
  <c r="F29" i="39"/>
  <c r="D30" i="39"/>
  <c r="C29" i="39"/>
  <c r="E30" i="39"/>
  <c r="B30" i="39" l="1"/>
  <c r="G31" i="39"/>
  <c r="F30" i="39"/>
  <c r="D31" i="39"/>
  <c r="E31" i="39"/>
  <c r="C30" i="39"/>
  <c r="F31" i="39" l="1"/>
  <c r="G32" i="39"/>
  <c r="B31" i="39"/>
  <c r="D32" i="39"/>
  <c r="C31" i="39"/>
  <c r="E32" i="39"/>
  <c r="B32" i="39" l="1"/>
  <c r="G33" i="39"/>
  <c r="F32" i="39"/>
  <c r="D33" i="39"/>
  <c r="E33" i="39"/>
  <c r="C32" i="39"/>
  <c r="G34" i="39" l="1"/>
  <c r="F33" i="39"/>
  <c r="B33" i="39"/>
  <c r="D34" i="39"/>
  <c r="C33" i="39"/>
  <c r="E34" i="39"/>
  <c r="F34" i="39" l="1"/>
  <c r="B34" i="39"/>
  <c r="C34" i="39"/>
</calcChain>
</file>

<file path=xl/comments1.xml><?xml version="1.0" encoding="utf-8"?>
<comments xmlns="http://schemas.openxmlformats.org/spreadsheetml/2006/main">
  <authors>
    <author>Auteur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</commentList>
</comments>
</file>

<file path=xl/sharedStrings.xml><?xml version="1.0" encoding="utf-8"?>
<sst xmlns="http://schemas.openxmlformats.org/spreadsheetml/2006/main" count="328" uniqueCount="209">
  <si>
    <t>KL</t>
  </si>
  <si>
    <t>KE</t>
  </si>
  <si>
    <t>KM</t>
  </si>
  <si>
    <t>LE</t>
  </si>
  <si>
    <t>LM</t>
  </si>
  <si>
    <t>EM</t>
  </si>
  <si>
    <t>Agriculture, sylviculture et pêche</t>
  </si>
  <si>
    <t>Industries extractives, énergie, eau, gestion des déchets et dépollution</t>
  </si>
  <si>
    <t>Fabrication de denrées alimentaires, de boissons et de produits à base de tabac</t>
  </si>
  <si>
    <t>Cokéfaction et raffinage</t>
  </si>
  <si>
    <t>Fabrication d'équipements électriques, électroniques, informatiques ; fabrication de machines</t>
  </si>
  <si>
    <t>Fabrication de matériels de transport</t>
  </si>
  <si>
    <t>Fabrication d'autres produits industriels</t>
  </si>
  <si>
    <t>Construction</t>
  </si>
  <si>
    <t>Commerce ; réparation d'automobiles et de motocycles</t>
  </si>
  <si>
    <t>Transports et entreposage</t>
  </si>
  <si>
    <t>Hébergement et restauration</t>
  </si>
  <si>
    <t>Information et communication</t>
  </si>
  <si>
    <t>Activités financières et d'assurance</t>
  </si>
  <si>
    <t>Activités immobilières</t>
  </si>
  <si>
    <t>Activités spécialisées, scientifiques et techniques et activités de services administratifs et de soutien</t>
  </si>
  <si>
    <t>Administration publique, enseignement, santé humaine et action sociale</t>
  </si>
  <si>
    <t>Autres activités de services</t>
  </si>
  <si>
    <t>codes</t>
  </si>
  <si>
    <t>Sectors</t>
  </si>
  <si>
    <t>cAZ</t>
  </si>
  <si>
    <t>cRU</t>
  </si>
  <si>
    <t>cDE</t>
  </si>
  <si>
    <t>cC1</t>
  </si>
  <si>
    <t>cC2</t>
  </si>
  <si>
    <t>cC3</t>
  </si>
  <si>
    <t>cC4</t>
  </si>
  <si>
    <t>cC5</t>
  </si>
  <si>
    <t>cFZ</t>
  </si>
  <si>
    <t>cGZ</t>
  </si>
  <si>
    <t>cHZ</t>
  </si>
  <si>
    <t>cIZ</t>
  </si>
  <si>
    <t>cJZ</t>
  </si>
  <si>
    <t>cKZ</t>
  </si>
  <si>
    <t>cLZ</t>
  </si>
  <si>
    <t>cMN</t>
  </si>
  <si>
    <t>cOQ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</si>
  <si>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</si>
  <si>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</si>
  <si>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</si>
  <si>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</si>
  <si>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</si>
  <si>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</si>
  <si>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</si>
  <si>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</si>
  <si>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</si>
  <si>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</si>
  <si>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</si>
  <si>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</si>
  <si>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</si>
  <si>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</si>
  <si>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</si>
  <si>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</si>
  <si>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</si>
  <si>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</si>
  <si>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Mining</t>
  </si>
  <si>
    <t>Production of refined oil</t>
  </si>
  <si>
    <t>Production of biofuel</t>
  </si>
  <si>
    <t>Distribution of natural gas</t>
  </si>
  <si>
    <t>Production and distribution of biogas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</si>
  <si>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</si>
  <si>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</si>
  <si>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</si>
  <si>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</si>
  <si>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</si>
  <si>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</si>
  <si>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</si>
  <si>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</si>
  <si>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</si>
  <si>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ThreeME V2</t>
  </si>
  <si>
    <t>V3</t>
  </si>
  <si>
    <t>V2</t>
  </si>
  <si>
    <t>Secteurs</t>
  </si>
  <si>
    <t>commentaires</t>
  </si>
  <si>
    <t>Produits</t>
  </si>
  <si>
    <t>secteurs</t>
  </si>
  <si>
    <t>sagr</t>
  </si>
  <si>
    <t>  Agriculture, sylviculture et pêche</t>
  </si>
  <si>
    <t>sfor</t>
  </si>
  <si>
    <t>Industrie agro-alimentaire</t>
  </si>
  <si>
    <t xml:space="preserve"> Industrie agro-alimentaire</t>
  </si>
  <si>
    <t>sfoo</t>
  </si>
  <si>
    <t>Automobile</t>
  </si>
  <si>
    <t>sveh</t>
  </si>
  <si>
    <t>FABRICATION DE VERRE ET D ARTICLES EN VE</t>
  </si>
  <si>
    <t>sgla</t>
  </si>
  <si>
    <t>4 et 5</t>
  </si>
  <si>
    <t>ETS</t>
  </si>
  <si>
    <t>FABRICATION DE PRODUITS CERAMIQUES ET DE</t>
  </si>
  <si>
    <t>spap</t>
  </si>
  <si>
    <t>Papier ert carton</t>
  </si>
  <si>
    <t>7 et 8</t>
  </si>
  <si>
    <t>sche</t>
  </si>
  <si>
    <t>INDUSTRIE CHIMIQUE MINERALE</t>
  </si>
  <si>
    <t>spla</t>
  </si>
  <si>
    <t>INDUSTRIE CHIMIQUE ORGANIQUE</t>
  </si>
  <si>
    <t>10 et 11</t>
  </si>
  <si>
    <t>smet</t>
  </si>
  <si>
    <t>TRANSFORMATION DES MATIERES PLASTIQUES</t>
  </si>
  <si>
    <t>sigo</t>
  </si>
  <si>
    <t>SIDERURGIE ET PREMIERE TRANSFORMATION DE</t>
  </si>
  <si>
    <t>scgo</t>
  </si>
  <si>
    <t>PRODUCTION DE METAUX NON FERREUX</t>
  </si>
  <si>
    <t>scon</t>
  </si>
  <si>
    <t>Autres</t>
  </si>
  <si>
    <t>srai</t>
  </si>
  <si>
    <t>BTP</t>
  </si>
  <si>
    <t>15 et 16</t>
  </si>
  <si>
    <t>sroa</t>
  </si>
  <si>
    <t>TRANSPORTS FERROVIAIRES</t>
  </si>
  <si>
    <t>swat</t>
  </si>
  <si>
    <t>TRANSPORT ROUTIER DE VOYAGEURS</t>
  </si>
  <si>
    <t>sair</t>
  </si>
  <si>
    <t xml:space="preserve">TRANSPORT ROUTIER (OU PAR CONDUITES) DE </t>
  </si>
  <si>
    <t>spri</t>
  </si>
  <si>
    <t>TRANSPORTS PAR EAU</t>
  </si>
  <si>
    <t>spub</t>
  </si>
  <si>
    <t>TRANSPORTS AERIENS</t>
  </si>
  <si>
    <t>smin</t>
  </si>
  <si>
    <t>Services marchands</t>
  </si>
  <si>
    <t>Coal</t>
  </si>
  <si>
    <t>soil</t>
  </si>
  <si>
    <t>22_1</t>
  </si>
  <si>
    <t>TRSF</t>
  </si>
  <si>
    <t>Services non marchands</t>
  </si>
  <si>
    <t>sbfu</t>
  </si>
  <si>
    <t>22_2</t>
  </si>
  <si>
    <t>EXTRACTION ET AGGLOMERATION DE LA HOUILL</t>
  </si>
  <si>
    <t>EXTRACTION ET AGGLOMERATION DE LA HOUILLE</t>
  </si>
  <si>
    <t>sgas</t>
  </si>
  <si>
    <t>24_1</t>
  </si>
  <si>
    <t>RAFFINAGE DE PETROLE</t>
  </si>
  <si>
    <t xml:space="preserve">pétrole </t>
  </si>
  <si>
    <t>sbga</t>
  </si>
  <si>
    <t>24_3</t>
  </si>
  <si>
    <t>PRODUCTION ET DISTRIBUTION D ELECTRICITE</t>
  </si>
  <si>
    <t xml:space="preserve">biocarburants </t>
  </si>
  <si>
    <t>senu</t>
  </si>
  <si>
    <t>23_1</t>
  </si>
  <si>
    <t>ELE</t>
  </si>
  <si>
    <t>PRODUCTION ET DISTRIBUTION DE COMBUSTIBL</t>
  </si>
  <si>
    <t>Nucléaire</t>
  </si>
  <si>
    <t>seoi</t>
  </si>
  <si>
    <t>23_2</t>
  </si>
  <si>
    <t>centrale fioul</t>
  </si>
  <si>
    <t>sega</t>
  </si>
  <si>
    <t>23_3</t>
  </si>
  <si>
    <t>centrale combinée gaz</t>
  </si>
  <si>
    <t>seco</t>
  </si>
  <si>
    <t>23_4</t>
  </si>
  <si>
    <t>centrale charbon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</si>
  <si>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</si>
  <si>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</si>
  <si>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</si>
  <si>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</si>
  <si>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</si>
  <si>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</si>
  <si>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</si>
  <si>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</si>
  <si>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</si>
  <si>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</si>
  <si>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</si>
  <si>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</si>
  <si>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</si>
  <si>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</si>
  <si>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</si>
  <si>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</si>
  <si>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</si>
  <si>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</si>
  <si>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</si>
  <si>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</si>
  <si>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</si>
  <si>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</si>
  <si>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</si>
  <si>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Agriculture, forestry and fishing</t>
  </si>
  <si>
    <t>Manufacture of glass and glass products</t>
  </si>
  <si>
    <t>Manufacture of ceramic products and building materials</t>
  </si>
  <si>
    <t>Manufacture of articles of paper and paperboard</t>
  </si>
  <si>
    <t>Manufacture of inorganic basic chemicals</t>
  </si>
  <si>
    <t>Manufacture of organic basic chemicals</t>
  </si>
  <si>
    <t>Manufacture of basic iron and steel and of ferro-alloys</t>
  </si>
  <si>
    <t>Manufacture of non-ferrous metals</t>
  </si>
  <si>
    <t>Other industries</t>
  </si>
  <si>
    <t>Rail transport (Passenger and Freight)</t>
  </si>
  <si>
    <t>Passenger transport by road</t>
  </si>
  <si>
    <t>Freight transport by road and transport via pipeline</t>
  </si>
  <si>
    <t>1. Oil</t>
  </si>
  <si>
    <t>2. Biofuels</t>
  </si>
  <si>
    <t>1. Nuclear</t>
  </si>
  <si>
    <t>2. Fuel</t>
  </si>
  <si>
    <t>3. Combined gas</t>
  </si>
  <si>
    <t>4. Coal</t>
  </si>
  <si>
    <t>5. Wind</t>
  </si>
  <si>
    <t>6. Solar</t>
  </si>
  <si>
    <t>7. Hydraulic</t>
  </si>
  <si>
    <t>8. Cogeneration (Combined Heat and Power, CHP)</t>
  </si>
  <si>
    <t>1. Natural gas</t>
  </si>
  <si>
    <t>2. Wood</t>
  </si>
  <si>
    <t>3. Biogas</t>
  </si>
  <si>
    <t>4. Waste incineration</t>
  </si>
  <si>
    <t>5. Geothermal</t>
  </si>
  <si>
    <t>6. Cogeneration (Combined Heat and Power, CHP)+DD12:D43</t>
  </si>
  <si>
    <t>Elasticités V2</t>
  </si>
  <si>
    <t>Elasticités estimées par l'OFCE (Malliet,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</si>
</sst>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0.000"/>
    <numFmt numFmtId="166" formatCode="_-* #,##0\ _€_-;\-* #,##0\ _€_-;_-* &quot;-&quot;??\ _€_-;_-@_-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  <charset val="161"/>
    </font>
    <font>
      <sz val="10"/>
      <name val="MS Sans Serif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3" fillId="0" borderId="0"/>
    <xf numFmtId="0" fontId="1" fillId="0" borderId="0"/>
    <xf numFmtId="0" fontId="9" fillId="0" borderId="0"/>
    <xf numFmtId="0" fontId="7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8" applyFont="1" applyFill="1" applyBorder="1"/>
    <xf numFmtId="0" fontId="5" fillId="0" borderId="0" xfId="8" applyFont="1" applyFill="1" applyBorder="1"/>
    <xf numFmtId="0" fontId="4" fillId="2" borderId="0" xfId="9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8" fillId="0" borderId="0" xfId="0" applyFont="1" applyAlignment="1">
      <alignment wrapText="1"/>
    </xf>
    <xf numFmtId="165" fontId="4" fillId="0" borderId="0" xfId="8" applyNumberFormat="1" applyFont="1" applyFill="1" applyBorder="1"/>
    <xf numFmtId="0" fontId="10" fillId="0" borderId="0" xfId="0" applyFont="1" applyAlignment="1">
      <alignment horizontal="center"/>
    </xf>
    <xf numFmtId="0" fontId="8" fillId="0" borderId="0" xfId="8" applyFont="1" applyFill="1" applyBorder="1" applyAlignment="1">
      <alignment horizontal="center"/>
    </xf>
    <xf numFmtId="0" fontId="9" fillId="0" borderId="0" xfId="10"/>
    <xf numFmtId="0" fontId="14" fillId="0" borderId="0" xfId="10" applyFont="1" applyAlignment="1">
      <alignment vertical="center" wrapText="1"/>
    </xf>
    <xf numFmtId="4" fontId="9" fillId="0" borderId="0" xfId="10" applyNumberFormat="1"/>
    <xf numFmtId="0" fontId="15" fillId="0" borderId="0" xfId="0" applyFont="1" applyFill="1" applyBorder="1"/>
    <xf numFmtId="0" fontId="15" fillId="0" borderId="5" xfId="0" applyFont="1" applyFill="1" applyBorder="1"/>
    <xf numFmtId="0" fontId="0" fillId="0" borderId="6" xfId="0" applyFont="1" applyFill="1" applyBorder="1"/>
    <xf numFmtId="0" fontId="16" fillId="0" borderId="7" xfId="0" applyFont="1" applyBorder="1"/>
    <xf numFmtId="0" fontId="0" fillId="0" borderId="8" xfId="0" applyBorder="1"/>
    <xf numFmtId="0" fontId="0" fillId="0" borderId="9" xfId="0" applyBorder="1"/>
    <xf numFmtId="0" fontId="16" fillId="0" borderId="8" xfId="0" applyFont="1" applyBorder="1"/>
    <xf numFmtId="0" fontId="0" fillId="0" borderId="10" xfId="0" applyBorder="1"/>
    <xf numFmtId="0" fontId="14" fillId="0" borderId="0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5" xfId="0" applyBorder="1"/>
    <xf numFmtId="0" fontId="0" fillId="5" borderId="0" xfId="0" applyFill="1" applyBorder="1" applyAlignment="1">
      <alignment horizontal="left"/>
    </xf>
    <xf numFmtId="0" fontId="0" fillId="0" borderId="6" xfId="0" applyBorder="1"/>
    <xf numFmtId="2" fontId="17" fillId="0" borderId="4" xfId="16" applyNumberFormat="1" applyFont="1" applyBorder="1" applyAlignment="1">
      <alignment horizontal="left"/>
    </xf>
    <xf numFmtId="0" fontId="0" fillId="0" borderId="0" xfId="0" applyBorder="1"/>
    <xf numFmtId="164" fontId="17" fillId="0" borderId="0" xfId="16" applyFont="1" applyFill="1" applyBorder="1"/>
    <xf numFmtId="166" fontId="17" fillId="0" borderId="6" xfId="16" applyNumberFormat="1" applyFont="1" applyFill="1" applyBorder="1"/>
    <xf numFmtId="0" fontId="13" fillId="6" borderId="0" xfId="0" applyFont="1" applyFill="1" applyBorder="1" applyAlignment="1">
      <alignment horizontal="left"/>
    </xf>
    <xf numFmtId="0" fontId="14" fillId="0" borderId="6" xfId="0" applyFont="1" applyBorder="1" applyAlignment="1">
      <alignment wrapText="1"/>
    </xf>
    <xf numFmtId="2" fontId="17" fillId="0" borderId="4" xfId="16" applyNumberFormat="1" applyFont="1" applyBorder="1"/>
    <xf numFmtId="0" fontId="0" fillId="0" borderId="0" xfId="0" applyFill="1" applyBorder="1" applyAlignment="1">
      <alignment horizontal="left"/>
    </xf>
    <xf numFmtId="0" fontId="0" fillId="0" borderId="4" xfId="0" applyNumberFormat="1" applyBorder="1"/>
    <xf numFmtId="0" fontId="14" fillId="5" borderId="0" xfId="0" applyFont="1" applyFill="1" applyBorder="1" applyAlignment="1">
      <alignment wrapText="1"/>
    </xf>
    <xf numFmtId="0" fontId="14" fillId="7" borderId="0" xfId="0" applyFont="1" applyFill="1" applyBorder="1" applyAlignment="1">
      <alignment wrapText="1"/>
    </xf>
    <xf numFmtId="0" fontId="0" fillId="7" borderId="0" xfId="0" applyFill="1" applyBorder="1" applyAlignment="1">
      <alignment horizontal="left"/>
    </xf>
    <xf numFmtId="0" fontId="17" fillId="8" borderId="0" xfId="5" applyFont="1" applyFill="1" applyBorder="1"/>
    <xf numFmtId="166" fontId="17" fillId="8" borderId="6" xfId="16" applyNumberFormat="1" applyFont="1" applyFill="1" applyBorder="1"/>
    <xf numFmtId="0" fontId="18" fillId="7" borderId="0" xfId="5" applyFont="1" applyFill="1" applyBorder="1"/>
    <xf numFmtId="9" fontId="0" fillId="7" borderId="6" xfId="15" applyFont="1" applyFill="1" applyBorder="1" applyAlignment="1">
      <alignment horizontal="right"/>
    </xf>
    <xf numFmtId="0" fontId="14" fillId="9" borderId="0" xfId="0" applyFont="1" applyFill="1" applyBorder="1" applyAlignment="1">
      <alignment wrapText="1"/>
    </xf>
    <xf numFmtId="0" fontId="0" fillId="9" borderId="0" xfId="0" applyFill="1" applyBorder="1" applyAlignment="1">
      <alignment horizontal="left"/>
    </xf>
    <xf numFmtId="0" fontId="18" fillId="9" borderId="0" xfId="5" applyFont="1" applyFill="1" applyBorder="1"/>
    <xf numFmtId="9" fontId="0" fillId="9" borderId="6" xfId="15" applyFont="1" applyFill="1" applyBorder="1" applyAlignment="1">
      <alignment horizontal="right"/>
    </xf>
    <xf numFmtId="0" fontId="0" fillId="0" borderId="4" xfId="0" applyBorder="1"/>
    <xf numFmtId="0" fontId="0" fillId="9" borderId="0" xfId="0" applyFill="1" applyBorder="1" applyAlignment="1">
      <alignment horizontal="left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4" fillId="9" borderId="12" xfId="0" applyFont="1" applyFill="1" applyBorder="1" applyAlignment="1">
      <alignment wrapText="1"/>
    </xf>
    <xf numFmtId="0" fontId="0" fillId="6" borderId="12" xfId="0" applyFill="1" applyBorder="1" applyAlignment="1">
      <alignment horizontal="left"/>
    </xf>
    <xf numFmtId="0" fontId="0" fillId="9" borderId="12" xfId="0" applyFill="1" applyBorder="1" applyAlignment="1">
      <alignment horizontal="left"/>
    </xf>
    <xf numFmtId="0" fontId="14" fillId="0" borderId="14" xfId="0" applyFont="1" applyBorder="1" applyAlignment="1">
      <alignment wrapText="1"/>
    </xf>
    <xf numFmtId="0" fontId="18" fillId="0" borderId="0" xfId="5" applyFont="1" applyFill="1" applyBorder="1"/>
    <xf numFmtId="9" fontId="1" fillId="0" borderId="6" xfId="15" applyFont="1" applyFill="1" applyBorder="1" applyAlignment="1">
      <alignment horizontal="right"/>
    </xf>
    <xf numFmtId="0" fontId="19" fillId="5" borderId="0" xfId="5" applyFont="1" applyFill="1" applyBorder="1"/>
    <xf numFmtId="9" fontId="20" fillId="5" borderId="6" xfId="15" applyFont="1" applyFill="1" applyBorder="1" applyAlignment="1">
      <alignment horizontal="right"/>
    </xf>
    <xf numFmtId="0" fontId="18" fillId="0" borderId="12" xfId="5" applyFont="1" applyFill="1" applyBorder="1"/>
    <xf numFmtId="9" fontId="1" fillId="0" borderId="14" xfId="15" applyFont="1" applyFill="1" applyBorder="1" applyAlignment="1">
      <alignment horizontal="right"/>
    </xf>
    <xf numFmtId="3" fontId="9" fillId="0" borderId="0" xfId="10" applyNumberFormat="1"/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9" fillId="0" borderId="0" xfId="10" applyAlignment="1">
      <alignment horizontal="center"/>
    </xf>
    <xf numFmtId="0" fontId="0" fillId="0" borderId="0" xfId="0" applyAlignment="1">
      <alignment horizontal="center"/>
    </xf>
  </cellXfs>
  <cellStyles count="17">
    <cellStyle name="Comma 2" xfId="1"/>
    <cellStyle name="Comma 2 2" xfId="2"/>
    <cellStyle name="Milliers 2" xfId="16"/>
    <cellStyle name="Motif 2" xfId="3"/>
    <cellStyle name="Normal" xfId="0" builtinId="0"/>
    <cellStyle name="Normal 2" xfId="4"/>
    <cellStyle name="Normal 2 2" xfId="5"/>
    <cellStyle name="Normal 2 3" xfId="6"/>
    <cellStyle name="Normal 3" xfId="7"/>
    <cellStyle name="Normal 4" xfId="8"/>
    <cellStyle name="Normal 4 2" xfId="9"/>
    <cellStyle name="Normal 5" xfId="10"/>
    <cellStyle name="Normal 6" xfId="11"/>
    <cellStyle name="Percent 2" xfId="12"/>
    <cellStyle name="Pourcentage" xfId="15" builtinId="5"/>
    <cellStyle name="Pourcentage 2" xfId="13"/>
    <cellStyle name="Pourcentage 3" xfId="1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CQUETINF/Documents/documents/ThreeME_V3-ADEME/results/2020-02-29%2012-02-00%20-%20Standard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/Desktop/Export_elas_NACE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asticities_WIOD"/>
      <sheetName val="Pond.Inputs"/>
      <sheetName val="WIOD.NAF17"/>
      <sheetName val="WIOD.ThreeME_V3"/>
      <sheetName val="WIOD.ThreeME_V3.pond"/>
      <sheetName val="WIOD.NAF17.pond"/>
      <sheetName val="Elasticities_ThreeME_V3"/>
      <sheetName val="Elasticities_NAF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1.7756746144217423</v>
          </cell>
          <cell r="C2">
            <v>7.740914760867551E-3</v>
          </cell>
          <cell r="D2">
            <v>-0.35248862162935918</v>
          </cell>
          <cell r="E2">
            <v>-13.60525070088538</v>
          </cell>
          <cell r="F2">
            <v>-0.36568112192270952</v>
          </cell>
          <cell r="G2">
            <v>4.1663283306820649</v>
          </cell>
        </row>
        <row r="3">
          <cell r="B3">
            <v>-4.4665073043638106</v>
          </cell>
          <cell r="C3">
            <v>-3.1423882814420763</v>
          </cell>
          <cell r="D3">
            <v>-0.12440643138692584</v>
          </cell>
          <cell r="E3">
            <v>-1.4397274351083829</v>
          </cell>
          <cell r="F3">
            <v>-1.0361908273212974</v>
          </cell>
          <cell r="G3">
            <v>-0.76256753238102826</v>
          </cell>
        </row>
        <row r="4">
          <cell r="B4">
            <v>-0.40614676113623999</v>
          </cell>
          <cell r="C4">
            <v>-1.51873541652644</v>
          </cell>
          <cell r="D4">
            <v>-0.62635141344800804</v>
          </cell>
          <cell r="E4">
            <v>-2.0896776448688099</v>
          </cell>
          <cell r="F4">
            <v>-0.56421323804090295</v>
          </cell>
          <cell r="G4">
            <v>-0.38968346574436702</v>
          </cell>
        </row>
        <row r="5">
          <cell r="B5">
            <v>-0.173427036956776</v>
          </cell>
          <cell r="C5">
            <v>-0.19568185520611001</v>
          </cell>
          <cell r="D5">
            <v>-5.3895097144285198E-2</v>
          </cell>
          <cell r="E5">
            <v>-0.69661570571638598</v>
          </cell>
          <cell r="F5">
            <v>-0.11767250744322499</v>
          </cell>
          <cell r="G5">
            <v>-0.44548427706895699</v>
          </cell>
        </row>
        <row r="6">
          <cell r="B6">
            <v>-0.31585173281988493</v>
          </cell>
          <cell r="C6">
            <v>-0.38436568800576354</v>
          </cell>
          <cell r="D6">
            <v>-0.40330645361732748</v>
          </cell>
          <cell r="E6">
            <v>-3.1825802558509197E-2</v>
          </cell>
          <cell r="F6">
            <v>-0.66420000998321382</v>
          </cell>
          <cell r="G6">
            <v>-2.112472003604867</v>
          </cell>
        </row>
        <row r="7">
          <cell r="B7">
            <v>6.0874451884002324E-3</v>
          </cell>
          <cell r="C7">
            <v>1.1638603155310444E-2</v>
          </cell>
          <cell r="D7">
            <v>9.5375886560170021E-4</v>
          </cell>
          <cell r="E7">
            <v>-2.3455178105807661</v>
          </cell>
          <cell r="F7">
            <v>-1.1427634384678191</v>
          </cell>
          <cell r="G7">
            <v>-1.6556384053521311</v>
          </cell>
        </row>
        <row r="8">
          <cell r="B8">
            <v>-0.57810789081203984</v>
          </cell>
          <cell r="C8">
            <v>-0.73426434215040093</v>
          </cell>
          <cell r="D8">
            <v>-0.75161479049325652</v>
          </cell>
          <cell r="E8">
            <v>-9.2433593056742824E-3</v>
          </cell>
          <cell r="F8">
            <v>-0.34637188043476563</v>
          </cell>
          <cell r="G8">
            <v>-1.4766279241222653</v>
          </cell>
        </row>
        <row r="9">
          <cell r="B9">
            <v>-0.50548250649798199</v>
          </cell>
          <cell r="C9">
            <v>0.32714917912371999</v>
          </cell>
          <cell r="D9">
            <v>-0.66061657406083796</v>
          </cell>
          <cell r="E9">
            <v>-7.5969281034135999E-2</v>
          </cell>
          <cell r="F9">
            <v>-0.483281789504866</v>
          </cell>
          <cell r="G9">
            <v>-3.53124617180953</v>
          </cell>
        </row>
        <row r="10">
          <cell r="B10">
            <v>-0.3963831280796839</v>
          </cell>
          <cell r="C10">
            <v>-0.56329514951626236</v>
          </cell>
          <cell r="D10">
            <v>-0.52571519550249723</v>
          </cell>
          <cell r="E10">
            <v>-0.9268931718308786</v>
          </cell>
          <cell r="F10">
            <v>-0.30279932573068802</v>
          </cell>
          <cell r="G10">
            <v>-1.8469413538939583</v>
          </cell>
        </row>
        <row r="11">
          <cell r="B11">
            <v>-0.37750819800471352</v>
          </cell>
          <cell r="C11">
            <v>-0.21026927507409438</v>
          </cell>
          <cell r="D11">
            <v>-0.11591265704379763</v>
          </cell>
          <cell r="E11">
            <v>-0.54772868447772927</v>
          </cell>
          <cell r="F11">
            <v>-0.24850466645410416</v>
          </cell>
          <cell r="G11">
            <v>-2.4631530336975778</v>
          </cell>
        </row>
        <row r="12">
          <cell r="B12">
            <v>-0.455270780456344</v>
          </cell>
          <cell r="C12">
            <v>-0.25185593100681097</v>
          </cell>
          <cell r="D12">
            <v>-0.62637322562240005</v>
          </cell>
          <cell r="E12">
            <v>-0.24348303007512601</v>
          </cell>
          <cell r="F12">
            <v>-0.43495676514829501</v>
          </cell>
          <cell r="G12">
            <v>-1.84523739784618</v>
          </cell>
        </row>
        <row r="13">
          <cell r="B13">
            <v>-0.73528378813813378</v>
          </cell>
          <cell r="C13">
            <v>-0.61842791752937998</v>
          </cell>
          <cell r="D13">
            <v>-0.46667389798107922</v>
          </cell>
          <cell r="E13">
            <v>-0.30480014537287803</v>
          </cell>
          <cell r="F13">
            <v>-0.16358648595097672</v>
          </cell>
          <cell r="G13">
            <v>-1.6768037438872385</v>
          </cell>
        </row>
        <row r="14">
          <cell r="B14">
            <v>-0.55301108695816048</v>
          </cell>
          <cell r="C14">
            <v>-0.80646683309413592</v>
          </cell>
          <cell r="D14">
            <v>-0.55842952599490192</v>
          </cell>
          <cell r="E14">
            <v>-0.35110584971787079</v>
          </cell>
          <cell r="F14">
            <v>-0.32145141227475393</v>
          </cell>
          <cell r="G14">
            <v>-3.5459146390325822</v>
          </cell>
        </row>
        <row r="15">
          <cell r="B15">
            <v>-0.889687323361252</v>
          </cell>
          <cell r="C15">
            <v>-0.84602954497002003</v>
          </cell>
          <cell r="D15">
            <v>-0.97809301370123802</v>
          </cell>
          <cell r="E15">
            <v>2.7037125598525499E-2</v>
          </cell>
          <cell r="F15">
            <v>-0.13771405741435999</v>
          </cell>
          <cell r="G15">
            <v>-0.82317311300502505</v>
          </cell>
        </row>
        <row r="16">
          <cell r="B16">
            <v>-0.28414161704324226</v>
          </cell>
          <cell r="C16">
            <v>-0.24487122600532299</v>
          </cell>
          <cell r="D16">
            <v>-0.10590446421689419</v>
          </cell>
          <cell r="E16">
            <v>-0.30955353757677873</v>
          </cell>
          <cell r="F16">
            <v>-1.5254991350080727</v>
          </cell>
          <cell r="G16">
            <v>-13.540589692485707</v>
          </cell>
        </row>
        <row r="17">
          <cell r="B17">
            <v>-0.43527385855061251</v>
          </cell>
          <cell r="C17">
            <v>-0.42995384195773334</v>
          </cell>
          <cell r="D17">
            <v>-0.35327200483584098</v>
          </cell>
          <cell r="E17">
            <v>-0.9182171705271257</v>
          </cell>
          <cell r="F17">
            <v>-0.69498571065931536</v>
          </cell>
          <cell r="G17">
            <v>-4.875283520579405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34"/>
  <sheetViews>
    <sheetView tabSelected="1" workbookViewId="0">
      <selection activeCell="A16" sqref="A16"/>
    </sheetView>
  </sheetViews>
  <sheetFormatPr baseColWidth="10" defaultRowHeight="15.5" x14ac:dyDescent="0.35"/>
  <cols>
    <col min="1" max="1" width="44.6328125" style="9" customWidth="1"/>
    <col min="2" max="7" width="10.90625" style="9"/>
    <col min="16" max="16384" width="10.90625" style="9"/>
  </cols>
  <sheetData>
    <row r="1" spans="1:14" x14ac:dyDescent="0.35">
      <c r="B1" s="66" t="s">
        <v>207</v>
      </c>
      <c r="C1" s="66"/>
      <c r="D1" s="66"/>
      <c r="E1" s="66"/>
      <c r="F1" s="66"/>
      <c r="G1" s="66"/>
      <c r="I1" s="67" t="s">
        <v>208</v>
      </c>
      <c r="J1" s="67"/>
      <c r="K1" s="67"/>
      <c r="L1" s="67"/>
      <c r="M1" s="67"/>
      <c r="N1" s="67"/>
    </row>
    <row r="2" spans="1:14" x14ac:dyDescent="0.3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I2" s="9" t="s">
        <v>0</v>
      </c>
      <c r="J2" s="9" t="s">
        <v>1</v>
      </c>
      <c r="K2" s="9" t="s">
        <v>2</v>
      </c>
      <c r="L2" s="9" t="s">
        <v>3</v>
      </c>
      <c r="M2" s="9" t="s">
        <v>4</v>
      </c>
      <c r="N2" s="9" t="s">
        <v>5</v>
      </c>
    </row>
    <row r="3" spans="1:14" x14ac:dyDescent="0.35">
      <c r="A3" s="10" t="s">
        <v>42</v>
      </c>
      <c r="B3" s="11">
        <f>'Elas V2'!C2</f>
        <v>0.5</v>
      </c>
      <c r="C3" s="11">
        <f>'Elas V2'!D2</f>
        <v>3.4839883156742073</v>
      </c>
      <c r="D3" s="11">
        <f>'Elas V2'!E2</f>
        <v>0</v>
      </c>
      <c r="E3" s="11">
        <f>'Elas V2'!F2</f>
        <v>0.29404797605318139</v>
      </c>
      <c r="F3" s="11">
        <f>'Elas V2'!G2</f>
        <v>0.15</v>
      </c>
      <c r="G3" s="11">
        <v>17.81467717083234</v>
      </c>
      <c r="I3" s="11">
        <v>-1.3532678071760209</v>
      </c>
      <c r="J3" s="11">
        <v>1.2190106562347198</v>
      </c>
      <c r="K3" s="11">
        <v>0.74856674437089099</v>
      </c>
      <c r="L3" s="11">
        <v>26.821276335742901</v>
      </c>
      <c r="M3" s="11">
        <v>0.36277673822878381</v>
      </c>
      <c r="N3" s="11">
        <v>-17.81467717083234</v>
      </c>
    </row>
    <row r="4" spans="1:14" x14ac:dyDescent="0.35">
      <c r="A4" s="10" t="s">
        <v>43</v>
      </c>
      <c r="B4" s="11">
        <f>B3</f>
        <v>0.5</v>
      </c>
      <c r="C4" s="11">
        <f>C3</f>
        <v>3.4839883156742073</v>
      </c>
      <c r="D4" s="11">
        <f>D3</f>
        <v>0</v>
      </c>
      <c r="E4" s="11">
        <f>E3</f>
        <v>0.29404797605318139</v>
      </c>
      <c r="F4" s="11">
        <f>F3</f>
        <v>0.15</v>
      </c>
      <c r="G4" s="11">
        <v>-6.0545740630814402</v>
      </c>
      <c r="I4" s="11">
        <v>0.64417518391449902</v>
      </c>
      <c r="J4" s="11">
        <v>-1.89728749042491</v>
      </c>
      <c r="K4" s="11">
        <v>0.62980054620403503</v>
      </c>
      <c r="L4" s="11">
        <v>-0.75269493753205796</v>
      </c>
      <c r="M4" s="11">
        <v>0.41463909145362399</v>
      </c>
      <c r="N4" s="11">
        <v>6.0545740630814402</v>
      </c>
    </row>
    <row r="5" spans="1:14" x14ac:dyDescent="0.35">
      <c r="A5" s="10" t="s">
        <v>44</v>
      </c>
      <c r="B5" s="11">
        <f>'Elas V2'!C3</f>
        <v>0.5</v>
      </c>
      <c r="C5" s="11">
        <f>'Elas V2'!D3</f>
        <v>9.521477866939037</v>
      </c>
      <c r="D5" s="11">
        <f>'Elas V2'!E3</f>
        <v>0</v>
      </c>
      <c r="E5" s="11">
        <f>'Elas V2'!F3</f>
        <v>0.57419698494963189</v>
      </c>
      <c r="F5" s="11">
        <f>'Elas V2'!G3</f>
        <v>0.15</v>
      </c>
      <c r="G5" s="11">
        <v>-0.38968346574436702</v>
      </c>
      <c r="I5" s="11">
        <v>0.40614676113623999</v>
      </c>
      <c r="J5" s="11">
        <v>1.51873541652644</v>
      </c>
      <c r="K5" s="11">
        <v>0.62635141344800804</v>
      </c>
      <c r="L5" s="11">
        <v>2.0896776448688099</v>
      </c>
      <c r="M5" s="11">
        <v>0.56421323804090295</v>
      </c>
      <c r="N5" s="11">
        <v>0.38968346574436702</v>
      </c>
    </row>
    <row r="6" spans="1:14" ht="29" x14ac:dyDescent="0.35">
      <c r="A6" s="10" t="s">
        <v>45</v>
      </c>
      <c r="B6" s="11">
        <f>'Elas V2'!C4</f>
        <v>0.5</v>
      </c>
      <c r="C6" s="11">
        <f>'Elas V2'!D4</f>
        <v>13.909639188754333</v>
      </c>
      <c r="D6" s="11">
        <f>'Elas V2'!E4</f>
        <v>0</v>
      </c>
      <c r="E6" s="11">
        <f>'Elas V2'!F4</f>
        <v>0.78625421240416438</v>
      </c>
      <c r="F6" s="11">
        <f>'Elas V2'!G4</f>
        <v>0.15</v>
      </c>
      <c r="G6" s="11">
        <v>-3.3413199464890102</v>
      </c>
      <c r="I6" s="11">
        <v>-1.1517845839440976E-2</v>
      </c>
      <c r="J6" s="11">
        <v>-2.2248907340419219E-2</v>
      </c>
      <c r="K6" s="11">
        <v>-1.7644513313450428E-3</v>
      </c>
      <c r="L6" s="11">
        <v>4.5883197048288196</v>
      </c>
      <c r="M6" s="11">
        <v>2.269263520661537</v>
      </c>
      <c r="N6" s="11">
        <v>3.3413199464890102</v>
      </c>
    </row>
    <row r="7" spans="1:14" x14ac:dyDescent="0.35">
      <c r="A7" s="10" t="s">
        <v>46</v>
      </c>
      <c r="B7" s="11">
        <f>'Elas V2'!C5</f>
        <v>0.5</v>
      </c>
      <c r="C7" s="11">
        <f>'Elas V2'!D5</f>
        <v>2.458822823767306</v>
      </c>
      <c r="D7" s="11">
        <f>'Elas V2'!E5</f>
        <v>0</v>
      </c>
      <c r="E7" s="11">
        <f>'Elas V2'!F5</f>
        <v>0.24454980595849762</v>
      </c>
      <c r="F7" s="11">
        <f>'Elas V2'!G5</f>
        <v>0.15</v>
      </c>
      <c r="G7" s="11">
        <f>'Elas V2'!H5</f>
        <v>0</v>
      </c>
      <c r="I7" s="11">
        <v>0.87455949665588895</v>
      </c>
      <c r="J7" s="11">
        <v>0.85574640308355698</v>
      </c>
      <c r="K7" s="11">
        <v>0.65204359924914101</v>
      </c>
      <c r="L7" s="11">
        <v>-0.59852349728252496</v>
      </c>
      <c r="M7" s="11">
        <v>0.41465781739825203</v>
      </c>
      <c r="N7" s="11">
        <v>1.4270128061716401</v>
      </c>
    </row>
    <row r="8" spans="1:14" x14ac:dyDescent="0.35">
      <c r="A8" s="10" t="s">
        <v>47</v>
      </c>
      <c r="B8" s="11">
        <f>'Elas V2'!C7</f>
        <v>0.5</v>
      </c>
      <c r="C8" s="11">
        <f>'Elas V2'!D7</f>
        <v>1.2949615398539969</v>
      </c>
      <c r="D8" s="11">
        <f>'Elas V2'!E7</f>
        <v>0</v>
      </c>
      <c r="E8" s="11">
        <f>'Elas V2'!F7</f>
        <v>0.37586402508037553</v>
      </c>
      <c r="F8" s="11">
        <f>'Elas V2'!G7</f>
        <v>0.15</v>
      </c>
      <c r="G8" s="11">
        <f>'Elas V2'!H7</f>
        <v>0</v>
      </c>
      <c r="I8" s="11">
        <v>1.5345360259129799</v>
      </c>
      <c r="J8" s="11">
        <v>4.43808519778886</v>
      </c>
      <c r="K8" s="11">
        <v>2.3821868614157271</v>
      </c>
      <c r="L8" s="11">
        <v>-2.8824855368558611</v>
      </c>
      <c r="M8" s="11">
        <v>0.66299289206241419</v>
      </c>
      <c r="N8" s="11">
        <v>2.4542725967212964E-2</v>
      </c>
    </row>
    <row r="9" spans="1:14" x14ac:dyDescent="0.35">
      <c r="A9" s="10" t="s">
        <v>48</v>
      </c>
      <c r="B9" s="11">
        <f>'Elas V2'!C8</f>
        <v>0.5</v>
      </c>
      <c r="C9" s="11">
        <f>'Elas V2'!D8</f>
        <v>1.0564153684076472</v>
      </c>
      <c r="D9" s="11">
        <f>'Elas V2'!E8</f>
        <v>0</v>
      </c>
      <c r="E9" s="11">
        <f>'Elas V2'!F8</f>
        <v>0.25523581279974628</v>
      </c>
      <c r="F9" s="11">
        <f>'Elas V2'!G8</f>
        <v>0.15</v>
      </c>
      <c r="G9" s="11">
        <f>'Elas V2'!H8</f>
        <v>0</v>
      </c>
      <c r="I9" s="11">
        <v>1.0172523065442789</v>
      </c>
      <c r="J9" s="11">
        <v>1.5502188068595331</v>
      </c>
      <c r="K9" s="11">
        <v>2.2097206927448299</v>
      </c>
      <c r="L9" s="11">
        <v>0.70225743143284902</v>
      </c>
      <c r="M9" s="11">
        <v>0.85283663395971299</v>
      </c>
      <c r="N9" s="11">
        <v>3.6041733426275195</v>
      </c>
    </row>
    <row r="10" spans="1:14" x14ac:dyDescent="0.35">
      <c r="A10" s="10" t="s">
        <v>49</v>
      </c>
      <c r="B10" s="11">
        <f>'Elas V2'!C10</f>
        <v>0.5</v>
      </c>
      <c r="C10" s="11">
        <f>'Elas V2'!D10</f>
        <v>6.9778722921333429</v>
      </c>
      <c r="D10" s="11">
        <f>'Elas V2'!E10</f>
        <v>0</v>
      </c>
      <c r="E10" s="11">
        <f>'Elas V2'!F10</f>
        <v>0.36003551831598596</v>
      </c>
      <c r="F10" s="11">
        <f>'Elas V2'!G10</f>
        <v>0.15</v>
      </c>
      <c r="G10" s="11">
        <f>'Elas V2'!H10</f>
        <v>0</v>
      </c>
      <c r="I10" s="11">
        <v>0.70951634615110004</v>
      </c>
      <c r="J10" s="11">
        <v>0.61076879731682299</v>
      </c>
      <c r="K10" s="11">
        <v>0.86938428244168497</v>
      </c>
      <c r="L10" s="11">
        <v>-2.0583658054415999</v>
      </c>
      <c r="M10" s="11">
        <v>0.69568365522949505</v>
      </c>
      <c r="N10" s="11">
        <v>2.3974471122189498</v>
      </c>
    </row>
    <row r="11" spans="1:14" x14ac:dyDescent="0.35">
      <c r="A11" s="10" t="s">
        <v>50</v>
      </c>
      <c r="B11" s="11">
        <f>'Elas V2'!C11</f>
        <v>0.5</v>
      </c>
      <c r="C11" s="11">
        <f>'Elas V2'!D11</f>
        <v>0.98764224803587597</v>
      </c>
      <c r="D11" s="11">
        <f>'Elas V2'!E11</f>
        <v>0</v>
      </c>
      <c r="E11" s="11">
        <f>'Elas V2'!F11</f>
        <v>0.57172935517187284</v>
      </c>
      <c r="F11" s="11">
        <f>'Elas V2'!G11</f>
        <v>0.15</v>
      </c>
      <c r="G11" s="11">
        <f>'Elas V2'!H11</f>
        <v>0</v>
      </c>
      <c r="I11" s="11">
        <v>1.738365985877163</v>
      </c>
      <c r="J11" s="11">
        <v>1.6396056214916999</v>
      </c>
      <c r="K11" s="11">
        <v>1.313553300974839</v>
      </c>
      <c r="L11" s="11">
        <v>-0.29610008359264262</v>
      </c>
      <c r="M11" s="11">
        <v>0.46487485454343902</v>
      </c>
      <c r="N11" s="11">
        <v>2.1376487227996881</v>
      </c>
    </row>
    <row r="12" spans="1:14" x14ac:dyDescent="0.35">
      <c r="A12" s="10" t="s">
        <v>51</v>
      </c>
      <c r="B12" s="11">
        <f>'Elas V2'!C13</f>
        <v>0.5</v>
      </c>
      <c r="C12" s="11">
        <f>'Elas V2'!D13</f>
        <v>5.058071044240001</v>
      </c>
      <c r="D12" s="11">
        <f>'Elas V2'!E13</f>
        <v>0</v>
      </c>
      <c r="E12" s="11">
        <f>'Elas V2'!F13</f>
        <v>0.41545771946199461</v>
      </c>
      <c r="F12" s="11">
        <f>'Elas V2'!G13</f>
        <v>0.15</v>
      </c>
      <c r="G12" s="11">
        <f>'Elas V2'!H13</f>
        <v>0</v>
      </c>
      <c r="I12" s="11">
        <v>1.6082715872252915</v>
      </c>
      <c r="J12" s="11">
        <v>2.8286594608891482</v>
      </c>
      <c r="K12" s="11">
        <v>1.934863383282561</v>
      </c>
      <c r="L12" s="11">
        <v>6.1539386936450118</v>
      </c>
      <c r="M12" s="11">
        <v>3.0924630635814019</v>
      </c>
      <c r="N12" s="11">
        <v>9.4654460766798287</v>
      </c>
    </row>
    <row r="13" spans="1:14" x14ac:dyDescent="0.35">
      <c r="A13" s="10" t="s">
        <v>52</v>
      </c>
      <c r="B13" s="11">
        <f>'Elas V2'!C13</f>
        <v>0.5</v>
      </c>
      <c r="C13" s="11">
        <f>'Elas V2'!D13</f>
        <v>5.058071044240001</v>
      </c>
      <c r="D13" s="11">
        <f>'Elas V2'!E13</f>
        <v>0</v>
      </c>
      <c r="E13" s="11">
        <f>'Elas V2'!F13</f>
        <v>0.41545771946199461</v>
      </c>
      <c r="F13" s="11">
        <f>'Elas V2'!G13</f>
        <v>0.15</v>
      </c>
      <c r="G13" s="11">
        <f>'Elas V2'!H13</f>
        <v>0</v>
      </c>
      <c r="I13" s="11">
        <v>0.56622787694690102</v>
      </c>
      <c r="J13" s="11">
        <v>0.39159638145214698</v>
      </c>
      <c r="K13" s="11">
        <v>0.63785138902726801</v>
      </c>
      <c r="L13" s="11">
        <v>1.42125663581319</v>
      </c>
      <c r="M13" s="11">
        <v>0.59115365499169903</v>
      </c>
      <c r="N13" s="11">
        <v>2.4800694767979001</v>
      </c>
    </row>
    <row r="14" spans="1:14" x14ac:dyDescent="0.35">
      <c r="A14" s="10" t="s">
        <v>53</v>
      </c>
      <c r="B14" s="11">
        <f>'Elas V2'!C14</f>
        <v>0.5</v>
      </c>
      <c r="C14" s="11">
        <f>'Elas V2'!D14</f>
        <v>6.165900586412997</v>
      </c>
      <c r="D14" s="11">
        <f>'Elas V2'!E14</f>
        <v>0</v>
      </c>
      <c r="E14" s="11">
        <f>'Elas V2'!F14</f>
        <v>0.29460709994798551</v>
      </c>
      <c r="F14" s="11">
        <f>'Elas V2'!G14</f>
        <v>0.15</v>
      </c>
      <c r="G14" s="11">
        <f>'Elas V2'!H14</f>
        <v>0.1</v>
      </c>
      <c r="I14" s="11">
        <v>2.0076235035762919</v>
      </c>
      <c r="J14" s="11">
        <v>-0.10686135735468699</v>
      </c>
      <c r="K14" s="11">
        <v>0.78503017230531491</v>
      </c>
      <c r="L14" s="11">
        <v>0.866037295299103</v>
      </c>
      <c r="M14" s="11">
        <v>0.34255536761253103</v>
      </c>
      <c r="N14" s="11">
        <v>8.1868507586088999</v>
      </c>
    </row>
    <row r="15" spans="1:14" x14ac:dyDescent="0.35">
      <c r="A15" s="10" t="s">
        <v>54</v>
      </c>
      <c r="B15" s="11">
        <f>'Elas V2'!C15</f>
        <v>0.5</v>
      </c>
      <c r="C15" s="11">
        <f>'Elas V2'!D15</f>
        <v>1.1322249386651302</v>
      </c>
      <c r="D15" s="11">
        <f>'Elas V2'!E15</f>
        <v>0</v>
      </c>
      <c r="E15" s="11">
        <f>'Elas V2'!F15</f>
        <v>0</v>
      </c>
      <c r="F15" s="11">
        <f>'Elas V2'!G15</f>
        <v>0.15</v>
      </c>
      <c r="G15" s="11">
        <f>'Elas V2'!H15</f>
        <v>0.1</v>
      </c>
      <c r="I15" s="11">
        <v>0.40333807493616203</v>
      </c>
      <c r="J15" s="11">
        <v>0.17358482493698599</v>
      </c>
      <c r="K15" s="11">
        <v>-2.32014493630836E-2</v>
      </c>
      <c r="L15" s="11">
        <v>9.3559179844212997E-2</v>
      </c>
      <c r="M15" s="11">
        <v>0.42325069124331099</v>
      </c>
      <c r="N15" s="11">
        <v>1.93312791574959</v>
      </c>
    </row>
    <row r="16" spans="1:14" x14ac:dyDescent="0.35">
      <c r="A16" s="10" t="s">
        <v>55</v>
      </c>
      <c r="B16" s="11">
        <f>'Elas V2'!C16</f>
        <v>0.5</v>
      </c>
      <c r="C16" s="11">
        <f>'Elas V2'!D16</f>
        <v>0.85406930292218641</v>
      </c>
      <c r="D16" s="11">
        <f>'Elas V2'!E16</f>
        <v>0</v>
      </c>
      <c r="E16" s="11">
        <f>'Elas V2'!F16</f>
        <v>0</v>
      </c>
      <c r="F16" s="11">
        <f>'Elas V2'!G16</f>
        <v>0.15</v>
      </c>
      <c r="G16" s="11">
        <f>'Elas V2'!H16</f>
        <v>0.1</v>
      </c>
      <c r="I16" s="11">
        <v>0.40333807493616203</v>
      </c>
      <c r="J16" s="11">
        <v>0.17358482493698599</v>
      </c>
      <c r="K16" s="11">
        <v>-2.32014493630836E-2</v>
      </c>
      <c r="L16" s="11">
        <v>9.3559179844212997E-2</v>
      </c>
      <c r="M16" s="11">
        <v>0.42325069124331099</v>
      </c>
      <c r="N16" s="11">
        <v>1.93312791574959</v>
      </c>
    </row>
    <row r="17" spans="1:14" x14ac:dyDescent="0.35">
      <c r="A17" s="10" t="s">
        <v>56</v>
      </c>
      <c r="B17" s="11">
        <f>'Elas V2'!C18</f>
        <v>0.5</v>
      </c>
      <c r="C17" s="11">
        <f>'Elas V2'!D18</f>
        <v>1.1010167128814041</v>
      </c>
      <c r="D17" s="11">
        <f>'Elas V2'!E18</f>
        <v>0</v>
      </c>
      <c r="E17" s="11">
        <f>'Elas V2'!F18</f>
        <v>0</v>
      </c>
      <c r="F17" s="11">
        <f>'Elas V2'!G18</f>
        <v>0.15</v>
      </c>
      <c r="G17" s="11">
        <f>'Elas V2'!H18</f>
        <v>0.1</v>
      </c>
      <c r="I17" s="11">
        <v>0.167235472002047</v>
      </c>
      <c r="J17" s="11">
        <v>6.7303240700959097E-2</v>
      </c>
      <c r="K17" s="11">
        <v>-1.4453684208628101E-2</v>
      </c>
      <c r="L17" s="11">
        <v>-5.8835322094810703E-2</v>
      </c>
      <c r="M17" s="11">
        <v>0.107647474665804</v>
      </c>
      <c r="N17" s="11">
        <v>3.1314893036437601</v>
      </c>
    </row>
    <row r="18" spans="1:14" x14ac:dyDescent="0.35">
      <c r="A18" s="10" t="s">
        <v>57</v>
      </c>
      <c r="B18" s="11">
        <f>'Elas V2'!C19</f>
        <v>0.5</v>
      </c>
      <c r="C18" s="11">
        <f>'Elas V2'!D19</f>
        <v>0.8149324233932117</v>
      </c>
      <c r="D18" s="11">
        <f>'Elas V2'!E19</f>
        <v>0</v>
      </c>
      <c r="E18" s="11">
        <f>'Elas V2'!F19</f>
        <v>0</v>
      </c>
      <c r="F18" s="11">
        <f>'Elas V2'!G19</f>
        <v>0.15</v>
      </c>
      <c r="G18" s="11">
        <f>'Elas V2'!H19</f>
        <v>0.1</v>
      </c>
      <c r="I18" s="11">
        <v>2.3051281650455508</v>
      </c>
      <c r="J18" s="11">
        <v>2.7482434119862451</v>
      </c>
      <c r="K18" s="11">
        <v>1.9057093977173238</v>
      </c>
      <c r="L18" s="11">
        <v>6.9532555576096229</v>
      </c>
      <c r="M18" s="11">
        <v>1.1147717111502535</v>
      </c>
      <c r="N18" s="11">
        <v>5.9413301825811375</v>
      </c>
    </row>
    <row r="19" spans="1:14" x14ac:dyDescent="0.35">
      <c r="A19" s="10" t="s">
        <v>58</v>
      </c>
      <c r="B19" s="11">
        <f>'Elas V2'!C20</f>
        <v>0.5</v>
      </c>
      <c r="C19" s="11">
        <f>'Elas V2'!D20</f>
        <v>5.604062014060502</v>
      </c>
      <c r="D19" s="11">
        <f>'Elas V2'!E20</f>
        <v>0</v>
      </c>
      <c r="E19" s="11">
        <f>'Elas V2'!F20</f>
        <v>0.24229441121240614</v>
      </c>
      <c r="F19" s="11">
        <f>'Elas V2'!G20</f>
        <v>0.15</v>
      </c>
      <c r="G19" s="11">
        <f>'Elas V2'!H20</f>
        <v>0.1</v>
      </c>
      <c r="I19" s="11">
        <v>8.6594371598843711</v>
      </c>
      <c r="J19" s="11">
        <v>8.9171009621607134</v>
      </c>
      <c r="K19" s="11">
        <v>6.5923895765147229</v>
      </c>
      <c r="L19" s="11">
        <v>3.070790628311177</v>
      </c>
      <c r="M19" s="11">
        <v>7.4838365517751502</v>
      </c>
      <c r="N19" s="11">
        <v>75.441058760311336</v>
      </c>
    </row>
    <row r="20" spans="1:14" x14ac:dyDescent="0.35">
      <c r="A20" s="10" t="s">
        <v>59</v>
      </c>
      <c r="B20" s="11">
        <f>'Elas V2'!C21</f>
        <v>0.5</v>
      </c>
      <c r="C20" s="11">
        <f>'Elas V2'!D21</f>
        <v>4.9089640420981544</v>
      </c>
      <c r="D20" s="11">
        <f>'Elas V2'!E21</f>
        <v>0</v>
      </c>
      <c r="E20" s="11">
        <f>'Elas V2'!F21</f>
        <v>0.16040155767615122</v>
      </c>
      <c r="F20" s="11">
        <f>'Elas V2'!G21</f>
        <v>0.15</v>
      </c>
      <c r="G20" s="11">
        <f>'Elas V2'!H21</f>
        <v>0.1</v>
      </c>
      <c r="I20" s="11">
        <v>1.9450404146144931</v>
      </c>
      <c r="J20" s="11">
        <v>15.389646760663606</v>
      </c>
      <c r="K20" s="11">
        <v>1.278849701054217</v>
      </c>
      <c r="L20" s="11">
        <v>15.463367798260661</v>
      </c>
      <c r="M20" s="11">
        <v>2.2363629663482127</v>
      </c>
      <c r="N20" s="11">
        <v>13.911130076609478</v>
      </c>
    </row>
    <row r="21" spans="1:14" x14ac:dyDescent="0.35">
      <c r="A21" s="10" t="s">
        <v>60</v>
      </c>
      <c r="B21" s="11">
        <f>'Elas V2'!C22</f>
        <v>0.3</v>
      </c>
      <c r="C21" s="11">
        <f>'Elas V2'!D22</f>
        <v>0.42406131096915778</v>
      </c>
      <c r="D21" s="11">
        <f>'Elas V2'!E22</f>
        <v>0</v>
      </c>
      <c r="E21" s="11">
        <f>'Elas V2'!F22</f>
        <v>0</v>
      </c>
      <c r="F21" s="11">
        <f>'Elas V2'!G22</f>
        <v>0.15</v>
      </c>
      <c r="G21" s="11">
        <f>'Elas V2'!H22</f>
        <v>0</v>
      </c>
      <c r="I21" s="11">
        <v>1.62324607113894</v>
      </c>
      <c r="J21" s="11">
        <v>1.1393520019633101</v>
      </c>
      <c r="K21" s="11">
        <v>0.46016056276742701</v>
      </c>
      <c r="L21" s="11">
        <v>-3.73935991130061</v>
      </c>
      <c r="M21" s="11">
        <v>-0.51902037009872204</v>
      </c>
      <c r="N21" s="11">
        <v>1.21071496380594</v>
      </c>
    </row>
    <row r="22" spans="1:14" x14ac:dyDescent="0.35">
      <c r="A22" s="10" t="s">
        <v>61</v>
      </c>
      <c r="B22" s="11">
        <f>'Elas V2'!C23</f>
        <v>0.3</v>
      </c>
      <c r="C22" s="11">
        <f>'Elas V2'!D23</f>
        <v>0</v>
      </c>
      <c r="D22" s="11">
        <f>'Elas V2'!E23</f>
        <v>0</v>
      </c>
      <c r="E22" s="11">
        <f>'Elas V2'!F23</f>
        <v>0</v>
      </c>
      <c r="F22" s="11">
        <f>'Elas V2'!G23</f>
        <v>0.15</v>
      </c>
      <c r="G22" s="11">
        <f>'Elas V2'!H23</f>
        <v>0</v>
      </c>
      <c r="I22" s="11">
        <v>0.173427036956776</v>
      </c>
      <c r="J22" s="11">
        <v>0.19568185520611001</v>
      </c>
      <c r="K22" s="11">
        <v>5.3895097144285198E-2</v>
      </c>
      <c r="L22" s="11">
        <v>0.69661570571638598</v>
      </c>
      <c r="M22" s="11">
        <v>0.11767250744322499</v>
      </c>
      <c r="N22" s="11">
        <v>0.44548427706895699</v>
      </c>
    </row>
    <row r="23" spans="1:14" x14ac:dyDescent="0.35">
      <c r="A23" s="10" t="s">
        <v>62</v>
      </c>
      <c r="B23" s="11">
        <f>'Elas V2'!C24</f>
        <v>0.3</v>
      </c>
      <c r="C23" s="11">
        <f>'Elas V2'!D24</f>
        <v>0</v>
      </c>
      <c r="D23" s="11">
        <f>'Elas V2'!E24</f>
        <v>0</v>
      </c>
      <c r="E23" s="11">
        <f>'Elas V2'!F24</f>
        <v>0</v>
      </c>
      <c r="F23" s="11">
        <f>'Elas V2'!G24</f>
        <v>0.15</v>
      </c>
      <c r="G23" s="11">
        <f>'Elas V2'!H24</f>
        <v>0</v>
      </c>
      <c r="I23" s="11">
        <v>0.173427036956776</v>
      </c>
      <c r="J23" s="11">
        <v>0.19568185520611001</v>
      </c>
      <c r="K23" s="11">
        <v>5.3895097144285198E-2</v>
      </c>
      <c r="L23" s="11">
        <v>0.69661570571638598</v>
      </c>
      <c r="M23" s="11">
        <v>0.11767250744322499</v>
      </c>
      <c r="N23" s="11">
        <v>0.44548427706895699</v>
      </c>
    </row>
    <row r="24" spans="1:14" x14ac:dyDescent="0.35">
      <c r="A24" s="10" t="s">
        <v>63</v>
      </c>
      <c r="B24" s="11">
        <f>'Elas V2'!C33</f>
        <v>0.3</v>
      </c>
      <c r="C24" s="11">
        <f>'Elas V2'!D33</f>
        <v>0</v>
      </c>
      <c r="D24" s="11">
        <f>'Elas V2'!E33</f>
        <v>0</v>
      </c>
      <c r="E24" s="11">
        <f>'Elas V2'!F33</f>
        <v>0</v>
      </c>
      <c r="F24" s="11">
        <f>'Elas V2'!G33</f>
        <v>0.15</v>
      </c>
      <c r="G24" s="11">
        <f>'Elas V2'!H33</f>
        <v>0</v>
      </c>
      <c r="I24" s="11">
        <v>0.173427036956776</v>
      </c>
      <c r="J24" s="11">
        <v>0.19568185520611001</v>
      </c>
      <c r="K24" s="11">
        <v>5.3895097144285198E-2</v>
      </c>
      <c r="L24" s="11">
        <v>0.69661570571638598</v>
      </c>
      <c r="M24" s="11">
        <v>0.11767250744322499</v>
      </c>
      <c r="N24" s="11">
        <v>0.44548427706895699</v>
      </c>
    </row>
    <row r="25" spans="1:14" x14ac:dyDescent="0.35">
      <c r="A25" s="10" t="s">
        <v>64</v>
      </c>
      <c r="B25" s="11">
        <f>'Elas V2'!C35</f>
        <v>0.3</v>
      </c>
      <c r="C25" s="11">
        <f>'Elas V2'!D35</f>
        <v>0</v>
      </c>
      <c r="D25" s="11">
        <f>'Elas V2'!E35</f>
        <v>0</v>
      </c>
      <c r="E25" s="11">
        <f>'Elas V2'!F35</f>
        <v>0</v>
      </c>
      <c r="F25" s="11">
        <f>'Elas V2'!G35</f>
        <v>0.15</v>
      </c>
      <c r="G25" s="11">
        <f>'Elas V2'!H35</f>
        <v>0</v>
      </c>
      <c r="I25" s="11">
        <v>0.173427036956776</v>
      </c>
      <c r="J25" s="11">
        <v>0.19568185520611001</v>
      </c>
      <c r="K25" s="11">
        <v>5.3895097144285198E-2</v>
      </c>
      <c r="L25" s="11">
        <v>0.69661570571638598</v>
      </c>
      <c r="M25" s="11">
        <v>0.11767250744322499</v>
      </c>
      <c r="N25" s="11">
        <v>0.44548427706895699</v>
      </c>
    </row>
    <row r="26" spans="1:14" x14ac:dyDescent="0.35">
      <c r="A26" s="10" t="s">
        <v>65</v>
      </c>
      <c r="B26" s="11">
        <f>'Elas V2'!C25</f>
        <v>0</v>
      </c>
      <c r="C26" s="11">
        <f>'Elas V2'!D25</f>
        <v>0</v>
      </c>
      <c r="D26" s="11">
        <f>'Elas V2'!E25</f>
        <v>0</v>
      </c>
      <c r="E26" s="11">
        <f>'Elas V2'!F25</f>
        <v>0</v>
      </c>
      <c r="F26" s="11">
        <f>'Elas V2'!G25</f>
        <v>0</v>
      </c>
      <c r="G26" s="11">
        <f>'Elas V2'!H25</f>
        <v>0</v>
      </c>
      <c r="I26" s="11">
        <v>5.8731935299934799</v>
      </c>
      <c r="J26" s="11">
        <v>0.68512135116740602</v>
      </c>
      <c r="K26" s="11">
        <v>7.7267571267363694E-2</v>
      </c>
      <c r="L26" s="11">
        <v>-1.28903386481436</v>
      </c>
      <c r="M26" s="11">
        <v>1.41308119509442</v>
      </c>
      <c r="N26" s="11">
        <v>0.69859948122877502</v>
      </c>
    </row>
    <row r="27" spans="1:14" x14ac:dyDescent="0.35">
      <c r="A27" s="10" t="s">
        <v>66</v>
      </c>
      <c r="B27" s="11">
        <f>'Elas V2'!C26</f>
        <v>0.3</v>
      </c>
      <c r="C27" s="11">
        <f>'Elas V2'!D26</f>
        <v>0</v>
      </c>
      <c r="D27" s="11">
        <f>'Elas V2'!E26</f>
        <v>0</v>
      </c>
      <c r="E27" s="11">
        <f>'Elas V2'!F26</f>
        <v>0</v>
      </c>
      <c r="F27" s="11">
        <f>'Elas V2'!G26</f>
        <v>0.15</v>
      </c>
      <c r="G27" s="11">
        <f>'Elas V2'!H26</f>
        <v>0</v>
      </c>
      <c r="I27" s="11">
        <v>5.8731935299934799</v>
      </c>
      <c r="J27" s="11">
        <v>0.68512135116740602</v>
      </c>
      <c r="K27" s="11">
        <v>7.7267571267363694E-2</v>
      </c>
      <c r="L27" s="11">
        <v>-1.28903386481436</v>
      </c>
      <c r="M27" s="11">
        <v>1.41308119509442</v>
      </c>
      <c r="N27" s="11">
        <v>0.69859948122877502</v>
      </c>
    </row>
    <row r="28" spans="1:14" x14ac:dyDescent="0.35">
      <c r="A28" s="10" t="s">
        <v>67</v>
      </c>
      <c r="B28" s="11">
        <f t="shared" ref="B28:G34" si="0">B27</f>
        <v>0.3</v>
      </c>
      <c r="C28" s="11">
        <f t="shared" si="0"/>
        <v>0</v>
      </c>
      <c r="D28" s="11">
        <f t="shared" si="0"/>
        <v>0</v>
      </c>
      <c r="E28" s="11">
        <f t="shared" si="0"/>
        <v>0</v>
      </c>
      <c r="F28" s="11">
        <f t="shared" si="0"/>
        <v>0.15</v>
      </c>
      <c r="G28" s="11">
        <f t="shared" si="0"/>
        <v>0</v>
      </c>
      <c r="I28" s="11">
        <v>5.8731935299934799</v>
      </c>
      <c r="J28" s="11">
        <v>0.68512135116740602</v>
      </c>
      <c r="K28" s="11">
        <v>7.7267571267363694E-2</v>
      </c>
      <c r="L28" s="11">
        <v>-1.28903386481436</v>
      </c>
      <c r="M28" s="11">
        <v>1.41308119509442</v>
      </c>
      <c r="N28" s="11">
        <v>0.69859948122877502</v>
      </c>
    </row>
    <row r="29" spans="1:14" x14ac:dyDescent="0.35">
      <c r="A29" s="10" t="s">
        <v>68</v>
      </c>
      <c r="B29" s="11">
        <f t="shared" si="0"/>
        <v>0.3</v>
      </c>
      <c r="C29" s="11">
        <f t="shared" si="0"/>
        <v>0</v>
      </c>
      <c r="D29" s="11">
        <f t="shared" si="0"/>
        <v>0</v>
      </c>
      <c r="E29" s="11">
        <f t="shared" si="0"/>
        <v>0</v>
      </c>
      <c r="F29" s="11">
        <f t="shared" si="0"/>
        <v>0.15</v>
      </c>
      <c r="G29" s="11">
        <f t="shared" si="0"/>
        <v>0</v>
      </c>
      <c r="I29" s="11">
        <v>5.8731935299934799</v>
      </c>
      <c r="J29" s="11">
        <v>0.68512135116740602</v>
      </c>
      <c r="K29" s="11">
        <v>7.7267571267363694E-2</v>
      </c>
      <c r="L29" s="11">
        <v>-1.28903386481436</v>
      </c>
      <c r="M29" s="11">
        <v>1.41308119509442</v>
      </c>
      <c r="N29" s="11">
        <v>0.69859948122877502</v>
      </c>
    </row>
    <row r="30" spans="1:14" x14ac:dyDescent="0.35">
      <c r="A30" s="10" t="s">
        <v>69</v>
      </c>
      <c r="B30" s="11">
        <f t="shared" si="0"/>
        <v>0.3</v>
      </c>
      <c r="C30" s="11">
        <f t="shared" si="0"/>
        <v>0</v>
      </c>
      <c r="D30" s="11">
        <f t="shared" si="0"/>
        <v>0</v>
      </c>
      <c r="E30" s="11">
        <f t="shared" si="0"/>
        <v>0</v>
      </c>
      <c r="F30" s="11">
        <f t="shared" si="0"/>
        <v>0.15</v>
      </c>
      <c r="G30" s="11">
        <f t="shared" si="0"/>
        <v>0</v>
      </c>
      <c r="I30" s="11">
        <v>5.8731935299934799</v>
      </c>
      <c r="J30" s="11">
        <v>0.68512135116740602</v>
      </c>
      <c r="K30" s="11">
        <v>7.7267571267363694E-2</v>
      </c>
      <c r="L30" s="11">
        <v>-1.28903386481436</v>
      </c>
      <c r="M30" s="11">
        <v>1.41308119509442</v>
      </c>
      <c r="N30" s="11">
        <v>0.69859948122877502</v>
      </c>
    </row>
    <row r="31" spans="1:14" x14ac:dyDescent="0.35">
      <c r="A31" s="10" t="s">
        <v>70</v>
      </c>
      <c r="B31" s="11">
        <f t="shared" si="0"/>
        <v>0.3</v>
      </c>
      <c r="C31" s="11">
        <f t="shared" si="0"/>
        <v>0</v>
      </c>
      <c r="D31" s="11">
        <f t="shared" si="0"/>
        <v>0</v>
      </c>
      <c r="E31" s="11">
        <f t="shared" si="0"/>
        <v>0</v>
      </c>
      <c r="F31" s="11">
        <f t="shared" si="0"/>
        <v>0.15</v>
      </c>
      <c r="G31" s="11">
        <f t="shared" si="0"/>
        <v>0</v>
      </c>
      <c r="I31" s="11">
        <v>5.8731935299934799</v>
      </c>
      <c r="J31" s="11">
        <v>0.68512135116740602</v>
      </c>
      <c r="K31" s="11">
        <v>7.7267571267363694E-2</v>
      </c>
      <c r="L31" s="11">
        <v>-1.28903386481436</v>
      </c>
      <c r="M31" s="11">
        <v>1.41308119509442</v>
      </c>
      <c r="N31" s="11">
        <v>0.69859948122877502</v>
      </c>
    </row>
    <row r="32" spans="1:14" x14ac:dyDescent="0.35">
      <c r="A32" s="10" t="s">
        <v>71</v>
      </c>
      <c r="B32" s="11">
        <f t="shared" si="0"/>
        <v>0.3</v>
      </c>
      <c r="C32" s="11">
        <f t="shared" si="0"/>
        <v>0</v>
      </c>
      <c r="D32" s="11">
        <f t="shared" si="0"/>
        <v>0</v>
      </c>
      <c r="E32" s="11">
        <f t="shared" si="0"/>
        <v>0</v>
      </c>
      <c r="F32" s="11">
        <f t="shared" si="0"/>
        <v>0.15</v>
      </c>
      <c r="G32" s="11">
        <f t="shared" si="0"/>
        <v>0</v>
      </c>
      <c r="I32" s="11">
        <v>5.8731935299934799</v>
      </c>
      <c r="J32" s="11">
        <v>0.68512135116740602</v>
      </c>
      <c r="K32" s="11">
        <v>7.7267571267363694E-2</v>
      </c>
      <c r="L32" s="11">
        <v>-1.28903386481436</v>
      </c>
      <c r="M32" s="11">
        <v>1.41308119509442</v>
      </c>
      <c r="N32" s="11">
        <v>0.69859948122877502</v>
      </c>
    </row>
    <row r="33" spans="1:14" ht="29" x14ac:dyDescent="0.35">
      <c r="A33" s="10" t="s">
        <v>72</v>
      </c>
      <c r="B33" s="11">
        <f t="shared" si="0"/>
        <v>0.3</v>
      </c>
      <c r="C33" s="11">
        <f t="shared" si="0"/>
        <v>0</v>
      </c>
      <c r="D33" s="11">
        <f t="shared" si="0"/>
        <v>0</v>
      </c>
      <c r="E33" s="11">
        <f t="shared" si="0"/>
        <v>0</v>
      </c>
      <c r="F33" s="11">
        <f t="shared" si="0"/>
        <v>0.15</v>
      </c>
      <c r="G33" s="11">
        <f t="shared" si="0"/>
        <v>0</v>
      </c>
      <c r="I33" s="11">
        <v>5.8731935299934799</v>
      </c>
      <c r="J33" s="11">
        <v>0.68512135116740602</v>
      </c>
      <c r="K33" s="11">
        <v>7.7267571267363694E-2</v>
      </c>
      <c r="L33" s="11">
        <v>-1.28903386481436</v>
      </c>
      <c r="M33" s="11">
        <v>1.41308119509442</v>
      </c>
      <c r="N33" s="11">
        <v>0.69859948122877502</v>
      </c>
    </row>
    <row r="34" spans="1:14" x14ac:dyDescent="0.35">
      <c r="A34" s="10" t="s">
        <v>73</v>
      </c>
      <c r="B34" s="11">
        <f t="shared" si="0"/>
        <v>0.3</v>
      </c>
      <c r="C34" s="11">
        <f t="shared" si="0"/>
        <v>0</v>
      </c>
      <c r="D34" s="11">
        <f t="shared" si="0"/>
        <v>0</v>
      </c>
      <c r="E34" s="11">
        <f t="shared" si="0"/>
        <v>0</v>
      </c>
      <c r="F34" s="11">
        <f t="shared" si="0"/>
        <v>0.15</v>
      </c>
      <c r="G34" s="11">
        <f t="shared" si="0"/>
        <v>0</v>
      </c>
      <c r="I34" s="11">
        <v>5.8731935299934799</v>
      </c>
      <c r="J34" s="11">
        <v>0.68512135116740602</v>
      </c>
      <c r="K34" s="11">
        <v>7.7267571267363694E-2</v>
      </c>
      <c r="L34" s="11">
        <v>-1.28903386481436</v>
      </c>
      <c r="M34" s="11">
        <v>1.41308119509442</v>
      </c>
      <c r="N34" s="11">
        <v>0.69859948122877502</v>
      </c>
    </row>
  </sheetData>
  <mergeCells count="2">
    <mergeCell ref="B1:G1"/>
    <mergeCell ref="I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C2" sqref="C2"/>
    </sheetView>
  </sheetViews>
  <sheetFormatPr baseColWidth="10" defaultRowHeight="15.5" x14ac:dyDescent="0.35"/>
  <cols>
    <col min="1" max="1" width="4.54296875" style="9" customWidth="1"/>
    <col min="2" max="2" width="24.1796875" style="9" customWidth="1"/>
    <col min="3" max="8" width="10.90625" style="9"/>
  </cols>
  <sheetData>
    <row r="1" spans="1:8" x14ac:dyDescent="0.35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</row>
    <row r="2" spans="1:8" x14ac:dyDescent="0.35">
      <c r="A2" s="60">
        <v>1</v>
      </c>
      <c r="B2" s="9" t="s">
        <v>179</v>
      </c>
      <c r="C2" s="9">
        <v>0.5</v>
      </c>
      <c r="D2" s="9">
        <v>3.4839883156742073</v>
      </c>
      <c r="E2" s="9">
        <v>0</v>
      </c>
      <c r="F2" s="9">
        <v>0.29404797605318139</v>
      </c>
      <c r="G2" s="9">
        <v>0.15</v>
      </c>
      <c r="H2" s="9">
        <v>0.1</v>
      </c>
    </row>
    <row r="3" spans="1:8" x14ac:dyDescent="0.35">
      <c r="A3" s="60">
        <f t="shared" ref="A3:A38" si="0">A2+1</f>
        <v>2</v>
      </c>
      <c r="B3" s="9" t="s">
        <v>44</v>
      </c>
      <c r="C3" s="9">
        <v>0.5</v>
      </c>
      <c r="D3" s="9">
        <v>9.521477866939037</v>
      </c>
      <c r="E3" s="9">
        <v>0</v>
      </c>
      <c r="F3" s="9">
        <v>0.57419698494963189</v>
      </c>
      <c r="G3" s="9">
        <v>0.15</v>
      </c>
      <c r="H3" s="9">
        <v>0</v>
      </c>
    </row>
    <row r="4" spans="1:8" x14ac:dyDescent="0.35">
      <c r="A4" s="60">
        <f t="shared" si="0"/>
        <v>3</v>
      </c>
      <c r="B4" s="9" t="s">
        <v>45</v>
      </c>
      <c r="C4" s="9">
        <v>0.5</v>
      </c>
      <c r="D4" s="9">
        <v>13.909639188754333</v>
      </c>
      <c r="E4" s="9">
        <v>0</v>
      </c>
      <c r="F4" s="9">
        <v>0.78625421240416438</v>
      </c>
      <c r="G4" s="9">
        <v>0.15</v>
      </c>
      <c r="H4" s="9">
        <v>0</v>
      </c>
    </row>
    <row r="5" spans="1:8" x14ac:dyDescent="0.35">
      <c r="A5" s="60">
        <f t="shared" si="0"/>
        <v>4</v>
      </c>
      <c r="B5" s="9" t="s">
        <v>180</v>
      </c>
      <c r="C5" s="9">
        <v>0.5</v>
      </c>
      <c r="D5" s="9">
        <v>2.458822823767306</v>
      </c>
      <c r="E5" s="9">
        <v>0</v>
      </c>
      <c r="F5" s="9">
        <v>0.24454980595849762</v>
      </c>
      <c r="G5" s="9">
        <v>0.15</v>
      </c>
      <c r="H5" s="9">
        <v>0</v>
      </c>
    </row>
    <row r="6" spans="1:8" x14ac:dyDescent="0.35">
      <c r="A6" s="60">
        <f t="shared" si="0"/>
        <v>5</v>
      </c>
      <c r="B6" s="9" t="s">
        <v>181</v>
      </c>
      <c r="C6" s="9">
        <v>0.5</v>
      </c>
      <c r="D6" s="9">
        <v>2.4861587493375472</v>
      </c>
      <c r="E6" s="9">
        <v>0</v>
      </c>
      <c r="F6" s="9">
        <v>0.33825894654788741</v>
      </c>
      <c r="G6" s="9">
        <v>0.15</v>
      </c>
      <c r="H6" s="9">
        <v>0</v>
      </c>
    </row>
    <row r="7" spans="1:8" x14ac:dyDescent="0.35">
      <c r="A7" s="60">
        <f t="shared" si="0"/>
        <v>6</v>
      </c>
      <c r="B7" s="9" t="s">
        <v>182</v>
      </c>
      <c r="C7" s="9">
        <v>0.5</v>
      </c>
      <c r="D7" s="9">
        <v>1.2949615398539969</v>
      </c>
      <c r="E7" s="9">
        <v>0</v>
      </c>
      <c r="F7" s="9">
        <v>0.37586402508037553</v>
      </c>
      <c r="G7" s="9">
        <v>0.15</v>
      </c>
      <c r="H7" s="9">
        <v>0</v>
      </c>
    </row>
    <row r="8" spans="1:8" x14ac:dyDescent="0.35">
      <c r="A8" s="60">
        <f t="shared" si="0"/>
        <v>7</v>
      </c>
      <c r="B8" s="9" t="s">
        <v>183</v>
      </c>
      <c r="C8" s="9">
        <v>0.5</v>
      </c>
      <c r="D8" s="9">
        <v>1.0564153684076472</v>
      </c>
      <c r="E8" s="9">
        <v>0</v>
      </c>
      <c r="F8" s="9">
        <v>0.25523581279974628</v>
      </c>
      <c r="G8" s="9">
        <v>0.15</v>
      </c>
      <c r="H8" s="9">
        <v>0</v>
      </c>
    </row>
    <row r="9" spans="1:8" x14ac:dyDescent="0.35">
      <c r="A9" s="60">
        <f t="shared" si="0"/>
        <v>8</v>
      </c>
      <c r="B9" s="9" t="s">
        <v>184</v>
      </c>
      <c r="C9" s="9">
        <v>0.5</v>
      </c>
      <c r="D9" s="9">
        <v>2.1297632508577093</v>
      </c>
      <c r="E9" s="9">
        <v>0</v>
      </c>
      <c r="F9" s="9">
        <v>0.21590450900724345</v>
      </c>
      <c r="G9" s="9">
        <v>0.15</v>
      </c>
      <c r="H9" s="9">
        <v>0</v>
      </c>
    </row>
    <row r="10" spans="1:8" x14ac:dyDescent="0.35">
      <c r="A10" s="60">
        <f t="shared" si="0"/>
        <v>9</v>
      </c>
      <c r="B10" s="9" t="s">
        <v>49</v>
      </c>
      <c r="C10" s="9">
        <v>0.5</v>
      </c>
      <c r="D10" s="9">
        <v>6.9778722921333429</v>
      </c>
      <c r="E10" s="9">
        <v>0</v>
      </c>
      <c r="F10" s="9">
        <v>0.36003551831598596</v>
      </c>
      <c r="G10" s="9">
        <v>0.15</v>
      </c>
      <c r="H10" s="9">
        <v>0</v>
      </c>
    </row>
    <row r="11" spans="1:8" x14ac:dyDescent="0.35">
      <c r="A11" s="60">
        <f t="shared" si="0"/>
        <v>10</v>
      </c>
      <c r="B11" s="9" t="s">
        <v>185</v>
      </c>
      <c r="C11" s="9">
        <v>0.5</v>
      </c>
      <c r="D11" s="9">
        <v>0.98764224803587597</v>
      </c>
      <c r="E11" s="9">
        <v>0</v>
      </c>
      <c r="F11" s="9">
        <v>0.57172935517187284</v>
      </c>
      <c r="G11" s="9">
        <v>0.15</v>
      </c>
      <c r="H11" s="9">
        <v>0</v>
      </c>
    </row>
    <row r="12" spans="1:8" x14ac:dyDescent="0.35">
      <c r="A12" s="60">
        <f t="shared" si="0"/>
        <v>11</v>
      </c>
      <c r="B12" s="9" t="s">
        <v>186</v>
      </c>
      <c r="C12" s="9">
        <v>0.5</v>
      </c>
      <c r="D12" s="9">
        <v>9.8181097499206587</v>
      </c>
      <c r="E12" s="9">
        <v>0</v>
      </c>
      <c r="F12" s="9">
        <v>0.59986523127104252</v>
      </c>
      <c r="G12" s="9">
        <v>0.15</v>
      </c>
      <c r="H12" s="9">
        <v>0</v>
      </c>
    </row>
    <row r="13" spans="1:8" x14ac:dyDescent="0.35">
      <c r="A13" s="60">
        <f t="shared" si="0"/>
        <v>12</v>
      </c>
      <c r="B13" s="9" t="s">
        <v>187</v>
      </c>
      <c r="C13" s="9">
        <v>0.5</v>
      </c>
      <c r="D13" s="9">
        <v>5.058071044240001</v>
      </c>
      <c r="E13" s="9">
        <v>0</v>
      </c>
      <c r="F13" s="9">
        <v>0.41545771946199461</v>
      </c>
      <c r="G13" s="9">
        <v>0.15</v>
      </c>
      <c r="H13" s="9">
        <v>0</v>
      </c>
    </row>
    <row r="14" spans="1:8" x14ac:dyDescent="0.35">
      <c r="A14" s="60">
        <f t="shared" si="0"/>
        <v>13</v>
      </c>
      <c r="B14" s="9" t="s">
        <v>53</v>
      </c>
      <c r="C14" s="9">
        <v>0.5</v>
      </c>
      <c r="D14" s="9">
        <v>6.165900586412997</v>
      </c>
      <c r="E14" s="9">
        <v>0</v>
      </c>
      <c r="F14" s="9">
        <v>0.29460709994798551</v>
      </c>
      <c r="G14" s="9">
        <v>0.15</v>
      </c>
      <c r="H14" s="9">
        <v>0.1</v>
      </c>
    </row>
    <row r="15" spans="1:8" x14ac:dyDescent="0.35">
      <c r="A15" s="60">
        <f t="shared" si="0"/>
        <v>14</v>
      </c>
      <c r="B15" s="9" t="s">
        <v>188</v>
      </c>
      <c r="C15" s="9">
        <v>0.5</v>
      </c>
      <c r="D15" s="9">
        <v>1.1322249386651302</v>
      </c>
      <c r="E15" s="9">
        <v>0</v>
      </c>
      <c r="F15" s="9">
        <v>0</v>
      </c>
      <c r="G15" s="9">
        <v>0.15</v>
      </c>
      <c r="H15" s="9">
        <v>0.1</v>
      </c>
    </row>
    <row r="16" spans="1:8" x14ac:dyDescent="0.35">
      <c r="A16" s="60">
        <f t="shared" si="0"/>
        <v>15</v>
      </c>
      <c r="B16" s="9" t="s">
        <v>189</v>
      </c>
      <c r="C16" s="9">
        <v>0.5</v>
      </c>
      <c r="D16" s="9">
        <v>0.85406930292218641</v>
      </c>
      <c r="E16" s="9">
        <v>0</v>
      </c>
      <c r="F16" s="9">
        <v>0</v>
      </c>
      <c r="G16" s="9">
        <v>0.15</v>
      </c>
      <c r="H16" s="9">
        <v>0.1</v>
      </c>
    </row>
    <row r="17" spans="1:8" x14ac:dyDescent="0.35">
      <c r="A17" s="60">
        <f t="shared" si="0"/>
        <v>16</v>
      </c>
      <c r="B17" s="9" t="s">
        <v>190</v>
      </c>
      <c r="C17" s="9">
        <v>0.5</v>
      </c>
      <c r="D17" s="9">
        <v>0.80204389827740108</v>
      </c>
      <c r="E17" s="9">
        <v>0</v>
      </c>
      <c r="F17" s="9">
        <v>0</v>
      </c>
      <c r="G17" s="9">
        <v>0.15</v>
      </c>
      <c r="H17" s="9">
        <v>0.1</v>
      </c>
    </row>
    <row r="18" spans="1:8" x14ac:dyDescent="0.35">
      <c r="A18" s="60">
        <f t="shared" si="0"/>
        <v>17</v>
      </c>
      <c r="B18" s="9" t="s">
        <v>56</v>
      </c>
      <c r="C18" s="9">
        <v>0.5</v>
      </c>
      <c r="D18" s="9">
        <v>1.1010167128814041</v>
      </c>
      <c r="E18" s="9">
        <v>0</v>
      </c>
      <c r="F18" s="9">
        <v>0</v>
      </c>
      <c r="G18" s="9">
        <v>0.15</v>
      </c>
      <c r="H18" s="9">
        <v>0.1</v>
      </c>
    </row>
    <row r="19" spans="1:8" x14ac:dyDescent="0.35">
      <c r="A19" s="60">
        <f t="shared" si="0"/>
        <v>18</v>
      </c>
      <c r="B19" s="9" t="s">
        <v>57</v>
      </c>
      <c r="C19" s="9">
        <v>0.5</v>
      </c>
      <c r="D19" s="9">
        <v>0.8149324233932117</v>
      </c>
      <c r="E19" s="9">
        <v>0</v>
      </c>
      <c r="F19" s="9">
        <v>0</v>
      </c>
      <c r="G19" s="9">
        <v>0.15</v>
      </c>
      <c r="H19" s="9">
        <v>0.1</v>
      </c>
    </row>
    <row r="20" spans="1:8" x14ac:dyDescent="0.35">
      <c r="A20" s="60">
        <f t="shared" si="0"/>
        <v>19</v>
      </c>
      <c r="B20" s="9" t="s">
        <v>58</v>
      </c>
      <c r="C20" s="9">
        <v>0.5</v>
      </c>
      <c r="D20" s="9">
        <v>5.604062014060502</v>
      </c>
      <c r="E20" s="9">
        <v>0</v>
      </c>
      <c r="F20" s="9">
        <v>0.24229441121240614</v>
      </c>
      <c r="G20" s="9">
        <v>0.15</v>
      </c>
      <c r="H20" s="9">
        <v>0.1</v>
      </c>
    </row>
    <row r="21" spans="1:8" x14ac:dyDescent="0.35">
      <c r="A21" s="60">
        <f t="shared" si="0"/>
        <v>20</v>
      </c>
      <c r="B21" s="9" t="s">
        <v>59</v>
      </c>
      <c r="C21" s="9">
        <v>0.5</v>
      </c>
      <c r="D21" s="9">
        <v>4.9089640420981544</v>
      </c>
      <c r="E21" s="9">
        <v>0</v>
      </c>
      <c r="F21" s="9">
        <v>0.16040155767615122</v>
      </c>
      <c r="G21" s="9">
        <v>0.15</v>
      </c>
      <c r="H21" s="9">
        <v>0.1</v>
      </c>
    </row>
    <row r="22" spans="1:8" x14ac:dyDescent="0.35">
      <c r="A22" s="60">
        <f t="shared" si="0"/>
        <v>21</v>
      </c>
      <c r="B22" s="9" t="s">
        <v>125</v>
      </c>
      <c r="C22" s="9">
        <v>0.3</v>
      </c>
      <c r="D22" s="9">
        <v>0.42406131096915778</v>
      </c>
      <c r="E22" s="9">
        <v>0</v>
      </c>
      <c r="F22" s="9">
        <v>0</v>
      </c>
      <c r="G22" s="9">
        <v>0.15</v>
      </c>
      <c r="H22" s="9">
        <v>0</v>
      </c>
    </row>
    <row r="23" spans="1:8" x14ac:dyDescent="0.35">
      <c r="A23" s="60">
        <f t="shared" si="0"/>
        <v>22</v>
      </c>
      <c r="B23" s="9" t="s">
        <v>191</v>
      </c>
      <c r="C23" s="9">
        <v>0.3</v>
      </c>
      <c r="D23" s="9">
        <v>0</v>
      </c>
      <c r="E23" s="9">
        <v>0</v>
      </c>
      <c r="F23" s="9">
        <v>0</v>
      </c>
      <c r="G23" s="9">
        <v>0.15</v>
      </c>
      <c r="H23" s="9">
        <v>0</v>
      </c>
    </row>
    <row r="24" spans="1:8" x14ac:dyDescent="0.35">
      <c r="A24" s="60">
        <f t="shared" si="0"/>
        <v>23</v>
      </c>
      <c r="B24" s="9" t="s">
        <v>192</v>
      </c>
      <c r="C24" s="9">
        <v>0.3</v>
      </c>
      <c r="D24" s="9">
        <v>0</v>
      </c>
      <c r="E24" s="9">
        <v>0</v>
      </c>
      <c r="F24" s="9">
        <v>0</v>
      </c>
      <c r="G24" s="9">
        <v>0.15</v>
      </c>
      <c r="H24" s="9">
        <v>0</v>
      </c>
    </row>
    <row r="25" spans="1:8" x14ac:dyDescent="0.35">
      <c r="A25" s="60">
        <f t="shared" si="0"/>
        <v>24</v>
      </c>
      <c r="B25" s="9" t="s">
        <v>193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</row>
    <row r="26" spans="1:8" x14ac:dyDescent="0.35">
      <c r="A26" s="60">
        <f t="shared" si="0"/>
        <v>25</v>
      </c>
      <c r="B26" s="9" t="s">
        <v>194</v>
      </c>
      <c r="C26" s="9">
        <v>0.3</v>
      </c>
      <c r="D26" s="9">
        <v>0</v>
      </c>
      <c r="E26" s="9">
        <v>0</v>
      </c>
      <c r="F26" s="9">
        <v>0</v>
      </c>
      <c r="G26" s="9">
        <v>0.15</v>
      </c>
      <c r="H26" s="9">
        <v>0</v>
      </c>
    </row>
    <row r="27" spans="1:8" x14ac:dyDescent="0.35">
      <c r="A27" s="60">
        <f t="shared" si="0"/>
        <v>26</v>
      </c>
      <c r="B27" s="9" t="s">
        <v>195</v>
      </c>
      <c r="C27" s="9">
        <v>0.3</v>
      </c>
      <c r="D27" s="9">
        <v>0</v>
      </c>
      <c r="E27" s="9">
        <v>0</v>
      </c>
      <c r="F27" s="9">
        <v>0</v>
      </c>
      <c r="G27" s="9">
        <v>0.15</v>
      </c>
      <c r="H27" s="9">
        <v>0</v>
      </c>
    </row>
    <row r="28" spans="1:8" x14ac:dyDescent="0.35">
      <c r="A28" s="60">
        <f t="shared" si="0"/>
        <v>27</v>
      </c>
      <c r="B28" s="9" t="s">
        <v>196</v>
      </c>
      <c r="C28" s="9">
        <v>0.3</v>
      </c>
      <c r="D28" s="9">
        <v>0</v>
      </c>
      <c r="E28" s="9">
        <v>0</v>
      </c>
      <c r="F28" s="9">
        <v>0</v>
      </c>
      <c r="G28" s="9">
        <v>0.15</v>
      </c>
      <c r="H28" s="9">
        <v>0</v>
      </c>
    </row>
    <row r="29" spans="1:8" x14ac:dyDescent="0.35">
      <c r="A29" s="60">
        <f t="shared" si="0"/>
        <v>28</v>
      </c>
      <c r="B29" s="9" t="s">
        <v>197</v>
      </c>
      <c r="C29" s="9">
        <v>0.3</v>
      </c>
      <c r="D29" s="9">
        <v>0</v>
      </c>
      <c r="E29" s="9">
        <v>0</v>
      </c>
      <c r="F29" s="9">
        <v>0</v>
      </c>
      <c r="G29" s="9">
        <v>0.15</v>
      </c>
      <c r="H29" s="9">
        <v>0</v>
      </c>
    </row>
    <row r="30" spans="1:8" x14ac:dyDescent="0.35">
      <c r="A30" s="60">
        <f t="shared" si="0"/>
        <v>29</v>
      </c>
      <c r="B30" s="9" t="s">
        <v>198</v>
      </c>
      <c r="C30" s="9">
        <v>0.3</v>
      </c>
      <c r="D30" s="9">
        <v>0</v>
      </c>
      <c r="E30" s="9">
        <v>0</v>
      </c>
      <c r="F30" s="9">
        <v>0</v>
      </c>
      <c r="G30" s="9">
        <v>0.15</v>
      </c>
      <c r="H30" s="9">
        <v>0</v>
      </c>
    </row>
    <row r="31" spans="1:8" x14ac:dyDescent="0.35">
      <c r="A31" s="60">
        <f t="shared" si="0"/>
        <v>30</v>
      </c>
      <c r="B31" s="9" t="s">
        <v>199</v>
      </c>
      <c r="C31" s="9">
        <v>0.3</v>
      </c>
      <c r="D31" s="9">
        <v>0</v>
      </c>
      <c r="E31" s="9">
        <v>0</v>
      </c>
      <c r="F31" s="9">
        <v>0</v>
      </c>
      <c r="G31" s="9">
        <v>0.15</v>
      </c>
      <c r="H31" s="9">
        <v>0</v>
      </c>
    </row>
    <row r="32" spans="1:8" x14ac:dyDescent="0.35">
      <c r="A32" s="60">
        <f t="shared" si="0"/>
        <v>31</v>
      </c>
      <c r="B32" s="9" t="s">
        <v>200</v>
      </c>
      <c r="C32" s="9">
        <v>0.3</v>
      </c>
      <c r="D32" s="9">
        <v>0</v>
      </c>
      <c r="E32" s="9">
        <v>0</v>
      </c>
      <c r="F32" s="9">
        <v>0</v>
      </c>
      <c r="G32" s="9">
        <v>0.15</v>
      </c>
      <c r="H32" s="9">
        <v>0</v>
      </c>
    </row>
    <row r="33" spans="1:8" x14ac:dyDescent="0.35">
      <c r="A33" s="60">
        <f t="shared" si="0"/>
        <v>32</v>
      </c>
      <c r="B33" s="9" t="s">
        <v>201</v>
      </c>
      <c r="C33" s="9">
        <v>0.3</v>
      </c>
      <c r="D33" s="9">
        <v>0</v>
      </c>
      <c r="E33" s="9">
        <v>0</v>
      </c>
      <c r="F33" s="9">
        <v>0</v>
      </c>
      <c r="G33" s="9">
        <v>0.15</v>
      </c>
      <c r="H33" s="9">
        <v>0</v>
      </c>
    </row>
    <row r="34" spans="1:8" x14ac:dyDescent="0.35">
      <c r="A34" s="60">
        <f t="shared" si="0"/>
        <v>33</v>
      </c>
      <c r="B34" s="9" t="s">
        <v>202</v>
      </c>
      <c r="C34" s="9">
        <v>0.3</v>
      </c>
      <c r="D34" s="9">
        <v>0</v>
      </c>
      <c r="E34" s="9">
        <v>0</v>
      </c>
      <c r="F34" s="9">
        <v>0</v>
      </c>
      <c r="G34" s="9">
        <v>0.15</v>
      </c>
      <c r="H34" s="9">
        <v>0</v>
      </c>
    </row>
    <row r="35" spans="1:8" x14ac:dyDescent="0.35">
      <c r="A35" s="60">
        <f t="shared" si="0"/>
        <v>34</v>
      </c>
      <c r="B35" s="9" t="s">
        <v>203</v>
      </c>
      <c r="C35" s="9">
        <v>0.3</v>
      </c>
      <c r="D35" s="9">
        <v>0</v>
      </c>
      <c r="E35" s="9">
        <v>0</v>
      </c>
      <c r="F35" s="9">
        <v>0</v>
      </c>
      <c r="G35" s="9">
        <v>0.15</v>
      </c>
      <c r="H35" s="9">
        <v>0</v>
      </c>
    </row>
    <row r="36" spans="1:8" x14ac:dyDescent="0.35">
      <c r="A36" s="60">
        <f t="shared" si="0"/>
        <v>35</v>
      </c>
      <c r="B36" s="9" t="s">
        <v>204</v>
      </c>
      <c r="C36" s="9">
        <v>0.3</v>
      </c>
      <c r="D36" s="9">
        <v>0</v>
      </c>
      <c r="E36" s="9">
        <v>0</v>
      </c>
      <c r="F36" s="9">
        <v>0</v>
      </c>
      <c r="G36" s="9">
        <v>0.15</v>
      </c>
      <c r="H36" s="9">
        <v>0</v>
      </c>
    </row>
    <row r="37" spans="1:8" x14ac:dyDescent="0.35">
      <c r="A37" s="60">
        <f t="shared" si="0"/>
        <v>36</v>
      </c>
      <c r="B37" s="9" t="s">
        <v>205</v>
      </c>
      <c r="C37" s="9">
        <v>0.3</v>
      </c>
      <c r="D37" s="9">
        <v>0</v>
      </c>
      <c r="E37" s="9">
        <v>0</v>
      </c>
      <c r="F37" s="9">
        <v>0</v>
      </c>
      <c r="G37" s="9">
        <v>0.15</v>
      </c>
      <c r="H37" s="9">
        <v>0</v>
      </c>
    </row>
    <row r="38" spans="1:8" x14ac:dyDescent="0.35">
      <c r="A38" s="60">
        <f t="shared" si="0"/>
        <v>37</v>
      </c>
      <c r="B38" s="9" t="s">
        <v>206</v>
      </c>
      <c r="C38" s="9">
        <v>0.3</v>
      </c>
      <c r="D38" s="9">
        <v>0</v>
      </c>
      <c r="E38" s="9">
        <v>0</v>
      </c>
      <c r="F38" s="9">
        <v>0</v>
      </c>
      <c r="G38" s="9">
        <v>0.15</v>
      </c>
      <c r="H38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0"/>
  <sheetViews>
    <sheetView zoomScale="86" zoomScaleNormal="130" workbookViewId="0">
      <selection activeCell="C9" sqref="C9"/>
    </sheetView>
  </sheetViews>
  <sheetFormatPr baseColWidth="10" defaultColWidth="11.453125" defaultRowHeight="10.5" x14ac:dyDescent="0.25"/>
  <cols>
    <col min="1" max="1" width="57.26953125" style="1" bestFit="1" customWidth="1"/>
    <col min="2" max="13" width="11.453125" style="1"/>
    <col min="14" max="14" width="11.453125" style="2"/>
    <col min="15" max="16384" width="11.453125" style="1"/>
  </cols>
  <sheetData>
    <row r="1" spans="1:8" ht="20.149999999999999" customHeight="1" x14ac:dyDescent="0.35">
      <c r="A1" s="8" t="s">
        <v>24</v>
      </c>
      <c r="B1" s="7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t="20.149999999999999" customHeight="1" x14ac:dyDescent="0.35">
      <c r="A2" s="3" t="s">
        <v>6</v>
      </c>
      <c r="B2" s="5" t="s">
        <v>25</v>
      </c>
      <c r="C2" s="6">
        <f>[2]Elasticities_NAF17!B2</f>
        <v>1.7756746144217423</v>
      </c>
      <c r="D2" s="6">
        <f>[2]Elasticities_NAF17!C2</f>
        <v>7.740914760867551E-3</v>
      </c>
      <c r="E2" s="6">
        <f>[2]Elasticities_NAF17!D2</f>
        <v>-0.35248862162935918</v>
      </c>
      <c r="F2" s="6">
        <f>[2]Elasticities_NAF17!E2</f>
        <v>-13.60525070088538</v>
      </c>
      <c r="G2" s="6">
        <f>[2]Elasticities_NAF17!F2</f>
        <v>-0.36568112192270952</v>
      </c>
      <c r="H2" s="6">
        <f>[2]Elasticities_NAF17!G2</f>
        <v>4.1663283306820649</v>
      </c>
    </row>
    <row r="3" spans="1:8" ht="20.149999999999999" customHeight="1" x14ac:dyDescent="0.35">
      <c r="A3" s="3" t="s">
        <v>7</v>
      </c>
      <c r="B3" s="5" t="s">
        <v>27</v>
      </c>
      <c r="C3" s="6">
        <f>[2]Elasticities_NAF17!B3</f>
        <v>-4.4665073043638106</v>
      </c>
      <c r="D3" s="6">
        <f>[2]Elasticities_NAF17!C3</f>
        <v>-3.1423882814420763</v>
      </c>
      <c r="E3" s="6">
        <f>[2]Elasticities_NAF17!D3</f>
        <v>-0.12440643138692584</v>
      </c>
      <c r="F3" s="6">
        <f>[2]Elasticities_NAF17!E3</f>
        <v>-1.4397274351083829</v>
      </c>
      <c r="G3" s="6">
        <f>[2]Elasticities_NAF17!F3</f>
        <v>-1.0361908273212974</v>
      </c>
      <c r="H3" s="6">
        <f>[2]Elasticities_NAF17!G3</f>
        <v>-0.76256753238102826</v>
      </c>
    </row>
    <row r="4" spans="1:8" ht="20.149999999999999" customHeight="1" x14ac:dyDescent="0.35">
      <c r="A4" s="3" t="s">
        <v>8</v>
      </c>
      <c r="B4" s="5" t="s">
        <v>28</v>
      </c>
      <c r="C4" s="6">
        <f>[2]Elasticities_NAF17!B4</f>
        <v>-0.40614676113623999</v>
      </c>
      <c r="D4" s="6">
        <f>[2]Elasticities_NAF17!C4</f>
        <v>-1.51873541652644</v>
      </c>
      <c r="E4" s="6">
        <f>[2]Elasticities_NAF17!D4</f>
        <v>-0.62635141344800804</v>
      </c>
      <c r="F4" s="6">
        <f>[2]Elasticities_NAF17!E4</f>
        <v>-2.0896776448688099</v>
      </c>
      <c r="G4" s="6">
        <f>[2]Elasticities_NAF17!F4</f>
        <v>-0.56421323804090295</v>
      </c>
      <c r="H4" s="6">
        <f>[2]Elasticities_NAF17!G4</f>
        <v>-0.38968346574436702</v>
      </c>
    </row>
    <row r="5" spans="1:8" ht="20.149999999999999" customHeight="1" x14ac:dyDescent="0.35">
      <c r="A5" s="3" t="s">
        <v>9</v>
      </c>
      <c r="B5" s="5" t="s">
        <v>29</v>
      </c>
      <c r="C5" s="6">
        <f>[2]Elasticities_NAF17!B5</f>
        <v>-0.173427036956776</v>
      </c>
      <c r="D5" s="6">
        <f>[2]Elasticities_NAF17!C5</f>
        <v>-0.19568185520611001</v>
      </c>
      <c r="E5" s="6">
        <f>[2]Elasticities_NAF17!D5</f>
        <v>-5.3895097144285198E-2</v>
      </c>
      <c r="F5" s="6">
        <f>[2]Elasticities_NAF17!E5</f>
        <v>-0.69661570571638598</v>
      </c>
      <c r="G5" s="6">
        <f>[2]Elasticities_NAF17!F5</f>
        <v>-0.11767250744322499</v>
      </c>
      <c r="H5" s="6">
        <f>[2]Elasticities_NAF17!G5</f>
        <v>-0.44548427706895699</v>
      </c>
    </row>
    <row r="6" spans="1:8" ht="20.149999999999999" customHeight="1" x14ac:dyDescent="0.35">
      <c r="A6" s="3" t="s">
        <v>10</v>
      </c>
      <c r="B6" s="5" t="s">
        <v>30</v>
      </c>
      <c r="C6" s="6">
        <f>[2]Elasticities_NAF17!B6</f>
        <v>-0.31585173281988493</v>
      </c>
      <c r="D6" s="6">
        <f>[2]Elasticities_NAF17!C6</f>
        <v>-0.38436568800576354</v>
      </c>
      <c r="E6" s="6">
        <f>[2]Elasticities_NAF17!D6</f>
        <v>-0.40330645361732748</v>
      </c>
      <c r="F6" s="6">
        <f>[2]Elasticities_NAF17!E6</f>
        <v>-3.1825802558509197E-2</v>
      </c>
      <c r="G6" s="6">
        <f>[2]Elasticities_NAF17!F6</f>
        <v>-0.66420000998321382</v>
      </c>
      <c r="H6" s="6">
        <f>[2]Elasticities_NAF17!G6</f>
        <v>-2.112472003604867</v>
      </c>
    </row>
    <row r="7" spans="1:8" ht="20.149999999999999" customHeight="1" x14ac:dyDescent="0.35">
      <c r="A7" s="3" t="s">
        <v>11</v>
      </c>
      <c r="B7" s="5" t="s">
        <v>31</v>
      </c>
      <c r="C7" s="6">
        <f>[2]Elasticities_NAF17!B7</f>
        <v>6.0874451884002324E-3</v>
      </c>
      <c r="D7" s="6">
        <f>[2]Elasticities_NAF17!C7</f>
        <v>1.1638603155310444E-2</v>
      </c>
      <c r="E7" s="6">
        <f>[2]Elasticities_NAF17!D7</f>
        <v>9.5375886560170021E-4</v>
      </c>
      <c r="F7" s="6">
        <f>[2]Elasticities_NAF17!E7</f>
        <v>-2.3455178105807661</v>
      </c>
      <c r="G7" s="6">
        <f>[2]Elasticities_NAF17!F7</f>
        <v>-1.1427634384678191</v>
      </c>
      <c r="H7" s="6">
        <f>[2]Elasticities_NAF17!G7</f>
        <v>-1.6556384053521311</v>
      </c>
    </row>
    <row r="8" spans="1:8" ht="20.149999999999999" customHeight="1" x14ac:dyDescent="0.35">
      <c r="A8" s="3" t="s">
        <v>12</v>
      </c>
      <c r="B8" s="5" t="s">
        <v>32</v>
      </c>
      <c r="C8" s="6">
        <f>[2]Elasticities_NAF17!B8</f>
        <v>-0.57810789081203984</v>
      </c>
      <c r="D8" s="6">
        <f>[2]Elasticities_NAF17!C8</f>
        <v>-0.73426434215040093</v>
      </c>
      <c r="E8" s="6">
        <f>[2]Elasticities_NAF17!D8</f>
        <v>-0.75161479049325652</v>
      </c>
      <c r="F8" s="6">
        <f>[2]Elasticities_NAF17!E8</f>
        <v>-9.2433593056742824E-3</v>
      </c>
      <c r="G8" s="6">
        <f>[2]Elasticities_NAF17!F8</f>
        <v>-0.34637188043476563</v>
      </c>
      <c r="H8" s="6">
        <f>[2]Elasticities_NAF17!G8</f>
        <v>-1.4766279241222653</v>
      </c>
    </row>
    <row r="9" spans="1:8" ht="20.149999999999999" customHeight="1" x14ac:dyDescent="0.35">
      <c r="A9" s="3" t="s">
        <v>13</v>
      </c>
      <c r="B9" s="5" t="s">
        <v>33</v>
      </c>
      <c r="C9" s="6">
        <f>[2]Elasticities_NAF17!B9</f>
        <v>-0.50548250649798199</v>
      </c>
      <c r="D9" s="6">
        <f>[2]Elasticities_NAF17!C9</f>
        <v>0.32714917912371999</v>
      </c>
      <c r="E9" s="6">
        <f>[2]Elasticities_NAF17!D9</f>
        <v>-0.66061657406083796</v>
      </c>
      <c r="F9" s="6">
        <f>[2]Elasticities_NAF17!E9</f>
        <v>-7.5969281034135999E-2</v>
      </c>
      <c r="G9" s="6">
        <f>[2]Elasticities_NAF17!F9</f>
        <v>-0.483281789504866</v>
      </c>
      <c r="H9" s="6">
        <f>[2]Elasticities_NAF17!G9</f>
        <v>-3.53124617180953</v>
      </c>
    </row>
    <row r="10" spans="1:8" ht="20.149999999999999" customHeight="1" x14ac:dyDescent="0.35">
      <c r="A10" s="3" t="s">
        <v>14</v>
      </c>
      <c r="B10" s="5" t="s">
        <v>34</v>
      </c>
      <c r="C10" s="6">
        <f>[2]Elasticities_NAF17!B10</f>
        <v>-0.3963831280796839</v>
      </c>
      <c r="D10" s="6">
        <f>[2]Elasticities_NAF17!C10</f>
        <v>-0.56329514951626236</v>
      </c>
      <c r="E10" s="6">
        <f>[2]Elasticities_NAF17!D10</f>
        <v>-0.52571519550249723</v>
      </c>
      <c r="F10" s="6">
        <f>[2]Elasticities_NAF17!E10</f>
        <v>-0.9268931718308786</v>
      </c>
      <c r="G10" s="6">
        <f>[2]Elasticities_NAF17!F10</f>
        <v>-0.30279932573068802</v>
      </c>
      <c r="H10" s="6">
        <f>[2]Elasticities_NAF17!G10</f>
        <v>-1.8469413538939583</v>
      </c>
    </row>
    <row r="11" spans="1:8" ht="20.149999999999999" customHeight="1" x14ac:dyDescent="0.35">
      <c r="A11" s="3" t="s">
        <v>15</v>
      </c>
      <c r="B11" s="5" t="s">
        <v>35</v>
      </c>
      <c r="C11" s="6">
        <f>[2]Elasticities_NAF17!B11</f>
        <v>-0.37750819800471352</v>
      </c>
      <c r="D11" s="6">
        <f>[2]Elasticities_NAF17!C11</f>
        <v>-0.21026927507409438</v>
      </c>
      <c r="E11" s="6">
        <f>[2]Elasticities_NAF17!D11</f>
        <v>-0.11591265704379763</v>
      </c>
      <c r="F11" s="6">
        <f>[2]Elasticities_NAF17!E11</f>
        <v>-0.54772868447772927</v>
      </c>
      <c r="G11" s="6">
        <f>[2]Elasticities_NAF17!F11</f>
        <v>-0.24850466645410416</v>
      </c>
      <c r="H11" s="6">
        <f>[2]Elasticities_NAF17!G11</f>
        <v>-2.4631530336975778</v>
      </c>
    </row>
    <row r="12" spans="1:8" ht="20.149999999999999" customHeight="1" x14ac:dyDescent="0.35">
      <c r="A12" s="3" t="s">
        <v>16</v>
      </c>
      <c r="B12" s="5" t="s">
        <v>36</v>
      </c>
      <c r="C12" s="6">
        <f>[2]Elasticities_NAF17!B12</f>
        <v>-0.455270780456344</v>
      </c>
      <c r="D12" s="6">
        <f>[2]Elasticities_NAF17!C12</f>
        <v>-0.25185593100681097</v>
      </c>
      <c r="E12" s="6">
        <f>[2]Elasticities_NAF17!D12</f>
        <v>-0.62637322562240005</v>
      </c>
      <c r="F12" s="6">
        <f>[2]Elasticities_NAF17!E12</f>
        <v>-0.24348303007512601</v>
      </c>
      <c r="G12" s="6">
        <f>[2]Elasticities_NAF17!F12</f>
        <v>-0.43495676514829501</v>
      </c>
      <c r="H12" s="6">
        <f>[2]Elasticities_NAF17!G12</f>
        <v>-1.84523739784618</v>
      </c>
    </row>
    <row r="13" spans="1:8" ht="20.149999999999999" customHeight="1" x14ac:dyDescent="0.35">
      <c r="A13" s="4" t="s">
        <v>17</v>
      </c>
      <c r="B13" s="5" t="s">
        <v>37</v>
      </c>
      <c r="C13" s="6">
        <f>[2]Elasticities_NAF17!B13</f>
        <v>-0.73528378813813378</v>
      </c>
      <c r="D13" s="6">
        <f>[2]Elasticities_NAF17!C13</f>
        <v>-0.61842791752937998</v>
      </c>
      <c r="E13" s="6">
        <f>[2]Elasticities_NAF17!D13</f>
        <v>-0.46667389798107922</v>
      </c>
      <c r="F13" s="6">
        <f>[2]Elasticities_NAF17!E13</f>
        <v>-0.30480014537287803</v>
      </c>
      <c r="G13" s="6">
        <f>[2]Elasticities_NAF17!F13</f>
        <v>-0.16358648595097672</v>
      </c>
      <c r="H13" s="6">
        <f>[2]Elasticities_NAF17!G13</f>
        <v>-1.6768037438872385</v>
      </c>
    </row>
    <row r="14" spans="1:8" ht="20.149999999999999" customHeight="1" x14ac:dyDescent="0.35">
      <c r="A14" s="4" t="s">
        <v>18</v>
      </c>
      <c r="B14" s="5" t="s">
        <v>38</v>
      </c>
      <c r="C14" s="6">
        <f>[2]Elasticities_NAF17!B14</f>
        <v>-0.55301108695816048</v>
      </c>
      <c r="D14" s="6">
        <f>[2]Elasticities_NAF17!C14</f>
        <v>-0.80646683309413592</v>
      </c>
      <c r="E14" s="6">
        <f>[2]Elasticities_NAF17!D14</f>
        <v>-0.55842952599490192</v>
      </c>
      <c r="F14" s="6">
        <f>[2]Elasticities_NAF17!E14</f>
        <v>-0.35110584971787079</v>
      </c>
      <c r="G14" s="6">
        <f>[2]Elasticities_NAF17!F14</f>
        <v>-0.32145141227475393</v>
      </c>
      <c r="H14" s="6">
        <f>[2]Elasticities_NAF17!G14</f>
        <v>-3.5459146390325822</v>
      </c>
    </row>
    <row r="15" spans="1:8" ht="20.149999999999999" customHeight="1" x14ac:dyDescent="0.35">
      <c r="A15" s="4" t="s">
        <v>19</v>
      </c>
      <c r="B15" s="5" t="s">
        <v>39</v>
      </c>
      <c r="C15" s="6">
        <f>[2]Elasticities_NAF17!B15</f>
        <v>-0.889687323361252</v>
      </c>
      <c r="D15" s="6">
        <f>[2]Elasticities_NAF17!C15</f>
        <v>-0.84602954497002003</v>
      </c>
      <c r="E15" s="6">
        <f>[2]Elasticities_NAF17!D15</f>
        <v>-0.97809301370123802</v>
      </c>
      <c r="F15" s="6">
        <f>[2]Elasticities_NAF17!E15</f>
        <v>2.7037125598525499E-2</v>
      </c>
      <c r="G15" s="6">
        <f>[2]Elasticities_NAF17!F15</f>
        <v>-0.13771405741435999</v>
      </c>
      <c r="H15" s="6">
        <f>[2]Elasticities_NAF17!G15</f>
        <v>-0.82317311300502505</v>
      </c>
    </row>
    <row r="16" spans="1:8" ht="20.149999999999999" customHeight="1" x14ac:dyDescent="0.35">
      <c r="A16" s="4" t="s">
        <v>20</v>
      </c>
      <c r="B16" s="5" t="s">
        <v>40</v>
      </c>
      <c r="C16" s="6">
        <f>[2]Elasticities_NAF17!B16</f>
        <v>-0.28414161704324226</v>
      </c>
      <c r="D16" s="6">
        <f>[2]Elasticities_NAF17!C16</f>
        <v>-0.24487122600532299</v>
      </c>
      <c r="E16" s="6">
        <f>[2]Elasticities_NAF17!D16</f>
        <v>-0.10590446421689419</v>
      </c>
      <c r="F16" s="6">
        <f>[2]Elasticities_NAF17!E16</f>
        <v>-0.30955353757677873</v>
      </c>
      <c r="G16" s="6">
        <f>[2]Elasticities_NAF17!F16</f>
        <v>-1.5254991350080727</v>
      </c>
      <c r="H16" s="6">
        <f>[2]Elasticities_NAF17!G16</f>
        <v>-13.540589692485707</v>
      </c>
    </row>
    <row r="17" spans="1:8" ht="20.149999999999999" customHeight="1" x14ac:dyDescent="0.35">
      <c r="A17" s="4" t="s">
        <v>21</v>
      </c>
      <c r="B17" s="5" t="s">
        <v>41</v>
      </c>
      <c r="C17" s="6">
        <f>[2]Elasticities_NAF17!B17</f>
        <v>-0.43527385855061251</v>
      </c>
      <c r="D17" s="6">
        <f>[2]Elasticities_NAF17!C17</f>
        <v>-0.42995384195773334</v>
      </c>
      <c r="E17" s="6">
        <f>[2]Elasticities_NAF17!D17</f>
        <v>-0.35327200483584098</v>
      </c>
      <c r="F17" s="6">
        <f>[2]Elasticities_NAF17!E17</f>
        <v>-0.9182171705271257</v>
      </c>
      <c r="G17" s="6">
        <f>[2]Elasticities_NAF17!F17</f>
        <v>-0.69498571065931536</v>
      </c>
      <c r="H17" s="6">
        <f>[2]Elasticities_NAF17!G17</f>
        <v>-4.875283520579405</v>
      </c>
    </row>
    <row r="18" spans="1:8" ht="20.149999999999999" customHeight="1" x14ac:dyDescent="0.35">
      <c r="A18" s="4" t="s">
        <v>22</v>
      </c>
      <c r="B18" s="5" t="s">
        <v>26</v>
      </c>
      <c r="C18" s="6">
        <f>[2]Elasticities_NAF17!B18</f>
        <v>0</v>
      </c>
      <c r="D18" s="6">
        <f>[2]Elasticities_NAF17!C18</f>
        <v>0</v>
      </c>
      <c r="E18" s="6">
        <f>[2]Elasticities_NAF17!D18</f>
        <v>0</v>
      </c>
      <c r="F18" s="6">
        <f>[2]Elasticities_NAF17!E18</f>
        <v>0</v>
      </c>
      <c r="G18" s="6">
        <f>[2]Elasticities_NAF17!F18</f>
        <v>0</v>
      </c>
      <c r="H18" s="6">
        <f>[2]Elasticities_NAF17!G18</f>
        <v>0</v>
      </c>
    </row>
    <row r="19" spans="1:8" ht="14.5" x14ac:dyDescent="0.35">
      <c r="B19" s="5"/>
      <c r="C19" s="6"/>
      <c r="D19" s="6"/>
      <c r="E19" s="6"/>
      <c r="F19" s="6"/>
      <c r="G19" s="6"/>
      <c r="H19" s="6"/>
    </row>
    <row r="20" spans="1:8" ht="14.5" x14ac:dyDescent="0.35">
      <c r="B20" s="5"/>
    </row>
    <row r="21" spans="1:8" ht="14.5" x14ac:dyDescent="0.35">
      <c r="B21" s="5"/>
    </row>
    <row r="22" spans="1:8" ht="14.5" x14ac:dyDescent="0.35">
      <c r="B22" s="5"/>
    </row>
    <row r="23" spans="1:8" ht="14.5" x14ac:dyDescent="0.35">
      <c r="B23" s="5"/>
    </row>
    <row r="24" spans="1:8" ht="14.5" x14ac:dyDescent="0.35">
      <c r="B24" s="5"/>
    </row>
    <row r="25" spans="1:8" ht="14.5" x14ac:dyDescent="0.35">
      <c r="B25" s="5"/>
    </row>
    <row r="26" spans="1:8" ht="14.5" x14ac:dyDescent="0.35">
      <c r="B26" s="5"/>
    </row>
    <row r="27" spans="1:8" ht="14.5" x14ac:dyDescent="0.35">
      <c r="B27" s="5"/>
    </row>
    <row r="28" spans="1:8" ht="14.5" x14ac:dyDescent="0.35">
      <c r="B28" s="5"/>
    </row>
    <row r="29" spans="1:8" ht="14.5" x14ac:dyDescent="0.35">
      <c r="B29" s="5"/>
    </row>
    <row r="30" spans="1:8" ht="14.5" x14ac:dyDescent="0.35">
      <c r="B30" s="5"/>
    </row>
    <row r="31" spans="1:8" ht="14.5" x14ac:dyDescent="0.35">
      <c r="B31" s="5"/>
    </row>
    <row r="32" spans="1:8" ht="14.5" x14ac:dyDescent="0.35">
      <c r="B32" s="5"/>
    </row>
    <row r="33" spans="2:2" ht="14.5" x14ac:dyDescent="0.35">
      <c r="B33" s="5"/>
    </row>
    <row r="34" spans="2:2" ht="14.5" x14ac:dyDescent="0.35">
      <c r="B34" s="5"/>
    </row>
    <row r="35" spans="2:2" ht="14.5" x14ac:dyDescent="0.35">
      <c r="B35" s="5"/>
    </row>
    <row r="36" spans="2:2" ht="14.5" x14ac:dyDescent="0.35">
      <c r="B36" s="5"/>
    </row>
    <row r="37" spans="2:2" ht="14.5" x14ac:dyDescent="0.35">
      <c r="B37" s="5"/>
    </row>
    <row r="38" spans="2:2" ht="14.5" x14ac:dyDescent="0.35">
      <c r="B38" s="5"/>
    </row>
    <row r="39" spans="2:2" ht="14.5" x14ac:dyDescent="0.35">
      <c r="B39" s="5"/>
    </row>
    <row r="40" spans="2:2" ht="14.5" x14ac:dyDescent="0.35">
      <c r="B40" s="5"/>
    </row>
    <row r="41" spans="2:2" ht="14.5" x14ac:dyDescent="0.35">
      <c r="B41" s="5"/>
    </row>
    <row r="42" spans="2:2" ht="14.5" x14ac:dyDescent="0.35">
      <c r="B42" s="5"/>
    </row>
    <row r="43" spans="2:2" ht="14.5" x14ac:dyDescent="0.35">
      <c r="B43" s="5"/>
    </row>
    <row r="44" spans="2:2" ht="14.5" x14ac:dyDescent="0.35">
      <c r="B44" s="5"/>
    </row>
    <row r="45" spans="2:2" ht="14.5" x14ac:dyDescent="0.35">
      <c r="B45" s="5"/>
    </row>
    <row r="46" spans="2:2" ht="14.5" x14ac:dyDescent="0.35">
      <c r="B46" s="5"/>
    </row>
    <row r="47" spans="2:2" ht="14.5" x14ac:dyDescent="0.35">
      <c r="B47" s="5"/>
    </row>
    <row r="48" spans="2:2" ht="14.5" x14ac:dyDescent="0.35">
      <c r="B48" s="5"/>
    </row>
    <row r="49" spans="2:2" ht="14.5" x14ac:dyDescent="0.35">
      <c r="B49" s="5"/>
    </row>
    <row r="50" spans="2:2" ht="14.5" x14ac:dyDescent="0.35">
      <c r="B50" s="5"/>
    </row>
    <row r="51" spans="2:2" ht="14.5" x14ac:dyDescent="0.35">
      <c r="B51" s="5"/>
    </row>
    <row r="52" spans="2:2" ht="14.5" x14ac:dyDescent="0.35">
      <c r="B52" s="5"/>
    </row>
    <row r="53" spans="2:2" ht="14.5" x14ac:dyDescent="0.35">
      <c r="B53" s="5"/>
    </row>
    <row r="54" spans="2:2" ht="14.5" x14ac:dyDescent="0.35">
      <c r="B54" s="5"/>
    </row>
    <row r="55" spans="2:2" ht="14.5" x14ac:dyDescent="0.35">
      <c r="B55" s="5"/>
    </row>
    <row r="56" spans="2:2" ht="14.5" x14ac:dyDescent="0.35">
      <c r="B56" s="5"/>
    </row>
    <row r="57" spans="2:2" ht="14.5" x14ac:dyDescent="0.35">
      <c r="B57" s="5"/>
    </row>
    <row r="58" spans="2:2" ht="14.5" x14ac:dyDescent="0.35">
      <c r="B58" s="5"/>
    </row>
    <row r="59" spans="2:2" ht="14.5" x14ac:dyDescent="0.35">
      <c r="B59" s="5"/>
    </row>
    <row r="60" spans="2:2" ht="14.5" x14ac:dyDescent="0.35">
      <c r="B60" s="5"/>
    </row>
  </sheetData>
  <pageMargins left="0.7" right="0.7" top="0.75" bottom="0.75" header="0.3" footer="0.3"/>
  <pageSetup paperSize="9" scale="51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50"/>
  <sheetViews>
    <sheetView workbookViewId="0">
      <selection activeCell="E8" sqref="E8"/>
    </sheetView>
  </sheetViews>
  <sheetFormatPr baseColWidth="10" defaultColWidth="11.453125" defaultRowHeight="14.5" x14ac:dyDescent="0.35"/>
  <cols>
    <col min="1" max="1" width="2.26953125" customWidth="1"/>
    <col min="2" max="2" width="44.7265625" customWidth="1"/>
    <col min="3" max="3" width="7" customWidth="1"/>
    <col min="4" max="5" width="7.7265625" customWidth="1"/>
    <col min="6" max="6" width="12.453125" customWidth="1"/>
    <col min="8" max="8" width="44.26953125" customWidth="1"/>
    <col min="9" max="9" width="4.1796875" customWidth="1"/>
    <col min="10" max="10" width="3.7265625" customWidth="1"/>
    <col min="11" max="11" width="49.26953125" customWidth="1"/>
    <col min="12" max="12" width="6.7265625" customWidth="1"/>
  </cols>
  <sheetData>
    <row r="1" spans="1:12" ht="18.5" x14ac:dyDescent="0.45">
      <c r="A1" s="61"/>
      <c r="B1" s="61"/>
      <c r="C1" s="61"/>
      <c r="D1" s="61"/>
      <c r="E1" s="61"/>
      <c r="F1" s="62"/>
      <c r="H1" s="63" t="s">
        <v>74</v>
      </c>
      <c r="I1" s="64"/>
      <c r="J1" s="64"/>
      <c r="K1" s="64"/>
      <c r="L1" s="65"/>
    </row>
    <row r="2" spans="1:12" ht="18.5" x14ac:dyDescent="0.45">
      <c r="A2" s="13"/>
      <c r="B2" s="12" t="s">
        <v>77</v>
      </c>
      <c r="C2" s="12" t="s">
        <v>75</v>
      </c>
      <c r="D2" s="12" t="s">
        <v>76</v>
      </c>
      <c r="E2" s="12"/>
      <c r="F2" s="14" t="s">
        <v>78</v>
      </c>
      <c r="H2" s="15" t="s">
        <v>79</v>
      </c>
      <c r="I2" s="16"/>
      <c r="J2" s="17"/>
      <c r="K2" s="18" t="s">
        <v>80</v>
      </c>
      <c r="L2" s="19"/>
    </row>
    <row r="3" spans="1:12" ht="15" customHeight="1" x14ac:dyDescent="0.35">
      <c r="A3" s="22"/>
      <c r="B3" s="20" t="s">
        <v>42</v>
      </c>
      <c r="C3" s="20" t="s">
        <v>81</v>
      </c>
      <c r="D3" s="23">
        <v>1</v>
      </c>
      <c r="E3" s="21"/>
      <c r="F3" s="24"/>
      <c r="H3" s="25" t="s">
        <v>6</v>
      </c>
      <c r="I3" s="26">
        <v>1</v>
      </c>
      <c r="J3" s="22"/>
      <c r="K3" s="27" t="s">
        <v>82</v>
      </c>
      <c r="L3" s="28">
        <v>1</v>
      </c>
    </row>
    <row r="4" spans="1:12" ht="15" customHeight="1" x14ac:dyDescent="0.35">
      <c r="A4" s="22"/>
      <c r="B4" s="20" t="s">
        <v>43</v>
      </c>
      <c r="C4" s="20" t="s">
        <v>83</v>
      </c>
      <c r="D4" s="29"/>
      <c r="E4" s="29"/>
      <c r="F4" s="24"/>
      <c r="H4" s="25" t="s">
        <v>84</v>
      </c>
      <c r="I4" s="26">
        <v>2</v>
      </c>
      <c r="J4" s="22"/>
      <c r="K4" s="27" t="s">
        <v>85</v>
      </c>
      <c r="L4" s="28">
        <v>2</v>
      </c>
    </row>
    <row r="5" spans="1:12" ht="15" customHeight="1" x14ac:dyDescent="0.35">
      <c r="A5" s="22"/>
      <c r="B5" s="20" t="s">
        <v>44</v>
      </c>
      <c r="C5" s="20" t="s">
        <v>86</v>
      </c>
      <c r="D5" s="21">
        <v>2</v>
      </c>
      <c r="E5" s="21"/>
      <c r="F5" s="30"/>
      <c r="H5" s="31" t="s">
        <v>87</v>
      </c>
      <c r="I5" s="26">
        <v>3</v>
      </c>
      <c r="J5" s="22"/>
      <c r="K5" s="27" t="s">
        <v>87</v>
      </c>
      <c r="L5" s="28">
        <v>3</v>
      </c>
    </row>
    <row r="6" spans="1:12" ht="15" customHeight="1" x14ac:dyDescent="0.35">
      <c r="A6" s="22"/>
      <c r="B6" s="20" t="s">
        <v>45</v>
      </c>
      <c r="C6" s="20" t="s">
        <v>88</v>
      </c>
      <c r="D6" s="21">
        <v>3</v>
      </c>
      <c r="E6" s="21"/>
      <c r="F6" s="24"/>
      <c r="H6" s="31" t="s">
        <v>89</v>
      </c>
      <c r="I6" s="26">
        <v>4</v>
      </c>
      <c r="J6" s="22"/>
      <c r="K6" s="27" t="s">
        <v>89</v>
      </c>
      <c r="L6" s="28">
        <v>4</v>
      </c>
    </row>
    <row r="7" spans="1:12" ht="15" customHeight="1" x14ac:dyDescent="0.35">
      <c r="A7" s="22"/>
      <c r="B7" s="20" t="s">
        <v>46</v>
      </c>
      <c r="C7" s="20" t="s">
        <v>90</v>
      </c>
      <c r="D7" s="32" t="s">
        <v>91</v>
      </c>
      <c r="E7" s="21"/>
      <c r="F7" s="30" t="s">
        <v>92</v>
      </c>
      <c r="H7" s="31" t="s">
        <v>93</v>
      </c>
      <c r="I7" s="26">
        <v>5</v>
      </c>
      <c r="J7" s="22"/>
      <c r="K7" s="27" t="s">
        <v>93</v>
      </c>
      <c r="L7" s="28">
        <v>5</v>
      </c>
    </row>
    <row r="8" spans="1:12" ht="15" customHeight="1" x14ac:dyDescent="0.35">
      <c r="A8" s="22"/>
      <c r="B8" s="20" t="s">
        <v>47</v>
      </c>
      <c r="C8" s="20" t="s">
        <v>94</v>
      </c>
      <c r="D8" s="21">
        <v>6</v>
      </c>
      <c r="E8" s="21"/>
      <c r="F8" s="30" t="s">
        <v>92</v>
      </c>
      <c r="H8" s="31" t="s">
        <v>95</v>
      </c>
      <c r="I8" s="26">
        <v>6</v>
      </c>
      <c r="J8" s="22"/>
      <c r="K8" s="27" t="s">
        <v>95</v>
      </c>
      <c r="L8" s="28">
        <v>6</v>
      </c>
    </row>
    <row r="9" spans="1:12" ht="15" customHeight="1" x14ac:dyDescent="0.35">
      <c r="A9" s="22"/>
      <c r="B9" s="20" t="s">
        <v>48</v>
      </c>
      <c r="C9" s="20" t="s">
        <v>97</v>
      </c>
      <c r="D9" s="21" t="s">
        <v>96</v>
      </c>
      <c r="E9" s="21"/>
      <c r="F9" s="30" t="s">
        <v>92</v>
      </c>
      <c r="H9" s="31" t="s">
        <v>98</v>
      </c>
      <c r="I9" s="26">
        <v>7</v>
      </c>
      <c r="J9" s="22"/>
      <c r="K9" s="27" t="s">
        <v>98</v>
      </c>
      <c r="L9" s="28">
        <v>7</v>
      </c>
    </row>
    <row r="10" spans="1:12" ht="15" customHeight="1" x14ac:dyDescent="0.35">
      <c r="A10" s="22"/>
      <c r="B10" s="20" t="s">
        <v>49</v>
      </c>
      <c r="C10" s="20" t="s">
        <v>99</v>
      </c>
      <c r="D10" s="21">
        <v>9</v>
      </c>
      <c r="E10" s="21"/>
      <c r="F10" s="30" t="s">
        <v>92</v>
      </c>
      <c r="H10" s="31" t="s">
        <v>100</v>
      </c>
      <c r="I10" s="26">
        <v>8</v>
      </c>
      <c r="J10" s="22"/>
      <c r="K10" s="27" t="s">
        <v>100</v>
      </c>
      <c r="L10" s="28">
        <v>8</v>
      </c>
    </row>
    <row r="11" spans="1:12" ht="15" customHeight="1" x14ac:dyDescent="0.35">
      <c r="A11" s="22"/>
      <c r="B11" s="20" t="s">
        <v>50</v>
      </c>
      <c r="C11" s="20" t="s">
        <v>102</v>
      </c>
      <c r="D11" s="21" t="s">
        <v>101</v>
      </c>
      <c r="E11" s="21"/>
      <c r="F11" s="30" t="s">
        <v>92</v>
      </c>
      <c r="H11" s="31" t="s">
        <v>103</v>
      </c>
      <c r="I11" s="26">
        <v>9</v>
      </c>
      <c r="J11" s="22"/>
      <c r="K11" s="27" t="s">
        <v>103</v>
      </c>
      <c r="L11" s="28">
        <v>9</v>
      </c>
    </row>
    <row r="12" spans="1:12" ht="15" customHeight="1" x14ac:dyDescent="0.35">
      <c r="A12" s="22"/>
      <c r="B12" s="20" t="s">
        <v>51</v>
      </c>
      <c r="C12" s="20" t="s">
        <v>104</v>
      </c>
      <c r="D12" s="21">
        <v>12</v>
      </c>
      <c r="E12" s="21"/>
      <c r="F12" s="24"/>
      <c r="H12" s="31" t="s">
        <v>105</v>
      </c>
      <c r="I12" s="26">
        <v>10</v>
      </c>
      <c r="J12" s="22"/>
      <c r="K12" s="27" t="s">
        <v>105</v>
      </c>
      <c r="L12" s="28">
        <v>10</v>
      </c>
    </row>
    <row r="13" spans="1:12" ht="15" customHeight="1" x14ac:dyDescent="0.35">
      <c r="A13" s="22"/>
      <c r="B13" s="20" t="s">
        <v>52</v>
      </c>
      <c r="C13" s="20" t="s">
        <v>106</v>
      </c>
      <c r="D13" s="21">
        <v>12</v>
      </c>
      <c r="E13" s="21"/>
      <c r="F13" s="24"/>
      <c r="H13" s="31" t="s">
        <v>107</v>
      </c>
      <c r="I13" s="26">
        <v>11</v>
      </c>
      <c r="J13" s="22"/>
      <c r="K13" s="27" t="s">
        <v>107</v>
      </c>
      <c r="L13" s="28">
        <v>11</v>
      </c>
    </row>
    <row r="14" spans="1:12" ht="15" customHeight="1" x14ac:dyDescent="0.35">
      <c r="A14" s="22"/>
      <c r="B14" s="20" t="s">
        <v>53</v>
      </c>
      <c r="C14" s="20" t="s">
        <v>108</v>
      </c>
      <c r="D14" s="21">
        <v>13</v>
      </c>
      <c r="E14" s="21"/>
      <c r="F14" s="24"/>
      <c r="H14" s="31" t="s">
        <v>109</v>
      </c>
      <c r="I14" s="26">
        <v>12</v>
      </c>
      <c r="J14" s="22"/>
      <c r="K14" s="27" t="s">
        <v>109</v>
      </c>
      <c r="L14" s="28">
        <v>12</v>
      </c>
    </row>
    <row r="15" spans="1:12" ht="15" customHeight="1" x14ac:dyDescent="0.35">
      <c r="A15" s="22"/>
      <c r="B15" s="20" t="s">
        <v>54</v>
      </c>
      <c r="C15" s="20" t="s">
        <v>110</v>
      </c>
      <c r="D15" s="21">
        <v>14</v>
      </c>
      <c r="E15" s="21"/>
      <c r="F15" s="24"/>
      <c r="H15" s="31" t="s">
        <v>111</v>
      </c>
      <c r="I15" s="26">
        <v>13</v>
      </c>
      <c r="J15" s="22"/>
      <c r="K15" s="27" t="s">
        <v>111</v>
      </c>
      <c r="L15" s="28">
        <v>13</v>
      </c>
    </row>
    <row r="16" spans="1:12" ht="15" customHeight="1" x14ac:dyDescent="0.35">
      <c r="A16" s="22"/>
      <c r="B16" s="20" t="s">
        <v>55</v>
      </c>
      <c r="C16" s="20" t="s">
        <v>113</v>
      </c>
      <c r="D16" s="23" t="s">
        <v>112</v>
      </c>
      <c r="E16" s="21"/>
      <c r="F16" s="24"/>
      <c r="H16" s="33" t="s">
        <v>114</v>
      </c>
      <c r="I16" s="26">
        <v>14</v>
      </c>
      <c r="J16" s="22"/>
      <c r="K16" s="27" t="s">
        <v>114</v>
      </c>
      <c r="L16" s="28">
        <v>14</v>
      </c>
    </row>
    <row r="17" spans="1:12" ht="15" customHeight="1" x14ac:dyDescent="0.35">
      <c r="A17" s="22"/>
      <c r="B17" s="20" t="s">
        <v>56</v>
      </c>
      <c r="C17" s="20" t="s">
        <v>115</v>
      </c>
      <c r="D17" s="21">
        <v>17</v>
      </c>
      <c r="E17" s="21"/>
      <c r="F17" s="24"/>
      <c r="H17" s="33" t="s">
        <v>116</v>
      </c>
      <c r="I17" s="26">
        <v>15</v>
      </c>
      <c r="J17" s="22"/>
      <c r="K17" s="27" t="s">
        <v>116</v>
      </c>
      <c r="L17" s="28">
        <v>15</v>
      </c>
    </row>
    <row r="18" spans="1:12" ht="15" customHeight="1" x14ac:dyDescent="0.35">
      <c r="A18" s="22"/>
      <c r="B18" s="20" t="s">
        <v>57</v>
      </c>
      <c r="C18" s="20" t="s">
        <v>117</v>
      </c>
      <c r="D18" s="21">
        <v>18</v>
      </c>
      <c r="E18" s="21"/>
      <c r="F18" s="30" t="s">
        <v>92</v>
      </c>
      <c r="H18" s="33" t="s">
        <v>118</v>
      </c>
      <c r="I18" s="26">
        <v>16</v>
      </c>
      <c r="J18" s="22"/>
      <c r="K18" s="27" t="s">
        <v>118</v>
      </c>
      <c r="L18" s="28">
        <v>16</v>
      </c>
    </row>
    <row r="19" spans="1:12" ht="15" customHeight="1" x14ac:dyDescent="0.35">
      <c r="A19" s="22"/>
      <c r="B19" s="20" t="s">
        <v>58</v>
      </c>
      <c r="C19" s="20" t="s">
        <v>119</v>
      </c>
      <c r="D19" s="21">
        <v>19</v>
      </c>
      <c r="E19" s="21"/>
      <c r="F19" s="24"/>
      <c r="H19" s="33" t="s">
        <v>120</v>
      </c>
      <c r="I19" s="26">
        <v>17</v>
      </c>
      <c r="J19" s="22"/>
      <c r="K19" s="27" t="s">
        <v>120</v>
      </c>
      <c r="L19" s="28">
        <v>17</v>
      </c>
    </row>
    <row r="20" spans="1:12" ht="15" customHeight="1" x14ac:dyDescent="0.35">
      <c r="A20" s="22"/>
      <c r="B20" s="20" t="s">
        <v>59</v>
      </c>
      <c r="C20" s="20" t="s">
        <v>121</v>
      </c>
      <c r="D20" s="21">
        <v>20</v>
      </c>
      <c r="E20" s="21"/>
      <c r="F20" s="24"/>
      <c r="H20" s="33" t="s">
        <v>122</v>
      </c>
      <c r="I20" s="26">
        <v>18</v>
      </c>
      <c r="J20" s="22"/>
      <c r="K20" s="27" t="s">
        <v>122</v>
      </c>
      <c r="L20" s="28">
        <v>18</v>
      </c>
    </row>
    <row r="21" spans="1:12" ht="15" customHeight="1" x14ac:dyDescent="0.35">
      <c r="A21" s="22"/>
      <c r="B21" s="34" t="s">
        <v>60</v>
      </c>
      <c r="C21" s="20" t="s">
        <v>123</v>
      </c>
      <c r="D21" s="32">
        <v>21</v>
      </c>
      <c r="E21" s="32"/>
      <c r="F21" s="30" t="s">
        <v>92</v>
      </c>
      <c r="H21" s="31" t="s">
        <v>124</v>
      </c>
      <c r="I21" s="26">
        <v>19</v>
      </c>
      <c r="J21" s="22"/>
      <c r="K21" s="27" t="s">
        <v>124</v>
      </c>
      <c r="L21" s="28">
        <v>19</v>
      </c>
    </row>
    <row r="22" spans="1:12" ht="15" customHeight="1" x14ac:dyDescent="0.35">
      <c r="A22" s="22"/>
      <c r="B22" s="35" t="s">
        <v>61</v>
      </c>
      <c r="C22" s="35" t="s">
        <v>126</v>
      </c>
      <c r="D22" s="36" t="s">
        <v>127</v>
      </c>
      <c r="E22" s="36" t="s">
        <v>128</v>
      </c>
      <c r="F22" s="30" t="s">
        <v>92</v>
      </c>
      <c r="H22" s="31" t="s">
        <v>129</v>
      </c>
      <c r="I22" s="26">
        <v>20</v>
      </c>
      <c r="J22" s="22"/>
      <c r="K22" s="27" t="s">
        <v>129</v>
      </c>
      <c r="L22" s="28">
        <v>20</v>
      </c>
    </row>
    <row r="23" spans="1:12" ht="15" customHeight="1" x14ac:dyDescent="0.35">
      <c r="A23" s="22"/>
      <c r="B23" s="35" t="s">
        <v>62</v>
      </c>
      <c r="C23" s="35" t="s">
        <v>130</v>
      </c>
      <c r="D23" s="36" t="s">
        <v>131</v>
      </c>
      <c r="E23" s="36" t="s">
        <v>128</v>
      </c>
      <c r="F23" s="30" t="s">
        <v>92</v>
      </c>
      <c r="H23" s="31" t="s">
        <v>132</v>
      </c>
      <c r="I23" s="26">
        <v>21</v>
      </c>
      <c r="J23" s="22"/>
      <c r="K23" s="37" t="s">
        <v>133</v>
      </c>
      <c r="L23" s="38">
        <v>21</v>
      </c>
    </row>
    <row r="24" spans="1:12" ht="15" customHeight="1" x14ac:dyDescent="0.35">
      <c r="A24" s="22"/>
      <c r="B24" s="35" t="s">
        <v>63</v>
      </c>
      <c r="C24" s="35" t="s">
        <v>134</v>
      </c>
      <c r="D24" s="36" t="s">
        <v>135</v>
      </c>
      <c r="E24" s="36" t="s">
        <v>128</v>
      </c>
      <c r="F24" s="30" t="s">
        <v>92</v>
      </c>
      <c r="H24" s="31" t="s">
        <v>136</v>
      </c>
      <c r="I24" s="26">
        <v>22</v>
      </c>
      <c r="J24" s="22"/>
      <c r="K24" s="39" t="s">
        <v>137</v>
      </c>
      <c r="L24" s="40" t="s">
        <v>127</v>
      </c>
    </row>
    <row r="25" spans="1:12" ht="15" customHeight="1" x14ac:dyDescent="0.35">
      <c r="A25" s="22"/>
      <c r="B25" s="35" t="s">
        <v>64</v>
      </c>
      <c r="C25" s="35" t="s">
        <v>138</v>
      </c>
      <c r="D25" s="36" t="s">
        <v>139</v>
      </c>
      <c r="E25" s="36" t="s">
        <v>128</v>
      </c>
      <c r="F25" s="30" t="s">
        <v>92</v>
      </c>
      <c r="H25" s="31" t="s">
        <v>140</v>
      </c>
      <c r="I25" s="26">
        <v>23</v>
      </c>
      <c r="J25" s="22"/>
      <c r="K25" s="39" t="s">
        <v>141</v>
      </c>
      <c r="L25" s="40" t="s">
        <v>131</v>
      </c>
    </row>
    <row r="26" spans="1:12" ht="15" customHeight="1" x14ac:dyDescent="0.35">
      <c r="A26" s="22"/>
      <c r="B26" s="41" t="s">
        <v>65</v>
      </c>
      <c r="C26" s="41" t="s">
        <v>142</v>
      </c>
      <c r="D26" s="42" t="s">
        <v>143</v>
      </c>
      <c r="E26" s="42" t="s">
        <v>144</v>
      </c>
      <c r="F26" s="30" t="s">
        <v>92</v>
      </c>
      <c r="H26" s="31" t="s">
        <v>145</v>
      </c>
      <c r="I26" s="26">
        <v>24</v>
      </c>
      <c r="J26" s="22"/>
      <c r="K26" s="43" t="s">
        <v>146</v>
      </c>
      <c r="L26" s="44" t="s">
        <v>143</v>
      </c>
    </row>
    <row r="27" spans="1:12" ht="15" customHeight="1" x14ac:dyDescent="0.35">
      <c r="A27" s="22"/>
      <c r="B27" s="41" t="s">
        <v>66</v>
      </c>
      <c r="C27" s="41" t="s">
        <v>147</v>
      </c>
      <c r="D27" s="42" t="s">
        <v>148</v>
      </c>
      <c r="E27" s="42" t="s">
        <v>144</v>
      </c>
      <c r="F27" s="30" t="s">
        <v>92</v>
      </c>
      <c r="H27" s="45"/>
      <c r="I27" s="26"/>
      <c r="J27" s="22"/>
      <c r="K27" s="43" t="s">
        <v>149</v>
      </c>
      <c r="L27" s="44" t="s">
        <v>148</v>
      </c>
    </row>
    <row r="28" spans="1:12" ht="15" customHeight="1" x14ac:dyDescent="0.35">
      <c r="A28" s="22"/>
      <c r="B28" s="41" t="s">
        <v>67</v>
      </c>
      <c r="C28" s="41" t="s">
        <v>150</v>
      </c>
      <c r="D28" s="42" t="s">
        <v>151</v>
      </c>
      <c r="E28" s="42" t="s">
        <v>144</v>
      </c>
      <c r="F28" s="30" t="s">
        <v>92</v>
      </c>
      <c r="H28" s="45"/>
      <c r="I28" s="26"/>
      <c r="J28" s="22"/>
      <c r="K28" s="43" t="s">
        <v>152</v>
      </c>
      <c r="L28" s="44" t="s">
        <v>151</v>
      </c>
    </row>
    <row r="29" spans="1:12" ht="15" customHeight="1" x14ac:dyDescent="0.35">
      <c r="A29" s="22"/>
      <c r="B29" s="41" t="s">
        <v>68</v>
      </c>
      <c r="C29" s="41" t="s">
        <v>153</v>
      </c>
      <c r="D29" s="42" t="s">
        <v>154</v>
      </c>
      <c r="E29" s="42" t="s">
        <v>144</v>
      </c>
      <c r="F29" s="30" t="s">
        <v>92</v>
      </c>
      <c r="H29" s="45"/>
      <c r="I29" s="26"/>
      <c r="J29" s="22"/>
      <c r="K29" s="43" t="s">
        <v>155</v>
      </c>
      <c r="L29" s="44" t="s">
        <v>154</v>
      </c>
    </row>
    <row r="30" spans="1:12" ht="15" customHeight="1" x14ac:dyDescent="0.35">
      <c r="A30" s="22"/>
      <c r="B30" s="41" t="s">
        <v>69</v>
      </c>
      <c r="C30" s="41" t="s">
        <v>156</v>
      </c>
      <c r="D30" s="42" t="s">
        <v>157</v>
      </c>
      <c r="E30" s="42" t="s">
        <v>144</v>
      </c>
      <c r="F30" s="30" t="s">
        <v>92</v>
      </c>
      <c r="H30" s="45"/>
      <c r="I30" s="26"/>
      <c r="J30" s="22"/>
      <c r="K30" s="43" t="s">
        <v>158</v>
      </c>
      <c r="L30" s="44" t="s">
        <v>157</v>
      </c>
    </row>
    <row r="31" spans="1:12" ht="15" customHeight="1" x14ac:dyDescent="0.35">
      <c r="A31" s="22"/>
      <c r="B31" s="41" t="s">
        <v>70</v>
      </c>
      <c r="C31" s="41" t="s">
        <v>159</v>
      </c>
      <c r="D31" s="42" t="s">
        <v>160</v>
      </c>
      <c r="E31" s="42" t="s">
        <v>144</v>
      </c>
      <c r="F31" s="30" t="s">
        <v>92</v>
      </c>
      <c r="H31" s="45"/>
      <c r="I31" s="26"/>
      <c r="J31" s="22"/>
      <c r="K31" s="43" t="s">
        <v>161</v>
      </c>
      <c r="L31" s="44" t="s">
        <v>160</v>
      </c>
    </row>
    <row r="32" spans="1:12" ht="15" customHeight="1" x14ac:dyDescent="0.35">
      <c r="A32" s="22"/>
      <c r="B32" s="41" t="s">
        <v>71</v>
      </c>
      <c r="C32" s="41" t="s">
        <v>162</v>
      </c>
      <c r="D32" s="42" t="s">
        <v>163</v>
      </c>
      <c r="E32" s="42" t="s">
        <v>144</v>
      </c>
      <c r="F32" s="30" t="s">
        <v>92</v>
      </c>
      <c r="H32" s="45"/>
      <c r="I32" s="26"/>
      <c r="J32" s="22"/>
      <c r="K32" s="43" t="s">
        <v>164</v>
      </c>
      <c r="L32" s="44" t="s">
        <v>163</v>
      </c>
    </row>
    <row r="33" spans="1:12" ht="15" customHeight="1" x14ac:dyDescent="0.35">
      <c r="A33" s="22"/>
      <c r="B33" s="41" t="s">
        <v>72</v>
      </c>
      <c r="C33" s="41" t="s">
        <v>165</v>
      </c>
      <c r="D33" s="46" t="s">
        <v>166</v>
      </c>
      <c r="E33" s="42" t="s">
        <v>144</v>
      </c>
      <c r="F33" s="30" t="s">
        <v>92</v>
      </c>
      <c r="H33" s="45"/>
      <c r="I33" s="26"/>
      <c r="J33" s="22"/>
      <c r="K33" s="43" t="s">
        <v>167</v>
      </c>
      <c r="L33" s="44" t="s">
        <v>168</v>
      </c>
    </row>
    <row r="34" spans="1:12" ht="15" customHeight="1" x14ac:dyDescent="0.35">
      <c r="A34" s="49"/>
      <c r="B34" s="50" t="s">
        <v>73</v>
      </c>
      <c r="C34" s="50" t="s">
        <v>169</v>
      </c>
      <c r="D34" s="51"/>
      <c r="E34" s="52" t="s">
        <v>144</v>
      </c>
      <c r="F34" s="53" t="s">
        <v>92</v>
      </c>
      <c r="H34" s="45"/>
      <c r="I34" s="26"/>
      <c r="J34" s="22"/>
      <c r="K34" s="54" t="s">
        <v>170</v>
      </c>
      <c r="L34" s="55" t="s">
        <v>135</v>
      </c>
    </row>
    <row r="35" spans="1:12" ht="15" customHeight="1" x14ac:dyDescent="0.35">
      <c r="H35" s="45"/>
      <c r="I35" s="26"/>
      <c r="J35" s="22"/>
      <c r="K35" s="56" t="s">
        <v>171</v>
      </c>
      <c r="L35" s="57" t="s">
        <v>172</v>
      </c>
    </row>
    <row r="36" spans="1:12" ht="15" customHeight="1" x14ac:dyDescent="0.35">
      <c r="H36" s="45"/>
      <c r="I36" s="26"/>
      <c r="J36" s="22"/>
      <c r="K36" s="54" t="s">
        <v>173</v>
      </c>
      <c r="L36" s="55" t="s">
        <v>139</v>
      </c>
    </row>
    <row r="37" spans="1:12" ht="15" customHeight="1" x14ac:dyDescent="0.35">
      <c r="H37" s="45"/>
      <c r="I37" s="26"/>
      <c r="J37" s="22"/>
      <c r="K37" s="54" t="s">
        <v>174</v>
      </c>
      <c r="L37" s="55" t="s">
        <v>175</v>
      </c>
    </row>
    <row r="38" spans="1:12" ht="15" customHeight="1" x14ac:dyDescent="0.35">
      <c r="H38" s="45"/>
      <c r="I38" s="26"/>
      <c r="J38" s="22"/>
      <c r="K38" s="54" t="s">
        <v>176</v>
      </c>
      <c r="L38" s="55" t="s">
        <v>177</v>
      </c>
    </row>
    <row r="39" spans="1:12" ht="15" customHeight="1" x14ac:dyDescent="0.35">
      <c r="H39" s="47"/>
      <c r="I39" s="48"/>
      <c r="J39" s="49"/>
      <c r="K39" s="58" t="s">
        <v>167</v>
      </c>
      <c r="L39" s="59" t="s">
        <v>178</v>
      </c>
    </row>
    <row r="40" spans="1:12" ht="15" customHeight="1" x14ac:dyDescent="0.35"/>
    <row r="41" spans="1:12" ht="15" customHeight="1" x14ac:dyDescent="0.35"/>
    <row r="42" spans="1:12" ht="15" customHeight="1" x14ac:dyDescent="0.35"/>
    <row r="43" spans="1:12" ht="15" customHeight="1" x14ac:dyDescent="0.35"/>
    <row r="44" spans="1:12" ht="15" customHeight="1" x14ac:dyDescent="0.35"/>
    <row r="45" spans="1:12" ht="15" customHeight="1" x14ac:dyDescent="0.35"/>
    <row r="46" spans="1:12" ht="15" customHeight="1" x14ac:dyDescent="0.35"/>
    <row r="47" spans="1:12" ht="15" customHeight="1" x14ac:dyDescent="0.35"/>
    <row r="48" spans="1:12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A1:F1"/>
    <mergeCell ref="H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Elasticities</vt:lpstr>
      <vt:lpstr>Elas V2</vt:lpstr>
      <vt:lpstr>ELAS</vt:lpstr>
      <vt:lpstr>produits-secteurs V2-V3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2021-11-29T11:56:09Z</dcterms:modified>
</cp:coreProperties>
</file>