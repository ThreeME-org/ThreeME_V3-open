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2760" yWindow="500" windowWidth="28800" windowHeight="17510"/>
  </bookViews>
  <sheets>
    <sheet name="ELAS" sheetId="37" r:id="rId1"/>
  </sheets>
  <externalReferences>
    <externalReference r:id="rId2"/>
  </externalReferences>
  <definedNames>
    <definedName name="df" localSheetId="0" hidden="1">#REF!</definedName>
    <definedName name="df" hidden="1">#REF!</definedName>
    <definedName name="solver_eng" hidden="1">1</definedName>
    <definedName name="solver_lhs3" localSheetId="0" hidden="1">#REF!</definedName>
    <definedName name="solver_lhs3" hidden="1">#REF!</definedName>
    <definedName name="solver_lhs3_old" localSheetId="0" hidden="1">#REF!</definedName>
    <definedName name="solver_lhs3_old" hidden="1">#REF!</definedName>
    <definedName name="solver_lhs4" localSheetId="0" hidden="1">#REF!</definedName>
    <definedName name="solver_lhs4" hidden="1">#REF!</definedName>
    <definedName name="solver_lhs4_old" localSheetId="0" hidden="1">#REF!</definedName>
    <definedName name="solver_lhs4_old" hidden="1">#REF!</definedName>
    <definedName name="solver_lhs5" localSheetId="0" hidden="1">#REF!</definedName>
    <definedName name="solver_lhs5" hidden="1">#REF!</definedName>
    <definedName name="solver_lhs5_old" localSheetId="0" hidden="1">#REF!</definedName>
    <definedName name="solver_lhs5_old" hidden="1">#REF!</definedName>
    <definedName name="solver_lhs6" localSheetId="0" hidden="1">#REF!</definedName>
    <definedName name="solver_lhs6" hidden="1">#REF!</definedName>
    <definedName name="solver_lhs6_old" localSheetId="0" hidden="1">#REF!</definedName>
    <definedName name="solver_lhs6_old" hidden="1">#REF!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od" hidden="1">2147483647</definedName>
    <definedName name="solver_rbv" hidden="1">1</definedName>
    <definedName name="solver_rel3" hidden="1">2</definedName>
    <definedName name="solver_rel4" hidden="1">2</definedName>
    <definedName name="solver_rel5" hidden="1">3</definedName>
    <definedName name="solver_rel6" hidden="1">2</definedName>
    <definedName name="solver_rhs3" hidden="1">0</definedName>
    <definedName name="solver_rhs4" hidden="1">0</definedName>
    <definedName name="solver_rhs5" localSheetId="0" hidden="1">#REF!</definedName>
    <definedName name="solver_rhs5" hidden="1">#REF!</definedName>
    <definedName name="solver_rhs5_old" localSheetId="0" hidden="1">#REF!</definedName>
    <definedName name="solver_rhs5_old" hidden="1">#REF!</definedName>
    <definedName name="solver_rhs6" localSheetId="0" hidden="1">#REF!</definedName>
    <definedName name="solver_rhs6" hidden="1">#REF!</definedName>
    <definedName name="solver_rhs6_old" localSheetId="0" hidden="1">#REF!</definedName>
    <definedName name="solver_rhs6_old" hidden="1">#REF!</definedName>
    <definedName name="Solver_rhs9" localSheetId="0" hidden="1">#REF!</definedName>
    <definedName name="Solver_rhs9" hidden="1">#REF!</definedName>
    <definedName name="solver_rlx" hidden="1">2</definedName>
    <definedName name="solver_rsd" hidden="1">0</definedName>
    <definedName name="solver_ssz" hidden="1">100</definedName>
    <definedName name="solver_ver" hidden="1">2</definedName>
  </definedNames>
  <calcPr calcId="977461"/>
  <fileRecoveryPr autoRecover="0"/>
</workbook>
</file>

<file path=xl/calcChain.xml><?xml version="1.0" encoding="utf-8"?>
<calcChain xmlns="http://schemas.openxmlformats.org/spreadsheetml/2006/main">
  <c r="C3" i="37" l="1"/>
  <c r="D3" i="37"/>
  <c r="E3" i="37"/>
  <c r="F3" i="37"/>
  <c r="G3" i="37"/>
  <c r="H3" i="37"/>
  <c r="C4" i="37"/>
  <c r="D4" i="37"/>
  <c r="E4" i="37"/>
  <c r="F4" i="37"/>
  <c r="G4" i="37"/>
  <c r="H4" i="37"/>
  <c r="C5" i="37"/>
  <c r="D5" i="37"/>
  <c r="E5" i="37"/>
  <c r="F5" i="37"/>
  <c r="G5" i="37"/>
  <c r="H5" i="37"/>
  <c r="C6" i="37"/>
  <c r="D6" i="37"/>
  <c r="E6" i="37"/>
  <c r="F6" i="37"/>
  <c r="G6" i="37"/>
  <c r="H6" i="37"/>
  <c r="C7" i="37"/>
  <c r="D7" i="37"/>
  <c r="E7" i="37"/>
  <c r="F7" i="37"/>
  <c r="G7" i="37"/>
  <c r="H7" i="37"/>
  <c r="C8" i="37"/>
  <c r="D8" i="37"/>
  <c r="E8" i="37"/>
  <c r="F8" i="37"/>
  <c r="G8" i="37"/>
  <c r="H8" i="37"/>
  <c r="C9" i="37"/>
  <c r="D9" i="37"/>
  <c r="E9" i="37"/>
  <c r="F9" i="37"/>
  <c r="G9" i="37"/>
  <c r="H9" i="37"/>
  <c r="C10" i="37"/>
  <c r="D10" i="37"/>
  <c r="E10" i="37"/>
  <c r="F10" i="37"/>
  <c r="G10" i="37"/>
  <c r="H10" i="37"/>
  <c r="C11" i="37"/>
  <c r="D11" i="37"/>
  <c r="E11" i="37"/>
  <c r="F11" i="37"/>
  <c r="G11" i="37"/>
  <c r="H11" i="37"/>
  <c r="C12" i="37"/>
  <c r="D12" i="37"/>
  <c r="E12" i="37"/>
  <c r="F12" i="37"/>
  <c r="G12" i="37"/>
  <c r="H12" i="37"/>
  <c r="C13" i="37"/>
  <c r="D13" i="37"/>
  <c r="E13" i="37"/>
  <c r="F13" i="37"/>
  <c r="G13" i="37"/>
  <c r="H13" i="37"/>
  <c r="C14" i="37"/>
  <c r="D14" i="37"/>
  <c r="E14" i="37"/>
  <c r="F14" i="37"/>
  <c r="G14" i="37"/>
  <c r="H14" i="37"/>
  <c r="C15" i="37"/>
  <c r="D15" i="37"/>
  <c r="E15" i="37"/>
  <c r="F15" i="37"/>
  <c r="G15" i="37"/>
  <c r="H15" i="37"/>
  <c r="C16" i="37"/>
  <c r="D16" i="37"/>
  <c r="E16" i="37"/>
  <c r="F16" i="37"/>
  <c r="G16" i="37"/>
  <c r="H16" i="37"/>
  <c r="C17" i="37"/>
  <c r="D17" i="37"/>
  <c r="E17" i="37"/>
  <c r="F17" i="37"/>
  <c r="G17" i="37"/>
  <c r="H17" i="37"/>
  <c r="C18" i="37"/>
  <c r="D18" i="37"/>
  <c r="E18" i="37"/>
  <c r="F18" i="37"/>
  <c r="G18" i="37"/>
  <c r="H18" i="37"/>
  <c r="H2" i="37"/>
  <c r="D2" i="37"/>
  <c r="E2" i="37"/>
  <c r="F2" i="37"/>
  <c r="G2" i="37"/>
  <c r="C2" i="37"/>
</calcChain>
</file>

<file path=xl/sharedStrings.xml><?xml version="1.0" encoding="utf-8"?>
<sst xmlns="http://schemas.openxmlformats.org/spreadsheetml/2006/main" count="42" uniqueCount="42">
  <si>
    <t>KL</t>
  </si>
  <si>
    <t>KE</t>
  </si>
  <si>
    <t>KM</t>
  </si>
  <si>
    <t>LE</t>
  </si>
  <si>
    <t>LM</t>
  </si>
  <si>
    <t>EM</t>
  </si>
  <si>
    <t>Agriculture, sylviculture et pêche</t>
  </si>
  <si>
    <t>Industries extractives, énergie, eau, gestion des déchets et dépollution</t>
  </si>
  <si>
    <t>Fabrication de denrées alimentaires, de boissons et de produits à base de tabac</t>
  </si>
  <si>
    <t>Cokéfaction et raffinage</t>
  </si>
  <si>
    <t>Fabrication d'équipements électriques, électroniques, informatiques ; fabrication de machines</t>
  </si>
  <si>
    <t>Fabrication de matériels de transport</t>
  </si>
  <si>
    <t>Fabrication d'autres produits industriels</t>
  </si>
  <si>
    <t>Construction</t>
  </si>
  <si>
    <t>Commerce ; réparation d'automobiles et de motocycles</t>
  </si>
  <si>
    <t>Transports et entreposage</t>
  </si>
  <si>
    <t>Hébergement et restauration</t>
  </si>
  <si>
    <t>Information et communication</t>
  </si>
  <si>
    <t>Activités financières et d'assurance</t>
  </si>
  <si>
    <t>Activités immobilières</t>
  </si>
  <si>
    <t>Activités spécialisées, scientifiques et techniques et activités de services administratifs et de soutien</t>
  </si>
  <si>
    <t>Administration publique, enseignement, santé humaine et action sociale</t>
  </si>
  <si>
    <t>Autres activités de services</t>
  </si>
  <si>
    <t>codes</t>
  </si>
  <si>
    <t>Sectors</t>
  </si>
  <si>
    <t>cAZ</t>
  </si>
  <si>
    <t>cRU</t>
  </si>
  <si>
    <t>cDE</t>
  </si>
  <si>
    <t>cC1</t>
  </si>
  <si>
    <t>cC2</t>
  </si>
  <si>
    <t>cC3</t>
  </si>
  <si>
    <t>cC4</t>
  </si>
  <si>
    <t>cC5</t>
  </si>
  <si>
    <t>cFZ</t>
  </si>
  <si>
    <t>cGZ</t>
  </si>
  <si>
    <t>cHZ</t>
  </si>
  <si>
    <t>cIZ</t>
  </si>
  <si>
    <t>cJZ</t>
  </si>
  <si>
    <t>cKZ</t>
  </si>
  <si>
    <t>cLZ</t>
  </si>
  <si>
    <t>cMN</t>
  </si>
  <si>
    <t>cOQ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</si>
</sst>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1" formatCode="_-* #,##0.00\ _€_-;\-* #,##0.00\ _€_-;_-* &quot;-&quot;??\ _€_-;_-@_-"/>
    <numFmt numFmtId="182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  <charset val="161"/>
    </font>
    <font>
      <sz val="10"/>
      <name val="MS Sans Serif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3" fillId="0" borderId="0"/>
    <xf numFmtId="0" fontId="1" fillId="0" borderId="0"/>
    <xf numFmtId="0" fontId="9" fillId="0" borderId="0"/>
    <xf numFmtId="0" fontId="7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8" applyFont="1" applyFill="1" applyBorder="1"/>
    <xf numFmtId="0" fontId="5" fillId="0" borderId="0" xfId="8" applyFont="1" applyFill="1" applyBorder="1"/>
    <xf numFmtId="0" fontId="4" fillId="2" borderId="0" xfId="9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8" fillId="0" borderId="0" xfId="0" applyFont="1" applyAlignment="1">
      <alignment wrapText="1"/>
    </xf>
    <xf numFmtId="182" fontId="4" fillId="0" borderId="0" xfId="8" applyNumberFormat="1" applyFont="1" applyFill="1" applyBorder="1"/>
    <xf numFmtId="0" fontId="10" fillId="0" borderId="0" xfId="0" applyFont="1" applyAlignment="1">
      <alignment horizontal="center"/>
    </xf>
    <xf numFmtId="0" fontId="8" fillId="0" borderId="0" xfId="8" applyFont="1" applyFill="1" applyBorder="1" applyAlignment="1">
      <alignment horizontal="center"/>
    </xf>
  </cellXfs>
  <cellStyles count="15">
    <cellStyle name="Comma 2" xfId="1"/>
    <cellStyle name="Comma 2 2" xfId="2"/>
    <cellStyle name="Motif 2" xfId="3"/>
    <cellStyle name="Normal" xfId="0" builtinId="0"/>
    <cellStyle name="Normal 2" xfId="4"/>
    <cellStyle name="Normal 2 2" xfId="5"/>
    <cellStyle name="Normal 2 3" xfId="6"/>
    <cellStyle name="Normal 3" xfId="7"/>
    <cellStyle name="Normal 4" xfId="8"/>
    <cellStyle name="Normal 4 2" xfId="9"/>
    <cellStyle name="Normal 5" xfId="10"/>
    <cellStyle name="Normal 6" xfId="11"/>
    <cellStyle name="Percent 2" xfId="12"/>
    <cellStyle name="Pourcentage 2" xfId="13"/>
    <cellStyle name="Pourcentage 3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\Desktop\Export_elas_NACE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asticities_WIOD"/>
      <sheetName val="Pond.Inputs"/>
      <sheetName val="WIOD.NAF17"/>
      <sheetName val="WIOD.ThreeME_V3"/>
      <sheetName val="WIOD.ThreeME_V3.pond"/>
      <sheetName val="WIOD.NAF17.pond"/>
      <sheetName val="Elasticities_ThreeME_V3"/>
      <sheetName val="Elasticities_NAF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1.7756746144217423</v>
          </cell>
          <cell r="C2">
            <v>7.740914760867551E-3</v>
          </cell>
          <cell r="D2">
            <v>-0.35248862162935918</v>
          </cell>
          <cell r="E2">
            <v>-13.60525070088538</v>
          </cell>
          <cell r="F2">
            <v>-0.36568112192270952</v>
          </cell>
          <cell r="G2">
            <v>4.1663283306820649</v>
          </cell>
        </row>
        <row r="3">
          <cell r="B3">
            <v>-4.4665073043638106</v>
          </cell>
          <cell r="C3">
            <v>-3.1423882814420763</v>
          </cell>
          <cell r="D3">
            <v>-0.12440643138692584</v>
          </cell>
          <cell r="E3">
            <v>-1.4397274351083829</v>
          </cell>
          <cell r="F3">
            <v>-1.0361908273212974</v>
          </cell>
          <cell r="G3">
            <v>-0.76256753238102826</v>
          </cell>
        </row>
        <row r="4">
          <cell r="B4">
            <v>-0.40614676113623999</v>
          </cell>
          <cell r="C4">
            <v>-1.51873541652644</v>
          </cell>
          <cell r="D4">
            <v>-0.62635141344800804</v>
          </cell>
          <cell r="E4">
            <v>-2.0896776448688099</v>
          </cell>
          <cell r="F4">
            <v>-0.56421323804090295</v>
          </cell>
          <cell r="G4">
            <v>-0.38968346574436702</v>
          </cell>
        </row>
        <row r="5">
          <cell r="B5">
            <v>-0.173427036956776</v>
          </cell>
          <cell r="C5">
            <v>-0.19568185520611001</v>
          </cell>
          <cell r="D5">
            <v>-5.3895097144285198E-2</v>
          </cell>
          <cell r="E5">
            <v>-0.69661570571638598</v>
          </cell>
          <cell r="F5">
            <v>-0.11767250744322499</v>
          </cell>
          <cell r="G5">
            <v>-0.44548427706895699</v>
          </cell>
        </row>
        <row r="6">
          <cell r="B6">
            <v>-0.31585173281988493</v>
          </cell>
          <cell r="C6">
            <v>-0.38436568800576354</v>
          </cell>
          <cell r="D6">
            <v>-0.40330645361732748</v>
          </cell>
          <cell r="E6">
            <v>-3.1825802558509197E-2</v>
          </cell>
          <cell r="F6">
            <v>-0.66420000998321382</v>
          </cell>
          <cell r="G6">
            <v>-2.112472003604867</v>
          </cell>
        </row>
        <row r="7">
          <cell r="B7">
            <v>6.0874451884002324E-3</v>
          </cell>
          <cell r="C7">
            <v>1.1638603155310444E-2</v>
          </cell>
          <cell r="D7">
            <v>9.5375886560170021E-4</v>
          </cell>
          <cell r="E7">
            <v>-2.3455178105807661</v>
          </cell>
          <cell r="F7">
            <v>-1.1427634384678191</v>
          </cell>
          <cell r="G7">
            <v>-1.6556384053521311</v>
          </cell>
        </row>
        <row r="8">
          <cell r="B8">
            <v>-0.57810789081203984</v>
          </cell>
          <cell r="C8">
            <v>-0.73426434215040093</v>
          </cell>
          <cell r="D8">
            <v>-0.75161479049325652</v>
          </cell>
          <cell r="E8">
            <v>-9.2433593056742824E-3</v>
          </cell>
          <cell r="F8">
            <v>-0.34637188043476563</v>
          </cell>
          <cell r="G8">
            <v>-1.4766279241222653</v>
          </cell>
        </row>
        <row r="9">
          <cell r="B9">
            <v>-0.50548250649798199</v>
          </cell>
          <cell r="C9">
            <v>0.32714917912371999</v>
          </cell>
          <cell r="D9">
            <v>-0.66061657406083796</v>
          </cell>
          <cell r="E9">
            <v>-7.5969281034135999E-2</v>
          </cell>
          <cell r="F9">
            <v>-0.483281789504866</v>
          </cell>
          <cell r="G9">
            <v>-3.53124617180953</v>
          </cell>
        </row>
        <row r="10">
          <cell r="B10">
            <v>-0.3963831280796839</v>
          </cell>
          <cell r="C10">
            <v>-0.56329514951626236</v>
          </cell>
          <cell r="D10">
            <v>-0.52571519550249723</v>
          </cell>
          <cell r="E10">
            <v>-0.9268931718308786</v>
          </cell>
          <cell r="F10">
            <v>-0.30279932573068802</v>
          </cell>
          <cell r="G10">
            <v>-1.8469413538939583</v>
          </cell>
        </row>
        <row r="11">
          <cell r="B11">
            <v>-0.37750819800471352</v>
          </cell>
          <cell r="C11">
            <v>-0.21026927507409438</v>
          </cell>
          <cell r="D11">
            <v>-0.11591265704379763</v>
          </cell>
          <cell r="E11">
            <v>-0.54772868447772927</v>
          </cell>
          <cell r="F11">
            <v>-0.24850466645410416</v>
          </cell>
          <cell r="G11">
            <v>-2.4631530336975778</v>
          </cell>
        </row>
        <row r="12">
          <cell r="B12">
            <v>-0.455270780456344</v>
          </cell>
          <cell r="C12">
            <v>-0.25185593100681097</v>
          </cell>
          <cell r="D12">
            <v>-0.62637322562240005</v>
          </cell>
          <cell r="E12">
            <v>-0.24348303007512601</v>
          </cell>
          <cell r="F12">
            <v>-0.43495676514829501</v>
          </cell>
          <cell r="G12">
            <v>-1.84523739784618</v>
          </cell>
        </row>
        <row r="13">
          <cell r="B13">
            <v>-0.73528378813813378</v>
          </cell>
          <cell r="C13">
            <v>-0.61842791752937998</v>
          </cell>
          <cell r="D13">
            <v>-0.46667389798107922</v>
          </cell>
          <cell r="E13">
            <v>-0.30480014537287803</v>
          </cell>
          <cell r="F13">
            <v>-0.16358648595097672</v>
          </cell>
          <cell r="G13">
            <v>-1.6768037438872385</v>
          </cell>
        </row>
        <row r="14">
          <cell r="B14">
            <v>-0.55301108695816048</v>
          </cell>
          <cell r="C14">
            <v>-0.80646683309413592</v>
          </cell>
          <cell r="D14">
            <v>-0.55842952599490192</v>
          </cell>
          <cell r="E14">
            <v>-0.35110584971787079</v>
          </cell>
          <cell r="F14">
            <v>-0.32145141227475393</v>
          </cell>
          <cell r="G14">
            <v>-3.5459146390325822</v>
          </cell>
        </row>
        <row r="15">
          <cell r="B15">
            <v>-0.889687323361252</v>
          </cell>
          <cell r="C15">
            <v>-0.84602954497002003</v>
          </cell>
          <cell r="D15">
            <v>-0.97809301370123802</v>
          </cell>
          <cell r="E15">
            <v>2.7037125598525499E-2</v>
          </cell>
          <cell r="F15">
            <v>-0.13771405741435999</v>
          </cell>
          <cell r="G15">
            <v>-0.82317311300502505</v>
          </cell>
        </row>
        <row r="16">
          <cell r="B16">
            <v>-0.28414161704324226</v>
          </cell>
          <cell r="C16">
            <v>-0.24487122600532299</v>
          </cell>
          <cell r="D16">
            <v>-0.10590446421689419</v>
          </cell>
          <cell r="E16">
            <v>-0.30955353757677873</v>
          </cell>
          <cell r="F16">
            <v>-1.5254991350080727</v>
          </cell>
          <cell r="G16">
            <v>-13.540589692485707</v>
          </cell>
        </row>
        <row r="17">
          <cell r="B17">
            <v>-0.43527385855061251</v>
          </cell>
          <cell r="C17">
            <v>-0.42995384195773334</v>
          </cell>
          <cell r="D17">
            <v>-0.35327200483584098</v>
          </cell>
          <cell r="E17">
            <v>-0.9182171705271257</v>
          </cell>
          <cell r="F17">
            <v>-0.69498571065931536</v>
          </cell>
          <cell r="G17">
            <v>-4.875283520579405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tabSelected="1" zoomScale="86" zoomScaleNormal="130" workbookViewId="0">
      <selection activeCell="C9" sqref="C9"/>
    </sheetView>
  </sheetViews>
  <sheetFormatPr baseColWidth="10" defaultColWidth="11.453125" defaultRowHeight="10.5" x14ac:dyDescent="0.25"/>
  <cols>
    <col min="1" max="1" width="57.26953125" style="1" bestFit="1" customWidth="1"/>
    <col min="2" max="13" width="11.453125" style="1"/>
    <col min="14" max="14" width="11.453125" style="2"/>
    <col min="15" max="16384" width="11.453125" style="1"/>
  </cols>
  <sheetData>
    <row r="1" spans="1:8" ht="20.149999999999999" customHeight="1" x14ac:dyDescent="0.35">
      <c r="A1" s="8" t="s">
        <v>24</v>
      </c>
      <c r="B1" s="7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t="20.149999999999999" customHeight="1" x14ac:dyDescent="0.35">
      <c r="A2" s="3" t="s">
        <v>6</v>
      </c>
      <c r="B2" s="5" t="s">
        <v>25</v>
      </c>
      <c r="C2" s="6">
        <f>[1]Elasticities_NAF17!B2</f>
        <v>1.7756746144217423</v>
      </c>
      <c r="D2" s="6">
        <f>[1]Elasticities_NAF17!C2</f>
        <v>7.740914760867551E-3</v>
      </c>
      <c r="E2" s="6">
        <f>[1]Elasticities_NAF17!D2</f>
        <v>-0.35248862162935918</v>
      </c>
      <c r="F2" s="6">
        <f>[1]Elasticities_NAF17!E2</f>
        <v>-13.60525070088538</v>
      </c>
      <c r="G2" s="6">
        <f>[1]Elasticities_NAF17!F2</f>
        <v>-0.36568112192270952</v>
      </c>
      <c r="H2" s="6">
        <f>[1]Elasticities_NAF17!G2</f>
        <v>4.1663283306820649</v>
      </c>
    </row>
    <row r="3" spans="1:8" ht="20.149999999999999" customHeight="1" x14ac:dyDescent="0.35">
      <c r="A3" s="3" t="s">
        <v>7</v>
      </c>
      <c r="B3" s="5" t="s">
        <v>27</v>
      </c>
      <c r="C3" s="6">
        <f>[1]Elasticities_NAF17!B3</f>
        <v>-4.4665073043638106</v>
      </c>
      <c r="D3" s="6">
        <f>[1]Elasticities_NAF17!C3</f>
        <v>-3.1423882814420763</v>
      </c>
      <c r="E3" s="6">
        <f>[1]Elasticities_NAF17!D3</f>
        <v>-0.12440643138692584</v>
      </c>
      <c r="F3" s="6">
        <f>[1]Elasticities_NAF17!E3</f>
        <v>-1.4397274351083829</v>
      </c>
      <c r="G3" s="6">
        <f>[1]Elasticities_NAF17!F3</f>
        <v>-1.0361908273212974</v>
      </c>
      <c r="H3" s="6">
        <f>[1]Elasticities_NAF17!G3</f>
        <v>-0.76256753238102826</v>
      </c>
    </row>
    <row r="4" spans="1:8" ht="20.149999999999999" customHeight="1" x14ac:dyDescent="0.35">
      <c r="A4" s="3" t="s">
        <v>8</v>
      </c>
      <c r="B4" s="5" t="s">
        <v>28</v>
      </c>
      <c r="C4" s="6">
        <f>[1]Elasticities_NAF17!B4</f>
        <v>-0.40614676113623999</v>
      </c>
      <c r="D4" s="6">
        <f>[1]Elasticities_NAF17!C4</f>
        <v>-1.51873541652644</v>
      </c>
      <c r="E4" s="6">
        <f>[1]Elasticities_NAF17!D4</f>
        <v>-0.62635141344800804</v>
      </c>
      <c r="F4" s="6">
        <f>[1]Elasticities_NAF17!E4</f>
        <v>-2.0896776448688099</v>
      </c>
      <c r="G4" s="6">
        <f>[1]Elasticities_NAF17!F4</f>
        <v>-0.56421323804090295</v>
      </c>
      <c r="H4" s="6">
        <f>[1]Elasticities_NAF17!G4</f>
        <v>-0.38968346574436702</v>
      </c>
    </row>
    <row r="5" spans="1:8" ht="20.149999999999999" customHeight="1" x14ac:dyDescent="0.35">
      <c r="A5" s="3" t="s">
        <v>9</v>
      </c>
      <c r="B5" s="5" t="s">
        <v>29</v>
      </c>
      <c r="C5" s="6">
        <f>[1]Elasticities_NAF17!B5</f>
        <v>-0.173427036956776</v>
      </c>
      <c r="D5" s="6">
        <f>[1]Elasticities_NAF17!C5</f>
        <v>-0.19568185520611001</v>
      </c>
      <c r="E5" s="6">
        <f>[1]Elasticities_NAF17!D5</f>
        <v>-5.3895097144285198E-2</v>
      </c>
      <c r="F5" s="6">
        <f>[1]Elasticities_NAF17!E5</f>
        <v>-0.69661570571638598</v>
      </c>
      <c r="G5" s="6">
        <f>[1]Elasticities_NAF17!F5</f>
        <v>-0.11767250744322499</v>
      </c>
      <c r="H5" s="6">
        <f>[1]Elasticities_NAF17!G5</f>
        <v>-0.44548427706895699</v>
      </c>
    </row>
    <row r="6" spans="1:8" ht="20.149999999999999" customHeight="1" x14ac:dyDescent="0.35">
      <c r="A6" s="3" t="s">
        <v>10</v>
      </c>
      <c r="B6" s="5" t="s">
        <v>30</v>
      </c>
      <c r="C6" s="6">
        <f>[1]Elasticities_NAF17!B6</f>
        <v>-0.31585173281988493</v>
      </c>
      <c r="D6" s="6">
        <f>[1]Elasticities_NAF17!C6</f>
        <v>-0.38436568800576354</v>
      </c>
      <c r="E6" s="6">
        <f>[1]Elasticities_NAF17!D6</f>
        <v>-0.40330645361732748</v>
      </c>
      <c r="F6" s="6">
        <f>[1]Elasticities_NAF17!E6</f>
        <v>-3.1825802558509197E-2</v>
      </c>
      <c r="G6" s="6">
        <f>[1]Elasticities_NAF17!F6</f>
        <v>-0.66420000998321382</v>
      </c>
      <c r="H6" s="6">
        <f>[1]Elasticities_NAF17!G6</f>
        <v>-2.112472003604867</v>
      </c>
    </row>
    <row r="7" spans="1:8" ht="20.149999999999999" customHeight="1" x14ac:dyDescent="0.35">
      <c r="A7" s="3" t="s">
        <v>11</v>
      </c>
      <c r="B7" s="5" t="s">
        <v>31</v>
      </c>
      <c r="C7" s="6">
        <f>[1]Elasticities_NAF17!B7</f>
        <v>6.0874451884002324E-3</v>
      </c>
      <c r="D7" s="6">
        <f>[1]Elasticities_NAF17!C7</f>
        <v>1.1638603155310444E-2</v>
      </c>
      <c r="E7" s="6">
        <f>[1]Elasticities_NAF17!D7</f>
        <v>9.5375886560170021E-4</v>
      </c>
      <c r="F7" s="6">
        <f>[1]Elasticities_NAF17!E7</f>
        <v>-2.3455178105807661</v>
      </c>
      <c r="G7" s="6">
        <f>[1]Elasticities_NAF17!F7</f>
        <v>-1.1427634384678191</v>
      </c>
      <c r="H7" s="6">
        <f>[1]Elasticities_NAF17!G7</f>
        <v>-1.6556384053521311</v>
      </c>
    </row>
    <row r="8" spans="1:8" ht="20.149999999999999" customHeight="1" x14ac:dyDescent="0.35">
      <c r="A8" s="3" t="s">
        <v>12</v>
      </c>
      <c r="B8" s="5" t="s">
        <v>32</v>
      </c>
      <c r="C8" s="6">
        <f>[1]Elasticities_NAF17!B8</f>
        <v>-0.57810789081203984</v>
      </c>
      <c r="D8" s="6">
        <f>[1]Elasticities_NAF17!C8</f>
        <v>-0.73426434215040093</v>
      </c>
      <c r="E8" s="6">
        <f>[1]Elasticities_NAF17!D8</f>
        <v>-0.75161479049325652</v>
      </c>
      <c r="F8" s="6">
        <f>[1]Elasticities_NAF17!E8</f>
        <v>-9.2433593056742824E-3</v>
      </c>
      <c r="G8" s="6">
        <f>[1]Elasticities_NAF17!F8</f>
        <v>-0.34637188043476563</v>
      </c>
      <c r="H8" s="6">
        <f>[1]Elasticities_NAF17!G8</f>
        <v>-1.4766279241222653</v>
      </c>
    </row>
    <row r="9" spans="1:8" ht="20.149999999999999" customHeight="1" x14ac:dyDescent="0.35">
      <c r="A9" s="3" t="s">
        <v>13</v>
      </c>
      <c r="B9" s="5" t="s">
        <v>33</v>
      </c>
      <c r="C9" s="6">
        <f>[1]Elasticities_NAF17!B9</f>
        <v>-0.50548250649798199</v>
      </c>
      <c r="D9" s="6">
        <f>[1]Elasticities_NAF17!C9</f>
        <v>0.32714917912371999</v>
      </c>
      <c r="E9" s="6">
        <f>[1]Elasticities_NAF17!D9</f>
        <v>-0.66061657406083796</v>
      </c>
      <c r="F9" s="6">
        <f>[1]Elasticities_NAF17!E9</f>
        <v>-7.5969281034135999E-2</v>
      </c>
      <c r="G9" s="6">
        <f>[1]Elasticities_NAF17!F9</f>
        <v>-0.483281789504866</v>
      </c>
      <c r="H9" s="6">
        <f>[1]Elasticities_NAF17!G9</f>
        <v>-3.53124617180953</v>
      </c>
    </row>
    <row r="10" spans="1:8" ht="20.149999999999999" customHeight="1" x14ac:dyDescent="0.35">
      <c r="A10" s="3" t="s">
        <v>14</v>
      </c>
      <c r="B10" s="5" t="s">
        <v>34</v>
      </c>
      <c r="C10" s="6">
        <f>[1]Elasticities_NAF17!B10</f>
        <v>-0.3963831280796839</v>
      </c>
      <c r="D10" s="6">
        <f>[1]Elasticities_NAF17!C10</f>
        <v>-0.56329514951626236</v>
      </c>
      <c r="E10" s="6">
        <f>[1]Elasticities_NAF17!D10</f>
        <v>-0.52571519550249723</v>
      </c>
      <c r="F10" s="6">
        <f>[1]Elasticities_NAF17!E10</f>
        <v>-0.9268931718308786</v>
      </c>
      <c r="G10" s="6">
        <f>[1]Elasticities_NAF17!F10</f>
        <v>-0.30279932573068802</v>
      </c>
      <c r="H10" s="6">
        <f>[1]Elasticities_NAF17!G10</f>
        <v>-1.8469413538939583</v>
      </c>
    </row>
    <row r="11" spans="1:8" ht="20.149999999999999" customHeight="1" x14ac:dyDescent="0.35">
      <c r="A11" s="3" t="s">
        <v>15</v>
      </c>
      <c r="B11" s="5" t="s">
        <v>35</v>
      </c>
      <c r="C11" s="6">
        <f>[1]Elasticities_NAF17!B11</f>
        <v>-0.37750819800471352</v>
      </c>
      <c r="D11" s="6">
        <f>[1]Elasticities_NAF17!C11</f>
        <v>-0.21026927507409438</v>
      </c>
      <c r="E11" s="6">
        <f>[1]Elasticities_NAF17!D11</f>
        <v>-0.11591265704379763</v>
      </c>
      <c r="F11" s="6">
        <f>[1]Elasticities_NAF17!E11</f>
        <v>-0.54772868447772927</v>
      </c>
      <c r="G11" s="6">
        <f>[1]Elasticities_NAF17!F11</f>
        <v>-0.24850466645410416</v>
      </c>
      <c r="H11" s="6">
        <f>[1]Elasticities_NAF17!G11</f>
        <v>-2.4631530336975778</v>
      </c>
    </row>
    <row r="12" spans="1:8" ht="20.149999999999999" customHeight="1" x14ac:dyDescent="0.35">
      <c r="A12" s="3" t="s">
        <v>16</v>
      </c>
      <c r="B12" s="5" t="s">
        <v>36</v>
      </c>
      <c r="C12" s="6">
        <f>[1]Elasticities_NAF17!B12</f>
        <v>-0.455270780456344</v>
      </c>
      <c r="D12" s="6">
        <f>[1]Elasticities_NAF17!C12</f>
        <v>-0.25185593100681097</v>
      </c>
      <c r="E12" s="6">
        <f>[1]Elasticities_NAF17!D12</f>
        <v>-0.62637322562240005</v>
      </c>
      <c r="F12" s="6">
        <f>[1]Elasticities_NAF17!E12</f>
        <v>-0.24348303007512601</v>
      </c>
      <c r="G12" s="6">
        <f>[1]Elasticities_NAF17!F12</f>
        <v>-0.43495676514829501</v>
      </c>
      <c r="H12" s="6">
        <f>[1]Elasticities_NAF17!G12</f>
        <v>-1.84523739784618</v>
      </c>
    </row>
    <row r="13" spans="1:8" ht="20.149999999999999" customHeight="1" x14ac:dyDescent="0.35">
      <c r="A13" s="4" t="s">
        <v>17</v>
      </c>
      <c r="B13" s="5" t="s">
        <v>37</v>
      </c>
      <c r="C13" s="6">
        <f>[1]Elasticities_NAF17!B13</f>
        <v>-0.73528378813813378</v>
      </c>
      <c r="D13" s="6">
        <f>[1]Elasticities_NAF17!C13</f>
        <v>-0.61842791752937998</v>
      </c>
      <c r="E13" s="6">
        <f>[1]Elasticities_NAF17!D13</f>
        <v>-0.46667389798107922</v>
      </c>
      <c r="F13" s="6">
        <f>[1]Elasticities_NAF17!E13</f>
        <v>-0.30480014537287803</v>
      </c>
      <c r="G13" s="6">
        <f>[1]Elasticities_NAF17!F13</f>
        <v>-0.16358648595097672</v>
      </c>
      <c r="H13" s="6">
        <f>[1]Elasticities_NAF17!G13</f>
        <v>-1.6768037438872385</v>
      </c>
    </row>
    <row r="14" spans="1:8" ht="20.149999999999999" customHeight="1" x14ac:dyDescent="0.35">
      <c r="A14" s="4" t="s">
        <v>18</v>
      </c>
      <c r="B14" s="5" t="s">
        <v>38</v>
      </c>
      <c r="C14" s="6">
        <f>[1]Elasticities_NAF17!B14</f>
        <v>-0.55301108695816048</v>
      </c>
      <c r="D14" s="6">
        <f>[1]Elasticities_NAF17!C14</f>
        <v>-0.80646683309413592</v>
      </c>
      <c r="E14" s="6">
        <f>[1]Elasticities_NAF17!D14</f>
        <v>-0.55842952599490192</v>
      </c>
      <c r="F14" s="6">
        <f>[1]Elasticities_NAF17!E14</f>
        <v>-0.35110584971787079</v>
      </c>
      <c r="G14" s="6">
        <f>[1]Elasticities_NAF17!F14</f>
        <v>-0.32145141227475393</v>
      </c>
      <c r="H14" s="6">
        <f>[1]Elasticities_NAF17!G14</f>
        <v>-3.5459146390325822</v>
      </c>
    </row>
    <row r="15" spans="1:8" ht="20.149999999999999" customHeight="1" x14ac:dyDescent="0.35">
      <c r="A15" s="4" t="s">
        <v>19</v>
      </c>
      <c r="B15" s="5" t="s">
        <v>39</v>
      </c>
      <c r="C15" s="6">
        <f>[1]Elasticities_NAF17!B15</f>
        <v>-0.889687323361252</v>
      </c>
      <c r="D15" s="6">
        <f>[1]Elasticities_NAF17!C15</f>
        <v>-0.84602954497002003</v>
      </c>
      <c r="E15" s="6">
        <f>[1]Elasticities_NAF17!D15</f>
        <v>-0.97809301370123802</v>
      </c>
      <c r="F15" s="6">
        <f>[1]Elasticities_NAF17!E15</f>
        <v>2.7037125598525499E-2</v>
      </c>
      <c r="G15" s="6">
        <f>[1]Elasticities_NAF17!F15</f>
        <v>-0.13771405741435999</v>
      </c>
      <c r="H15" s="6">
        <f>[1]Elasticities_NAF17!G15</f>
        <v>-0.82317311300502505</v>
      </c>
    </row>
    <row r="16" spans="1:8" ht="20.149999999999999" customHeight="1" x14ac:dyDescent="0.35">
      <c r="A16" s="4" t="s">
        <v>20</v>
      </c>
      <c r="B16" s="5" t="s">
        <v>40</v>
      </c>
      <c r="C16" s="6">
        <f>[1]Elasticities_NAF17!B16</f>
        <v>-0.28414161704324226</v>
      </c>
      <c r="D16" s="6">
        <f>[1]Elasticities_NAF17!C16</f>
        <v>-0.24487122600532299</v>
      </c>
      <c r="E16" s="6">
        <f>[1]Elasticities_NAF17!D16</f>
        <v>-0.10590446421689419</v>
      </c>
      <c r="F16" s="6">
        <f>[1]Elasticities_NAF17!E16</f>
        <v>-0.30955353757677873</v>
      </c>
      <c r="G16" s="6">
        <f>[1]Elasticities_NAF17!F16</f>
        <v>-1.5254991350080727</v>
      </c>
      <c r="H16" s="6">
        <f>[1]Elasticities_NAF17!G16</f>
        <v>-13.540589692485707</v>
      </c>
    </row>
    <row r="17" spans="1:8" ht="20.149999999999999" customHeight="1" x14ac:dyDescent="0.35">
      <c r="A17" s="4" t="s">
        <v>21</v>
      </c>
      <c r="B17" s="5" t="s">
        <v>41</v>
      </c>
      <c r="C17" s="6">
        <f>[1]Elasticities_NAF17!B17</f>
        <v>-0.43527385855061251</v>
      </c>
      <c r="D17" s="6">
        <f>[1]Elasticities_NAF17!C17</f>
        <v>-0.42995384195773334</v>
      </c>
      <c r="E17" s="6">
        <f>[1]Elasticities_NAF17!D17</f>
        <v>-0.35327200483584098</v>
      </c>
      <c r="F17" s="6">
        <f>[1]Elasticities_NAF17!E17</f>
        <v>-0.9182171705271257</v>
      </c>
      <c r="G17" s="6">
        <f>[1]Elasticities_NAF17!F17</f>
        <v>-0.69498571065931536</v>
      </c>
      <c r="H17" s="6">
        <f>[1]Elasticities_NAF17!G17</f>
        <v>-4.875283520579405</v>
      </c>
    </row>
    <row r="18" spans="1:8" ht="20.149999999999999" customHeight="1" x14ac:dyDescent="0.35">
      <c r="A18" s="4" t="s">
        <v>22</v>
      </c>
      <c r="B18" s="5" t="s">
        <v>26</v>
      </c>
      <c r="C18" s="6">
        <f>[1]Elasticities_NAF17!B18</f>
        <v>0</v>
      </c>
      <c r="D18" s="6">
        <f>[1]Elasticities_NAF17!C18</f>
        <v>0</v>
      </c>
      <c r="E18" s="6">
        <f>[1]Elasticities_NAF17!D18</f>
        <v>0</v>
      </c>
      <c r="F18" s="6">
        <f>[1]Elasticities_NAF17!E18</f>
        <v>0</v>
      </c>
      <c r="G18" s="6">
        <f>[1]Elasticities_NAF17!F18</f>
        <v>0</v>
      </c>
      <c r="H18" s="6">
        <f>[1]Elasticities_NAF17!G18</f>
        <v>0</v>
      </c>
    </row>
    <row r="19" spans="1:8" ht="14.5" x14ac:dyDescent="0.35">
      <c r="B19" s="5"/>
      <c r="C19" s="6"/>
      <c r="D19" s="6"/>
      <c r="E19" s="6"/>
      <c r="F19" s="6"/>
      <c r="G19" s="6"/>
      <c r="H19" s="6"/>
    </row>
    <row r="20" spans="1:8" ht="14.5" x14ac:dyDescent="0.35">
      <c r="B20" s="5"/>
    </row>
    <row r="21" spans="1:8" ht="14.5" x14ac:dyDescent="0.35">
      <c r="B21" s="5"/>
    </row>
    <row r="22" spans="1:8" ht="14.5" x14ac:dyDescent="0.35">
      <c r="B22" s="5"/>
    </row>
    <row r="23" spans="1:8" ht="14.5" x14ac:dyDescent="0.35">
      <c r="B23" s="5"/>
    </row>
    <row r="24" spans="1:8" ht="14.5" x14ac:dyDescent="0.35">
      <c r="B24" s="5"/>
    </row>
    <row r="25" spans="1:8" ht="14.5" x14ac:dyDescent="0.35">
      <c r="B25" s="5"/>
    </row>
    <row r="26" spans="1:8" ht="14.5" x14ac:dyDescent="0.35">
      <c r="B26" s="5"/>
    </row>
    <row r="27" spans="1:8" ht="14.5" x14ac:dyDescent="0.35">
      <c r="B27" s="5"/>
    </row>
    <row r="28" spans="1:8" ht="14.5" x14ac:dyDescent="0.35">
      <c r="B28" s="5"/>
    </row>
    <row r="29" spans="1:8" ht="14.5" x14ac:dyDescent="0.35">
      <c r="B29" s="5"/>
    </row>
    <row r="30" spans="1:8" ht="14.5" x14ac:dyDescent="0.35">
      <c r="B30" s="5"/>
    </row>
    <row r="31" spans="1:8" ht="14.5" x14ac:dyDescent="0.35">
      <c r="B31" s="5"/>
    </row>
    <row r="32" spans="1:8" ht="14.5" x14ac:dyDescent="0.35">
      <c r="B32" s="5"/>
    </row>
    <row r="33" spans="2:2" ht="14.5" x14ac:dyDescent="0.35">
      <c r="B33" s="5"/>
    </row>
    <row r="34" spans="2:2" ht="14.5" x14ac:dyDescent="0.35">
      <c r="B34" s="5"/>
    </row>
    <row r="35" spans="2:2" ht="14.5" x14ac:dyDescent="0.35">
      <c r="B35" s="5"/>
    </row>
    <row r="36" spans="2:2" ht="14.5" x14ac:dyDescent="0.35">
      <c r="B36" s="5"/>
    </row>
    <row r="37" spans="2:2" ht="14.5" x14ac:dyDescent="0.35">
      <c r="B37" s="5"/>
    </row>
    <row r="38" spans="2:2" ht="14.5" x14ac:dyDescent="0.35">
      <c r="B38" s="5"/>
    </row>
    <row r="39" spans="2:2" ht="14.5" x14ac:dyDescent="0.35">
      <c r="B39" s="5"/>
    </row>
    <row r="40" spans="2:2" ht="14.5" x14ac:dyDescent="0.35">
      <c r="B40" s="5"/>
    </row>
    <row r="41" spans="2:2" ht="14.5" x14ac:dyDescent="0.35">
      <c r="B41" s="5"/>
    </row>
    <row r="42" spans="2:2" ht="14.5" x14ac:dyDescent="0.35">
      <c r="B42" s="5"/>
    </row>
    <row r="43" spans="2:2" ht="14.5" x14ac:dyDescent="0.35">
      <c r="B43" s="5"/>
    </row>
    <row r="44" spans="2:2" ht="14.5" x14ac:dyDescent="0.35">
      <c r="B44" s="5"/>
    </row>
    <row r="45" spans="2:2" ht="14.5" x14ac:dyDescent="0.35">
      <c r="B45" s="5"/>
    </row>
    <row r="46" spans="2:2" ht="14.5" x14ac:dyDescent="0.35">
      <c r="B46" s="5"/>
    </row>
    <row r="47" spans="2:2" ht="14.5" x14ac:dyDescent="0.35">
      <c r="B47" s="5"/>
    </row>
    <row r="48" spans="2:2" ht="14.5" x14ac:dyDescent="0.35">
      <c r="B48" s="5"/>
    </row>
    <row r="49" spans="2:2" ht="14.5" x14ac:dyDescent="0.35">
      <c r="B49" s="5"/>
    </row>
    <row r="50" spans="2:2" ht="14.5" x14ac:dyDescent="0.35">
      <c r="B50" s="5"/>
    </row>
    <row r="51" spans="2:2" ht="14.5" x14ac:dyDescent="0.35">
      <c r="B51" s="5"/>
    </row>
    <row r="52" spans="2:2" ht="14.5" x14ac:dyDescent="0.35">
      <c r="B52" s="5"/>
    </row>
    <row r="53" spans="2:2" ht="14.5" x14ac:dyDescent="0.35">
      <c r="B53" s="5"/>
    </row>
    <row r="54" spans="2:2" ht="14.5" x14ac:dyDescent="0.35">
      <c r="B54" s="5"/>
    </row>
    <row r="55" spans="2:2" ht="14.5" x14ac:dyDescent="0.35">
      <c r="B55" s="5"/>
    </row>
    <row r="56" spans="2:2" ht="14.5" x14ac:dyDescent="0.35">
      <c r="B56" s="5"/>
    </row>
    <row r="57" spans="2:2" ht="14.5" x14ac:dyDescent="0.35">
      <c r="B57" s="5"/>
    </row>
    <row r="58" spans="2:2" ht="14.5" x14ac:dyDescent="0.35">
      <c r="B58" s="5"/>
    </row>
    <row r="59" spans="2:2" ht="14.5" x14ac:dyDescent="0.35">
      <c r="B59" s="5"/>
    </row>
    <row r="60" spans="2:2" ht="14.5" x14ac:dyDescent="0.35">
      <c r="B60" s="5"/>
    </row>
  </sheetData>
  <pageMargins left="0.7" right="0.7" top="0.75" bottom="0.75" header="0.3" footer="0.3"/>
  <pageSetup paperSize="9"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2021-11-29T08:50:20Z</dcterms:modified>
</cp:coreProperties>
</file>