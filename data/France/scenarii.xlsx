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SERVICES\DEPR\ECHANGES\7-FINANCEMENT\Life\5_Travaux\WP C2\Action C2.3\2021-03 Risque de transition désordonnée\Final\NZ50\"/>
    </mc:Choice>
  </mc:AlternateContent>
  <bookViews>
    <workbookView xWindow="32760" yWindow="32760" windowWidth="28800" windowHeight="11870" activeTab="1"/>
  </bookViews>
  <sheets>
    <sheet name="baseline" sheetId="1" r:id="rId1"/>
    <sheet name="nz50" sheetId="8" r:id="rId2"/>
    <sheet name="prix" sheetId="10" r:id="rId3"/>
    <sheet name="carbontax_s1" sheetId="9" r:id="rId4"/>
    <sheet name="baseline_fittarget" sheetId="2" r:id="rId5"/>
    <sheet name="share_elec_enr" sheetId="7" r:id="rId6"/>
  </sheets>
  <externalReferences>
    <externalReference r:id="rId7"/>
    <externalReference r:id="rId8"/>
  </externalReferences>
  <calcPr calcId="162913"/>
</workbook>
</file>

<file path=xl/calcChain.xml><?xml version="1.0" encoding="utf-8"?>
<calcChain xmlns="http://schemas.openxmlformats.org/spreadsheetml/2006/main">
  <c r="AL61" i="8" l="1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65" i="1"/>
  <c r="C66" i="1"/>
  <c r="C52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54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4" i="8"/>
  <c r="A5" i="8"/>
  <c r="A59" i="1"/>
  <c r="A58" i="1"/>
  <c r="A57" i="1"/>
  <c r="A56" i="1"/>
  <c r="A55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C73" i="1"/>
  <c r="C72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D23" i="10"/>
  <c r="E23" i="10"/>
  <c r="F23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D21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D19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H18" i="10"/>
  <c r="I18" i="10"/>
  <c r="F18" i="10"/>
  <c r="G18" i="10"/>
  <c r="E18" i="10"/>
  <c r="D18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E17" i="10"/>
  <c r="D17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D16" i="10"/>
  <c r="E16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G15" i="10"/>
  <c r="H15" i="10"/>
  <c r="D15" i="10"/>
  <c r="E15" i="10"/>
  <c r="F15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D13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E11" i="10"/>
  <c r="F11" i="10"/>
  <c r="D11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E10" i="10"/>
  <c r="D10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D9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D7" i="10"/>
  <c r="E7" i="10"/>
  <c r="F7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E3" i="10"/>
  <c r="D3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C35" i="1"/>
  <c r="AD35" i="1"/>
  <c r="AE35" i="1"/>
  <c r="AF35" i="1"/>
  <c r="AG35" i="1"/>
  <c r="AH35" i="1"/>
  <c r="AI35" i="1"/>
  <c r="AJ35" i="1"/>
  <c r="AK35" i="1"/>
  <c r="AL35" i="1"/>
  <c r="AC34" i="1"/>
  <c r="AD34" i="1"/>
  <c r="AE34" i="1"/>
  <c r="AF34" i="1"/>
  <c r="AG34" i="1"/>
  <c r="AH34" i="1"/>
  <c r="AI34" i="1"/>
  <c r="AJ34" i="1"/>
  <c r="AK34" i="1"/>
  <c r="AL34" i="1"/>
  <c r="AC33" i="1"/>
  <c r="AD33" i="1"/>
  <c r="AE33" i="1"/>
  <c r="AF33" i="1"/>
  <c r="AG33" i="1"/>
  <c r="AH33" i="1"/>
  <c r="AI33" i="1"/>
  <c r="AJ33" i="1"/>
  <c r="AK33" i="1"/>
  <c r="AL33" i="1"/>
  <c r="AC32" i="1"/>
  <c r="AD32" i="1"/>
  <c r="AE32" i="1"/>
  <c r="AF32" i="1"/>
  <c r="AG32" i="1"/>
  <c r="AH32" i="1"/>
  <c r="AI32" i="1"/>
  <c r="AJ32" i="1"/>
  <c r="AK32" i="1"/>
  <c r="AL32" i="1"/>
  <c r="AC31" i="1"/>
  <c r="AD31" i="1"/>
  <c r="AE31" i="1"/>
  <c r="AF31" i="1"/>
  <c r="AG31" i="1"/>
  <c r="AH31" i="1"/>
  <c r="AI31" i="1"/>
  <c r="AJ31" i="1"/>
  <c r="AK31" i="1"/>
  <c r="AL31" i="1"/>
  <c r="AC30" i="1"/>
  <c r="AD30" i="1"/>
  <c r="AE30" i="1"/>
  <c r="AF30" i="1"/>
  <c r="AG30" i="1"/>
  <c r="AH30" i="1"/>
  <c r="AI30" i="1"/>
  <c r="AJ30" i="1"/>
  <c r="AK30" i="1"/>
  <c r="AL30" i="1"/>
  <c r="AC29" i="1"/>
  <c r="AD29" i="1"/>
  <c r="AE29" i="1"/>
  <c r="AF29" i="1"/>
  <c r="AG29" i="1"/>
  <c r="AH29" i="1"/>
  <c r="AI29" i="1"/>
  <c r="AJ29" i="1"/>
  <c r="AK29" i="1"/>
  <c r="AL29" i="1"/>
  <c r="AC28" i="1"/>
  <c r="AD28" i="1"/>
  <c r="AE28" i="1"/>
  <c r="AF28" i="1"/>
  <c r="AG28" i="1"/>
  <c r="AH28" i="1"/>
  <c r="AI28" i="1"/>
  <c r="AJ28" i="1"/>
  <c r="AK28" i="1"/>
  <c r="AL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60" i="1"/>
  <c r="A61" i="1"/>
  <c r="A62" i="1"/>
  <c r="A63" i="1"/>
  <c r="I35" i="1"/>
  <c r="J35" i="1"/>
  <c r="K35" i="1"/>
  <c r="L35" i="1"/>
  <c r="I34" i="1"/>
  <c r="J34" i="1"/>
  <c r="K34" i="1"/>
  <c r="L34" i="1"/>
  <c r="I33" i="1"/>
  <c r="J33" i="1"/>
  <c r="K33" i="1"/>
  <c r="L33" i="1"/>
  <c r="I32" i="1"/>
  <c r="J32" i="1"/>
  <c r="K32" i="1"/>
  <c r="L32" i="1"/>
  <c r="I31" i="1"/>
  <c r="J31" i="1"/>
  <c r="K31" i="1"/>
  <c r="L31" i="1"/>
  <c r="I30" i="1"/>
  <c r="J30" i="1"/>
  <c r="K30" i="1"/>
  <c r="L30" i="1"/>
  <c r="I29" i="1"/>
  <c r="J29" i="1"/>
  <c r="K29" i="1"/>
  <c r="L29" i="1"/>
  <c r="I28" i="1"/>
  <c r="J28" i="1"/>
  <c r="K28" i="1"/>
  <c r="L28" i="1"/>
  <c r="D35" i="1"/>
  <c r="E35" i="1"/>
  <c r="F35" i="1"/>
  <c r="G35" i="1"/>
  <c r="D34" i="1"/>
  <c r="E34" i="1"/>
  <c r="F34" i="1"/>
  <c r="G34" i="1"/>
  <c r="D33" i="1"/>
  <c r="E33" i="1"/>
  <c r="F33" i="1"/>
  <c r="G33" i="1"/>
  <c r="D32" i="1"/>
  <c r="E32" i="1"/>
  <c r="F32" i="1"/>
  <c r="G32" i="1"/>
  <c r="D31" i="1"/>
  <c r="E31" i="1"/>
  <c r="F31" i="1"/>
  <c r="G31" i="1"/>
  <c r="D30" i="1"/>
  <c r="E30" i="1"/>
  <c r="F30" i="1"/>
  <c r="G30" i="1"/>
  <c r="D29" i="1"/>
  <c r="E29" i="1"/>
  <c r="F29" i="1"/>
  <c r="G29" i="1"/>
  <c r="D28" i="1"/>
  <c r="E28" i="1"/>
  <c r="F28" i="1"/>
  <c r="G28" i="1"/>
  <c r="AL10" i="7"/>
  <c r="AL2" i="9"/>
  <c r="R2" i="9"/>
  <c r="H2" i="9"/>
  <c r="A2" i="9"/>
  <c r="A1" i="9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I99" i="8"/>
  <c r="I98" i="8"/>
  <c r="I97" i="8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109" i="1"/>
  <c r="A110" i="1"/>
  <c r="A111" i="1"/>
  <c r="A112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2" i="7"/>
  <c r="A3" i="7"/>
  <c r="A4" i="7"/>
  <c r="A5" i="7"/>
  <c r="A6" i="7"/>
  <c r="A7" i="7"/>
  <c r="A8" i="7"/>
  <c r="A9" i="7"/>
  <c r="A10" i="7"/>
  <c r="A31" i="2"/>
  <c r="A2" i="1"/>
  <c r="A27" i="2"/>
  <c r="A28" i="2"/>
  <c r="A29" i="2"/>
  <c r="A30" i="2"/>
  <c r="A22" i="2"/>
  <c r="A23" i="2"/>
  <c r="A24" i="2"/>
  <c r="A25" i="2"/>
  <c r="A26" i="2"/>
  <c r="A18" i="2"/>
  <c r="A19" i="2"/>
  <c r="A20" i="2"/>
  <c r="A21" i="2"/>
  <c r="A16" i="2"/>
  <c r="A17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A1" i="7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1" i="1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5" i="8"/>
  <c r="A36" i="8"/>
  <c r="A6" i="8"/>
  <c r="A7" i="8"/>
  <c r="A8" i="8"/>
  <c r="A9" i="8"/>
  <c r="A10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1" i="8"/>
  <c r="H63" i="8" l="1"/>
  <c r="H53" i="8"/>
  <c r="AB64" i="8"/>
  <c r="AB54" i="8"/>
  <c r="G63" i="8"/>
  <c r="G53" i="8"/>
  <c r="O63" i="8"/>
  <c r="O53" i="8"/>
  <c r="W63" i="8"/>
  <c r="W53" i="8"/>
  <c r="AE63" i="8"/>
  <c r="AE53" i="8"/>
  <c r="C64" i="8"/>
  <c r="C54" i="8"/>
  <c r="K64" i="8"/>
  <c r="K54" i="8"/>
  <c r="S64" i="8"/>
  <c r="S54" i="8"/>
  <c r="AA64" i="8"/>
  <c r="AA54" i="8"/>
  <c r="AI64" i="8"/>
  <c r="AI54" i="8"/>
  <c r="G65" i="8"/>
  <c r="G57" i="8"/>
  <c r="O65" i="8"/>
  <c r="O57" i="8"/>
  <c r="W65" i="8"/>
  <c r="W57" i="8"/>
  <c r="AE65" i="8"/>
  <c r="AE57" i="8"/>
  <c r="D64" i="8"/>
  <c r="D54" i="8"/>
  <c r="AF65" i="8"/>
  <c r="AF57" i="8"/>
  <c r="I63" i="8"/>
  <c r="I53" i="8"/>
  <c r="Q63" i="8"/>
  <c r="Q53" i="8"/>
  <c r="Y63" i="8"/>
  <c r="Y53" i="8"/>
  <c r="AG63" i="8"/>
  <c r="AG53" i="8"/>
  <c r="E64" i="8"/>
  <c r="E54" i="8"/>
  <c r="M64" i="8"/>
  <c r="M54" i="8"/>
  <c r="U64" i="8"/>
  <c r="U54" i="8"/>
  <c r="AC64" i="8"/>
  <c r="AC54" i="8"/>
  <c r="AK64" i="8"/>
  <c r="AK54" i="8"/>
  <c r="I65" i="8"/>
  <c r="I57" i="8"/>
  <c r="Q65" i="8"/>
  <c r="Q57" i="8"/>
  <c r="Y65" i="8"/>
  <c r="Y57" i="8"/>
  <c r="AG65" i="8"/>
  <c r="AG57" i="8"/>
  <c r="L64" i="8"/>
  <c r="L54" i="8"/>
  <c r="X65" i="8"/>
  <c r="X57" i="8"/>
  <c r="J63" i="8"/>
  <c r="J53" i="8"/>
  <c r="R63" i="8"/>
  <c r="R53" i="8"/>
  <c r="Z63" i="8"/>
  <c r="Z53" i="8"/>
  <c r="AH63" i="8"/>
  <c r="AH53" i="8"/>
  <c r="F64" i="8"/>
  <c r="F54" i="8"/>
  <c r="N64" i="8"/>
  <c r="N54" i="8"/>
  <c r="V64" i="8"/>
  <c r="V54" i="8"/>
  <c r="AD64" i="8"/>
  <c r="AD54" i="8"/>
  <c r="AL64" i="8"/>
  <c r="AL54" i="8"/>
  <c r="J65" i="8"/>
  <c r="J57" i="8"/>
  <c r="R65" i="8"/>
  <c r="R57" i="8"/>
  <c r="Z65" i="8"/>
  <c r="Z57" i="8"/>
  <c r="AH65" i="8"/>
  <c r="AH57" i="8"/>
  <c r="AF63" i="8"/>
  <c r="AF53" i="8"/>
  <c r="P65" i="8"/>
  <c r="P57" i="8"/>
  <c r="K63" i="8"/>
  <c r="K53" i="8"/>
  <c r="S63" i="8"/>
  <c r="S53" i="8"/>
  <c r="AA63" i="8"/>
  <c r="AA53" i="8"/>
  <c r="AI63" i="8"/>
  <c r="AI53" i="8"/>
  <c r="G64" i="8"/>
  <c r="G54" i="8"/>
  <c r="O64" i="8"/>
  <c r="O54" i="8"/>
  <c r="W64" i="8"/>
  <c r="W54" i="8"/>
  <c r="AE64" i="8"/>
  <c r="AE54" i="8"/>
  <c r="C65" i="8"/>
  <c r="C57" i="8"/>
  <c r="K65" i="8"/>
  <c r="K57" i="8"/>
  <c r="S65" i="8"/>
  <c r="S57" i="8"/>
  <c r="AA65" i="8"/>
  <c r="AA57" i="8"/>
  <c r="AI65" i="8"/>
  <c r="AI57" i="8"/>
  <c r="X63" i="8"/>
  <c r="X53" i="8"/>
  <c r="H65" i="8"/>
  <c r="H57" i="8"/>
  <c r="D63" i="8"/>
  <c r="D53" i="8"/>
  <c r="L63" i="8"/>
  <c r="L53" i="8"/>
  <c r="T63" i="8"/>
  <c r="T53" i="8"/>
  <c r="AB63" i="8"/>
  <c r="AB53" i="8"/>
  <c r="AJ63" i="8"/>
  <c r="AJ53" i="8"/>
  <c r="H64" i="8"/>
  <c r="H54" i="8"/>
  <c r="P64" i="8"/>
  <c r="P54" i="8"/>
  <c r="X64" i="8"/>
  <c r="X54" i="8"/>
  <c r="AF64" i="8"/>
  <c r="AF54" i="8"/>
  <c r="D65" i="8"/>
  <c r="D57" i="8"/>
  <c r="L65" i="8"/>
  <c r="L57" i="8"/>
  <c r="T65" i="8"/>
  <c r="T57" i="8"/>
  <c r="AB65" i="8"/>
  <c r="AB57" i="8"/>
  <c r="AJ65" i="8"/>
  <c r="AJ57" i="8"/>
  <c r="T64" i="8"/>
  <c r="T54" i="8"/>
  <c r="E63" i="8"/>
  <c r="E53" i="8"/>
  <c r="M63" i="8"/>
  <c r="M53" i="8"/>
  <c r="U63" i="8"/>
  <c r="U53" i="8"/>
  <c r="AC63" i="8"/>
  <c r="AC53" i="8"/>
  <c r="AK63" i="8"/>
  <c r="AK53" i="8"/>
  <c r="I64" i="8"/>
  <c r="I54" i="8"/>
  <c r="Q64" i="8"/>
  <c r="Q54" i="8"/>
  <c r="Y64" i="8"/>
  <c r="Y54" i="8"/>
  <c r="AG64" i="8"/>
  <c r="AG54" i="8"/>
  <c r="E65" i="8"/>
  <c r="E57" i="8"/>
  <c r="M65" i="8"/>
  <c r="M57" i="8"/>
  <c r="U65" i="8"/>
  <c r="U57" i="8"/>
  <c r="AC65" i="8"/>
  <c r="AC57" i="8"/>
  <c r="AK65" i="8"/>
  <c r="AK57" i="8"/>
  <c r="P63" i="8"/>
  <c r="P53" i="8"/>
  <c r="AJ64" i="8"/>
  <c r="AJ54" i="8"/>
  <c r="F63" i="8"/>
  <c r="F53" i="8"/>
  <c r="N63" i="8"/>
  <c r="N53" i="8"/>
  <c r="V63" i="8"/>
  <c r="V53" i="8"/>
  <c r="AD63" i="8"/>
  <c r="AD53" i="8"/>
  <c r="AL63" i="8"/>
  <c r="AL53" i="8"/>
  <c r="J64" i="8"/>
  <c r="J54" i="8"/>
  <c r="R64" i="8"/>
  <c r="R54" i="8"/>
  <c r="Z64" i="8"/>
  <c r="Z54" i="8"/>
  <c r="AH64" i="8"/>
  <c r="AH54" i="8"/>
  <c r="F65" i="8"/>
  <c r="F57" i="8"/>
  <c r="N65" i="8"/>
  <c r="N57" i="8"/>
  <c r="V65" i="8"/>
  <c r="V57" i="8"/>
  <c r="AD65" i="8"/>
  <c r="AD57" i="8"/>
  <c r="AL65" i="8"/>
  <c r="AL57" i="8"/>
  <c r="C53" i="8"/>
  <c r="C63" i="8"/>
</calcChain>
</file>

<file path=xl/sharedStrings.xml><?xml version="1.0" encoding="utf-8"?>
<sst xmlns="http://schemas.openxmlformats.org/spreadsheetml/2006/main" count="199" uniqueCount="109">
  <si>
    <t>POP</t>
  </si>
  <si>
    <t>RSUBCD_CFUT</t>
  </si>
  <si>
    <t>RSUBCD_CFUH</t>
  </si>
  <si>
    <t>RSUBCD_CGAS</t>
  </si>
  <si>
    <t>RSUBCD_CELE</t>
  </si>
  <si>
    <t>PHIY_TOE_CELE_SEWI</t>
  </si>
  <si>
    <t>GDP_CONT</t>
  </si>
  <si>
    <t>GR_PROG_BASE_E_SAGR</t>
  </si>
  <si>
    <t>GR_PROG_BASE_E_SFOO</t>
  </si>
  <si>
    <t>GR_PROG_BASE_E_STEX</t>
  </si>
  <si>
    <t>GR_PROG_BASE_E_SVEH</t>
  </si>
  <si>
    <t>GR_PROG_BASE_E_SGLA</t>
  </si>
  <si>
    <t>GR_PROG_BASE_E_SCHE</t>
  </si>
  <si>
    <t>GR_PROG_BASE_E_SOGO</t>
  </si>
  <si>
    <t>GR_PROG_BASE_E_SCON</t>
  </si>
  <si>
    <t>GR_PROG_BASE_E_SRAI</t>
  </si>
  <si>
    <t>GR_PROG_BASE_E_SROA</t>
  </si>
  <si>
    <t>GR_PROG_BASE_E_SAIR</t>
  </si>
  <si>
    <t>GR_PROG_BASE_E_SPRI</t>
  </si>
  <si>
    <t>GR_PROG_BASE_E_SPUB</t>
  </si>
  <si>
    <t>RCO2TAX_VOL</t>
  </si>
  <si>
    <t>GR_PROG_HOUS_BASE</t>
  </si>
  <si>
    <t>GR_PROG_TRSP_BASE</t>
  </si>
  <si>
    <t>GR_CI_BASE_CFUH</t>
  </si>
  <si>
    <t>GR_CI_BASE_CFUT</t>
  </si>
  <si>
    <t>GR_CI_BASE_CGAS</t>
  </si>
  <si>
    <t>GR_CI_BASE_CELE</t>
  </si>
  <si>
    <t>CH_HOUS_BASE_CFUH</t>
  </si>
  <si>
    <t>CH_TRSP_BASE_CFUT</t>
  </si>
  <si>
    <t>CH_HOUS_BASE_CGAS</t>
  </si>
  <si>
    <t>CH_HOUS_BASE_CELE</t>
  </si>
  <si>
    <t>CH_TRSP_BASE_CELE</t>
  </si>
  <si>
    <t>PHIY_TOE_CELE_SESO</t>
  </si>
  <si>
    <t>PHIY_TOE_CELE_SECH</t>
  </si>
  <si>
    <t>PHIY_TOE_CELE_SECO</t>
  </si>
  <si>
    <t>PHIY_TOE_CELE_SEGA</t>
  </si>
  <si>
    <t>PHIY_TOE_CELE_SEHY</t>
  </si>
  <si>
    <t>PHIY_TOE_CELE_SENU</t>
  </si>
  <si>
    <t>PHIY_TOE_CELE_SEOI</t>
  </si>
  <si>
    <t>PHIY_TOE_CELE_SEOT</t>
  </si>
  <si>
    <t>Scénario XXXX (XXX): La taxe carbone par tonne de CO2 serait comme suit:</t>
  </si>
  <si>
    <t>Taux de la Taxe carbone (€/tCO2)</t>
  </si>
  <si>
    <t>GR_PROG_L</t>
  </si>
  <si>
    <t>pétrole</t>
  </si>
  <si>
    <t>gaz</t>
  </si>
  <si>
    <t>charbon</t>
  </si>
  <si>
    <t>PWD_cagr</t>
  </si>
  <si>
    <t>PWD_cfor</t>
  </si>
  <si>
    <t>PWD_cfoo</t>
  </si>
  <si>
    <t>PWD_cveh</t>
  </si>
  <si>
    <t>PWD_cgla</t>
  </si>
  <si>
    <t>PWD_cpap</t>
  </si>
  <si>
    <t>PWD_cche</t>
  </si>
  <si>
    <t>PWD_cpla</t>
  </si>
  <si>
    <t>PWD_cmet</t>
  </si>
  <si>
    <t>PWD_cigo</t>
  </si>
  <si>
    <t>PWD_ccgo</t>
  </si>
  <si>
    <t>PWD_ccon</t>
  </si>
  <si>
    <t>PWD_crai</t>
  </si>
  <si>
    <t>PWD_croa</t>
  </si>
  <si>
    <t>PWD_cwat</t>
  </si>
  <si>
    <t>PWD_cair</t>
  </si>
  <si>
    <t>PWD_cpri</t>
  </si>
  <si>
    <t>PWD_cpub</t>
  </si>
  <si>
    <t>PWD_cmin</t>
  </si>
  <si>
    <t>PWD_cele</t>
  </si>
  <si>
    <t>PWD_chea</t>
  </si>
  <si>
    <t>PWD_cbio</t>
  </si>
  <si>
    <t>PWD_cote</t>
  </si>
  <si>
    <t>inflation</t>
  </si>
  <si>
    <t>WD_cagr</t>
  </si>
  <si>
    <t>WD_cfor</t>
  </si>
  <si>
    <t>WD_cfoo</t>
  </si>
  <si>
    <t>WD_cveh</t>
  </si>
  <si>
    <t>WD_cgla</t>
  </si>
  <si>
    <t>WD_cpap</t>
  </si>
  <si>
    <t>WD_cche</t>
  </si>
  <si>
    <t>WD_cpla</t>
  </si>
  <si>
    <t>WD_cmet</t>
  </si>
  <si>
    <t>WD_cigo</t>
  </si>
  <si>
    <t>WD_ccgo</t>
  </si>
  <si>
    <t>WD_ccon</t>
  </si>
  <si>
    <t>WD_crai</t>
  </si>
  <si>
    <t>WD_croa</t>
  </si>
  <si>
    <t>WD_cwat</t>
  </si>
  <si>
    <t>WD_cair</t>
  </si>
  <si>
    <t>WD_cpri</t>
  </si>
  <si>
    <t>WD_cpub</t>
  </si>
  <si>
    <t>WD_cmin</t>
  </si>
  <si>
    <t>WD_cele</t>
  </si>
  <si>
    <t>WD_chea</t>
  </si>
  <si>
    <t>WD_cbio</t>
  </si>
  <si>
    <t>WD_cote</t>
  </si>
  <si>
    <t>dm</t>
  </si>
  <si>
    <t>PHIY_TOE_CGAS_SBGA</t>
  </si>
  <si>
    <t>PHIY_TOE_CGAS_SGAS</t>
  </si>
  <si>
    <t>PHIY_TOE_CGAS_SMET</t>
  </si>
  <si>
    <t>PHIY_TOE_CGAS_SOIL</t>
  </si>
  <si>
    <t>PHIY_TOE_CFUT_SBFU</t>
  </si>
  <si>
    <t>PHIY_TOE_CFUT_SOIL</t>
  </si>
  <si>
    <t>TOT</t>
  </si>
  <si>
    <t>PHIY_TOE_CFUH_SOIL</t>
  </si>
  <si>
    <t>PHIY_TOE_CFUH_SBFU</t>
  </si>
  <si>
    <t>prog</t>
  </si>
  <si>
    <t>PWD_cfut</t>
  </si>
  <si>
    <t>PWD_cfuh</t>
  </si>
  <si>
    <t>PWD_ccoa</t>
  </si>
  <si>
    <t>PWD_ccoi</t>
  </si>
  <si>
    <t>PWD_cgas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</si>
</sst>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2" formatCode="0.0%"/>
    <numFmt numFmtId="184" formatCode="#,##0.000"/>
    <numFmt numFmtId="194" formatCode="#,##0.0"/>
    <numFmt numFmtId="195" formatCode="#,##0.0000"/>
    <numFmt numFmtId="196" formatCode="#,##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1" fontId="0" fillId="0" borderId="0" xfId="0" applyNumberFormat="1"/>
    <xf numFmtId="0" fontId="0" fillId="0" borderId="0" xfId="0" applyFont="1"/>
    <xf numFmtId="0" fontId="0" fillId="0" borderId="0" xfId="0" applyFill="1"/>
    <xf numFmtId="0" fontId="3" fillId="0" borderId="0" xfId="0" applyFont="1" applyFill="1"/>
    <xf numFmtId="0" fontId="0" fillId="0" borderId="0" xfId="0" applyNumberFormat="1"/>
    <xf numFmtId="0" fontId="2" fillId="0" borderId="0" xfId="0" applyFont="1" applyFill="1"/>
    <xf numFmtId="0" fontId="0" fillId="2" borderId="0" xfId="0" applyFill="1"/>
    <xf numFmtId="0" fontId="2" fillId="2" borderId="0" xfId="0" applyFont="1" applyFill="1"/>
    <xf numFmtId="0" fontId="1" fillId="0" borderId="0" xfId="1" applyNumberFormat="1" applyFont="1"/>
    <xf numFmtId="4" fontId="0" fillId="0" borderId="0" xfId="0" applyNumberFormat="1"/>
    <xf numFmtId="3" fontId="0" fillId="0" borderId="0" xfId="0" applyNumberFormat="1"/>
    <xf numFmtId="0" fontId="1" fillId="0" borderId="0" xfId="1" applyNumberFormat="1" applyFont="1"/>
    <xf numFmtId="4" fontId="0" fillId="0" borderId="0" xfId="0" applyNumberFormat="1" applyFill="1"/>
    <xf numFmtId="9" fontId="0" fillId="0" borderId="0" xfId="0" applyNumberFormat="1" applyFill="1"/>
    <xf numFmtId="194" fontId="0" fillId="0" borderId="0" xfId="0" applyNumberFormat="1"/>
    <xf numFmtId="184" fontId="0" fillId="0" borderId="0" xfId="0" applyNumberFormat="1"/>
    <xf numFmtId="195" fontId="0" fillId="0" borderId="0" xfId="0" applyNumberFormat="1"/>
    <xf numFmtId="184" fontId="0" fillId="0" borderId="0" xfId="0" applyNumberFormat="1" applyFill="1"/>
    <xf numFmtId="196" fontId="0" fillId="0" borderId="0" xfId="0" applyNumberFormat="1"/>
    <xf numFmtId="182" fontId="1" fillId="0" borderId="0" xfId="1" applyNumberFormat="1" applyFont="1"/>
    <xf numFmtId="182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ICES/DEPR/ECHANGES/7-FINANCEMENT/Life/5_Travaux/WP%20C2/Action%20C2.3/2021-03%20Risque%20de%20mod&#232;le/Sc&#233;nario%20commer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ICES/DEPR/ECHANGES/7-FINANCEMENT/Life/5_Travaux/WP%20C2/Action%20C2.3/2021-03%20Risque%20de%20transition%20d&#233;sordonn&#233;e/Hypoth&#232;ses%20ext&#233;rieures/Sc&#233;nario%20comme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GEM output"/>
      <sheetName val="NiGEM prices"/>
      <sheetName val="WD Macro"/>
      <sheetName val="WD secteurs"/>
      <sheetName val="WD (Wiod-&gt;3ME)"/>
      <sheetName val="WD 3ME"/>
      <sheetName val="WIOD.ThreeME_V3.pond"/>
      <sheetName val="WP (Macro)"/>
      <sheetName val="WEO 2021"/>
      <sheetName val="Prix fossiles"/>
      <sheetName val="Prix 3ME baseline"/>
      <sheetName val="Prix 3ME NZ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GEM output"/>
      <sheetName val="NiGEM prices"/>
      <sheetName val="WD Macro"/>
      <sheetName val="WD secteurs"/>
      <sheetName val="PWD secteurs"/>
      <sheetName val="WD (Wiod-&gt;3ME)"/>
      <sheetName val="PWD (Wiod-&gt;3ME)"/>
      <sheetName val="WD 3ME"/>
      <sheetName val="WIOD.ThreeME_V3.pond"/>
      <sheetName val="WP (Macro)"/>
      <sheetName val="Prix fossiles"/>
      <sheetName val="Prix 3ME baseline"/>
      <sheetName val="Prix 3ME baseline test"/>
      <sheetName val="Prix 3ME NZ50"/>
      <sheetName val="Prix 3ME NZ50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>
            <v>1</v>
          </cell>
          <cell r="C1">
            <v>1.04</v>
          </cell>
          <cell r="D1">
            <v>1.0816000000000001</v>
          </cell>
          <cell r="E1">
            <v>1.1248640000000001</v>
          </cell>
          <cell r="F1">
            <v>1.1698585600000002</v>
          </cell>
          <cell r="G1">
            <v>1.2166529024000003</v>
          </cell>
          <cell r="H1">
            <v>1.2653190184960004</v>
          </cell>
          <cell r="I1">
            <v>1.3159317792358405</v>
          </cell>
          <cell r="J1">
            <v>1.3685690504052741</v>
          </cell>
          <cell r="K1">
            <v>1.4233118124214852</v>
          </cell>
          <cell r="L1">
            <v>1.4767838716009769</v>
          </cell>
          <cell r="M1">
            <v>1.5194094584723921</v>
          </cell>
          <cell r="N1">
            <v>1.5559022131929614</v>
          </cell>
          <cell r="O1">
            <v>1.5886215937446344</v>
          </cell>
          <cell r="P1">
            <v>1.6197893009352593</v>
          </cell>
          <cell r="Q1">
            <v>1.6510636966607195</v>
          </cell>
          <cell r="R1">
            <v>1.68376080158424</v>
          </cell>
          <cell r="S1">
            <v>1.7190348449645678</v>
          </cell>
          <cell r="T1">
            <v>1.7576543359729664</v>
          </cell>
          <cell r="U1">
            <v>1.7998672375228182</v>
          </cell>
          <cell r="V1">
            <v>1.8460487180882716</v>
          </cell>
          <cell r="W1">
            <v>1.8964690162108619</v>
          </cell>
          <cell r="X1">
            <v>1.9517729527055314</v>
          </cell>
          <cell r="Y1">
            <v>2.0122342833182612</v>
          </cell>
          <cell r="Z1">
            <v>2.0776279069645609</v>
          </cell>
          <cell r="AA1">
            <v>2.1480218229303709</v>
          </cell>
          <cell r="AB1">
            <v>2.2236716147387048</v>
          </cell>
          <cell r="AC1">
            <v>2.3053563431741608</v>
          </cell>
          <cell r="AD1">
            <v>2.3932202136189908</v>
          </cell>
          <cell r="AE1">
            <v>2.4861658582863098</v>
          </cell>
          <cell r="AF1">
            <v>2.5827606025654632</v>
          </cell>
          <cell r="AG1">
            <v>2.6820589046614494</v>
          </cell>
          <cell r="AH1">
            <v>2.783539045914905</v>
          </cell>
          <cell r="AI1">
            <v>2.8867555137627794</v>
          </cell>
          <cell r="AJ1">
            <v>2.9912340718057182</v>
          </cell>
          <cell r="AK1">
            <v>3.096423105146576</v>
          </cell>
        </row>
        <row r="6">
          <cell r="B6">
            <v>1</v>
          </cell>
          <cell r="C6">
            <v>1.04</v>
          </cell>
          <cell r="D6">
            <v>1.0816000000000001</v>
          </cell>
          <cell r="E6">
            <v>1.1248640000000001</v>
          </cell>
          <cell r="F6">
            <v>1.1698585600000002</v>
          </cell>
          <cell r="G6">
            <v>1.2166529024000003</v>
          </cell>
          <cell r="H6">
            <v>1.2653190184960004</v>
          </cell>
          <cell r="I6">
            <v>1.3009339765543628</v>
          </cell>
          <cell r="J6">
            <v>1.3393922601214319</v>
          </cell>
          <cell r="K6">
            <v>1.3965881961494411</v>
          </cell>
          <cell r="L6">
            <v>1.4511526080227808</v>
          </cell>
          <cell r="M6">
            <v>1.4928654935479724</v>
          </cell>
          <cell r="N6">
            <v>1.5262184482240211</v>
          </cell>
          <cell r="O6">
            <v>1.5552235250700415</v>
          </cell>
          <cell r="P6">
            <v>1.5838552971562136</v>
          </cell>
          <cell r="Q6">
            <v>1.6138471662377514</v>
          </cell>
          <cell r="R6">
            <v>1.646166577501045</v>
          </cell>
          <cell r="S6">
            <v>1.6810116776394652</v>
          </cell>
          <cell r="T6">
            <v>1.7191615437314529</v>
          </cell>
          <cell r="U6">
            <v>1.7608611233849207</v>
          </cell>
          <cell r="V6">
            <v>1.8064810229097137</v>
          </cell>
          <cell r="W6">
            <v>1.8562881946633913</v>
          </cell>
          <cell r="X6">
            <v>1.9109196182409991</v>
          </cell>
          <cell r="Y6">
            <v>1.9706457204342525</v>
          </cell>
          <cell r="Z6">
            <v>2.0352441374572434</v>
          </cell>
          <cell r="AA6">
            <v>2.1047820417036323</v>
          </cell>
          <cell r="AB6">
            <v>2.1785950085347832</v>
          </cell>
          <cell r="AC6">
            <v>2.258296379900008</v>
          </cell>
          <cell r="AD6">
            <v>2.344026859783316</v>
          </cell>
          <cell r="AE6">
            <v>2.4347157251844367</v>
          </cell>
          <cell r="AF6">
            <v>2.5289650877419056</v>
          </cell>
          <cell r="AG6">
            <v>2.6258523640158535</v>
          </cell>
          <cell r="AH6">
            <v>2.7248685030072193</v>
          </cell>
          <cell r="AI6">
            <v>2.8255788094808509</v>
          </cell>
          <cell r="AJ6">
            <v>2.9275205617982762</v>
          </cell>
          <cell r="AK6">
            <v>3.0301555386222869</v>
          </cell>
        </row>
        <row r="7">
          <cell r="B7">
            <v>1</v>
          </cell>
          <cell r="C7">
            <v>1.04</v>
          </cell>
          <cell r="D7">
            <v>1.0816000000000001</v>
          </cell>
          <cell r="E7">
            <v>1.1248640000000001</v>
          </cell>
          <cell r="F7">
            <v>1.1698585600000002</v>
          </cell>
          <cell r="G7">
            <v>1.2166529024000003</v>
          </cell>
          <cell r="H7">
            <v>1.2653190184960004</v>
          </cell>
          <cell r="I7">
            <v>1.3009886746492134</v>
          </cell>
          <cell r="J7">
            <v>1.3395060231417248</v>
          </cell>
          <cell r="K7">
            <v>1.3967898017197327</v>
          </cell>
          <cell r="L7">
            <v>1.4514380146008183</v>
          </cell>
          <cell r="M7">
            <v>1.4932149635278316</v>
          </cell>
          <cell r="N7">
            <v>1.5266191422731443</v>
          </cell>
          <cell r="O7">
            <v>1.5556687656392496</v>
          </cell>
          <cell r="P7">
            <v>1.5843445109173246</v>
          </cell>
          <cell r="Q7">
            <v>1.6143824420522581</v>
          </cell>
          <cell r="R7">
            <v>1.64671133909126</v>
          </cell>
          <cell r="S7">
            <v>1.6815666662973008</v>
          </cell>
          <cell r="T7">
            <v>1.7197277294086308</v>
          </cell>
          <cell r="U7">
            <v>1.7614395479255018</v>
          </cell>
          <cell r="V7">
            <v>1.8070728369310374</v>
          </cell>
          <cell r="W7">
            <v>1.8568946271335496</v>
          </cell>
          <cell r="X7">
            <v>1.9115420850821567</v>
          </cell>
          <cell r="Y7">
            <v>1.9712857169390761</v>
          </cell>
          <cell r="Z7">
            <v>2.0359030936544324</v>
          </cell>
          <cell r="AA7">
            <v>2.1054614073370432</v>
          </cell>
          <cell r="AB7">
            <v>2.1792725336893874</v>
          </cell>
          <cell r="AC7">
            <v>2.2589719177522292</v>
          </cell>
          <cell r="AD7">
            <v>2.3447002600012152</v>
          </cell>
          <cell r="AE7">
            <v>2.435386864133863</v>
          </cell>
          <cell r="AF7">
            <v>2.5296338766441546</v>
          </cell>
          <cell r="AG7">
            <v>2.6265187370962453</v>
          </cell>
          <cell r="AH7">
            <v>2.7255324071839326</v>
          </cell>
          <cell r="AI7">
            <v>2.8262402025109106</v>
          </cell>
          <cell r="AJ7">
            <v>2.9281794129763727</v>
          </cell>
          <cell r="AK7">
            <v>3.0308118306633141</v>
          </cell>
        </row>
        <row r="8">
          <cell r="B8">
            <v>1</v>
          </cell>
          <cell r="C8">
            <v>1.04</v>
          </cell>
          <cell r="D8">
            <v>1.0816000000000001</v>
          </cell>
          <cell r="E8">
            <v>1.1248640000000001</v>
          </cell>
          <cell r="F8">
            <v>1.1698585600000002</v>
          </cell>
          <cell r="G8">
            <v>1.2166529024000003</v>
          </cell>
          <cell r="H8">
            <v>1.2653190184960004</v>
          </cell>
          <cell r="I8">
            <v>1.2986696710704346</v>
          </cell>
          <cell r="J8">
            <v>1.3346828779862641</v>
          </cell>
          <cell r="K8">
            <v>1.3882424466375549</v>
          </cell>
          <cell r="L8">
            <v>1.4393377965277343</v>
          </cell>
          <cell r="M8">
            <v>1.4783986863580163</v>
          </cell>
          <cell r="N8">
            <v>1.5096311477836046</v>
          </cell>
          <cell r="O8">
            <v>1.5367921580310746</v>
          </cell>
          <cell r="P8">
            <v>1.5636035972547719</v>
          </cell>
          <cell r="Q8">
            <v>1.5916886620794217</v>
          </cell>
          <cell r="R8">
            <v>1.6215483753036037</v>
          </cell>
          <cell r="S8">
            <v>1.6537415575656467</v>
          </cell>
          <cell r="T8">
            <v>1.6889879935779717</v>
          </cell>
          <cell r="U8">
            <v>1.7275139889891455</v>
          </cell>
          <cell r="V8">
            <v>1.7696619447804509</v>
          </cell>
          <cell r="W8">
            <v>1.8156784966587178</v>
          </cell>
          <cell r="X8">
            <v>1.8661521463105259</v>
          </cell>
          <cell r="Y8">
            <v>1.9213327394519057</v>
          </cell>
          <cell r="Z8">
            <v>1.9810148354940864</v>
          </cell>
          <cell r="AA8">
            <v>2.0452604946149266</v>
          </cell>
          <cell r="AB8">
            <v>2.112039236544208</v>
          </cell>
          <cell r="AC8">
            <v>2.1841452300884474</v>
          </cell>
          <cell r="AD8">
            <v>2.2617057704295083</v>
          </cell>
          <cell r="AE8">
            <v>2.3437521722810177</v>
          </cell>
          <cell r="AF8">
            <v>2.4290197631857677</v>
          </cell>
          <cell r="AG8">
            <v>2.5166738800204049</v>
          </cell>
          <cell r="AH8">
            <v>2.6062539833058311</v>
          </cell>
          <cell r="AI8">
            <v>2.6973668033745026</v>
          </cell>
          <cell r="AJ8">
            <v>2.7895937150145196</v>
          </cell>
          <cell r="AK8">
            <v>2.8824477882822519</v>
          </cell>
        </row>
        <row r="9">
          <cell r="B9">
            <v>1</v>
          </cell>
          <cell r="C9">
            <v>1.04</v>
          </cell>
          <cell r="D9">
            <v>1.0816000000000001</v>
          </cell>
          <cell r="E9">
            <v>1.1248640000000001</v>
          </cell>
          <cell r="F9">
            <v>1.1698585600000002</v>
          </cell>
          <cell r="G9">
            <v>1.2166529024000003</v>
          </cell>
          <cell r="H9">
            <v>1.2653190184960004</v>
          </cell>
          <cell r="I9">
            <v>1.3044244681222976</v>
          </cell>
          <cell r="J9">
            <v>1.3466519071742087</v>
          </cell>
          <cell r="K9">
            <v>1.4094534073614891</v>
          </cell>
          <cell r="L9">
            <v>1.4693654773519915</v>
          </cell>
          <cell r="M9">
            <v>1.5151664899770751</v>
          </cell>
          <cell r="N9">
            <v>1.5517882455561511</v>
          </cell>
          <cell r="O9">
            <v>1.5836360037270358</v>
          </cell>
          <cell r="P9">
            <v>1.6150738709061192</v>
          </cell>
          <cell r="Q9">
            <v>1.6480051332045229</v>
          </cell>
          <cell r="R9">
            <v>1.6804849668700637</v>
          </cell>
          <cell r="S9">
            <v>1.7155030260585487</v>
          </cell>
          <cell r="T9">
            <v>1.7538422549181323</v>
          </cell>
          <cell r="U9">
            <v>1.7957488168921076</v>
          </cell>
          <cell r="V9">
            <v>1.8415951578521241</v>
          </cell>
          <cell r="W9">
            <v>1.8916495552151043</v>
          </cell>
          <cell r="X9">
            <v>1.946552150322945</v>
          </cell>
          <cell r="Y9">
            <v>2.006574712272617</v>
          </cell>
          <cell r="Z9">
            <v>2.0714937735411287</v>
          </cell>
          <cell r="AA9">
            <v>2.1413768399427178</v>
          </cell>
          <cell r="AB9">
            <v>2.2183540290249102</v>
          </cell>
          <cell r="AC9">
            <v>2.3014720474040566</v>
          </cell>
          <cell r="AD9">
            <v>2.3908776307777826</v>
          </cell>
          <cell r="AE9">
            <v>2.4854541562763544</v>
          </cell>
          <cell r="AF9">
            <v>2.5837438107087323</v>
          </cell>
          <cell r="AG9">
            <v>2.6847844612282938</v>
          </cell>
          <cell r="AH9">
            <v>2.7880452347826545</v>
          </cell>
          <cell r="AI9">
            <v>2.8930728015742742</v>
          </cell>
          <cell r="AJ9">
            <v>2.9993846039634011</v>
          </cell>
          <cell r="AK9">
            <v>3.1064193480822913</v>
          </cell>
        </row>
        <row r="10">
          <cell r="B10">
            <v>1</v>
          </cell>
          <cell r="C10">
            <v>1.04</v>
          </cell>
          <cell r="D10">
            <v>1.0816000000000001</v>
          </cell>
          <cell r="E10">
            <v>1.1248640000000001</v>
          </cell>
          <cell r="F10">
            <v>1.1698585600000002</v>
          </cell>
          <cell r="G10">
            <v>1.2166529024000003</v>
          </cell>
          <cell r="H10">
            <v>1.2653190184960004</v>
          </cell>
          <cell r="I10">
            <v>1.2947940968007845</v>
          </cell>
          <cell r="J10">
            <v>1.3266223223949121</v>
          </cell>
          <cell r="K10">
            <v>1.3739579023042967</v>
          </cell>
          <cell r="L10">
            <v>1.4191156225516621</v>
          </cell>
          <cell r="M10">
            <v>1.4536373694300031</v>
          </cell>
          <cell r="N10">
            <v>1.4812404049063181</v>
          </cell>
          <cell r="O10">
            <v>1.5052451197194525</v>
          </cell>
          <cell r="P10">
            <v>1.5289408860562179</v>
          </cell>
          <cell r="Q10">
            <v>1.5537622739752077</v>
          </cell>
          <cell r="R10">
            <v>1.5830770906168194</v>
          </cell>
          <cell r="S10">
            <v>1.6146827938610653</v>
          </cell>
          <cell r="T10">
            <v>1.649286033390333</v>
          </cell>
          <cell r="U10">
            <v>1.687108985102391</v>
          </cell>
          <cell r="V10">
            <v>1.7284878016558016</v>
          </cell>
          <cell r="W10">
            <v>1.7736646180124351</v>
          </cell>
          <cell r="X10">
            <v>1.823217196554195</v>
          </cell>
          <cell r="Y10">
            <v>1.8773908236741268</v>
          </cell>
          <cell r="Z10">
            <v>1.9359838077770919</v>
          </cell>
          <cell r="AA10">
            <v>1.9990570765324558</v>
          </cell>
          <cell r="AB10">
            <v>2.0639283205383796</v>
          </cell>
          <cell r="AC10">
            <v>2.1339746461557674</v>
          </cell>
          <cell r="AD10">
            <v>2.2093197124498367</v>
          </cell>
          <cell r="AE10">
            <v>2.2890225040950254</v>
          </cell>
          <cell r="AF10">
            <v>2.3718544733051838</v>
          </cell>
          <cell r="AG10">
            <v>2.4570047986486179</v>
          </cell>
          <cell r="AH10">
            <v>2.5440260957023835</v>
          </cell>
          <cell r="AI10">
            <v>2.6325363283300356</v>
          </cell>
          <cell r="AJ10">
            <v>2.7221288291179087</v>
          </cell>
          <cell r="AK10">
            <v>2.8123305770075877</v>
          </cell>
        </row>
        <row r="11">
          <cell r="B11">
            <v>1</v>
          </cell>
          <cell r="C11">
            <v>1.04</v>
          </cell>
          <cell r="D11">
            <v>1.0816000000000001</v>
          </cell>
          <cell r="E11">
            <v>1.1248640000000001</v>
          </cell>
          <cell r="F11">
            <v>1.1698585600000002</v>
          </cell>
          <cell r="G11">
            <v>1.2166529024000003</v>
          </cell>
          <cell r="H11">
            <v>1.2653190184960004</v>
          </cell>
          <cell r="I11">
            <v>1.3031129309909182</v>
          </cell>
          <cell r="J11">
            <v>1.3439241261482087</v>
          </cell>
          <cell r="K11">
            <v>1.404619359812816</v>
          </cell>
          <cell r="L11">
            <v>1.4625220703620834</v>
          </cell>
          <cell r="M11">
            <v>1.5067869868858148</v>
          </cell>
          <cell r="N11">
            <v>1.5421805046433787</v>
          </cell>
          <cell r="O11">
            <v>1.5729601375838551</v>
          </cell>
          <cell r="P11">
            <v>1.6033436266511725</v>
          </cell>
          <cell r="Q11">
            <v>1.6351704246434426</v>
          </cell>
          <cell r="R11">
            <v>1.6674141448417679</v>
          </cell>
          <cell r="S11">
            <v>1.7021776388297258</v>
          </cell>
          <cell r="T11">
            <v>1.7402381591112537</v>
          </cell>
          <cell r="U11">
            <v>1.7818400796345168</v>
          </cell>
          <cell r="V11">
            <v>1.827353138760806</v>
          </cell>
          <cell r="W11">
            <v>1.877043663653488</v>
          </cell>
          <cell r="X11">
            <v>1.9315471421210304</v>
          </cell>
          <cell r="Y11">
            <v>1.9911333676239387</v>
          </cell>
          <cell r="Z11">
            <v>2.0555804971454368</v>
          </cell>
          <cell r="AA11">
            <v>2.1249555457635108</v>
          </cell>
          <cell r="AB11">
            <v>2.1996101999266133</v>
          </cell>
          <cell r="AC11">
            <v>2.2802204039468204</v>
          </cell>
          <cell r="AD11">
            <v>2.3669284662519945</v>
          </cell>
          <cell r="AE11">
            <v>2.4586514544154721</v>
          </cell>
          <cell r="AF11">
            <v>2.5539755399913315</v>
          </cell>
          <cell r="AG11">
            <v>2.6519676193448469</v>
          </cell>
          <cell r="AH11">
            <v>2.7521128367817176</v>
          </cell>
          <cell r="AI11">
            <v>2.8539715402483838</v>
          </cell>
          <cell r="AJ11">
            <v>2.9570757317036209</v>
          </cell>
          <cell r="AK11">
            <v>3.0608810524863781</v>
          </cell>
        </row>
        <row r="12">
          <cell r="B12">
            <v>1</v>
          </cell>
          <cell r="C12">
            <v>1.04</v>
          </cell>
          <cell r="D12">
            <v>1.0816000000000001</v>
          </cell>
          <cell r="E12">
            <v>1.1248640000000001</v>
          </cell>
          <cell r="F12">
            <v>1.1698585600000002</v>
          </cell>
          <cell r="G12">
            <v>1.2166529024000003</v>
          </cell>
          <cell r="H12">
            <v>1.2653190184960004</v>
          </cell>
          <cell r="I12">
            <v>1.2996944945229791</v>
          </cell>
          <cell r="J12">
            <v>1.3368143418251193</v>
          </cell>
          <cell r="K12">
            <v>1.3920197284087432</v>
          </cell>
          <cell r="L12">
            <v>1.4446851738994975</v>
          </cell>
          <cell r="M12">
            <v>1.4849463555647291</v>
          </cell>
          <cell r="N12">
            <v>1.5171385511028119</v>
          </cell>
          <cell r="O12">
            <v>1.5451341849077755</v>
          </cell>
          <cell r="P12">
            <v>1.572769505812696</v>
          </cell>
          <cell r="Q12">
            <v>1.6017175892254918</v>
          </cell>
          <cell r="R12">
            <v>1.633555591631372</v>
          </cell>
          <cell r="S12">
            <v>1.6678816618992469</v>
          </cell>
          <cell r="T12">
            <v>1.7054632724838492</v>
          </cell>
          <cell r="U12">
            <v>1.7465417224133857</v>
          </cell>
          <cell r="V12">
            <v>1.7914820976879802</v>
          </cell>
          <cell r="W12">
            <v>1.8405473743170966</v>
          </cell>
          <cell r="X12">
            <v>1.8943650438634472</v>
          </cell>
          <cell r="Y12">
            <v>1.953201505017748</v>
          </cell>
          <cell r="Z12">
            <v>2.0168377061799236</v>
          </cell>
          <cell r="AA12">
            <v>2.0853398191874977</v>
          </cell>
          <cell r="AB12">
            <v>2.1583543521294168</v>
          </cell>
          <cell r="AC12">
            <v>2.2371935948111838</v>
          </cell>
          <cell r="AD12">
            <v>2.3219967292236685</v>
          </cell>
          <cell r="AE12">
            <v>2.4117046143631793</v>
          </cell>
          <cell r="AF12">
            <v>2.5049344828082316</v>
          </cell>
          <cell r="AG12">
            <v>2.6007737306918637</v>
          </cell>
          <cell r="AH12">
            <v>2.6987188134129618</v>
          </cell>
          <cell r="AI12">
            <v>2.7983397378290022</v>
          </cell>
          <cell r="AJ12">
            <v>2.8991787875553765</v>
          </cell>
          <cell r="AK12">
            <v>3.0007035631879861</v>
          </cell>
        </row>
        <row r="13">
          <cell r="B13">
            <v>1</v>
          </cell>
          <cell r="C13">
            <v>1.04</v>
          </cell>
          <cell r="D13">
            <v>1.0816000000000001</v>
          </cell>
          <cell r="E13">
            <v>1.1248640000000001</v>
          </cell>
          <cell r="F13">
            <v>1.1698585600000002</v>
          </cell>
          <cell r="G13">
            <v>1.2166529024000003</v>
          </cell>
          <cell r="H13">
            <v>1.2653190184960004</v>
          </cell>
          <cell r="I13">
            <v>1.3025059495675975</v>
          </cell>
          <cell r="J13">
            <v>1.3426617048487617</v>
          </cell>
          <cell r="K13">
            <v>1.4023821550922697</v>
          </cell>
          <cell r="L13">
            <v>1.4593549309683791</v>
          </cell>
          <cell r="M13">
            <v>1.5029089398283868</v>
          </cell>
          <cell r="N13">
            <v>1.5377340272127338</v>
          </cell>
          <cell r="O13">
            <v>1.5680193301360676</v>
          </cell>
          <cell r="P13">
            <v>1.5979148513741213</v>
          </cell>
          <cell r="Q13">
            <v>1.62923050156851</v>
          </cell>
          <cell r="R13">
            <v>1.6612690573995064</v>
          </cell>
          <cell r="S13">
            <v>1.6958113538889652</v>
          </cell>
          <cell r="T13">
            <v>1.7336296979415797</v>
          </cell>
          <cell r="U13">
            <v>1.7749669085724571</v>
          </cell>
          <cell r="V13">
            <v>1.8201903715254941</v>
          </cell>
          <cell r="W13">
            <v>1.8695647193443414</v>
          </cell>
          <cell r="X13">
            <v>1.9237213962763218</v>
          </cell>
          <cell r="Y13">
            <v>1.9829284791064359</v>
          </cell>
          <cell r="Z13">
            <v>2.0469655363883441</v>
          </cell>
          <cell r="AA13">
            <v>2.1158991567881289</v>
          </cell>
          <cell r="AB13">
            <v>2.1899185034252722</v>
          </cell>
          <cell r="AC13">
            <v>2.2698427184759065</v>
          </cell>
          <cell r="AD13">
            <v>2.3558128993299996</v>
          </cell>
          <cell r="AE13">
            <v>2.4467553292638935</v>
          </cell>
          <cell r="AF13">
            <v>2.5412682114439242</v>
          </cell>
          <cell r="AG13">
            <v>2.6384263829025389</v>
          </cell>
          <cell r="AH13">
            <v>2.7377193693426989</v>
          </cell>
          <cell r="AI13">
            <v>2.8387112601287319</v>
          </cell>
          <cell r="AJ13">
            <v>2.940938039860296</v>
          </cell>
          <cell r="AK13">
            <v>3.043859982342433</v>
          </cell>
        </row>
        <row r="14">
          <cell r="B14">
            <v>1</v>
          </cell>
          <cell r="C14">
            <v>1.04</v>
          </cell>
          <cell r="D14">
            <v>1.0816000000000001</v>
          </cell>
          <cell r="E14">
            <v>1.1248640000000001</v>
          </cell>
          <cell r="F14">
            <v>1.1698585600000002</v>
          </cell>
          <cell r="G14">
            <v>1.2166529024000003</v>
          </cell>
          <cell r="H14">
            <v>1.2653190184960004</v>
          </cell>
          <cell r="I14">
            <v>1.2999471878098428</v>
          </cell>
          <cell r="J14">
            <v>1.3373399022052352</v>
          </cell>
          <cell r="K14">
            <v>1.3929511022407932</v>
          </cell>
          <cell r="L14">
            <v>1.4460036901383826</v>
          </cell>
          <cell r="M14">
            <v>1.4865608307692446</v>
          </cell>
          <cell r="N14">
            <v>1.5189896703525034</v>
          </cell>
          <cell r="O14">
            <v>1.5471910993795739</v>
          </cell>
          <cell r="P14">
            <v>1.5750295668552505</v>
          </cell>
          <cell r="Q14">
            <v>1.6041904469240178</v>
          </cell>
          <cell r="R14">
            <v>1.6353223463924988</v>
          </cell>
          <cell r="S14">
            <v>1.6688871333758095</v>
          </cell>
          <cell r="T14">
            <v>1.70563525933133</v>
          </cell>
          <cell r="U14">
            <v>1.7458026717595412</v>
          </cell>
          <cell r="V14">
            <v>1.7897463597864662</v>
          </cell>
          <cell r="W14">
            <v>1.8377234671419438</v>
          </cell>
          <cell r="X14">
            <v>1.8903475688863258</v>
          </cell>
          <cell r="Y14">
            <v>1.9478791555225086</v>
          </cell>
          <cell r="Z14">
            <v>2.0101040335748768</v>
          </cell>
          <cell r="AA14">
            <v>2.0770869073225229</v>
          </cell>
          <cell r="AB14">
            <v>2.1483031050958741</v>
          </cell>
          <cell r="AC14">
            <v>2.2252005510275246</v>
          </cell>
          <cell r="AD14">
            <v>2.3079149990802663</v>
          </cell>
          <cell r="AE14">
            <v>2.3954133947079757</v>
          </cell>
          <cell r="AF14">
            <v>2.4863470278087698</v>
          </cell>
          <cell r="AG14">
            <v>2.5798257717892219</v>
          </cell>
          <cell r="AH14">
            <v>2.6753584842636213</v>
          </cell>
          <cell r="AI14">
            <v>2.7725257627452948</v>
          </cell>
          <cell r="AJ14">
            <v>2.8708811643240848</v>
          </cell>
          <cell r="AK14">
            <v>2.9699054025000446</v>
          </cell>
        </row>
        <row r="15">
          <cell r="B15">
            <v>1</v>
          </cell>
          <cell r="C15">
            <v>1.04</v>
          </cell>
          <cell r="D15">
            <v>1.0816000000000001</v>
          </cell>
          <cell r="E15">
            <v>1.1248640000000001</v>
          </cell>
          <cell r="F15">
            <v>1.1698585600000002</v>
          </cell>
          <cell r="G15">
            <v>1.2166529024000003</v>
          </cell>
          <cell r="H15">
            <v>1.2653190184960004</v>
          </cell>
          <cell r="I15">
            <v>1.3008243508024289</v>
          </cell>
          <cell r="J15">
            <v>1.3391642566292457</v>
          </cell>
          <cell r="K15">
            <v>1.396184138891184</v>
          </cell>
          <cell r="L15">
            <v>1.4505805970448915</v>
          </cell>
          <cell r="M15">
            <v>1.4921650868989851</v>
          </cell>
          <cell r="N15">
            <v>1.5254153784543982</v>
          </cell>
          <cell r="O15">
            <v>1.5543311753031226</v>
          </cell>
          <cell r="P15">
            <v>1.5828748164545621</v>
          </cell>
          <cell r="Q15">
            <v>1.6127743681116464</v>
          </cell>
          <cell r="R15">
            <v>1.6437346672235129</v>
          </cell>
          <cell r="S15">
            <v>1.6771144436705452</v>
          </cell>
          <cell r="T15">
            <v>1.7136600123897083</v>
          </cell>
          <cell r="U15">
            <v>1.7536060203288053</v>
          </cell>
          <cell r="V15">
            <v>1.7973074888745832</v>
          </cell>
          <cell r="W15">
            <v>1.8450201443696828</v>
          </cell>
          <cell r="X15">
            <v>1.8973541798225748</v>
          </cell>
          <cell r="Y15">
            <v>1.9545686499014021</v>
          </cell>
          <cell r="Z15">
            <v>2.0164505417741156</v>
          </cell>
          <cell r="AA15">
            <v>2.0830642030670639</v>
          </cell>
          <cell r="AB15">
            <v>2.1537332749966964</v>
          </cell>
          <cell r="AC15">
            <v>2.2300399483049751</v>
          </cell>
          <cell r="AD15">
            <v>2.3121189340107575</v>
          </cell>
          <cell r="AE15">
            <v>2.3989451141168776</v>
          </cell>
          <cell r="AF15">
            <v>2.489180140127035</v>
          </cell>
          <cell r="AG15">
            <v>2.5819407239379033</v>
          </cell>
          <cell r="AH15">
            <v>2.6767394964162134</v>
          </cell>
          <cell r="AI15">
            <v>2.7731602771785013</v>
          </cell>
          <cell r="AJ15">
            <v>2.8707600531586834</v>
          </cell>
          <cell r="AK15">
            <v>2.9690235273293388</v>
          </cell>
        </row>
        <row r="16">
          <cell r="B16">
            <v>1</v>
          </cell>
          <cell r="C16">
            <v>1.04</v>
          </cell>
          <cell r="D16">
            <v>1.0816000000000001</v>
          </cell>
          <cell r="E16">
            <v>1.1248640000000001</v>
          </cell>
          <cell r="F16">
            <v>1.1698585600000002</v>
          </cell>
          <cell r="G16">
            <v>1.2166529024000003</v>
          </cell>
          <cell r="H16">
            <v>1.2653190184960004</v>
          </cell>
          <cell r="I16">
            <v>1.3047289860513591</v>
          </cell>
          <cell r="J16">
            <v>1.3472852542667895</v>
          </cell>
          <cell r="K16">
            <v>1.4105757958271201</v>
          </cell>
          <cell r="L16">
            <v>1.4709544069174856</v>
          </cell>
          <cell r="M16">
            <v>1.517112076470102</v>
          </cell>
          <cell r="N16">
            <v>1.5540190092118014</v>
          </cell>
          <cell r="O16">
            <v>1.5861147689644637</v>
          </cell>
          <cell r="P16">
            <v>1.6177974458644164</v>
          </cell>
          <cell r="Q16">
            <v>1.6509851470963277</v>
          </cell>
          <cell r="R16">
            <v>1.6832301284319695</v>
          </cell>
          <cell r="S16">
            <v>1.7179949821122724</v>
          </cell>
          <cell r="T16">
            <v>1.756056991041578</v>
          </cell>
          <cell r="U16">
            <v>1.7976605387261642</v>
          </cell>
          <cell r="V16">
            <v>1.8431753779887683</v>
          </cell>
          <cell r="W16">
            <v>1.8928678464095181</v>
          </cell>
          <cell r="X16">
            <v>1.9473734566524934</v>
          </cell>
          <cell r="Y16">
            <v>2.0069620127305359</v>
          </cell>
          <cell r="Z16">
            <v>2.0714116629500023</v>
          </cell>
          <cell r="AA16">
            <v>2.1407894250100146</v>
          </cell>
          <cell r="AB16">
            <v>2.2170004789461326</v>
          </cell>
          <cell r="AC16">
            <v>2.2992912440063207</v>
          </cell>
          <cell r="AD16">
            <v>2.3878069954636745</v>
          </cell>
          <cell r="AE16">
            <v>2.4814422239229281</v>
          </cell>
          <cell r="AF16">
            <v>2.5787536254513741</v>
          </cell>
          <cell r="AG16">
            <v>2.6787886430754213</v>
          </cell>
          <cell r="AH16">
            <v>2.7810216873924052</v>
          </cell>
          <cell r="AI16">
            <v>2.8850039404854453</v>
          </cell>
          <cell r="AJ16">
            <v>2.9902576474930185</v>
          </cell>
          <cell r="AK16">
            <v>3.0962271009680395</v>
          </cell>
        </row>
        <row r="17">
          <cell r="B17">
            <v>1</v>
          </cell>
          <cell r="C17">
            <v>1.04</v>
          </cell>
          <cell r="D17">
            <v>1.0816000000000001</v>
          </cell>
          <cell r="E17">
            <v>1.1248640000000001</v>
          </cell>
          <cell r="F17">
            <v>1.1698585600000002</v>
          </cell>
          <cell r="G17">
            <v>1.2166529024000003</v>
          </cell>
          <cell r="H17">
            <v>1.2653190184960004</v>
          </cell>
          <cell r="I17">
            <v>1.302705265118121</v>
          </cell>
          <cell r="J17">
            <v>1.3430762483366254</v>
          </cell>
          <cell r="K17">
            <v>1.4031167899153092</v>
          </cell>
          <cell r="L17">
            <v>1.4603949300648709</v>
          </cell>
          <cell r="M17">
            <v>1.5041823809165482</v>
          </cell>
          <cell r="N17">
            <v>1.5391941247757379</v>
          </cell>
          <cell r="O17">
            <v>1.5696417517105186</v>
          </cell>
          <cell r="P17">
            <v>1.5996975077972686</v>
          </cell>
          <cell r="Q17">
            <v>1.6311810044871502</v>
          </cell>
          <cell r="R17">
            <v>1.6627480197921438</v>
          </cell>
          <cell r="S17">
            <v>1.6967819259302428</v>
          </cell>
          <cell r="T17">
            <v>1.7340436630639566</v>
          </cell>
          <cell r="U17">
            <v>1.7747724764204003</v>
          </cell>
          <cell r="V17">
            <v>1.8193303445937903</v>
          </cell>
          <cell r="W17">
            <v>1.8679780052902732</v>
          </cell>
          <cell r="X17">
            <v>1.9213376092186585</v>
          </cell>
          <cell r="Y17">
            <v>1.9796732876344141</v>
          </cell>
          <cell r="Z17">
            <v>2.042767853381009</v>
          </cell>
          <cell r="AA17">
            <v>2.1106869150786465</v>
          </cell>
          <cell r="AB17">
            <v>2.184779466023127</v>
          </cell>
          <cell r="AC17">
            <v>2.2647827252300265</v>
          </cell>
          <cell r="AD17">
            <v>2.3508379296330566</v>
          </cell>
          <cell r="AE17">
            <v>2.441870300614708</v>
          </cell>
          <cell r="AF17">
            <v>2.5364766549799005</v>
          </cell>
          <cell r="AG17">
            <v>2.6337309147852368</v>
          </cell>
          <cell r="AH17">
            <v>2.7331221008802982</v>
          </cell>
          <cell r="AI17">
            <v>2.8342138715186613</v>
          </cell>
          <cell r="AJ17">
            <v>2.9365417523939339</v>
          </cell>
          <cell r="AK17">
            <v>3.0395654835279782</v>
          </cell>
        </row>
        <row r="18">
          <cell r="B18">
            <v>1</v>
          </cell>
          <cell r="C18">
            <v>1.04</v>
          </cell>
          <cell r="D18">
            <v>1.0816000000000001</v>
          </cell>
          <cell r="E18">
            <v>1.1248640000000001</v>
          </cell>
          <cell r="F18">
            <v>1.1698585600000002</v>
          </cell>
          <cell r="G18">
            <v>1.2166529024000003</v>
          </cell>
          <cell r="H18">
            <v>1.2653190184960004</v>
          </cell>
          <cell r="I18">
            <v>1.3003413488669102</v>
          </cell>
          <cell r="J18">
            <v>1.3381596922263732</v>
          </cell>
          <cell r="K18">
            <v>1.3944038962533387</v>
          </cell>
          <cell r="L18">
            <v>1.4480603643022683</v>
          </cell>
          <cell r="M18">
            <v>1.4890791535197998</v>
          </cell>
          <cell r="N18">
            <v>1.5218771199134815</v>
          </cell>
          <cell r="O18">
            <v>1.550399556527623</v>
          </cell>
          <cell r="P18">
            <v>1.5785549001184618</v>
          </cell>
          <cell r="Q18">
            <v>1.6080477088898051</v>
          </cell>
          <cell r="R18">
            <v>1.6398818576375864</v>
          </cell>
          <cell r="S18">
            <v>1.6742037730927</v>
          </cell>
          <cell r="T18">
            <v>1.7117808348153432</v>
          </cell>
          <cell r="U18">
            <v>1.7528543126269922</v>
          </cell>
          <cell r="V18">
            <v>1.7977892483379188</v>
          </cell>
          <cell r="W18">
            <v>1.8468485861270838</v>
          </cell>
          <cell r="X18">
            <v>1.9006597416058912</v>
          </cell>
          <cell r="Y18">
            <v>1.9594890812202743</v>
          </cell>
          <cell r="Z18">
            <v>2.0231175798840688</v>
          </cell>
          <cell r="AA18">
            <v>2.0916114014253875</v>
          </cell>
          <cell r="AB18">
            <v>2.1652551524601535</v>
          </cell>
          <cell r="AC18">
            <v>2.2447738088959079</v>
          </cell>
          <cell r="AD18">
            <v>2.3303077521535971</v>
          </cell>
          <cell r="AE18">
            <v>2.4207887138591895</v>
          </cell>
          <cell r="AF18">
            <v>2.5148220103021446</v>
          </cell>
          <cell r="AG18">
            <v>2.6114871730597535</v>
          </cell>
          <cell r="AH18">
            <v>2.7102763181294049</v>
          </cell>
          <cell r="AI18">
            <v>2.8107557468122404</v>
          </cell>
          <cell r="AJ18">
            <v>2.9124637982564474</v>
          </cell>
          <cell r="AK18">
            <v>3.0148634849940983</v>
          </cell>
        </row>
        <row r="19">
          <cell r="B19">
            <v>1</v>
          </cell>
          <cell r="C19">
            <v>1.04</v>
          </cell>
          <cell r="D19">
            <v>1.0816000000000001</v>
          </cell>
          <cell r="E19">
            <v>1.1248640000000001</v>
          </cell>
          <cell r="F19">
            <v>1.1698585600000002</v>
          </cell>
          <cell r="G19">
            <v>1.2166529024000003</v>
          </cell>
          <cell r="H19">
            <v>1.2653190184960004</v>
          </cell>
          <cell r="I19">
            <v>1.3003413488669102</v>
          </cell>
          <cell r="J19">
            <v>1.3381596922263732</v>
          </cell>
          <cell r="K19">
            <v>1.3944038962533387</v>
          </cell>
          <cell r="L19">
            <v>1.4480603643022683</v>
          </cell>
          <cell r="M19">
            <v>1.4890791535197998</v>
          </cell>
          <cell r="N19">
            <v>1.5218771199134815</v>
          </cell>
          <cell r="O19">
            <v>1.550399556527623</v>
          </cell>
          <cell r="P19">
            <v>1.5785549001184618</v>
          </cell>
          <cell r="Q19">
            <v>1.6080477088898051</v>
          </cell>
          <cell r="R19">
            <v>1.6398818576375864</v>
          </cell>
          <cell r="S19">
            <v>1.6742037730927</v>
          </cell>
          <cell r="T19">
            <v>1.7117808348153432</v>
          </cell>
          <cell r="U19">
            <v>1.7528543126269922</v>
          </cell>
          <cell r="V19">
            <v>1.7977892483379188</v>
          </cell>
          <cell r="W19">
            <v>1.8468485861270838</v>
          </cell>
          <cell r="X19">
            <v>1.9006597416058912</v>
          </cell>
          <cell r="Y19">
            <v>1.9594890812202743</v>
          </cell>
          <cell r="Z19">
            <v>2.0231175798840688</v>
          </cell>
          <cell r="AA19">
            <v>2.0916114014253875</v>
          </cell>
          <cell r="AB19">
            <v>2.1652551524601535</v>
          </cell>
          <cell r="AC19">
            <v>2.2447738088959079</v>
          </cell>
          <cell r="AD19">
            <v>2.3303077521535971</v>
          </cell>
          <cell r="AE19">
            <v>2.4207887138591895</v>
          </cell>
          <cell r="AF19">
            <v>2.5148220103021446</v>
          </cell>
          <cell r="AG19">
            <v>2.6114871730597535</v>
          </cell>
          <cell r="AH19">
            <v>2.7102763181294049</v>
          </cell>
          <cell r="AI19">
            <v>2.8107557468122404</v>
          </cell>
          <cell r="AJ19">
            <v>2.9124637982564474</v>
          </cell>
          <cell r="AK19">
            <v>3.0148634849940983</v>
          </cell>
        </row>
        <row r="20">
          <cell r="B20">
            <v>1</v>
          </cell>
          <cell r="C20">
            <v>1.04</v>
          </cell>
          <cell r="D20">
            <v>1.0816000000000001</v>
          </cell>
          <cell r="E20">
            <v>1.1248640000000001</v>
          </cell>
          <cell r="F20">
            <v>1.1698585600000002</v>
          </cell>
          <cell r="G20">
            <v>1.2166529024000003</v>
          </cell>
          <cell r="H20">
            <v>1.2653190184960004</v>
          </cell>
          <cell r="I20">
            <v>1.2996908753314855</v>
          </cell>
          <cell r="J20">
            <v>1.3368068145034371</v>
          </cell>
          <cell r="K20">
            <v>1.3920063888369156</v>
          </cell>
          <cell r="L20">
            <v>1.4446662894929689</v>
          </cell>
          <cell r="M20">
            <v>1.4849232322954107</v>
          </cell>
          <cell r="N20">
            <v>1.5171120385067489</v>
          </cell>
          <cell r="O20">
            <v>1.5451047248162466</v>
          </cell>
          <cell r="P20">
            <v>1.5727371361609253</v>
          </cell>
          <cell r="Q20">
            <v>1.601682171800443</v>
          </cell>
          <cell r="R20">
            <v>1.6334933489594441</v>
          </cell>
          <cell r="S20">
            <v>1.667790497648082</v>
          </cell>
          <cell r="T20">
            <v>1.7053404436838475</v>
          </cell>
          <cell r="U20">
            <v>1.7463842827874054</v>
          </cell>
          <cell r="V20">
            <v>1.7912867933540884</v>
          </cell>
          <cell r="W20">
            <v>1.840310729821784</v>
          </cell>
          <cell r="X20">
            <v>1.8940830550574697</v>
          </cell>
          <cell r="Y20">
            <v>1.9528699432964902</v>
          </cell>
          <cell r="Z20">
            <v>2.0164525275016452</v>
          </cell>
          <cell r="AA20">
            <v>2.0848969237570891</v>
          </cell>
          <cell r="AB20">
            <v>2.1583772593762909</v>
          </cell>
          <cell r="AC20">
            <v>2.2377194639868194</v>
          </cell>
          <cell r="AD20">
            <v>2.3230636075033777</v>
          </cell>
          <cell r="AE20">
            <v>2.4133437920384697</v>
          </cell>
          <cell r="AF20">
            <v>2.5071684286834217</v>
          </cell>
          <cell r="AG20">
            <v>2.6036190915341049</v>
          </cell>
          <cell r="AH20">
            <v>2.7021890235820405</v>
          </cell>
          <cell r="AI20">
            <v>2.8024454885053829</v>
          </cell>
          <cell r="AJ20">
            <v>2.9039278498773236</v>
          </cell>
          <cell r="AK20">
            <v>3.0061003118046292</v>
          </cell>
        </row>
        <row r="21">
          <cell r="B21">
            <v>1</v>
          </cell>
          <cell r="C21">
            <v>1.04</v>
          </cell>
          <cell r="D21">
            <v>1.0816000000000001</v>
          </cell>
          <cell r="E21">
            <v>1.1248640000000001</v>
          </cell>
          <cell r="F21">
            <v>1.1698585600000002</v>
          </cell>
          <cell r="G21">
            <v>1.2166529024000003</v>
          </cell>
          <cell r="H21">
            <v>1.2653190184960004</v>
          </cell>
          <cell r="I21">
            <v>1.3020124701423788</v>
          </cell>
          <cell r="J21">
            <v>1.3416353489945305</v>
          </cell>
          <cell r="K21">
            <v>1.4005632946507891</v>
          </cell>
          <cell r="L21">
            <v>1.4567800282324073</v>
          </cell>
          <cell r="M21">
            <v>1.4997560650296806</v>
          </cell>
          <cell r="N21">
            <v>1.53411901521662</v>
          </cell>
          <cell r="O21">
            <v>1.5640024249627404</v>
          </cell>
          <cell r="P21">
            <v>1.5935012255193062</v>
          </cell>
          <cell r="Q21">
            <v>1.6244013095829888</v>
          </cell>
          <cell r="R21">
            <v>1.6564717505028717</v>
          </cell>
          <cell r="S21">
            <v>1.6910484238287808</v>
          </cell>
          <cell r="T21">
            <v>1.7289044050729099</v>
          </cell>
          <cell r="U21">
            <v>1.7702827549062605</v>
          </cell>
          <cell r="V21">
            <v>1.81555122469867</v>
          </cell>
          <cell r="W21">
            <v>1.8649747103587242</v>
          </cell>
          <cell r="X21">
            <v>1.9191852845533304</v>
          </cell>
          <cell r="Y21">
            <v>1.9784512908601675</v>
          </cell>
          <cell r="Z21">
            <v>2.0425520784573319</v>
          </cell>
          <cell r="AA21">
            <v>2.1115543022806085</v>
          </cell>
          <cell r="AB21">
            <v>2.1860844671994863</v>
          </cell>
          <cell r="AC21">
            <v>2.2665602508879972</v>
          </cell>
          <cell r="AD21">
            <v>2.3531237244697278</v>
          </cell>
          <cell r="AE21">
            <v>2.4446937613456736</v>
          </cell>
          <cell r="AF21">
            <v>2.5398588906782451</v>
          </cell>
          <cell r="AG21">
            <v>2.6376875648156295</v>
          </cell>
          <cell r="AH21">
            <v>2.7376657866033849</v>
          </cell>
          <cell r="AI21">
            <v>2.8393546371231126</v>
          </cell>
          <cell r="AJ21">
            <v>2.9422868987366737</v>
          </cell>
          <cell r="AK21">
            <v>3.0459191205201024</v>
          </cell>
        </row>
        <row r="22">
          <cell r="B22">
            <v>1</v>
          </cell>
          <cell r="C22">
            <v>1.04</v>
          </cell>
          <cell r="D22">
            <v>1.0816000000000001</v>
          </cell>
          <cell r="E22">
            <v>1.1248640000000001</v>
          </cell>
          <cell r="F22">
            <v>1.1698585600000002</v>
          </cell>
          <cell r="G22">
            <v>1.2166529024000003</v>
          </cell>
          <cell r="H22">
            <v>1.2653190184960004</v>
          </cell>
          <cell r="I22">
            <v>1.3042979864932911</v>
          </cell>
          <cell r="J22">
            <v>1.3463888462364078</v>
          </cell>
          <cell r="K22">
            <v>1.4089872229172804</v>
          </cell>
          <cell r="L22">
            <v>1.4687055148977619</v>
          </cell>
          <cell r="M22">
            <v>1.5143583899424742</v>
          </cell>
          <cell r="N22">
            <v>1.5508616970866904</v>
          </cell>
          <cell r="O22">
            <v>1.5826064477133031</v>
          </cell>
          <cell r="P22">
            <v>1.6139426330886659</v>
          </cell>
          <cell r="Q22">
            <v>1.646767383385787</v>
          </cell>
          <cell r="R22">
            <v>1.6791726604754664</v>
          </cell>
          <cell r="S22">
            <v>1.7141103366603534</v>
          </cell>
          <cell r="T22">
            <v>1.7523615588615788</v>
          </cell>
          <cell r="U22">
            <v>1.794171925460939</v>
          </cell>
          <cell r="V22">
            <v>1.8399130273907023</v>
          </cell>
          <cell r="W22">
            <v>1.8898525262442685</v>
          </cell>
          <cell r="X22">
            <v>1.9446290939364739</v>
          </cell>
          <cell r="Y22">
            <v>2.004513875725709</v>
          </cell>
          <cell r="Z22">
            <v>2.0692839170526116</v>
          </cell>
          <cell r="AA22">
            <v>2.1390065687736564</v>
          </cell>
          <cell r="AB22">
            <v>2.214641046445641</v>
          </cell>
          <cell r="AC22">
            <v>2.2963092390646866</v>
          </cell>
          <cell r="AD22">
            <v>2.3841553228208827</v>
          </cell>
          <cell r="AE22">
            <v>2.4770821520725681</v>
          </cell>
          <cell r="AF22">
            <v>2.5736573422320195</v>
          </cell>
          <cell r="AG22">
            <v>2.6729355429146224</v>
          </cell>
          <cell r="AH22">
            <v>2.7743951410749288</v>
          </cell>
          <cell r="AI22">
            <v>2.8775907143370514</v>
          </cell>
          <cell r="AJ22">
            <v>2.9820481223034978</v>
          </cell>
          <cell r="AK22">
            <v>3.0872158617430716</v>
          </cell>
        </row>
        <row r="23">
          <cell r="B23">
            <v>1</v>
          </cell>
          <cell r="C23">
            <v>1.04</v>
          </cell>
          <cell r="D23">
            <v>1.0816000000000001</v>
          </cell>
          <cell r="E23">
            <v>1.1248640000000001</v>
          </cell>
          <cell r="F23">
            <v>1.1698585600000002</v>
          </cell>
          <cell r="G23">
            <v>1.2166529024000003</v>
          </cell>
          <cell r="H23">
            <v>1.2653190184960004</v>
          </cell>
          <cell r="I23">
            <v>1.3031891166911456</v>
          </cell>
          <cell r="J23">
            <v>1.3440825798454472</v>
          </cell>
          <cell r="K23">
            <v>1.4049001641367016</v>
          </cell>
          <cell r="L23">
            <v>1.4629195960904768</v>
          </cell>
          <cell r="M23">
            <v>1.5072737426895895</v>
          </cell>
          <cell r="N23">
            <v>1.5427386073852147</v>
          </cell>
          <cell r="O23">
            <v>1.5735802865054462</v>
          </cell>
          <cell r="P23">
            <v>1.6040250231980326</v>
          </cell>
          <cell r="Q23">
            <v>1.635915978265635</v>
          </cell>
          <cell r="R23">
            <v>1.668021323536738</v>
          </cell>
          <cell r="S23">
            <v>1.7026356289099522</v>
          </cell>
          <cell r="T23">
            <v>1.7405328112859406</v>
          </cell>
          <cell r="U23">
            <v>1.7819561958744758</v>
          </cell>
          <cell r="V23">
            <v>1.8272739342931814</v>
          </cell>
          <cell r="W23">
            <v>1.8767512107541262</v>
          </cell>
          <cell r="X23">
            <v>1.9310207858501001</v>
          </cell>
          <cell r="Y23">
            <v>1.9903512952145881</v>
          </cell>
          <cell r="Z23">
            <v>2.0545218478770151</v>
          </cell>
          <cell r="AA23">
            <v>2.1235991713180766</v>
          </cell>
          <cell r="AB23">
            <v>2.1982117518249789</v>
          </cell>
          <cell r="AC23">
            <v>2.2787765257772525</v>
          </cell>
          <cell r="AD23">
            <v>2.365435721400984</v>
          </cell>
          <cell r="AE23">
            <v>2.4571070165854652</v>
          </cell>
          <cell r="AF23">
            <v>2.5523773796861611</v>
          </cell>
          <cell r="AG23">
            <v>2.6503142329442202</v>
          </cell>
          <cell r="AH23">
            <v>2.7504030108262394</v>
          </cell>
          <cell r="AI23">
            <v>2.8522043090565048</v>
          </cell>
          <cell r="AJ23">
            <v>2.9552503933467871</v>
          </cell>
          <cell r="AK23">
            <v>3.0589972118241304</v>
          </cell>
        </row>
        <row r="24">
          <cell r="B24">
            <v>1</v>
          </cell>
          <cell r="C24">
            <v>1.04</v>
          </cell>
          <cell r="D24">
            <v>1.0816000000000001</v>
          </cell>
          <cell r="E24">
            <v>1.1248640000000001</v>
          </cell>
          <cell r="F24">
            <v>1.1698585600000002</v>
          </cell>
          <cell r="G24">
            <v>1.2166529024000003</v>
          </cell>
          <cell r="H24">
            <v>1.2653190184960004</v>
          </cell>
          <cell r="I24">
            <v>1.2805414642218493</v>
          </cell>
          <cell r="J24">
            <v>1.29697919618126</v>
          </cell>
          <cell r="K24">
            <v>1.3214257231292557</v>
          </cell>
          <cell r="L24">
            <v>1.3447474913858311</v>
          </cell>
          <cell r="M24">
            <v>1.3625762962080983</v>
          </cell>
          <cell r="N24">
            <v>1.376831922777161</v>
          </cell>
          <cell r="O24">
            <v>1.3892291915690851</v>
          </cell>
          <cell r="P24">
            <v>1.401466903485028</v>
          </cell>
          <cell r="Q24">
            <v>1.4142859442533007</v>
          </cell>
          <cell r="R24">
            <v>1.4470427369068191</v>
          </cell>
          <cell r="S24">
            <v>1.4823593988016373</v>
          </cell>
          <cell r="T24">
            <v>1.5210255503337362</v>
          </cell>
          <cell r="U24">
            <v>1.5632894540082094</v>
          </cell>
          <cell r="V24">
            <v>1.6095267315821729</v>
          </cell>
          <cell r="W24">
            <v>1.6600079481025487</v>
          </cell>
          <cell r="X24">
            <v>1.7153787034643797</v>
          </cell>
          <cell r="Y24">
            <v>1.775913084168562</v>
          </cell>
          <cell r="Z24">
            <v>1.841385717160825</v>
          </cell>
          <cell r="AA24">
            <v>1.9118646838846469</v>
          </cell>
          <cell r="AB24">
            <v>1.9804089945435979</v>
          </cell>
          <cell r="AC24">
            <v>2.0544214044674436</v>
          </cell>
          <cell r="AD24">
            <v>2.1340325744059814</v>
          </cell>
          <cell r="AE24">
            <v>2.2182482079217283</v>
          </cell>
          <cell r="AF24">
            <v>2.3057701957768604</v>
          </cell>
          <cell r="AG24">
            <v>2.3957418071200638</v>
          </cell>
          <cell r="AH24">
            <v>2.4876903262305268</v>
          </cell>
          <cell r="AI24">
            <v>2.5812120857511522</v>
          </cell>
          <cell r="AJ24">
            <v>2.6758773924031338</v>
          </cell>
          <cell r="AK24">
            <v>2.7711864422614347</v>
          </cell>
        </row>
        <row r="30">
          <cell r="B30">
            <v>1</v>
          </cell>
          <cell r="C30">
            <v>1.04</v>
          </cell>
          <cell r="D30">
            <v>1.0816000000000001</v>
          </cell>
          <cell r="E30">
            <v>1.1248640000000001</v>
          </cell>
          <cell r="F30">
            <v>1.1698585600000002</v>
          </cell>
          <cell r="G30">
            <v>1.2166529024000003</v>
          </cell>
          <cell r="H30">
            <v>1.2653190184960004</v>
          </cell>
          <cell r="I30">
            <v>1.3204049064110617</v>
          </cell>
          <cell r="J30">
            <v>1.3798885844350424</v>
          </cell>
          <cell r="K30">
            <v>1.4683539117301885</v>
          </cell>
          <cell r="L30">
            <v>1.552749043452105</v>
          </cell>
          <cell r="M30">
            <v>1.6172666355517245</v>
          </cell>
          <cell r="N30">
            <v>1.6688538680822298</v>
          </cell>
          <cell r="O30">
            <v>1.7137162096155074</v>
          </cell>
          <cell r="P30">
            <v>1.7580011582419772</v>
          </cell>
          <cell r="Q30">
            <v>1.8043897777619393</v>
          </cell>
          <cell r="R30">
            <v>1.8355204416082971</v>
          </cell>
          <cell r="S30">
            <v>1.8690838964084109</v>
          </cell>
          <cell r="T30">
            <v>1.9058305638343138</v>
          </cell>
          <cell r="U30">
            <v>1.9459963820217532</v>
          </cell>
          <cell r="V30">
            <v>1.989938325927888</v>
          </cell>
          <cell r="W30">
            <v>2.0379135290765467</v>
          </cell>
          <cell r="X30">
            <v>2.0905355421753451</v>
          </cell>
          <cell r="Y30">
            <v>2.1480648453883364</v>
          </cell>
          <cell r="Z30">
            <v>2.2102872537412241</v>
          </cell>
          <cell r="AA30">
            <v>2.2772674689449941</v>
          </cell>
          <cell r="AB30">
            <v>2.3561375716923605</v>
          </cell>
          <cell r="AC30">
            <v>2.4412995102858974</v>
          </cell>
          <cell r="AD30">
            <v>2.532903628739025</v>
          </cell>
          <cell r="AE30">
            <v>2.6298058457788884</v>
          </cell>
          <cell r="AF30">
            <v>2.7305124997437069</v>
          </cell>
          <cell r="AG30">
            <v>2.8340377983828859</v>
          </cell>
          <cell r="AH30">
            <v>2.9398378141681984</v>
          </cell>
          <cell r="AI30">
            <v>3.047448069659811</v>
          </cell>
          <cell r="AJ30">
            <v>3.1563741408461103</v>
          </cell>
          <cell r="AK30">
            <v>3.2660409313180399</v>
          </cell>
        </row>
        <row r="31">
          <cell r="B31">
            <v>1</v>
          </cell>
          <cell r="C31">
            <v>1.04</v>
          </cell>
          <cell r="D31">
            <v>1.0816000000000001</v>
          </cell>
          <cell r="E31">
            <v>1.1248640000000001</v>
          </cell>
          <cell r="F31">
            <v>1.1698585600000002</v>
          </cell>
          <cell r="G31">
            <v>1.2166529024000003</v>
          </cell>
          <cell r="H31">
            <v>1.2653190184960004</v>
          </cell>
          <cell r="I31">
            <v>1.3204049064110617</v>
          </cell>
          <cell r="J31">
            <v>1.3798885844350424</v>
          </cell>
          <cell r="K31">
            <v>1.4683539117301885</v>
          </cell>
          <cell r="L31">
            <v>1.552749043452105</v>
          </cell>
          <cell r="M31">
            <v>1.6172666355517245</v>
          </cell>
          <cell r="N31">
            <v>1.6688538680822298</v>
          </cell>
          <cell r="O31">
            <v>1.7137162096155074</v>
          </cell>
          <cell r="P31">
            <v>1.7580011582419772</v>
          </cell>
          <cell r="Q31">
            <v>1.8043897777619393</v>
          </cell>
          <cell r="R31">
            <v>1.8355204416082971</v>
          </cell>
          <cell r="S31">
            <v>1.8690838964084109</v>
          </cell>
          <cell r="T31">
            <v>1.9058305638343138</v>
          </cell>
          <cell r="U31">
            <v>1.9459963820217532</v>
          </cell>
          <cell r="V31">
            <v>1.989938325927888</v>
          </cell>
          <cell r="W31">
            <v>2.0379135290765467</v>
          </cell>
          <cell r="X31">
            <v>2.0905355421753451</v>
          </cell>
          <cell r="Y31">
            <v>2.1480648453883364</v>
          </cell>
          <cell r="Z31">
            <v>2.2102872537412241</v>
          </cell>
          <cell r="AA31">
            <v>2.2772674689449941</v>
          </cell>
          <cell r="AB31">
            <v>2.3561375716923605</v>
          </cell>
          <cell r="AC31">
            <v>2.4412995102858974</v>
          </cell>
          <cell r="AD31">
            <v>2.532903628739025</v>
          </cell>
          <cell r="AE31">
            <v>2.6298058457788884</v>
          </cell>
          <cell r="AF31">
            <v>2.7305124997437069</v>
          </cell>
          <cell r="AG31">
            <v>2.8340377983828859</v>
          </cell>
          <cell r="AH31">
            <v>2.9398378141681984</v>
          </cell>
          <cell r="AI31">
            <v>3.047448069659811</v>
          </cell>
          <cell r="AJ31">
            <v>3.1563741408461103</v>
          </cell>
          <cell r="AK31">
            <v>3.2660409313180399</v>
          </cell>
        </row>
        <row r="32">
          <cell r="B32">
            <v>1</v>
          </cell>
          <cell r="C32">
            <v>1.04</v>
          </cell>
          <cell r="D32">
            <v>1.0816000000000001</v>
          </cell>
          <cell r="E32">
            <v>1.1248640000000001</v>
          </cell>
          <cell r="F32">
            <v>1.1698585600000002</v>
          </cell>
          <cell r="G32">
            <v>1.2166529024000003</v>
          </cell>
          <cell r="H32">
            <v>1.2653190184960004</v>
          </cell>
          <cell r="I32">
            <v>1.3204049064110617</v>
          </cell>
          <cell r="J32">
            <v>1.3798885844350424</v>
          </cell>
          <cell r="K32">
            <v>1.4683539117301885</v>
          </cell>
          <cell r="L32">
            <v>1.552749043452105</v>
          </cell>
          <cell r="M32">
            <v>1.6172666355517245</v>
          </cell>
          <cell r="N32">
            <v>1.6688538680822298</v>
          </cell>
          <cell r="O32">
            <v>1.7137162096155074</v>
          </cell>
          <cell r="P32">
            <v>1.7580011582419772</v>
          </cell>
          <cell r="Q32">
            <v>1.8043897777619393</v>
          </cell>
          <cell r="R32">
            <v>1.8355204416082971</v>
          </cell>
          <cell r="S32">
            <v>1.8690838964084109</v>
          </cell>
          <cell r="T32">
            <v>1.9058305638343138</v>
          </cell>
          <cell r="U32">
            <v>1.9459963820217532</v>
          </cell>
          <cell r="V32">
            <v>1.989938325927888</v>
          </cell>
          <cell r="W32">
            <v>2.0379135290765467</v>
          </cell>
          <cell r="X32">
            <v>2.0905355421753451</v>
          </cell>
          <cell r="Y32">
            <v>2.1480648453883364</v>
          </cell>
          <cell r="Z32">
            <v>2.2102872537412241</v>
          </cell>
          <cell r="AA32">
            <v>2.2772674689449941</v>
          </cell>
          <cell r="AB32">
            <v>2.3561375716923605</v>
          </cell>
          <cell r="AC32">
            <v>2.4412995102858974</v>
          </cell>
          <cell r="AD32">
            <v>2.532903628739025</v>
          </cell>
          <cell r="AE32">
            <v>2.6298058457788884</v>
          </cell>
          <cell r="AF32">
            <v>2.7305124997437069</v>
          </cell>
          <cell r="AG32">
            <v>2.8340377983828859</v>
          </cell>
          <cell r="AH32">
            <v>2.9398378141681984</v>
          </cell>
          <cell r="AI32">
            <v>3.047448069659811</v>
          </cell>
          <cell r="AJ32">
            <v>3.1563741408461103</v>
          </cell>
          <cell r="AK32">
            <v>3.2660409313180399</v>
          </cell>
        </row>
        <row r="33">
          <cell r="B33">
            <v>1</v>
          </cell>
          <cell r="C33">
            <v>1.04</v>
          </cell>
          <cell r="D33">
            <v>1.0816000000000001</v>
          </cell>
          <cell r="E33">
            <v>1.1248640000000001</v>
          </cell>
          <cell r="F33">
            <v>1.1698585600000002</v>
          </cell>
          <cell r="G33">
            <v>1.2166529024000003</v>
          </cell>
          <cell r="H33">
            <v>1.2653190184960004</v>
          </cell>
          <cell r="I33">
            <v>1.3204049064110617</v>
          </cell>
          <cell r="J33">
            <v>1.3798885844350424</v>
          </cell>
          <cell r="K33">
            <v>1.4683539117301885</v>
          </cell>
          <cell r="L33">
            <v>1.552749043452105</v>
          </cell>
          <cell r="M33">
            <v>1.6172666355517245</v>
          </cell>
          <cell r="N33">
            <v>1.6688538680822298</v>
          </cell>
          <cell r="O33">
            <v>1.7137162096155074</v>
          </cell>
          <cell r="P33">
            <v>1.7580011582419772</v>
          </cell>
          <cell r="Q33">
            <v>1.8043897777619393</v>
          </cell>
          <cell r="R33">
            <v>1.8355204416082971</v>
          </cell>
          <cell r="S33">
            <v>1.8690838964084109</v>
          </cell>
          <cell r="T33">
            <v>1.9058305638343138</v>
          </cell>
          <cell r="U33">
            <v>1.9459963820217532</v>
          </cell>
          <cell r="V33">
            <v>1.989938325927888</v>
          </cell>
          <cell r="W33">
            <v>2.0379135290765467</v>
          </cell>
          <cell r="X33">
            <v>2.0905355421753451</v>
          </cell>
          <cell r="Y33">
            <v>2.1480648453883364</v>
          </cell>
          <cell r="Z33">
            <v>2.2102872537412241</v>
          </cell>
          <cell r="AA33">
            <v>2.2772674689449941</v>
          </cell>
          <cell r="AB33">
            <v>2.3561375716923605</v>
          </cell>
          <cell r="AC33">
            <v>2.4412995102858974</v>
          </cell>
          <cell r="AD33">
            <v>2.532903628739025</v>
          </cell>
          <cell r="AE33">
            <v>2.6298058457788884</v>
          </cell>
          <cell r="AF33">
            <v>2.7305124997437069</v>
          </cell>
          <cell r="AG33">
            <v>2.8340377983828859</v>
          </cell>
          <cell r="AH33">
            <v>2.9398378141681984</v>
          </cell>
          <cell r="AI33">
            <v>3.047448069659811</v>
          </cell>
          <cell r="AJ33">
            <v>3.1563741408461103</v>
          </cell>
          <cell r="AK33">
            <v>3.2660409313180399</v>
          </cell>
        </row>
      </sheetData>
      <sheetData sheetId="8"/>
      <sheetData sheetId="9"/>
      <sheetData sheetId="10"/>
      <sheetData sheetId="11">
        <row r="4">
          <cell r="C4">
            <v>1</v>
          </cell>
          <cell r="D4">
            <v>1.012</v>
          </cell>
          <cell r="E4">
            <v>1.0241439999999999</v>
          </cell>
          <cell r="F4">
            <v>1.036433728</v>
          </cell>
          <cell r="G4">
            <v>1.048870932736</v>
          </cell>
          <cell r="H4">
            <v>1.0614573839288319</v>
          </cell>
          <cell r="I4">
            <v>1.074194872535978</v>
          </cell>
          <cell r="J4">
            <v>1.0870852110064098</v>
          </cell>
          <cell r="K4">
            <v>1.1001302335384866</v>
          </cell>
          <cell r="L4">
            <v>1.1133317963409484</v>
          </cell>
          <cell r="M4">
            <v>1.1266917778970398</v>
          </cell>
          <cell r="N4">
            <v>1.1396100682872405</v>
          </cell>
          <cell r="O4">
            <v>1.1517308398285908</v>
          </cell>
          <cell r="P4">
            <v>1.1629837550378135</v>
          </cell>
          <cell r="Q4">
            <v>1.1736490817328895</v>
          </cell>
          <cell r="R4">
            <v>1.183973542162853</v>
          </cell>
          <cell r="S4">
            <v>1.1938435142393335</v>
          </cell>
          <cell r="T4">
            <v>1.203269819113604</v>
          </cell>
          <cell r="U4">
            <v>1.2125229855674997</v>
          </cell>
          <cell r="V4">
            <v>1.2218854456492569</v>
          </cell>
          <cell r="W4">
            <v>1.2315909362263815</v>
          </cell>
          <cell r="X4">
            <v>1.2417909534167009</v>
          </cell>
          <cell r="Y4">
            <v>1.2526672925616087</v>
          </cell>
          <cell r="Z4">
            <v>1.2644244734201724</v>
          </cell>
          <cell r="AA4">
            <v>1.2774271687903058</v>
          </cell>
          <cell r="AB4">
            <v>1.2918333674806011</v>
          </cell>
          <cell r="AC4">
            <v>1.3077783338819757</v>
          </cell>
          <cell r="AD4">
            <v>1.32529453144825</v>
          </cell>
          <cell r="AE4">
            <v>1.3443830422945511</v>
          </cell>
          <cell r="AF4">
            <v>1.3647116570767854</v>
          </cell>
          <cell r="AG4">
            <v>1.3861689179368368</v>
          </cell>
          <cell r="AH4">
            <v>1.4086866516216829</v>
          </cell>
          <cell r="AI4">
            <v>1.4322118344900838</v>
          </cell>
          <cell r="AJ4">
            <v>1.4566925250159268</v>
          </cell>
          <cell r="AK4">
            <v>1.4820637962915721</v>
          </cell>
          <cell r="AL4">
            <v>1.5082520644883597</v>
          </cell>
        </row>
        <row r="5">
          <cell r="C5">
            <v>1</v>
          </cell>
          <cell r="D5">
            <v>1.012</v>
          </cell>
          <cell r="E5">
            <v>1.0241439999999999</v>
          </cell>
          <cell r="F5">
            <v>1.036433728</v>
          </cell>
          <cell r="G5">
            <v>1.048870932736</v>
          </cell>
          <cell r="H5">
            <v>1.0614573839288319</v>
          </cell>
          <cell r="I5">
            <v>1.074194872535978</v>
          </cell>
          <cell r="J5">
            <v>1.0870852110064098</v>
          </cell>
          <cell r="K5">
            <v>1.1001302335384866</v>
          </cell>
          <cell r="L5">
            <v>1.1133317963409484</v>
          </cell>
          <cell r="M5">
            <v>1.1266917778970398</v>
          </cell>
          <cell r="N5">
            <v>1.1396100682872405</v>
          </cell>
          <cell r="O5">
            <v>1.1517308398285908</v>
          </cell>
          <cell r="P5">
            <v>1.1629837550378135</v>
          </cell>
          <cell r="Q5">
            <v>1.1736490817328895</v>
          </cell>
          <cell r="R5">
            <v>1.183973542162853</v>
          </cell>
          <cell r="S5">
            <v>1.1938435142393335</v>
          </cell>
          <cell r="T5">
            <v>1.203269819113604</v>
          </cell>
          <cell r="U5">
            <v>1.2125229855674997</v>
          </cell>
          <cell r="V5">
            <v>1.2218854456492569</v>
          </cell>
          <cell r="W5">
            <v>1.2315909362263815</v>
          </cell>
          <cell r="X5">
            <v>1.2417909534167009</v>
          </cell>
          <cell r="Y5">
            <v>1.2526672925616087</v>
          </cell>
          <cell r="Z5">
            <v>1.2644244734201724</v>
          </cell>
          <cell r="AA5">
            <v>1.2774271687903058</v>
          </cell>
          <cell r="AB5">
            <v>1.2918333674806011</v>
          </cell>
          <cell r="AC5">
            <v>1.3077783338819757</v>
          </cell>
          <cell r="AD5">
            <v>1.32529453144825</v>
          </cell>
          <cell r="AE5">
            <v>1.3443830422945511</v>
          </cell>
          <cell r="AF5">
            <v>1.3647116570767854</v>
          </cell>
          <cell r="AG5">
            <v>1.3861689179368368</v>
          </cell>
          <cell r="AH5">
            <v>1.4086866516216829</v>
          </cell>
          <cell r="AI5">
            <v>1.4322118344900838</v>
          </cell>
          <cell r="AJ5">
            <v>1.4566925250159268</v>
          </cell>
          <cell r="AK5">
            <v>1.4820637962915721</v>
          </cell>
          <cell r="AL5">
            <v>1.5082520644883597</v>
          </cell>
        </row>
        <row r="6">
          <cell r="C6">
            <v>1</v>
          </cell>
          <cell r="D6">
            <v>1.012</v>
          </cell>
          <cell r="E6">
            <v>1.0241439999999999</v>
          </cell>
          <cell r="F6">
            <v>1.036433728</v>
          </cell>
          <cell r="G6">
            <v>1.048870932736</v>
          </cell>
          <cell r="H6">
            <v>1.0614573839288319</v>
          </cell>
          <cell r="I6">
            <v>1.074194872535978</v>
          </cell>
          <cell r="J6">
            <v>1.0870852110064098</v>
          </cell>
          <cell r="K6">
            <v>1.1001302335384866</v>
          </cell>
          <cell r="L6">
            <v>1.1133317963409484</v>
          </cell>
          <cell r="M6">
            <v>1.1266917778970398</v>
          </cell>
          <cell r="N6">
            <v>1.1396100682872405</v>
          </cell>
          <cell r="O6">
            <v>1.1517308398285908</v>
          </cell>
          <cell r="P6">
            <v>1.1629837550378135</v>
          </cell>
          <cell r="Q6">
            <v>1.1736490817328895</v>
          </cell>
          <cell r="R6">
            <v>1.183973542162853</v>
          </cell>
          <cell r="S6">
            <v>1.1938435142393335</v>
          </cell>
          <cell r="T6">
            <v>1.203269819113604</v>
          </cell>
          <cell r="U6">
            <v>1.2125229855674997</v>
          </cell>
          <cell r="V6">
            <v>1.2218854456492569</v>
          </cell>
          <cell r="W6">
            <v>1.2315909362263815</v>
          </cell>
          <cell r="X6">
            <v>1.2417909534167009</v>
          </cell>
          <cell r="Y6">
            <v>1.2526672925616087</v>
          </cell>
          <cell r="Z6">
            <v>1.2644244734201724</v>
          </cell>
          <cell r="AA6">
            <v>1.2774271687903058</v>
          </cell>
          <cell r="AB6">
            <v>1.2918333674806011</v>
          </cell>
          <cell r="AC6">
            <v>1.3077783338819757</v>
          </cell>
          <cell r="AD6">
            <v>1.32529453144825</v>
          </cell>
          <cell r="AE6">
            <v>1.3443830422945511</v>
          </cell>
          <cell r="AF6">
            <v>1.3647116570767854</v>
          </cell>
          <cell r="AG6">
            <v>1.3861689179368368</v>
          </cell>
          <cell r="AH6">
            <v>1.4086866516216829</v>
          </cell>
          <cell r="AI6">
            <v>1.4322118344900838</v>
          </cell>
          <cell r="AJ6">
            <v>1.4566925250159268</v>
          </cell>
          <cell r="AK6">
            <v>1.4820637962915721</v>
          </cell>
          <cell r="AL6">
            <v>1.5082520644883597</v>
          </cell>
        </row>
        <row r="7">
          <cell r="C7">
            <v>1</v>
          </cell>
          <cell r="D7">
            <v>1.012</v>
          </cell>
          <cell r="E7">
            <v>1.0241439999999999</v>
          </cell>
          <cell r="F7">
            <v>1.036433728</v>
          </cell>
          <cell r="G7">
            <v>1.048870932736</v>
          </cell>
          <cell r="H7">
            <v>1.0614573839288319</v>
          </cell>
          <cell r="I7">
            <v>1.074194872535978</v>
          </cell>
          <cell r="J7">
            <v>1.0870852110064098</v>
          </cell>
          <cell r="K7">
            <v>1.1001302335384866</v>
          </cell>
          <cell r="L7">
            <v>1.1133317963409484</v>
          </cell>
          <cell r="M7">
            <v>1.1266917778970398</v>
          </cell>
          <cell r="N7">
            <v>1.1396100682872405</v>
          </cell>
          <cell r="O7">
            <v>1.1517308398285908</v>
          </cell>
          <cell r="P7">
            <v>1.1629837550378135</v>
          </cell>
          <cell r="Q7">
            <v>1.1736490817328895</v>
          </cell>
          <cell r="R7">
            <v>1.183973542162853</v>
          </cell>
          <cell r="S7">
            <v>1.1938435142393335</v>
          </cell>
          <cell r="T7">
            <v>1.203269819113604</v>
          </cell>
          <cell r="U7">
            <v>1.2125229855674997</v>
          </cell>
          <cell r="V7">
            <v>1.2218854456492569</v>
          </cell>
          <cell r="W7">
            <v>1.2315909362263815</v>
          </cell>
          <cell r="X7">
            <v>1.2417909534167009</v>
          </cell>
          <cell r="Y7">
            <v>1.2526672925616087</v>
          </cell>
          <cell r="Z7">
            <v>1.2644244734201724</v>
          </cell>
          <cell r="AA7">
            <v>1.2774271687903058</v>
          </cell>
          <cell r="AB7">
            <v>1.2918333674806011</v>
          </cell>
          <cell r="AC7">
            <v>1.3077783338819757</v>
          </cell>
          <cell r="AD7">
            <v>1.32529453144825</v>
          </cell>
          <cell r="AE7">
            <v>1.3443830422945511</v>
          </cell>
          <cell r="AF7">
            <v>1.3647116570767854</v>
          </cell>
          <cell r="AG7">
            <v>1.3861689179368368</v>
          </cell>
          <cell r="AH7">
            <v>1.4086866516216829</v>
          </cell>
          <cell r="AI7">
            <v>1.4322118344900838</v>
          </cell>
          <cell r="AJ7">
            <v>1.4566925250159268</v>
          </cell>
          <cell r="AK7">
            <v>1.4820637962915721</v>
          </cell>
          <cell r="AL7">
            <v>1.5082520644883597</v>
          </cell>
        </row>
        <row r="8">
          <cell r="C8">
            <v>1</v>
          </cell>
          <cell r="D8">
            <v>1.012</v>
          </cell>
          <cell r="E8">
            <v>1.0241439999999999</v>
          </cell>
          <cell r="F8">
            <v>1.036433728</v>
          </cell>
          <cell r="G8">
            <v>1.048870932736</v>
          </cell>
          <cell r="H8">
            <v>1.0614573839288319</v>
          </cell>
          <cell r="I8">
            <v>1.074194872535978</v>
          </cell>
          <cell r="J8">
            <v>1.0870852110064098</v>
          </cell>
          <cell r="K8">
            <v>1.1001302335384866</v>
          </cell>
          <cell r="L8">
            <v>1.1133317963409484</v>
          </cell>
          <cell r="M8">
            <v>1.1266917778970398</v>
          </cell>
          <cell r="N8">
            <v>1.1396100682872405</v>
          </cell>
          <cell r="O8">
            <v>1.1517308398285908</v>
          </cell>
          <cell r="P8">
            <v>1.1629837550378135</v>
          </cell>
          <cell r="Q8">
            <v>1.1736490817328895</v>
          </cell>
          <cell r="R8">
            <v>1.183973542162853</v>
          </cell>
          <cell r="S8">
            <v>1.1938435142393335</v>
          </cell>
          <cell r="T8">
            <v>1.203269819113604</v>
          </cell>
          <cell r="U8">
            <v>1.2125229855674997</v>
          </cell>
          <cell r="V8">
            <v>1.2218854456492569</v>
          </cell>
          <cell r="W8">
            <v>1.2315909362263815</v>
          </cell>
          <cell r="X8">
            <v>1.2417909534167009</v>
          </cell>
          <cell r="Y8">
            <v>1.2526672925616087</v>
          </cell>
          <cell r="Z8">
            <v>1.2644244734201724</v>
          </cell>
          <cell r="AA8">
            <v>1.2774271687903058</v>
          </cell>
          <cell r="AB8">
            <v>1.2918333674806011</v>
          </cell>
          <cell r="AC8">
            <v>1.3077783338819757</v>
          </cell>
          <cell r="AD8">
            <v>1.32529453144825</v>
          </cell>
          <cell r="AE8">
            <v>1.3443830422945511</v>
          </cell>
          <cell r="AF8">
            <v>1.3647116570767854</v>
          </cell>
          <cell r="AG8">
            <v>1.3861689179368368</v>
          </cell>
          <cell r="AH8">
            <v>1.4086866516216829</v>
          </cell>
          <cell r="AI8">
            <v>1.4322118344900838</v>
          </cell>
          <cell r="AJ8">
            <v>1.4566925250159268</v>
          </cell>
          <cell r="AK8">
            <v>1.4820637962915721</v>
          </cell>
          <cell r="AL8">
            <v>1.5082520644883597</v>
          </cell>
        </row>
        <row r="9">
          <cell r="C9">
            <v>1</v>
          </cell>
          <cell r="D9">
            <v>1.012</v>
          </cell>
          <cell r="E9">
            <v>1.0241439999999999</v>
          </cell>
          <cell r="F9">
            <v>1.036433728</v>
          </cell>
          <cell r="G9">
            <v>1.048870932736</v>
          </cell>
          <cell r="H9">
            <v>1.0614573839288319</v>
          </cell>
          <cell r="I9">
            <v>1.074194872535978</v>
          </cell>
          <cell r="J9">
            <v>1.0870852110064098</v>
          </cell>
          <cell r="K9">
            <v>1.1001302335384866</v>
          </cell>
          <cell r="L9">
            <v>1.1133317963409484</v>
          </cell>
          <cell r="M9">
            <v>1.1266917778970398</v>
          </cell>
          <cell r="N9">
            <v>1.1396100682872405</v>
          </cell>
          <cell r="O9">
            <v>1.1517308398285908</v>
          </cell>
          <cell r="P9">
            <v>1.1629837550378135</v>
          </cell>
          <cell r="Q9">
            <v>1.1736490817328895</v>
          </cell>
          <cell r="R9">
            <v>1.183973542162853</v>
          </cell>
          <cell r="S9">
            <v>1.1938435142393335</v>
          </cell>
          <cell r="T9">
            <v>1.203269819113604</v>
          </cell>
          <cell r="U9">
            <v>1.2125229855674997</v>
          </cell>
          <cell r="V9">
            <v>1.2218854456492569</v>
          </cell>
          <cell r="W9">
            <v>1.2315909362263815</v>
          </cell>
          <cell r="X9">
            <v>1.2417909534167009</v>
          </cell>
          <cell r="Y9">
            <v>1.2526672925616087</v>
          </cell>
          <cell r="Z9">
            <v>1.2644244734201724</v>
          </cell>
          <cell r="AA9">
            <v>1.2774271687903058</v>
          </cell>
          <cell r="AB9">
            <v>1.2918333674806011</v>
          </cell>
          <cell r="AC9">
            <v>1.3077783338819757</v>
          </cell>
          <cell r="AD9">
            <v>1.32529453144825</v>
          </cell>
          <cell r="AE9">
            <v>1.3443830422945511</v>
          </cell>
          <cell r="AF9">
            <v>1.3647116570767854</v>
          </cell>
          <cell r="AG9">
            <v>1.3861689179368368</v>
          </cell>
          <cell r="AH9">
            <v>1.4086866516216829</v>
          </cell>
          <cell r="AI9">
            <v>1.4322118344900838</v>
          </cell>
          <cell r="AJ9">
            <v>1.4566925250159268</v>
          </cell>
          <cell r="AK9">
            <v>1.4820637962915721</v>
          </cell>
          <cell r="AL9">
            <v>1.5082520644883597</v>
          </cell>
        </row>
        <row r="10">
          <cell r="C10">
            <v>1</v>
          </cell>
          <cell r="D10">
            <v>1.012</v>
          </cell>
          <cell r="E10">
            <v>1.0241439999999999</v>
          </cell>
          <cell r="F10">
            <v>1.036433728</v>
          </cell>
          <cell r="G10">
            <v>1.048870932736</v>
          </cell>
          <cell r="H10">
            <v>1.0614573839288319</v>
          </cell>
          <cell r="I10">
            <v>1.074194872535978</v>
          </cell>
          <cell r="J10">
            <v>1.0870852110064098</v>
          </cell>
          <cell r="K10">
            <v>1.1001302335384866</v>
          </cell>
          <cell r="L10">
            <v>1.1133317963409484</v>
          </cell>
          <cell r="M10">
            <v>1.1266917778970398</v>
          </cell>
          <cell r="N10">
            <v>1.1396100682872405</v>
          </cell>
          <cell r="O10">
            <v>1.1517308398285908</v>
          </cell>
          <cell r="P10">
            <v>1.1629837550378135</v>
          </cell>
          <cell r="Q10">
            <v>1.1736490817328895</v>
          </cell>
          <cell r="R10">
            <v>1.183973542162853</v>
          </cell>
          <cell r="S10">
            <v>1.1938435142393335</v>
          </cell>
          <cell r="T10">
            <v>1.203269819113604</v>
          </cell>
          <cell r="U10">
            <v>1.2125229855674997</v>
          </cell>
          <cell r="V10">
            <v>1.2218854456492569</v>
          </cell>
          <cell r="W10">
            <v>1.2315909362263815</v>
          </cell>
          <cell r="X10">
            <v>1.2417909534167009</v>
          </cell>
          <cell r="Y10">
            <v>1.2526672925616087</v>
          </cell>
          <cell r="Z10">
            <v>1.2644244734201724</v>
          </cell>
          <cell r="AA10">
            <v>1.2774271687903058</v>
          </cell>
          <cell r="AB10">
            <v>1.2918333674806011</v>
          </cell>
          <cell r="AC10">
            <v>1.3077783338819757</v>
          </cell>
          <cell r="AD10">
            <v>1.32529453144825</v>
          </cell>
          <cell r="AE10">
            <v>1.3443830422945511</v>
          </cell>
          <cell r="AF10">
            <v>1.3647116570767854</v>
          </cell>
          <cell r="AG10">
            <v>1.3861689179368368</v>
          </cell>
          <cell r="AH10">
            <v>1.4086866516216829</v>
          </cell>
          <cell r="AI10">
            <v>1.4322118344900838</v>
          </cell>
          <cell r="AJ10">
            <v>1.4566925250159268</v>
          </cell>
          <cell r="AK10">
            <v>1.4820637962915721</v>
          </cell>
          <cell r="AL10">
            <v>1.5082520644883597</v>
          </cell>
        </row>
        <row r="11">
          <cell r="C11">
            <v>1</v>
          </cell>
          <cell r="D11">
            <v>1.012</v>
          </cell>
          <cell r="E11">
            <v>1.0241439999999999</v>
          </cell>
          <cell r="F11">
            <v>1.036433728</v>
          </cell>
          <cell r="G11">
            <v>1.048870932736</v>
          </cell>
          <cell r="H11">
            <v>1.0614573839288319</v>
          </cell>
          <cell r="I11">
            <v>1.074194872535978</v>
          </cell>
          <cell r="J11">
            <v>1.0870852110064098</v>
          </cell>
          <cell r="K11">
            <v>1.1001302335384866</v>
          </cell>
          <cell r="L11">
            <v>1.1133317963409484</v>
          </cell>
          <cell r="M11">
            <v>1.1266917778970398</v>
          </cell>
          <cell r="N11">
            <v>1.1396100682872405</v>
          </cell>
          <cell r="O11">
            <v>1.1517308398285908</v>
          </cell>
          <cell r="P11">
            <v>1.1629837550378135</v>
          </cell>
          <cell r="Q11">
            <v>1.1736490817328895</v>
          </cell>
          <cell r="R11">
            <v>1.183973542162853</v>
          </cell>
          <cell r="S11">
            <v>1.1938435142393335</v>
          </cell>
          <cell r="T11">
            <v>1.203269819113604</v>
          </cell>
          <cell r="U11">
            <v>1.2125229855674997</v>
          </cell>
          <cell r="V11">
            <v>1.2218854456492569</v>
          </cell>
          <cell r="W11">
            <v>1.2315909362263815</v>
          </cell>
          <cell r="X11">
            <v>1.2417909534167009</v>
          </cell>
          <cell r="Y11">
            <v>1.2526672925616087</v>
          </cell>
          <cell r="Z11">
            <v>1.2644244734201724</v>
          </cell>
          <cell r="AA11">
            <v>1.2774271687903058</v>
          </cell>
          <cell r="AB11">
            <v>1.2918333674806011</v>
          </cell>
          <cell r="AC11">
            <v>1.3077783338819757</v>
          </cell>
          <cell r="AD11">
            <v>1.32529453144825</v>
          </cell>
          <cell r="AE11">
            <v>1.3443830422945511</v>
          </cell>
          <cell r="AF11">
            <v>1.3647116570767854</v>
          </cell>
          <cell r="AG11">
            <v>1.3861689179368368</v>
          </cell>
          <cell r="AH11">
            <v>1.4086866516216829</v>
          </cell>
          <cell r="AI11">
            <v>1.4322118344900838</v>
          </cell>
          <cell r="AJ11">
            <v>1.4566925250159268</v>
          </cell>
          <cell r="AK11">
            <v>1.4820637962915721</v>
          </cell>
          <cell r="AL11">
            <v>1.5082520644883597</v>
          </cell>
        </row>
        <row r="12">
          <cell r="C12">
            <v>1</v>
          </cell>
          <cell r="D12">
            <v>1.012</v>
          </cell>
          <cell r="E12">
            <v>1.0241439999999999</v>
          </cell>
          <cell r="F12">
            <v>1.036433728</v>
          </cell>
          <cell r="G12">
            <v>1.048870932736</v>
          </cell>
          <cell r="H12">
            <v>1.0614573839288319</v>
          </cell>
          <cell r="I12">
            <v>1.074194872535978</v>
          </cell>
          <cell r="J12">
            <v>1.0870852110064098</v>
          </cell>
          <cell r="K12">
            <v>1.1001302335384866</v>
          </cell>
          <cell r="L12">
            <v>1.1133317963409484</v>
          </cell>
          <cell r="M12">
            <v>1.1266917778970398</v>
          </cell>
          <cell r="N12">
            <v>1.1396100682872405</v>
          </cell>
          <cell r="O12">
            <v>1.1517308398285908</v>
          </cell>
          <cell r="P12">
            <v>1.1629837550378135</v>
          </cell>
          <cell r="Q12">
            <v>1.1736490817328895</v>
          </cell>
          <cell r="R12">
            <v>1.183973542162853</v>
          </cell>
          <cell r="S12">
            <v>1.1938435142393335</v>
          </cell>
          <cell r="T12">
            <v>1.203269819113604</v>
          </cell>
          <cell r="U12">
            <v>1.2125229855674997</v>
          </cell>
          <cell r="V12">
            <v>1.2218854456492569</v>
          </cell>
          <cell r="W12">
            <v>1.2315909362263815</v>
          </cell>
          <cell r="X12">
            <v>1.2417909534167009</v>
          </cell>
          <cell r="Y12">
            <v>1.2526672925616087</v>
          </cell>
          <cell r="Z12">
            <v>1.2644244734201724</v>
          </cell>
          <cell r="AA12">
            <v>1.2774271687903058</v>
          </cell>
          <cell r="AB12">
            <v>1.2918333674806011</v>
          </cell>
          <cell r="AC12">
            <v>1.3077783338819757</v>
          </cell>
          <cell r="AD12">
            <v>1.32529453144825</v>
          </cell>
          <cell r="AE12">
            <v>1.3443830422945511</v>
          </cell>
          <cell r="AF12">
            <v>1.3647116570767854</v>
          </cell>
          <cell r="AG12">
            <v>1.3861689179368368</v>
          </cell>
          <cell r="AH12">
            <v>1.4086866516216829</v>
          </cell>
          <cell r="AI12">
            <v>1.4322118344900838</v>
          </cell>
          <cell r="AJ12">
            <v>1.4566925250159268</v>
          </cell>
          <cell r="AK12">
            <v>1.4820637962915721</v>
          </cell>
          <cell r="AL12">
            <v>1.5082520644883597</v>
          </cell>
        </row>
        <row r="13">
          <cell r="C13">
            <v>1</v>
          </cell>
          <cell r="D13">
            <v>1.012</v>
          </cell>
          <cell r="E13">
            <v>1.0241439999999999</v>
          </cell>
          <cell r="F13">
            <v>1.036433728</v>
          </cell>
          <cell r="G13">
            <v>1.048870932736</v>
          </cell>
          <cell r="H13">
            <v>1.0614573839288319</v>
          </cell>
          <cell r="I13">
            <v>1.074194872535978</v>
          </cell>
          <cell r="J13">
            <v>1.0870852110064098</v>
          </cell>
          <cell r="K13">
            <v>1.1001302335384866</v>
          </cell>
          <cell r="L13">
            <v>1.1133317963409484</v>
          </cell>
          <cell r="M13">
            <v>1.1266917778970398</v>
          </cell>
          <cell r="N13">
            <v>1.1396100682872405</v>
          </cell>
          <cell r="O13">
            <v>1.1517308398285908</v>
          </cell>
          <cell r="P13">
            <v>1.1629837550378135</v>
          </cell>
          <cell r="Q13">
            <v>1.1736490817328895</v>
          </cell>
          <cell r="R13">
            <v>1.183973542162853</v>
          </cell>
          <cell r="S13">
            <v>1.1938435142393335</v>
          </cell>
          <cell r="T13">
            <v>1.203269819113604</v>
          </cell>
          <cell r="U13">
            <v>1.2125229855674997</v>
          </cell>
          <cell r="V13">
            <v>1.2218854456492569</v>
          </cell>
          <cell r="W13">
            <v>1.2315909362263815</v>
          </cell>
          <cell r="X13">
            <v>1.2417909534167009</v>
          </cell>
          <cell r="Y13">
            <v>1.2526672925616087</v>
          </cell>
          <cell r="Z13">
            <v>1.2644244734201724</v>
          </cell>
          <cell r="AA13">
            <v>1.2774271687903058</v>
          </cell>
          <cell r="AB13">
            <v>1.2918333674806011</v>
          </cell>
          <cell r="AC13">
            <v>1.3077783338819757</v>
          </cell>
          <cell r="AD13">
            <v>1.32529453144825</v>
          </cell>
          <cell r="AE13">
            <v>1.3443830422945511</v>
          </cell>
          <cell r="AF13">
            <v>1.3647116570767854</v>
          </cell>
          <cell r="AG13">
            <v>1.3861689179368368</v>
          </cell>
          <cell r="AH13">
            <v>1.4086866516216829</v>
          </cell>
          <cell r="AI13">
            <v>1.4322118344900838</v>
          </cell>
          <cell r="AJ13">
            <v>1.4566925250159268</v>
          </cell>
          <cell r="AK13">
            <v>1.4820637962915721</v>
          </cell>
          <cell r="AL13">
            <v>1.5082520644883597</v>
          </cell>
        </row>
        <row r="14">
          <cell r="C14">
            <v>1</v>
          </cell>
          <cell r="D14">
            <v>1.012</v>
          </cell>
          <cell r="E14">
            <v>1.0241439999999999</v>
          </cell>
          <cell r="F14">
            <v>1.036433728</v>
          </cell>
          <cell r="G14">
            <v>1.048870932736</v>
          </cell>
          <cell r="H14">
            <v>1.0614573839288319</v>
          </cell>
          <cell r="I14">
            <v>1.074194872535978</v>
          </cell>
          <cell r="J14">
            <v>1.0870852110064098</v>
          </cell>
          <cell r="K14">
            <v>1.1001302335384866</v>
          </cell>
          <cell r="L14">
            <v>1.1133317963409484</v>
          </cell>
          <cell r="M14">
            <v>1.1266917778970398</v>
          </cell>
          <cell r="N14">
            <v>1.1396100682872405</v>
          </cell>
          <cell r="O14">
            <v>1.1517308398285908</v>
          </cell>
          <cell r="P14">
            <v>1.1629837550378135</v>
          </cell>
          <cell r="Q14">
            <v>1.1736490817328895</v>
          </cell>
          <cell r="R14">
            <v>1.183973542162853</v>
          </cell>
          <cell r="S14">
            <v>1.1938435142393335</v>
          </cell>
          <cell r="T14">
            <v>1.203269819113604</v>
          </cell>
          <cell r="U14">
            <v>1.2125229855674997</v>
          </cell>
          <cell r="V14">
            <v>1.2218854456492569</v>
          </cell>
          <cell r="W14">
            <v>1.2315909362263815</v>
          </cell>
          <cell r="X14">
            <v>1.2417909534167009</v>
          </cell>
          <cell r="Y14">
            <v>1.2526672925616087</v>
          </cell>
          <cell r="Z14">
            <v>1.2644244734201724</v>
          </cell>
          <cell r="AA14">
            <v>1.2774271687903058</v>
          </cell>
          <cell r="AB14">
            <v>1.2918333674806011</v>
          </cell>
          <cell r="AC14">
            <v>1.3077783338819757</v>
          </cell>
          <cell r="AD14">
            <v>1.32529453144825</v>
          </cell>
          <cell r="AE14">
            <v>1.3443830422945511</v>
          </cell>
          <cell r="AF14">
            <v>1.3647116570767854</v>
          </cell>
          <cell r="AG14">
            <v>1.3861689179368368</v>
          </cell>
          <cell r="AH14">
            <v>1.4086866516216829</v>
          </cell>
          <cell r="AI14">
            <v>1.4322118344900838</v>
          </cell>
          <cell r="AJ14">
            <v>1.4566925250159268</v>
          </cell>
          <cell r="AK14">
            <v>1.4820637962915721</v>
          </cell>
          <cell r="AL14">
            <v>1.5082520644883597</v>
          </cell>
        </row>
        <row r="15">
          <cell r="C15">
            <v>1</v>
          </cell>
          <cell r="D15">
            <v>1.012</v>
          </cell>
          <cell r="E15">
            <v>1.0241439999999999</v>
          </cell>
          <cell r="F15">
            <v>1.036433728</v>
          </cell>
          <cell r="G15">
            <v>1.048870932736</v>
          </cell>
          <cell r="H15">
            <v>1.0614573839288319</v>
          </cell>
          <cell r="I15">
            <v>1.074194872535978</v>
          </cell>
          <cell r="J15">
            <v>1.0870852110064098</v>
          </cell>
          <cell r="K15">
            <v>1.1001302335384866</v>
          </cell>
          <cell r="L15">
            <v>1.1133317963409484</v>
          </cell>
          <cell r="M15">
            <v>1.1266917778970398</v>
          </cell>
          <cell r="N15">
            <v>1.1396100682872405</v>
          </cell>
          <cell r="O15">
            <v>1.1517308398285908</v>
          </cell>
          <cell r="P15">
            <v>1.1629837550378135</v>
          </cell>
          <cell r="Q15">
            <v>1.1736490817328895</v>
          </cell>
          <cell r="R15">
            <v>1.183973542162853</v>
          </cell>
          <cell r="S15">
            <v>1.1938435142393335</v>
          </cell>
          <cell r="T15">
            <v>1.203269819113604</v>
          </cell>
          <cell r="U15">
            <v>1.2125229855674997</v>
          </cell>
          <cell r="V15">
            <v>1.2218854456492569</v>
          </cell>
          <cell r="W15">
            <v>1.2315909362263815</v>
          </cell>
          <cell r="X15">
            <v>1.2417909534167009</v>
          </cell>
          <cell r="Y15">
            <v>1.2526672925616087</v>
          </cell>
          <cell r="Z15">
            <v>1.2644244734201724</v>
          </cell>
          <cell r="AA15">
            <v>1.2774271687903058</v>
          </cell>
          <cell r="AB15">
            <v>1.2918333674806011</v>
          </cell>
          <cell r="AC15">
            <v>1.3077783338819757</v>
          </cell>
          <cell r="AD15">
            <v>1.32529453144825</v>
          </cell>
          <cell r="AE15">
            <v>1.3443830422945511</v>
          </cell>
          <cell r="AF15">
            <v>1.3647116570767854</v>
          </cell>
          <cell r="AG15">
            <v>1.3861689179368368</v>
          </cell>
          <cell r="AH15">
            <v>1.4086866516216829</v>
          </cell>
          <cell r="AI15">
            <v>1.4322118344900838</v>
          </cell>
          <cell r="AJ15">
            <v>1.4566925250159268</v>
          </cell>
          <cell r="AK15">
            <v>1.4820637962915721</v>
          </cell>
          <cell r="AL15">
            <v>1.5082520644883597</v>
          </cell>
        </row>
        <row r="16">
          <cell r="C16">
            <v>1</v>
          </cell>
          <cell r="D16">
            <v>1.012</v>
          </cell>
          <cell r="E16">
            <v>1.0241439999999999</v>
          </cell>
          <cell r="F16">
            <v>1.036433728</v>
          </cell>
          <cell r="G16">
            <v>1.048870932736</v>
          </cell>
          <cell r="H16">
            <v>1.0614573839288319</v>
          </cell>
          <cell r="I16">
            <v>1.074194872535978</v>
          </cell>
          <cell r="J16">
            <v>1.0870852110064098</v>
          </cell>
          <cell r="K16">
            <v>1.1001302335384866</v>
          </cell>
          <cell r="L16">
            <v>1.1133317963409484</v>
          </cell>
          <cell r="M16">
            <v>1.1266917778970398</v>
          </cell>
          <cell r="N16">
            <v>1.1396100682872405</v>
          </cell>
          <cell r="O16">
            <v>1.1517308398285908</v>
          </cell>
          <cell r="P16">
            <v>1.1629837550378135</v>
          </cell>
          <cell r="Q16">
            <v>1.1736490817328895</v>
          </cell>
          <cell r="R16">
            <v>1.183973542162853</v>
          </cell>
          <cell r="S16">
            <v>1.1938435142393335</v>
          </cell>
          <cell r="T16">
            <v>1.203269819113604</v>
          </cell>
          <cell r="U16">
            <v>1.2125229855674997</v>
          </cell>
          <cell r="V16">
            <v>1.2218854456492569</v>
          </cell>
          <cell r="W16">
            <v>1.2315909362263815</v>
          </cell>
          <cell r="X16">
            <v>1.2417909534167009</v>
          </cell>
          <cell r="Y16">
            <v>1.2526672925616087</v>
          </cell>
          <cell r="Z16">
            <v>1.2644244734201724</v>
          </cell>
          <cell r="AA16">
            <v>1.2774271687903058</v>
          </cell>
          <cell r="AB16">
            <v>1.2918333674806011</v>
          </cell>
          <cell r="AC16">
            <v>1.3077783338819757</v>
          </cell>
          <cell r="AD16">
            <v>1.32529453144825</v>
          </cell>
          <cell r="AE16">
            <v>1.3443830422945511</v>
          </cell>
          <cell r="AF16">
            <v>1.3647116570767854</v>
          </cell>
          <cell r="AG16">
            <v>1.3861689179368368</v>
          </cell>
          <cell r="AH16">
            <v>1.4086866516216829</v>
          </cell>
          <cell r="AI16">
            <v>1.4322118344900838</v>
          </cell>
          <cell r="AJ16">
            <v>1.4566925250159268</v>
          </cell>
          <cell r="AK16">
            <v>1.4820637962915721</v>
          </cell>
          <cell r="AL16">
            <v>1.5082520644883597</v>
          </cell>
        </row>
        <row r="17">
          <cell r="C17">
            <v>1</v>
          </cell>
          <cell r="D17">
            <v>1.012</v>
          </cell>
          <cell r="E17">
            <v>1.0241439999999999</v>
          </cell>
          <cell r="F17">
            <v>1.036433728</v>
          </cell>
          <cell r="G17">
            <v>1.048870932736</v>
          </cell>
          <cell r="H17">
            <v>1.0614573839288319</v>
          </cell>
          <cell r="I17">
            <v>1.074194872535978</v>
          </cell>
          <cell r="J17">
            <v>1.0870852110064098</v>
          </cell>
          <cell r="K17">
            <v>1.1001302335384866</v>
          </cell>
          <cell r="L17">
            <v>1.1133317963409484</v>
          </cell>
          <cell r="M17">
            <v>1.1266917778970398</v>
          </cell>
          <cell r="N17">
            <v>1.1396100682872405</v>
          </cell>
          <cell r="O17">
            <v>1.1517308398285908</v>
          </cell>
          <cell r="P17">
            <v>1.1629837550378135</v>
          </cell>
          <cell r="Q17">
            <v>1.1736490817328895</v>
          </cell>
          <cell r="R17">
            <v>1.183973542162853</v>
          </cell>
          <cell r="S17">
            <v>1.1938435142393335</v>
          </cell>
          <cell r="T17">
            <v>1.203269819113604</v>
          </cell>
          <cell r="U17">
            <v>1.2125229855674997</v>
          </cell>
          <cell r="V17">
            <v>1.2218854456492569</v>
          </cell>
          <cell r="W17">
            <v>1.2315909362263815</v>
          </cell>
          <cell r="X17">
            <v>1.2417909534167009</v>
          </cell>
          <cell r="Y17">
            <v>1.2526672925616087</v>
          </cell>
          <cell r="Z17">
            <v>1.2644244734201724</v>
          </cell>
          <cell r="AA17">
            <v>1.2774271687903058</v>
          </cell>
          <cell r="AB17">
            <v>1.2918333674806011</v>
          </cell>
          <cell r="AC17">
            <v>1.3077783338819757</v>
          </cell>
          <cell r="AD17">
            <v>1.32529453144825</v>
          </cell>
          <cell r="AE17">
            <v>1.3443830422945511</v>
          </cell>
          <cell r="AF17">
            <v>1.3647116570767854</v>
          </cell>
          <cell r="AG17">
            <v>1.3861689179368368</v>
          </cell>
          <cell r="AH17">
            <v>1.4086866516216829</v>
          </cell>
          <cell r="AI17">
            <v>1.4322118344900838</v>
          </cell>
          <cell r="AJ17">
            <v>1.4566925250159268</v>
          </cell>
          <cell r="AK17">
            <v>1.4820637962915721</v>
          </cell>
          <cell r="AL17">
            <v>1.5082520644883597</v>
          </cell>
        </row>
        <row r="18">
          <cell r="C18">
            <v>1</v>
          </cell>
          <cell r="D18">
            <v>1.012</v>
          </cell>
          <cell r="E18">
            <v>1.0241439999999999</v>
          </cell>
          <cell r="F18">
            <v>1.036433728</v>
          </cell>
          <cell r="G18">
            <v>1.048870932736</v>
          </cell>
          <cell r="H18">
            <v>1.0614573839288319</v>
          </cell>
          <cell r="I18">
            <v>1.074194872535978</v>
          </cell>
          <cell r="J18">
            <v>1.0870852110064098</v>
          </cell>
          <cell r="K18">
            <v>1.1001302335384866</v>
          </cell>
          <cell r="L18">
            <v>1.1133317963409484</v>
          </cell>
          <cell r="M18">
            <v>1.1266917778970398</v>
          </cell>
          <cell r="N18">
            <v>1.1396100682872405</v>
          </cell>
          <cell r="O18">
            <v>1.1517308398285908</v>
          </cell>
          <cell r="P18">
            <v>1.1629837550378135</v>
          </cell>
          <cell r="Q18">
            <v>1.1736490817328895</v>
          </cell>
          <cell r="R18">
            <v>1.183973542162853</v>
          </cell>
          <cell r="S18">
            <v>1.1938435142393335</v>
          </cell>
          <cell r="T18">
            <v>1.203269819113604</v>
          </cell>
          <cell r="U18">
            <v>1.2125229855674997</v>
          </cell>
          <cell r="V18">
            <v>1.2218854456492569</v>
          </cell>
          <cell r="W18">
            <v>1.2315909362263815</v>
          </cell>
          <cell r="X18">
            <v>1.2417909534167009</v>
          </cell>
          <cell r="Y18">
            <v>1.2526672925616087</v>
          </cell>
          <cell r="Z18">
            <v>1.2644244734201724</v>
          </cell>
          <cell r="AA18">
            <v>1.2774271687903058</v>
          </cell>
          <cell r="AB18">
            <v>1.2918333674806011</v>
          </cell>
          <cell r="AC18">
            <v>1.3077783338819757</v>
          </cell>
          <cell r="AD18">
            <v>1.32529453144825</v>
          </cell>
          <cell r="AE18">
            <v>1.3443830422945511</v>
          </cell>
          <cell r="AF18">
            <v>1.3647116570767854</v>
          </cell>
          <cell r="AG18">
            <v>1.3861689179368368</v>
          </cell>
          <cell r="AH18">
            <v>1.4086866516216829</v>
          </cell>
          <cell r="AI18">
            <v>1.4322118344900838</v>
          </cell>
          <cell r="AJ18">
            <v>1.4566925250159268</v>
          </cell>
          <cell r="AK18">
            <v>1.4820637962915721</v>
          </cell>
          <cell r="AL18">
            <v>1.5082520644883597</v>
          </cell>
        </row>
        <row r="19">
          <cell r="C19">
            <v>1</v>
          </cell>
          <cell r="D19">
            <v>1.012</v>
          </cell>
          <cell r="E19">
            <v>1.0241439999999999</v>
          </cell>
          <cell r="F19">
            <v>1.036433728</v>
          </cell>
          <cell r="G19">
            <v>1.048870932736</v>
          </cell>
          <cell r="H19">
            <v>1.0614573839288319</v>
          </cell>
          <cell r="I19">
            <v>1.074194872535978</v>
          </cell>
          <cell r="J19">
            <v>1.0870852110064098</v>
          </cell>
          <cell r="K19">
            <v>1.1001302335384866</v>
          </cell>
          <cell r="L19">
            <v>1.1133317963409484</v>
          </cell>
          <cell r="M19">
            <v>1.1266917778970398</v>
          </cell>
          <cell r="N19">
            <v>1.1396100682872405</v>
          </cell>
          <cell r="O19">
            <v>1.1517308398285908</v>
          </cell>
          <cell r="P19">
            <v>1.1629837550378135</v>
          </cell>
          <cell r="Q19">
            <v>1.1736490817328895</v>
          </cell>
          <cell r="R19">
            <v>1.183973542162853</v>
          </cell>
          <cell r="S19">
            <v>1.1938435142393335</v>
          </cell>
          <cell r="T19">
            <v>1.203269819113604</v>
          </cell>
          <cell r="U19">
            <v>1.2125229855674997</v>
          </cell>
          <cell r="V19">
            <v>1.2218854456492569</v>
          </cell>
          <cell r="W19">
            <v>1.2315909362263815</v>
          </cell>
          <cell r="X19">
            <v>1.2417909534167009</v>
          </cell>
          <cell r="Y19">
            <v>1.2526672925616087</v>
          </cell>
          <cell r="Z19">
            <v>1.2644244734201724</v>
          </cell>
          <cell r="AA19">
            <v>1.2774271687903058</v>
          </cell>
          <cell r="AB19">
            <v>1.2918333674806011</v>
          </cell>
          <cell r="AC19">
            <v>1.3077783338819757</v>
          </cell>
          <cell r="AD19">
            <v>1.32529453144825</v>
          </cell>
          <cell r="AE19">
            <v>1.3443830422945511</v>
          </cell>
          <cell r="AF19">
            <v>1.3647116570767854</v>
          </cell>
          <cell r="AG19">
            <v>1.3861689179368368</v>
          </cell>
          <cell r="AH19">
            <v>1.4086866516216829</v>
          </cell>
          <cell r="AI19">
            <v>1.4322118344900838</v>
          </cell>
          <cell r="AJ19">
            <v>1.4566925250159268</v>
          </cell>
          <cell r="AK19">
            <v>1.4820637962915721</v>
          </cell>
          <cell r="AL19">
            <v>1.5082520644883597</v>
          </cell>
        </row>
        <row r="20">
          <cell r="C20">
            <v>1</v>
          </cell>
          <cell r="D20">
            <v>1.012</v>
          </cell>
          <cell r="E20">
            <v>1.0241439999999999</v>
          </cell>
          <cell r="F20">
            <v>1.036433728</v>
          </cell>
          <cell r="G20">
            <v>1.048870932736</v>
          </cell>
          <cell r="H20">
            <v>1.0614573839288319</v>
          </cell>
          <cell r="I20">
            <v>1.074194872535978</v>
          </cell>
          <cell r="J20">
            <v>1.0870852110064098</v>
          </cell>
          <cell r="K20">
            <v>1.1001302335384866</v>
          </cell>
          <cell r="L20">
            <v>1.1133317963409484</v>
          </cell>
          <cell r="M20">
            <v>1.1266917778970398</v>
          </cell>
          <cell r="N20">
            <v>1.1396100682872405</v>
          </cell>
          <cell r="O20">
            <v>1.1517308398285908</v>
          </cell>
          <cell r="P20">
            <v>1.1629837550378135</v>
          </cell>
          <cell r="Q20">
            <v>1.1736490817328895</v>
          </cell>
          <cell r="R20">
            <v>1.183973542162853</v>
          </cell>
          <cell r="S20">
            <v>1.1938435142393335</v>
          </cell>
          <cell r="T20">
            <v>1.203269819113604</v>
          </cell>
          <cell r="U20">
            <v>1.2125229855674997</v>
          </cell>
          <cell r="V20">
            <v>1.2218854456492569</v>
          </cell>
          <cell r="W20">
            <v>1.2315909362263815</v>
          </cell>
          <cell r="X20">
            <v>1.2417909534167009</v>
          </cell>
          <cell r="Y20">
            <v>1.2526672925616087</v>
          </cell>
          <cell r="Z20">
            <v>1.2644244734201724</v>
          </cell>
          <cell r="AA20">
            <v>1.2774271687903058</v>
          </cell>
          <cell r="AB20">
            <v>1.2918333674806011</v>
          </cell>
          <cell r="AC20">
            <v>1.3077783338819757</v>
          </cell>
          <cell r="AD20">
            <v>1.32529453144825</v>
          </cell>
          <cell r="AE20">
            <v>1.3443830422945511</v>
          </cell>
          <cell r="AF20">
            <v>1.3647116570767854</v>
          </cell>
          <cell r="AG20">
            <v>1.3861689179368368</v>
          </cell>
          <cell r="AH20">
            <v>1.4086866516216829</v>
          </cell>
          <cell r="AI20">
            <v>1.4322118344900838</v>
          </cell>
          <cell r="AJ20">
            <v>1.4566925250159268</v>
          </cell>
          <cell r="AK20">
            <v>1.4820637962915721</v>
          </cell>
          <cell r="AL20">
            <v>1.5082520644883597</v>
          </cell>
        </row>
        <row r="21">
          <cell r="C21">
            <v>1</v>
          </cell>
          <cell r="D21">
            <v>1.012</v>
          </cell>
          <cell r="E21">
            <v>1.0241439999999999</v>
          </cell>
          <cell r="F21">
            <v>1.036433728</v>
          </cell>
          <cell r="G21">
            <v>1.048870932736</v>
          </cell>
          <cell r="H21">
            <v>1.0614573839288319</v>
          </cell>
          <cell r="I21">
            <v>1.074194872535978</v>
          </cell>
          <cell r="J21">
            <v>1.0870852110064098</v>
          </cell>
          <cell r="K21">
            <v>1.1001302335384866</v>
          </cell>
          <cell r="L21">
            <v>1.1133317963409484</v>
          </cell>
          <cell r="M21">
            <v>1.1266917778970398</v>
          </cell>
          <cell r="N21">
            <v>1.1396100682872405</v>
          </cell>
          <cell r="O21">
            <v>1.1517308398285908</v>
          </cell>
          <cell r="P21">
            <v>1.1629837550378135</v>
          </cell>
          <cell r="Q21">
            <v>1.1736490817328895</v>
          </cell>
          <cell r="R21">
            <v>1.183973542162853</v>
          </cell>
          <cell r="S21">
            <v>1.1938435142393335</v>
          </cell>
          <cell r="T21">
            <v>1.203269819113604</v>
          </cell>
          <cell r="U21">
            <v>1.2125229855674997</v>
          </cell>
          <cell r="V21">
            <v>1.2218854456492569</v>
          </cell>
          <cell r="W21">
            <v>1.2315909362263815</v>
          </cell>
          <cell r="X21">
            <v>1.2417909534167009</v>
          </cell>
          <cell r="Y21">
            <v>1.2526672925616087</v>
          </cell>
          <cell r="Z21">
            <v>1.2644244734201724</v>
          </cell>
          <cell r="AA21">
            <v>1.2774271687903058</v>
          </cell>
          <cell r="AB21">
            <v>1.2918333674806011</v>
          </cell>
          <cell r="AC21">
            <v>1.3077783338819757</v>
          </cell>
          <cell r="AD21">
            <v>1.32529453144825</v>
          </cell>
          <cell r="AE21">
            <v>1.3443830422945511</v>
          </cell>
          <cell r="AF21">
            <v>1.3647116570767854</v>
          </cell>
          <cell r="AG21">
            <v>1.3861689179368368</v>
          </cell>
          <cell r="AH21">
            <v>1.4086866516216829</v>
          </cell>
          <cell r="AI21">
            <v>1.4322118344900838</v>
          </cell>
          <cell r="AJ21">
            <v>1.4566925250159268</v>
          </cell>
          <cell r="AK21">
            <v>1.4820637962915721</v>
          </cell>
          <cell r="AL21">
            <v>1.5082520644883597</v>
          </cell>
        </row>
        <row r="22">
          <cell r="C22">
            <v>1</v>
          </cell>
          <cell r="D22">
            <v>1.012</v>
          </cell>
          <cell r="E22">
            <v>1.0241439999999999</v>
          </cell>
          <cell r="F22">
            <v>1.036433728</v>
          </cell>
          <cell r="G22">
            <v>1.048870932736</v>
          </cell>
          <cell r="H22">
            <v>1.0614573839288319</v>
          </cell>
          <cell r="I22">
            <v>1.074194872535978</v>
          </cell>
          <cell r="J22">
            <v>1.0870852110064098</v>
          </cell>
          <cell r="K22">
            <v>1.1001302335384866</v>
          </cell>
          <cell r="L22">
            <v>1.1133317963409484</v>
          </cell>
          <cell r="M22">
            <v>1.1266917778970398</v>
          </cell>
          <cell r="N22">
            <v>1.1396100682872405</v>
          </cell>
          <cell r="O22">
            <v>1.1517308398285908</v>
          </cell>
          <cell r="P22">
            <v>1.1629837550378135</v>
          </cell>
          <cell r="Q22">
            <v>1.1736490817328895</v>
          </cell>
          <cell r="R22">
            <v>1.183973542162853</v>
          </cell>
          <cell r="S22">
            <v>1.1938435142393335</v>
          </cell>
          <cell r="T22">
            <v>1.203269819113604</v>
          </cell>
          <cell r="U22">
            <v>1.2125229855674997</v>
          </cell>
          <cell r="V22">
            <v>1.2218854456492569</v>
          </cell>
          <cell r="W22">
            <v>1.2315909362263815</v>
          </cell>
          <cell r="X22">
            <v>1.2417909534167009</v>
          </cell>
          <cell r="Y22">
            <v>1.2526672925616087</v>
          </cell>
          <cell r="Z22">
            <v>1.2644244734201724</v>
          </cell>
          <cell r="AA22">
            <v>1.2774271687903058</v>
          </cell>
          <cell r="AB22">
            <v>1.2918333674806011</v>
          </cell>
          <cell r="AC22">
            <v>1.3077783338819757</v>
          </cell>
          <cell r="AD22">
            <v>1.32529453144825</v>
          </cell>
          <cell r="AE22">
            <v>1.3443830422945511</v>
          </cell>
          <cell r="AF22">
            <v>1.3647116570767854</v>
          </cell>
          <cell r="AG22">
            <v>1.3861689179368368</v>
          </cell>
          <cell r="AH22">
            <v>1.4086866516216829</v>
          </cell>
          <cell r="AI22">
            <v>1.4322118344900838</v>
          </cell>
          <cell r="AJ22">
            <v>1.4566925250159268</v>
          </cell>
          <cell r="AK22">
            <v>1.4820637962915721</v>
          </cell>
          <cell r="AL22">
            <v>1.5082520644883597</v>
          </cell>
        </row>
        <row r="23">
          <cell r="C23">
            <v>1</v>
          </cell>
          <cell r="D23">
            <v>1.0241439999999999</v>
          </cell>
          <cell r="E23">
            <v>1.048870932736</v>
          </cell>
          <cell r="F23">
            <v>1.0741948725359782</v>
          </cell>
          <cell r="G23">
            <v>1.1001302335384866</v>
          </cell>
          <cell r="H23">
            <v>1.1266917778970396</v>
          </cell>
          <cell r="I23">
            <v>1.1789792899256857</v>
          </cell>
          <cell r="J23">
            <v>1.2323594586270015</v>
          </cell>
          <cell r="K23">
            <v>1.2868509783593998</v>
          </cell>
          <cell r="L23">
            <v>1.3424728348033335</v>
          </cell>
          <cell r="M23">
            <v>1.3992443092610378</v>
          </cell>
          <cell r="N23">
            <v>1.4564156162268906</v>
          </cell>
          <cell r="O23">
            <v>1.5134713468424503</v>
          </cell>
          <cell r="P23">
            <v>1.5702301869895403</v>
          </cell>
          <cell r="Q23">
            <v>1.6269867000343492</v>
          </cell>
          <cell r="R23">
            <v>1.6840281946648792</v>
          </cell>
          <cell r="S23">
            <v>1.6929979219623672</v>
          </cell>
          <cell r="T23">
            <v>1.7012565529633166</v>
          </cell>
          <cell r="U23">
            <v>1.7091910804122643</v>
          </cell>
          <cell r="V23">
            <v>1.7172006310658365</v>
          </cell>
          <cell r="W23">
            <v>1.7256113070732555</v>
          </cell>
          <cell r="X23">
            <v>1.7346303606690372</v>
          </cell>
          <cell r="Y23">
            <v>1.7445046668519015</v>
          </cell>
          <cell r="Z23">
            <v>1.7555095634016731</v>
          </cell>
          <cell r="AA23">
            <v>1.768138588969878</v>
          </cell>
          <cell r="AB23">
            <v>1.7825938867333102</v>
          </cell>
          <cell r="AC23">
            <v>1.7990436558773526</v>
          </cell>
          <cell r="AD23">
            <v>1.8175128168418291</v>
          </cell>
          <cell r="AE23">
            <v>1.8379828355090673</v>
          </cell>
          <cell r="AF23">
            <v>1.8599809126938691</v>
          </cell>
          <cell r="AG23">
            <v>1.8833398186453669</v>
          </cell>
          <cell r="AH23">
            <v>1.9079528420554208</v>
          </cell>
          <cell r="AI23">
            <v>1.9337348840327295</v>
          </cell>
          <cell r="AJ23">
            <v>1.9606032026523683</v>
          </cell>
          <cell r="AK23">
            <v>1.9884585158744863</v>
          </cell>
          <cell r="AL23">
            <v>2.0171910662531127</v>
          </cell>
        </row>
        <row r="24">
          <cell r="C24">
            <v>1</v>
          </cell>
          <cell r="D24">
            <v>1.0241439999999999</v>
          </cell>
          <cell r="E24">
            <v>1.048870932736</v>
          </cell>
          <cell r="F24">
            <v>1.0741948725359782</v>
          </cell>
          <cell r="G24">
            <v>1.1001302335384866</v>
          </cell>
          <cell r="H24">
            <v>1.1266917778970396</v>
          </cell>
          <cell r="I24">
            <v>1.2352297525011211</v>
          </cell>
          <cell r="J24">
            <v>1.3462103948796833</v>
          </cell>
          <cell r="K24">
            <v>1.4596766995909707</v>
          </cell>
          <cell r="L24">
            <v>1.5756723413184666</v>
          </cell>
          <cell r="M24">
            <v>1.6942416850026811</v>
          </cell>
          <cell r="N24">
            <v>1.8144712826746974</v>
          </cell>
          <cell r="O24">
            <v>1.9356459067048031</v>
          </cell>
          <cell r="P24">
            <v>2.0574294902902781</v>
          </cell>
          <cell r="Q24">
            <v>2.1801123469066703</v>
          </cell>
          <cell r="R24">
            <v>2.3040186742927462</v>
          </cell>
          <cell r="S24">
            <v>2.3398201605393076</v>
          </cell>
          <cell r="T24">
            <v>2.375020320077847</v>
          </cell>
          <cell r="U24">
            <v>2.4101383834341763</v>
          </cell>
          <cell r="V24">
            <v>2.4457324482163409</v>
          </cell>
          <cell r="W24">
            <v>2.4822781698970453</v>
          </cell>
          <cell r="X24">
            <v>2.5200972999298696</v>
          </cell>
          <cell r="Y24">
            <v>2.5595819235441404</v>
          </cell>
          <cell r="Z24">
            <v>2.6011809826142462</v>
          </cell>
          <cell r="AA24">
            <v>2.6456864841893353</v>
          </cell>
          <cell r="AB24">
            <v>2.6934797739102221</v>
          </cell>
          <cell r="AC24">
            <v>2.7449032852111657</v>
          </cell>
          <cell r="AD24">
            <v>2.8000897738459556</v>
          </cell>
          <cell r="AE24">
            <v>2.8591070616697731</v>
          </cell>
          <cell r="AF24">
            <v>2.9213095850981086</v>
          </cell>
          <cell r="AG24">
            <v>2.986508920005909</v>
          </cell>
          <cell r="AH24">
            <v>3.0546043037833117</v>
          </cell>
          <cell r="AI24">
            <v>3.1255242444636546</v>
          </cell>
          <cell r="AJ24">
            <v>3.1991966785055372</v>
          </cell>
          <cell r="AK24">
            <v>3.2755179553425244</v>
          </cell>
          <cell r="AL24">
            <v>3.354361561418632</v>
          </cell>
        </row>
        <row r="25">
          <cell r="C25">
            <v>1</v>
          </cell>
          <cell r="D25">
            <v>1.012</v>
          </cell>
          <cell r="E25">
            <v>1.0241439999999999</v>
          </cell>
          <cell r="F25">
            <v>1.036433728</v>
          </cell>
          <cell r="G25">
            <v>1.048870932736</v>
          </cell>
          <cell r="H25">
            <v>1.0614573839288319</v>
          </cell>
          <cell r="I25">
            <v>1.074194872535978</v>
          </cell>
          <cell r="J25">
            <v>1.0870852110064098</v>
          </cell>
          <cell r="K25">
            <v>1.1001302335384866</v>
          </cell>
          <cell r="L25">
            <v>1.1133317963409484</v>
          </cell>
          <cell r="M25">
            <v>1.1266917778970398</v>
          </cell>
          <cell r="N25">
            <v>1.1396100682872405</v>
          </cell>
          <cell r="O25">
            <v>1.1517308398285908</v>
          </cell>
          <cell r="P25">
            <v>1.1629837550378135</v>
          </cell>
          <cell r="Q25">
            <v>1.1736490817328895</v>
          </cell>
          <cell r="R25">
            <v>1.183973542162853</v>
          </cell>
          <cell r="S25">
            <v>1.1938435142393335</v>
          </cell>
          <cell r="T25">
            <v>1.203269819113604</v>
          </cell>
          <cell r="U25">
            <v>1.2125229855674997</v>
          </cell>
          <cell r="V25">
            <v>1.2218854456492569</v>
          </cell>
          <cell r="W25">
            <v>1.2315909362263815</v>
          </cell>
          <cell r="X25">
            <v>1.2417909534167009</v>
          </cell>
          <cell r="Y25">
            <v>1.2526672925616087</v>
          </cell>
          <cell r="Z25">
            <v>1.2644244734201724</v>
          </cell>
          <cell r="AA25">
            <v>1.2774271687903058</v>
          </cell>
          <cell r="AB25">
            <v>1.2918333674806011</v>
          </cell>
          <cell r="AC25">
            <v>1.3077783338819757</v>
          </cell>
          <cell r="AD25">
            <v>1.32529453144825</v>
          </cell>
          <cell r="AE25">
            <v>1.3443830422945511</v>
          </cell>
          <cell r="AF25">
            <v>1.3647116570767854</v>
          </cell>
          <cell r="AG25">
            <v>1.3861689179368368</v>
          </cell>
          <cell r="AH25">
            <v>1.4086866516216829</v>
          </cell>
          <cell r="AI25">
            <v>1.4322118344900838</v>
          </cell>
          <cell r="AJ25">
            <v>1.4566925250159268</v>
          </cell>
          <cell r="AK25">
            <v>1.4820637962915721</v>
          </cell>
          <cell r="AL25">
            <v>1.5082520644883597</v>
          </cell>
        </row>
        <row r="26">
          <cell r="C26">
            <v>1</v>
          </cell>
          <cell r="D26">
            <v>1.012</v>
          </cell>
          <cell r="E26">
            <v>1.0241439999999999</v>
          </cell>
          <cell r="F26">
            <v>1.036433728</v>
          </cell>
          <cell r="G26">
            <v>1.048870932736</v>
          </cell>
          <cell r="H26">
            <v>1.0614573839288319</v>
          </cell>
          <cell r="I26">
            <v>1.074194872535978</v>
          </cell>
          <cell r="J26">
            <v>1.0870852110064098</v>
          </cell>
          <cell r="K26">
            <v>1.1001302335384866</v>
          </cell>
          <cell r="L26">
            <v>1.1133317963409484</v>
          </cell>
          <cell r="M26">
            <v>1.1266917778970398</v>
          </cell>
          <cell r="N26">
            <v>1.1396100682872405</v>
          </cell>
          <cell r="O26">
            <v>1.1517308398285908</v>
          </cell>
          <cell r="P26">
            <v>1.1629837550378135</v>
          </cell>
          <cell r="Q26">
            <v>1.1736490817328895</v>
          </cell>
          <cell r="R26">
            <v>1.183973542162853</v>
          </cell>
          <cell r="S26">
            <v>1.1938435142393335</v>
          </cell>
          <cell r="T26">
            <v>1.203269819113604</v>
          </cell>
          <cell r="U26">
            <v>1.2125229855674997</v>
          </cell>
          <cell r="V26">
            <v>1.2218854456492569</v>
          </cell>
          <cell r="W26">
            <v>1.2315909362263815</v>
          </cell>
          <cell r="X26">
            <v>1.2417909534167009</v>
          </cell>
          <cell r="Y26">
            <v>1.2526672925616087</v>
          </cell>
          <cell r="Z26">
            <v>1.2644244734201724</v>
          </cell>
          <cell r="AA26">
            <v>1.2774271687903058</v>
          </cell>
          <cell r="AB26">
            <v>1.2918333674806011</v>
          </cell>
          <cell r="AC26">
            <v>1.3077783338819757</v>
          </cell>
          <cell r="AD26">
            <v>1.32529453144825</v>
          </cell>
          <cell r="AE26">
            <v>1.3443830422945511</v>
          </cell>
          <cell r="AF26">
            <v>1.3647116570767854</v>
          </cell>
          <cell r="AG26">
            <v>1.3861689179368368</v>
          </cell>
          <cell r="AH26">
            <v>1.4086866516216829</v>
          </cell>
          <cell r="AI26">
            <v>1.4322118344900838</v>
          </cell>
          <cell r="AJ26">
            <v>1.4566925250159268</v>
          </cell>
          <cell r="AK26">
            <v>1.4820637962915721</v>
          </cell>
          <cell r="AL26">
            <v>1.5082520644883597</v>
          </cell>
        </row>
        <row r="27">
          <cell r="C27">
            <v>1</v>
          </cell>
          <cell r="D27">
            <v>1.0241439999999999</v>
          </cell>
          <cell r="E27">
            <v>1.048870932736</v>
          </cell>
          <cell r="F27">
            <v>1.0741948725359782</v>
          </cell>
          <cell r="G27">
            <v>1.1001302335384866</v>
          </cell>
          <cell r="H27">
            <v>1.1266917778970396</v>
          </cell>
          <cell r="I27">
            <v>1.2352297525011211</v>
          </cell>
          <cell r="J27">
            <v>1.3462103948796833</v>
          </cell>
          <cell r="K27">
            <v>1.4596766995909707</v>
          </cell>
          <cell r="L27">
            <v>1.5756723413184666</v>
          </cell>
          <cell r="M27">
            <v>1.6942416850026811</v>
          </cell>
          <cell r="N27">
            <v>1.8144712826746974</v>
          </cell>
          <cell r="O27">
            <v>1.9356459067048031</v>
          </cell>
          <cell r="P27">
            <v>2.0574294902902781</v>
          </cell>
          <cell r="Q27">
            <v>2.1801123469066703</v>
          </cell>
          <cell r="R27">
            <v>2.3040186742927484</v>
          </cell>
          <cell r="S27">
            <v>2.3322772199830895</v>
          </cell>
          <cell r="T27">
            <v>2.3598153244307434</v>
          </cell>
          <cell r="U27">
            <v>2.3871554999303557</v>
          </cell>
          <cell r="V27">
            <v>2.4148519880115917</v>
          </cell>
          <cell r="W27">
            <v>2.4433709885506998</v>
          </cell>
          <cell r="X27">
            <v>2.4730220079012946</v>
          </cell>
          <cell r="Y27">
            <v>2.5041797174068243</v>
          </cell>
          <cell r="Z27">
            <v>2.5372699019603369</v>
          </cell>
          <cell r="AA27">
            <v>2.5730471359352078</v>
          </cell>
          <cell r="AB27">
            <v>2.6118591747008248</v>
          </cell>
          <cell r="AC27">
            <v>2.6540124479525211</v>
          </cell>
          <cell r="AD27">
            <v>2.6996080833969414</v>
          </cell>
          <cell r="AE27">
            <v>2.7486840319558516</v>
          </cell>
          <cell r="AF27">
            <v>2.80059431298662</v>
          </cell>
          <cell r="AG27">
            <v>2.8551375598883495</v>
          </cell>
          <cell r="AH27">
            <v>2.9121985087351412</v>
          </cell>
          <cell r="AI27">
            <v>2.9716912619625511</v>
          </cell>
          <cell r="AJ27">
            <v>3.033530567420673</v>
          </cell>
          <cell r="AK27">
            <v>3.0976024574822976</v>
          </cell>
          <cell r="AL27">
            <v>3.1637728363380289</v>
          </cell>
        </row>
        <row r="28">
          <cell r="C28">
            <v>1</v>
          </cell>
          <cell r="D28">
            <v>1.012</v>
          </cell>
          <cell r="E28">
            <v>1.0241439999999999</v>
          </cell>
          <cell r="F28">
            <v>1.036433728</v>
          </cell>
          <cell r="G28">
            <v>1.048870932736</v>
          </cell>
          <cell r="H28">
            <v>1.0614573839288319</v>
          </cell>
          <cell r="I28">
            <v>1.074194872535978</v>
          </cell>
          <cell r="J28">
            <v>1.0870852110064098</v>
          </cell>
          <cell r="K28">
            <v>1.1001302335384866</v>
          </cell>
          <cell r="L28">
            <v>1.1133317963409484</v>
          </cell>
          <cell r="M28">
            <v>1.1266917778970398</v>
          </cell>
          <cell r="N28">
            <v>1.1396100682872405</v>
          </cell>
          <cell r="O28">
            <v>1.1517308398285908</v>
          </cell>
          <cell r="P28">
            <v>1.1629837550378135</v>
          </cell>
          <cell r="Q28">
            <v>1.1736490817328895</v>
          </cell>
          <cell r="R28">
            <v>1.183973542162853</v>
          </cell>
          <cell r="S28">
            <v>1.1938435142393335</v>
          </cell>
          <cell r="T28">
            <v>1.203269819113604</v>
          </cell>
          <cell r="U28">
            <v>1.2125229855674997</v>
          </cell>
          <cell r="V28">
            <v>1.2218854456492569</v>
          </cell>
          <cell r="W28">
            <v>1.2315909362263815</v>
          </cell>
          <cell r="X28">
            <v>1.2417909534167009</v>
          </cell>
          <cell r="Y28">
            <v>1.2526672925616087</v>
          </cell>
          <cell r="Z28">
            <v>1.2644244734201724</v>
          </cell>
          <cell r="AA28">
            <v>1.2774271687903058</v>
          </cell>
          <cell r="AB28">
            <v>1.2918333674806011</v>
          </cell>
          <cell r="AC28">
            <v>1.3077783338819757</v>
          </cell>
          <cell r="AD28">
            <v>1.32529453144825</v>
          </cell>
          <cell r="AE28">
            <v>1.3443830422945511</v>
          </cell>
          <cell r="AF28">
            <v>1.3647116570767854</v>
          </cell>
          <cell r="AG28">
            <v>1.3861689179368368</v>
          </cell>
          <cell r="AH28">
            <v>1.4086866516216829</v>
          </cell>
          <cell r="AI28">
            <v>1.4322118344900838</v>
          </cell>
          <cell r="AJ28">
            <v>1.4566925250159268</v>
          </cell>
          <cell r="AK28">
            <v>1.4820637962915721</v>
          </cell>
          <cell r="AL28">
            <v>1.5082520644883597</v>
          </cell>
        </row>
        <row r="29">
          <cell r="C29">
            <v>1</v>
          </cell>
          <cell r="D29">
            <v>1.012</v>
          </cell>
          <cell r="E29">
            <v>1.0241439999999999</v>
          </cell>
          <cell r="F29">
            <v>1.036433728</v>
          </cell>
          <cell r="G29">
            <v>1.048870932736</v>
          </cell>
          <cell r="H29">
            <v>1.0614573839288319</v>
          </cell>
          <cell r="I29">
            <v>1.074194872535978</v>
          </cell>
          <cell r="J29">
            <v>1.0870852110064098</v>
          </cell>
          <cell r="K29">
            <v>1.1001302335384866</v>
          </cell>
          <cell r="L29">
            <v>1.1133317963409484</v>
          </cell>
          <cell r="M29">
            <v>1.1266917778970398</v>
          </cell>
          <cell r="N29">
            <v>1.1396100682872405</v>
          </cell>
          <cell r="O29">
            <v>1.1517308398285908</v>
          </cell>
          <cell r="P29">
            <v>1.1629837550378135</v>
          </cell>
          <cell r="Q29">
            <v>1.1736490817328895</v>
          </cell>
          <cell r="R29">
            <v>1.183973542162853</v>
          </cell>
          <cell r="S29">
            <v>1.1938435142393335</v>
          </cell>
          <cell r="T29">
            <v>1.203269819113604</v>
          </cell>
          <cell r="U29">
            <v>1.2125229855674997</v>
          </cell>
          <cell r="V29">
            <v>1.2218854456492569</v>
          </cell>
          <cell r="W29">
            <v>1.2315909362263815</v>
          </cell>
          <cell r="X29">
            <v>1.2417909534167009</v>
          </cell>
          <cell r="Y29">
            <v>1.2526672925616087</v>
          </cell>
          <cell r="Z29">
            <v>1.2644244734201724</v>
          </cell>
          <cell r="AA29">
            <v>1.2774271687903058</v>
          </cell>
          <cell r="AB29">
            <v>1.2918333674806011</v>
          </cell>
          <cell r="AC29">
            <v>1.3077783338819757</v>
          </cell>
          <cell r="AD29">
            <v>1.32529453144825</v>
          </cell>
          <cell r="AE29">
            <v>1.3443830422945511</v>
          </cell>
          <cell r="AF29">
            <v>1.3647116570767854</v>
          </cell>
          <cell r="AG29">
            <v>1.3861689179368368</v>
          </cell>
          <cell r="AH29">
            <v>1.4086866516216829</v>
          </cell>
          <cell r="AI29">
            <v>1.4322118344900838</v>
          </cell>
          <cell r="AJ29">
            <v>1.4566925250159268</v>
          </cell>
          <cell r="AK29">
            <v>1.4820637962915721</v>
          </cell>
          <cell r="AL29">
            <v>1.5082520644883597</v>
          </cell>
        </row>
        <row r="30">
          <cell r="C30">
            <v>1</v>
          </cell>
          <cell r="D30">
            <v>1.012</v>
          </cell>
          <cell r="E30">
            <v>1.0241439999999999</v>
          </cell>
          <cell r="F30">
            <v>1.036433728</v>
          </cell>
          <cell r="G30">
            <v>1.048870932736</v>
          </cell>
          <cell r="H30">
            <v>1.0614573839288319</v>
          </cell>
          <cell r="I30">
            <v>1.074194872535978</v>
          </cell>
          <cell r="J30">
            <v>1.0870852110064098</v>
          </cell>
          <cell r="K30">
            <v>1.1001302335384866</v>
          </cell>
          <cell r="L30">
            <v>1.1133317963409484</v>
          </cell>
          <cell r="M30">
            <v>1.1266917778970398</v>
          </cell>
          <cell r="N30">
            <v>1.1396100682872405</v>
          </cell>
          <cell r="O30">
            <v>1.1517308398285908</v>
          </cell>
          <cell r="P30">
            <v>1.1629837550378135</v>
          </cell>
          <cell r="Q30">
            <v>1.1736490817328895</v>
          </cell>
          <cell r="R30">
            <v>1.183973542162853</v>
          </cell>
          <cell r="S30">
            <v>1.1938435142393335</v>
          </cell>
          <cell r="T30">
            <v>1.203269819113604</v>
          </cell>
          <cell r="U30">
            <v>1.2125229855674997</v>
          </cell>
          <cell r="V30">
            <v>1.2218854456492569</v>
          </cell>
          <cell r="W30">
            <v>1.2315909362263815</v>
          </cell>
          <cell r="X30">
            <v>1.2417909534167009</v>
          </cell>
          <cell r="Y30">
            <v>1.2526672925616087</v>
          </cell>
          <cell r="Z30">
            <v>1.2644244734201724</v>
          </cell>
          <cell r="AA30">
            <v>1.2774271687903058</v>
          </cell>
          <cell r="AB30">
            <v>1.2918333674806011</v>
          </cell>
          <cell r="AC30">
            <v>1.3077783338819757</v>
          </cell>
          <cell r="AD30">
            <v>1.32529453144825</v>
          </cell>
          <cell r="AE30">
            <v>1.3443830422945511</v>
          </cell>
          <cell r="AF30">
            <v>1.3647116570767854</v>
          </cell>
          <cell r="AG30">
            <v>1.3861689179368368</v>
          </cell>
          <cell r="AH30">
            <v>1.4086866516216829</v>
          </cell>
          <cell r="AI30">
            <v>1.4322118344900838</v>
          </cell>
          <cell r="AJ30">
            <v>1.4566925250159268</v>
          </cell>
          <cell r="AK30">
            <v>1.4820637962915721</v>
          </cell>
          <cell r="AL30">
            <v>1.5082520644883597</v>
          </cell>
        </row>
        <row r="31">
          <cell r="C31">
            <v>1</v>
          </cell>
          <cell r="D31">
            <v>1.012</v>
          </cell>
          <cell r="E31">
            <v>1.0241439999999999</v>
          </cell>
          <cell r="F31">
            <v>1.036433728</v>
          </cell>
          <cell r="G31">
            <v>1.048870932736</v>
          </cell>
          <cell r="H31">
            <v>1.0614573839288319</v>
          </cell>
          <cell r="I31">
            <v>1.074194872535978</v>
          </cell>
          <cell r="J31">
            <v>1.0870852110064098</v>
          </cell>
          <cell r="K31">
            <v>1.1001302335384866</v>
          </cell>
          <cell r="L31">
            <v>1.1133317963409484</v>
          </cell>
          <cell r="M31">
            <v>1.1266917778970398</v>
          </cell>
          <cell r="N31">
            <v>1.1396100682872405</v>
          </cell>
          <cell r="O31">
            <v>1.1517308398285908</v>
          </cell>
          <cell r="P31">
            <v>1.1629837550378135</v>
          </cell>
          <cell r="Q31">
            <v>1.1736490817328895</v>
          </cell>
          <cell r="R31">
            <v>1.183973542162853</v>
          </cell>
          <cell r="S31">
            <v>1.1938435142393335</v>
          </cell>
          <cell r="T31">
            <v>1.203269819113604</v>
          </cell>
          <cell r="U31">
            <v>1.2125229855674997</v>
          </cell>
          <cell r="V31">
            <v>1.2218854456492569</v>
          </cell>
          <cell r="W31">
            <v>1.2315909362263815</v>
          </cell>
          <cell r="X31">
            <v>1.2417909534167009</v>
          </cell>
          <cell r="Y31">
            <v>1.2526672925616087</v>
          </cell>
          <cell r="Z31">
            <v>1.2644244734201724</v>
          </cell>
          <cell r="AA31">
            <v>1.2774271687903058</v>
          </cell>
          <cell r="AB31">
            <v>1.2918333674806011</v>
          </cell>
          <cell r="AC31">
            <v>1.3077783338819757</v>
          </cell>
          <cell r="AD31">
            <v>1.32529453144825</v>
          </cell>
          <cell r="AE31">
            <v>1.3443830422945511</v>
          </cell>
          <cell r="AF31">
            <v>1.3647116570767854</v>
          </cell>
          <cell r="AG31">
            <v>1.3861689179368368</v>
          </cell>
          <cell r="AH31">
            <v>1.4086866516216829</v>
          </cell>
          <cell r="AI31">
            <v>1.4322118344900838</v>
          </cell>
          <cell r="AJ31">
            <v>1.4566925250159268</v>
          </cell>
          <cell r="AK31">
            <v>1.4820637962915721</v>
          </cell>
          <cell r="AL31">
            <v>1.5082520644883597</v>
          </cell>
        </row>
      </sheetData>
      <sheetData sheetId="12"/>
      <sheetData sheetId="13">
        <row r="6">
          <cell r="C6">
            <v>1</v>
          </cell>
          <cell r="D6">
            <v>1.012</v>
          </cell>
          <cell r="E6">
            <v>1.0241439999999999</v>
          </cell>
          <cell r="F6">
            <v>1.036433728</v>
          </cell>
          <cell r="G6">
            <v>1.048870932736</v>
          </cell>
          <cell r="H6">
            <v>1.0614573839288319</v>
          </cell>
          <cell r="I6">
            <v>1.074194872535978</v>
          </cell>
          <cell r="J6">
            <v>1.0940787835234267</v>
          </cell>
          <cell r="K6">
            <v>1.1143411728930652</v>
          </cell>
          <cell r="L6">
            <v>1.1358988939203243</v>
          </cell>
          <cell r="M6">
            <v>1.1586674112372517</v>
          </cell>
          <cell r="N6">
            <v>1.1794631114381304</v>
          </cell>
          <cell r="O6">
            <v>1.1967429745217719</v>
          </cell>
          <cell r="P6">
            <v>1.2115542399240689</v>
          </cell>
          <cell r="Q6">
            <v>1.2246481054770975</v>
          </cell>
          <cell r="R6">
            <v>1.2364965657816867</v>
          </cell>
          <cell r="S6">
            <v>1.2481256783961956</v>
          </cell>
          <cell r="T6">
            <v>1.2601341153028824</v>
          </cell>
          <cell r="U6">
            <v>1.2720377028272685</v>
          </cell>
          <cell r="V6">
            <v>1.2839038980936808</v>
          </cell>
          <cell r="W6">
            <v>1.2958917013051687</v>
          </cell>
          <cell r="X6">
            <v>1.3083661413154908</v>
          </cell>
          <cell r="Y6">
            <v>1.3215080427310433</v>
          </cell>
          <cell r="Z6">
            <v>1.3351691379031336</v>
          </cell>
          <cell r="AA6">
            <v>1.3495905462844988</v>
          </cell>
          <cell r="AB6">
            <v>1.3648926687804916</v>
          </cell>
          <cell r="AC6">
            <v>1.3822056427491456</v>
          </cell>
          <cell r="AD6">
            <v>1.4020639302388713</v>
          </cell>
          <cell r="AE6">
            <v>1.423653234331913</v>
          </cell>
          <cell r="AF6">
            <v>1.4464200292649871</v>
          </cell>
          <cell r="AG6">
            <v>1.4702053348125856</v>
          </cell>
          <cell r="AH6">
            <v>1.4953787737509039</v>
          </cell>
          <cell r="AI6">
            <v>1.5222139298444231</v>
          </cell>
          <cell r="AJ6">
            <v>1.5503328146452064</v>
          </cell>
          <cell r="AK6">
            <v>1.5795483669756774</v>
          </cell>
          <cell r="AL6">
            <v>1.6097366538113065</v>
          </cell>
        </row>
        <row r="7">
          <cell r="C7">
            <v>1</v>
          </cell>
          <cell r="D7">
            <v>1.012</v>
          </cell>
          <cell r="E7">
            <v>1.0241439999999999</v>
          </cell>
          <cell r="F7">
            <v>1.036433728</v>
          </cell>
          <cell r="G7">
            <v>1.048870932736</v>
          </cell>
          <cell r="H7">
            <v>1.0614573839288319</v>
          </cell>
          <cell r="I7">
            <v>1.074194872535978</v>
          </cell>
          <cell r="J7">
            <v>1.0936986274710441</v>
          </cell>
          <cell r="K7">
            <v>1.1135686957946236</v>
          </cell>
          <cell r="L7">
            <v>1.1346721934451902</v>
          </cell>
          <cell r="M7">
            <v>1.1569292823319646</v>
          </cell>
          <cell r="N7">
            <v>1.1772967829239396</v>
          </cell>
          <cell r="O7">
            <v>1.1942962085244739</v>
          </cell>
          <cell r="P7">
            <v>1.2089140494131763</v>
          </cell>
          <cell r="Q7">
            <v>1.221875904646293</v>
          </cell>
          <cell r="R7">
            <v>1.2336415234882736</v>
          </cell>
          <cell r="S7">
            <v>1.2451750128829053</v>
          </cell>
          <cell r="T7">
            <v>1.2570430904642564</v>
          </cell>
          <cell r="U7">
            <v>1.2688026066132676</v>
          </cell>
          <cell r="V7">
            <v>1.2805327040438894</v>
          </cell>
          <cell r="W7">
            <v>1.2923964454887666</v>
          </cell>
          <cell r="X7">
            <v>1.3047472526063721</v>
          </cell>
          <cell r="Y7">
            <v>1.3177660027702376</v>
          </cell>
          <cell r="Z7">
            <v>1.3313236051212063</v>
          </cell>
          <cell r="AA7">
            <v>1.3456678952148149</v>
          </cell>
          <cell r="AB7">
            <v>1.3609213171566374</v>
          </cell>
          <cell r="AC7">
            <v>1.3781599290799789</v>
          </cell>
          <cell r="AD7">
            <v>1.3978909054340214</v>
          </cell>
          <cell r="AE7">
            <v>1.4193442716088971</v>
          </cell>
          <cell r="AF7">
            <v>1.4419785321414362</v>
          </cell>
          <cell r="AG7">
            <v>1.4656372900231551</v>
          </cell>
          <cell r="AH7">
            <v>1.4906663703489051</v>
          </cell>
          <cell r="AI7">
            <v>1.5173216031840766</v>
          </cell>
          <cell r="AJ7">
            <v>1.5452427233130848</v>
          </cell>
          <cell r="AK7">
            <v>1.5742493085231757</v>
          </cell>
          <cell r="AL7">
            <v>1.6042201626673585</v>
          </cell>
        </row>
        <row r="8">
          <cell r="C8">
            <v>1</v>
          </cell>
          <cell r="D8">
            <v>1.012</v>
          </cell>
          <cell r="E8">
            <v>1.0241439999999999</v>
          </cell>
          <cell r="F8">
            <v>1.036433728</v>
          </cell>
          <cell r="G8">
            <v>1.048870932736</v>
          </cell>
          <cell r="H8">
            <v>1.0614573839288319</v>
          </cell>
          <cell r="I8">
            <v>1.074194872535978</v>
          </cell>
          <cell r="J8">
            <v>1.0904598844226565</v>
          </cell>
          <cell r="K8">
            <v>1.1069875699203</v>
          </cell>
          <cell r="L8">
            <v>1.1242213072593894</v>
          </cell>
          <cell r="M8">
            <v>1.1421212768460107</v>
          </cell>
          <cell r="N8">
            <v>1.1588407268598933</v>
          </cell>
          <cell r="O8">
            <v>1.1734509626968366</v>
          </cell>
          <cell r="P8">
            <v>1.1864209216305712</v>
          </cell>
          <cell r="Q8">
            <v>1.1982581137069404</v>
          </cell>
          <cell r="R8">
            <v>1.2093179639324265</v>
          </cell>
          <cell r="S8">
            <v>1.2200367904098133</v>
          </cell>
          <cell r="T8">
            <v>1.2307090754045202</v>
          </cell>
          <cell r="U8">
            <v>1.2412411741218163</v>
          </cell>
          <cell r="V8">
            <v>1.2518117847658818</v>
          </cell>
          <cell r="W8">
            <v>1.2626185808282944</v>
          </cell>
          <cell r="X8">
            <v>1.2739160963585956</v>
          </cell>
          <cell r="Y8">
            <v>1.2858856582804163</v>
          </cell>
          <cell r="Z8">
            <v>1.2985615525726417</v>
          </cell>
          <cell r="AA8">
            <v>1.3122488326915052</v>
          </cell>
          <cell r="AB8">
            <v>1.3270873498059983</v>
          </cell>
          <cell r="AC8">
            <v>1.3436924335879088</v>
          </cell>
          <cell r="AD8">
            <v>1.3623387815292454</v>
          </cell>
          <cell r="AE8">
            <v>1.3826340233372645</v>
          </cell>
          <cell r="AF8">
            <v>1.4041391558032776</v>
          </cell>
          <cell r="AG8">
            <v>1.426719789660432</v>
          </cell>
          <cell r="AH8">
            <v>1.450519005434507</v>
          </cell>
          <cell r="AI8">
            <v>1.4756413803852255</v>
          </cell>
          <cell r="AJ8">
            <v>1.5018776425410056</v>
          </cell>
          <cell r="AK8">
            <v>1.5291039304120653</v>
          </cell>
          <cell r="AL8">
            <v>1.5572223647052428</v>
          </cell>
        </row>
        <row r="9">
          <cell r="C9">
            <v>1</v>
          </cell>
          <cell r="D9">
            <v>1.012</v>
          </cell>
          <cell r="E9">
            <v>1.0241439999999999</v>
          </cell>
          <cell r="F9">
            <v>1.036433728</v>
          </cell>
          <cell r="G9">
            <v>1.048870932736</v>
          </cell>
          <cell r="H9">
            <v>1.0614573839288319</v>
          </cell>
          <cell r="I9">
            <v>1.074194872535978</v>
          </cell>
          <cell r="J9">
            <v>1.0882983782852971</v>
          </cell>
          <cell r="K9">
            <v>1.1025953894491853</v>
          </cell>
          <cell r="L9">
            <v>1.1172464857641491</v>
          </cell>
          <cell r="M9">
            <v>1.1322385555983721</v>
          </cell>
          <cell r="N9">
            <v>1.146523331543909</v>
          </cell>
          <cell r="O9">
            <v>1.1595390449812162</v>
          </cell>
          <cell r="P9">
            <v>1.1714092232574271</v>
          </cell>
          <cell r="Q9">
            <v>1.1824958258984959</v>
          </cell>
          <cell r="R9">
            <v>1.1930846528988246</v>
          </cell>
          <cell r="S9">
            <v>1.2032597811361239</v>
          </cell>
          <cell r="T9">
            <v>1.213134005594251</v>
          </cell>
          <cell r="U9">
            <v>1.2228469376558055</v>
          </cell>
          <cell r="V9">
            <v>1.2326437179070657</v>
          </cell>
          <cell r="W9">
            <v>1.2427451187291279</v>
          </cell>
          <cell r="X9">
            <v>1.2533396775270258</v>
          </cell>
          <cell r="Y9">
            <v>1.2646090212498284</v>
          </cell>
          <cell r="Z9">
            <v>1.2766964720157041</v>
          </cell>
          <cell r="AA9">
            <v>1.2899452699606191</v>
          </cell>
          <cell r="AB9">
            <v>1.3045068835612199</v>
          </cell>
          <cell r="AC9">
            <v>1.3206891567201717</v>
          </cell>
          <cell r="AD9">
            <v>1.338611634031516</v>
          </cell>
          <cell r="AE9">
            <v>1.3581339547126083</v>
          </cell>
          <cell r="AF9">
            <v>1.3788855179052344</v>
          </cell>
          <cell r="AG9">
            <v>1.4007466220988392</v>
          </cell>
          <cell r="AH9">
            <v>1.4237250380327133</v>
          </cell>
          <cell r="AI9">
            <v>1.4478243982905581</v>
          </cell>
          <cell r="AJ9">
            <v>1.4729362023478405</v>
          </cell>
          <cell r="AK9">
            <v>1.4989743368003832</v>
          </cell>
          <cell r="AL9">
            <v>1.5258564838002824</v>
          </cell>
        </row>
        <row r="10">
          <cell r="C10">
            <v>1</v>
          </cell>
          <cell r="D10">
            <v>1.012</v>
          </cell>
          <cell r="E10">
            <v>1.0241439999999999</v>
          </cell>
          <cell r="F10">
            <v>1.036433728</v>
          </cell>
          <cell r="G10">
            <v>1.048870932736</v>
          </cell>
          <cell r="H10">
            <v>1.0614573839288319</v>
          </cell>
          <cell r="I10">
            <v>1.074194872535978</v>
          </cell>
          <cell r="J10">
            <v>1.0972658453572548</v>
          </cell>
          <cell r="K10">
            <v>1.1208172825394038</v>
          </cell>
          <cell r="L10">
            <v>1.1461830134058231</v>
          </cell>
          <cell r="M10">
            <v>1.1732391226741608</v>
          </cell>
          <cell r="N10">
            <v>1.1976246608435381</v>
          </cell>
          <cell r="O10">
            <v>1.2172555889531951</v>
          </cell>
          <cell r="P10">
            <v>1.2336884407570268</v>
          </cell>
          <cell r="Q10">
            <v>1.2478890230113289</v>
          </cell>
          <cell r="R10">
            <v>1.2604319898536509</v>
          </cell>
          <cell r="S10">
            <v>1.2728627656603908</v>
          </cell>
          <cell r="T10">
            <v>1.2860479136729388</v>
          </cell>
          <cell r="U10">
            <v>1.2991593325048258</v>
          </cell>
          <cell r="V10">
            <v>1.3121665124152968</v>
          </cell>
          <cell r="W10">
            <v>1.3251943951386718</v>
          </cell>
          <cell r="X10">
            <v>1.3387053191699971</v>
          </cell>
          <cell r="Y10">
            <v>1.3528796667391236</v>
          </cell>
          <cell r="Z10">
            <v>1.3674084003933709</v>
          </cell>
          <cell r="AA10">
            <v>1.3824763347212747</v>
          </cell>
          <cell r="AB10">
            <v>1.398186741332462</v>
          </cell>
          <cell r="AC10">
            <v>1.4161231341182448</v>
          </cell>
          <cell r="AD10">
            <v>1.4370487424069274</v>
          </cell>
          <cell r="AE10">
            <v>1.4597776904647077</v>
          </cell>
          <cell r="AF10">
            <v>1.4836555957614526</v>
          </cell>
          <cell r="AG10">
            <v>1.5085018215115762</v>
          </cell>
          <cell r="AH10">
            <v>1.5348854998282153</v>
          </cell>
          <cell r="AI10">
            <v>1.5632290537128635</v>
          </cell>
          <cell r="AJ10">
            <v>1.5930059109003631</v>
          </cell>
          <cell r="AK10">
            <v>1.623973352039956</v>
          </cell>
          <cell r="AL10">
            <v>1.6559844993245805</v>
          </cell>
        </row>
        <row r="11">
          <cell r="C11">
            <v>1</v>
          </cell>
          <cell r="D11">
            <v>1.012</v>
          </cell>
          <cell r="E11">
            <v>1.0241439999999999</v>
          </cell>
          <cell r="F11">
            <v>1.036433728</v>
          </cell>
          <cell r="G11">
            <v>1.048870932736</v>
          </cell>
          <cell r="H11">
            <v>1.0614573839288319</v>
          </cell>
          <cell r="I11">
            <v>1.074194872535978</v>
          </cell>
          <cell r="J11">
            <v>1.0928019502594495</v>
          </cell>
          <cell r="K11">
            <v>1.1117466477006632</v>
          </cell>
          <cell r="L11">
            <v>1.1317787649317914</v>
          </cell>
          <cell r="M11">
            <v>1.1528295433684077</v>
          </cell>
          <cell r="N11">
            <v>1.1721870460163506</v>
          </cell>
          <cell r="O11">
            <v>1.1885250014158903</v>
          </cell>
          <cell r="P11">
            <v>1.202686610311396</v>
          </cell>
          <cell r="Q11">
            <v>1.2153370917157438</v>
          </cell>
          <cell r="R11">
            <v>1.2269073117176141</v>
          </cell>
          <cell r="S11">
            <v>1.2382152538359998</v>
          </cell>
          <cell r="T11">
            <v>1.2497522647207289</v>
          </cell>
          <cell r="U11">
            <v>1.2611719585301195</v>
          </cell>
          <cell r="V11">
            <v>1.2725810408746054</v>
          </cell>
          <cell r="W11">
            <v>1.2841521568088456</v>
          </cell>
          <cell r="X11">
            <v>1.2962113500042012</v>
          </cell>
          <cell r="Y11">
            <v>1.3089396222964791</v>
          </cell>
          <cell r="Z11">
            <v>1.3222531152779353</v>
          </cell>
          <cell r="AA11">
            <v>1.3364155058310918</v>
          </cell>
          <cell r="AB11">
            <v>1.3515540573747109</v>
          </cell>
          <cell r="AC11">
            <v>1.3686172709293527</v>
          </cell>
          <cell r="AD11">
            <v>1.3880479574591666</v>
          </cell>
          <cell r="AE11">
            <v>1.4091806857469245</v>
          </cell>
          <cell r="AF11">
            <v>1.431502336297412</v>
          </cell>
          <cell r="AG11">
            <v>1.4548626051574161</v>
          </cell>
          <cell r="AH11">
            <v>1.4795511856348114</v>
          </cell>
          <cell r="AI11">
            <v>1.5057820319987294</v>
          </cell>
          <cell r="AJ11">
            <v>1.5332366829676976</v>
          </cell>
          <cell r="AK11">
            <v>1.5617503757099631</v>
          </cell>
          <cell r="AL11">
            <v>1.5912083695741279</v>
          </cell>
        </row>
        <row r="12">
          <cell r="C12">
            <v>1</v>
          </cell>
          <cell r="D12">
            <v>1.012</v>
          </cell>
          <cell r="E12">
            <v>1.0241439999999999</v>
          </cell>
          <cell r="F12">
            <v>1.036433728</v>
          </cell>
          <cell r="G12">
            <v>1.048870932736</v>
          </cell>
          <cell r="H12">
            <v>1.0614573839288319</v>
          </cell>
          <cell r="I12">
            <v>1.074194872535978</v>
          </cell>
          <cell r="J12">
            <v>1.0964132775346089</v>
          </cell>
          <cell r="K12">
            <v>1.1190848647237872</v>
          </cell>
          <cell r="L12">
            <v>1.143431918568403</v>
          </cell>
          <cell r="M12">
            <v>1.1693410582688433</v>
          </cell>
          <cell r="N12">
            <v>1.1927662823621117</v>
          </cell>
          <cell r="O12">
            <v>1.211768279345032</v>
          </cell>
          <cell r="P12">
            <v>1.2277673421420379</v>
          </cell>
          <cell r="Q12">
            <v>1.2416718676840803</v>
          </cell>
          <cell r="R12">
            <v>1.2540290477555267</v>
          </cell>
          <cell r="S12">
            <v>1.2662453714185897</v>
          </cell>
          <cell r="T12">
            <v>1.2791157385835372</v>
          </cell>
          <cell r="U12">
            <v>1.2919040516328411</v>
          </cell>
          <cell r="V12">
            <v>1.3046060078468866</v>
          </cell>
          <cell r="W12">
            <v>1.3173556599079581</v>
          </cell>
          <cell r="X12">
            <v>1.3305893151032619</v>
          </cell>
          <cell r="Y12">
            <v>1.3444874740023698</v>
          </cell>
          <cell r="Z12">
            <v>1.3587841065270674</v>
          </cell>
          <cell r="AA12">
            <v>1.3736790893255486</v>
          </cell>
          <cell r="AB12">
            <v>1.3892802762487406</v>
          </cell>
          <cell r="AC12">
            <v>1.4070498988708968</v>
          </cell>
          <cell r="AD12">
            <v>1.4276899892069708</v>
          </cell>
          <cell r="AE12">
            <v>1.4501140722121515</v>
          </cell>
          <cell r="AF12">
            <v>1.4736947454522666</v>
          </cell>
          <cell r="AG12">
            <v>1.4982571654671306</v>
          </cell>
          <cell r="AH12">
            <v>1.5243170938204953</v>
          </cell>
          <cell r="AI12">
            <v>1.5522571376737981</v>
          </cell>
          <cell r="AJ12">
            <v>1.5815904722748371</v>
          </cell>
          <cell r="AK12">
            <v>1.6120892673368241</v>
          </cell>
          <cell r="AL12">
            <v>1.6436127829892375</v>
          </cell>
        </row>
        <row r="13">
          <cell r="C13">
            <v>1</v>
          </cell>
          <cell r="D13">
            <v>1.012</v>
          </cell>
          <cell r="E13">
            <v>1.0241439999999999</v>
          </cell>
          <cell r="F13">
            <v>1.036433728</v>
          </cell>
          <cell r="G13">
            <v>1.048870932736</v>
          </cell>
          <cell r="H13">
            <v>1.0614573839288319</v>
          </cell>
          <cell r="I13">
            <v>1.074194872535978</v>
          </cell>
          <cell r="J13">
            <v>1.0909944062826968</v>
          </cell>
          <cell r="K13">
            <v>1.1080737183399021</v>
          </cell>
          <cell r="L13">
            <v>1.125946120571111</v>
          </cell>
          <cell r="M13">
            <v>1.1445651887333033</v>
          </cell>
          <cell r="N13">
            <v>1.1618867126849421</v>
          </cell>
          <cell r="O13">
            <v>1.176891260184572</v>
          </cell>
          <cell r="P13">
            <v>1.1901331854072454</v>
          </cell>
          <cell r="Q13">
            <v>1.2021559917893754</v>
          </cell>
          <cell r="R13">
            <v>1.2133323220035517</v>
          </cell>
          <cell r="S13">
            <v>1.2241856003751845</v>
          </cell>
          <cell r="T13">
            <v>1.2350552388703346</v>
          </cell>
          <cell r="U13">
            <v>1.2457899104496468</v>
          </cell>
          <cell r="V13">
            <v>1.2565518826881898</v>
          </cell>
          <cell r="W13">
            <v>1.2675331169210147</v>
          </cell>
          <cell r="X13">
            <v>1.2790044675997048</v>
          </cell>
          <cell r="Y13">
            <v>1.291147187454184</v>
          </cell>
          <cell r="Z13">
            <v>1.3039685987647498</v>
          </cell>
          <cell r="AA13">
            <v>1.3177643117504751</v>
          </cell>
          <cell r="AB13">
            <v>1.3326713047201784</v>
          </cell>
          <cell r="AC13">
            <v>1.3493809459293027</v>
          </cell>
          <cell r="AD13">
            <v>1.3682063008458607</v>
          </cell>
          <cell r="AE13">
            <v>1.3886926793947332</v>
          </cell>
          <cell r="AF13">
            <v>1.4103841630548133</v>
          </cell>
          <cell r="AG13">
            <v>1.4331427304035587</v>
          </cell>
          <cell r="AH13">
            <v>1.4571449229121065</v>
          </cell>
          <cell r="AI13">
            <v>1.4825202805895603</v>
          </cell>
          <cell r="AJ13">
            <v>1.5090346115529913</v>
          </cell>
          <cell r="AK13">
            <v>1.5365547195360103</v>
          </cell>
          <cell r="AL13">
            <v>1.5649788770340056</v>
          </cell>
        </row>
        <row r="14">
          <cell r="C14">
            <v>1</v>
          </cell>
          <cell r="D14">
            <v>1.012</v>
          </cell>
          <cell r="E14">
            <v>1.0241439999999999</v>
          </cell>
          <cell r="F14">
            <v>1.036433728</v>
          </cell>
          <cell r="G14">
            <v>1.048870932736</v>
          </cell>
          <cell r="H14">
            <v>1.0614573839288319</v>
          </cell>
          <cell r="I14">
            <v>1.074194872535978</v>
          </cell>
          <cell r="J14">
            <v>1.0946528077571347</v>
          </cell>
          <cell r="K14">
            <v>1.1155075901359599</v>
          </cell>
          <cell r="L14">
            <v>1.1377511748344773</v>
          </cell>
          <cell r="M14">
            <v>1.1612919337371304</v>
          </cell>
          <cell r="N14">
            <v>1.1827342025006682</v>
          </cell>
          <cell r="O14">
            <v>1.2004375177701541</v>
          </cell>
          <cell r="P14">
            <v>1.2155408483848835</v>
          </cell>
          <cell r="Q14">
            <v>1.2288340455604232</v>
          </cell>
          <cell r="R14">
            <v>1.2408075939881531</v>
          </cell>
          <cell r="S14">
            <v>1.2525810947958025</v>
          </cell>
          <cell r="T14">
            <v>1.2648014700727048</v>
          </cell>
          <cell r="U14">
            <v>1.2769226010514967</v>
          </cell>
          <cell r="V14">
            <v>1.2889942999667641</v>
          </cell>
          <cell r="W14">
            <v>1.3011694327237506</v>
          </cell>
          <cell r="X14">
            <v>1.3138305546928573</v>
          </cell>
          <cell r="Y14">
            <v>1.3271584108036905</v>
          </cell>
          <cell r="Z14">
            <v>1.3409757770306971</v>
          </cell>
          <cell r="AA14">
            <v>1.3555136317128824</v>
          </cell>
          <cell r="AB14">
            <v>1.3708892905845653</v>
          </cell>
          <cell r="AC14">
            <v>1.3883145490106412</v>
          </cell>
          <cell r="AD14">
            <v>1.4083650724956773</v>
          </cell>
          <cell r="AE14">
            <v>1.4301596387667588</v>
          </cell>
          <cell r="AF14">
            <v>1.453126556668362</v>
          </cell>
          <cell r="AG14">
            <v>1.477102945394773</v>
          </cell>
          <cell r="AH14">
            <v>1.5024943615070419</v>
          </cell>
          <cell r="AI14">
            <v>1.5296011963226332</v>
          </cell>
          <cell r="AJ14">
            <v>1.5580186998444883</v>
          </cell>
          <cell r="AK14">
            <v>1.5875497862573307</v>
          </cell>
          <cell r="AL14">
            <v>1.6180663899336576</v>
          </cell>
        </row>
        <row r="15">
          <cell r="C15">
            <v>1</v>
          </cell>
          <cell r="D15">
            <v>1.012</v>
          </cell>
          <cell r="E15">
            <v>1.0241439999999999</v>
          </cell>
          <cell r="F15">
            <v>1.036433728</v>
          </cell>
          <cell r="G15">
            <v>1.048870932736</v>
          </cell>
          <cell r="H15">
            <v>1.0614573839288319</v>
          </cell>
          <cell r="I15">
            <v>1.074194872535978</v>
          </cell>
          <cell r="J15">
            <v>1.1039164685026901</v>
          </cell>
          <cell r="K15">
            <v>1.1343313487709283</v>
          </cell>
          <cell r="L15">
            <v>1.1676434702927008</v>
          </cell>
          <cell r="M15">
            <v>1.2036467414791308</v>
          </cell>
          <cell r="N15">
            <v>1.2355233986560681</v>
          </cell>
          <cell r="O15">
            <v>1.260060427837401</v>
          </cell>
          <cell r="P15">
            <v>1.2798771361889472</v>
          </cell>
          <cell r="Q15">
            <v>1.2963871671118645</v>
          </cell>
          <cell r="R15">
            <v>1.3103794002362139</v>
          </cell>
          <cell r="S15">
            <v>1.3244830522088646</v>
          </cell>
          <cell r="T15">
            <v>1.3401237101939727</v>
          </cell>
          <cell r="U15">
            <v>1.3557555792926814</v>
          </cell>
          <cell r="V15">
            <v>1.3711437167364575</v>
          </cell>
          <cell r="W15">
            <v>1.3863419925163545</v>
          </cell>
          <cell r="X15">
            <v>1.4020158066889361</v>
          </cell>
          <cell r="Y15">
            <v>1.418344618351759</v>
          </cell>
          <cell r="Z15">
            <v>1.4346839025607698</v>
          </cell>
          <cell r="AA15">
            <v>1.4511009793428729</v>
          </cell>
          <cell r="AB15">
            <v>1.4676633756323283</v>
          </cell>
          <cell r="AC15">
            <v>1.486900691911496</v>
          </cell>
          <cell r="AD15">
            <v>1.5100535391993735</v>
          </cell>
          <cell r="AE15">
            <v>1.5351606471186914</v>
          </cell>
          <cell r="AF15">
            <v>1.5613571695891997</v>
          </cell>
          <cell r="AG15">
            <v>1.5884172778500052</v>
          </cell>
          <cell r="AH15">
            <v>1.6173264314917688</v>
          </cell>
          <cell r="AI15">
            <v>1.648817644814877</v>
          </cell>
          <cell r="AJ15">
            <v>1.6820542872542823</v>
          </cell>
          <cell r="AK15">
            <v>1.7166774943845147</v>
          </cell>
          <cell r="AL15">
            <v>1.7524925082161609</v>
          </cell>
        </row>
        <row r="16">
          <cell r="C16">
            <v>1</v>
          </cell>
          <cell r="D16">
            <v>1.012</v>
          </cell>
          <cell r="E16">
            <v>1.0241439999999999</v>
          </cell>
          <cell r="F16">
            <v>1.036433728</v>
          </cell>
          <cell r="G16">
            <v>1.048870932736</v>
          </cell>
          <cell r="H16">
            <v>1.0614573839288319</v>
          </cell>
          <cell r="I16">
            <v>1.074194872535978</v>
          </cell>
          <cell r="J16">
            <v>1.0908361272687126</v>
          </cell>
          <cell r="K16">
            <v>1.1077520953834861</v>
          </cell>
          <cell r="L16">
            <v>1.1254353804673003</v>
          </cell>
          <cell r="M16">
            <v>1.1438415140013554</v>
          </cell>
          <cell r="N16">
            <v>1.1609847558726196</v>
          </cell>
          <cell r="O16">
            <v>1.1758725424577983</v>
          </cell>
          <cell r="P16">
            <v>1.1890339348542802</v>
          </cell>
          <cell r="Q16">
            <v>1.2010017783780249</v>
          </cell>
          <cell r="R16">
            <v>1.2121436173222699</v>
          </cell>
          <cell r="S16">
            <v>1.2229570827043126</v>
          </cell>
          <cell r="T16">
            <v>1.2337682822097942</v>
          </cell>
          <cell r="U16">
            <v>1.2444429692772336</v>
          </cell>
          <cell r="V16">
            <v>1.2551482768089559</v>
          </cell>
          <cell r="W16">
            <v>1.2660778575853404</v>
          </cell>
          <cell r="X16">
            <v>1.2774977333704112</v>
          </cell>
          <cell r="Y16">
            <v>1.2895891788638332</v>
          </cell>
          <cell r="Z16">
            <v>1.3023675006547688</v>
          </cell>
          <cell r="AA16">
            <v>1.3161311052300935</v>
          </cell>
          <cell r="AB16">
            <v>1.331017821590635</v>
          </cell>
          <cell r="AC16">
            <v>1.3476965019584517</v>
          </cell>
          <cell r="AD16">
            <v>1.3664688505348535</v>
          </cell>
          <cell r="AE16">
            <v>1.3868986309590465</v>
          </cell>
          <cell r="AF16">
            <v>1.4085349335583381</v>
          </cell>
          <cell r="AG16">
            <v>1.4312408124396712</v>
          </cell>
          <cell r="AH16">
            <v>1.4551829008443538</v>
          </cell>
          <cell r="AI16">
            <v>1.4804833469802299</v>
          </cell>
          <cell r="AJ16">
            <v>1.5069153380807199</v>
          </cell>
          <cell r="AK16">
            <v>1.5343484420306275</v>
          </cell>
          <cell r="AL16">
            <v>1.5626820708318039</v>
          </cell>
        </row>
        <row r="17">
          <cell r="C17">
            <v>1</v>
          </cell>
          <cell r="D17">
            <v>1.012</v>
          </cell>
          <cell r="E17">
            <v>1.0241439999999999</v>
          </cell>
          <cell r="F17">
            <v>1.036433728</v>
          </cell>
          <cell r="G17">
            <v>1.048870932736</v>
          </cell>
          <cell r="H17">
            <v>1.0614573839288319</v>
          </cell>
          <cell r="I17">
            <v>1.074194872535978</v>
          </cell>
          <cell r="J17">
            <v>1.0887043011779129</v>
          </cell>
          <cell r="K17">
            <v>1.1034202247669809</v>
          </cell>
          <cell r="L17">
            <v>1.1185563315554203</v>
          </cell>
          <cell r="M17">
            <v>1.1340944942544884</v>
          </cell>
          <cell r="N17">
            <v>1.14883649302411</v>
          </cell>
          <cell r="O17">
            <v>1.1621516518960675</v>
          </cell>
          <cell r="P17">
            <v>1.1742283649297003</v>
          </cell>
          <cell r="Q17">
            <v>1.1854559255025914</v>
          </cell>
          <cell r="R17">
            <v>1.1961332089300107</v>
          </cell>
          <cell r="S17">
            <v>1.2064104416945709</v>
          </cell>
          <cell r="T17">
            <v>1.2164345389825235</v>
          </cell>
          <cell r="U17">
            <v>1.2263013075253564</v>
          </cell>
          <cell r="V17">
            <v>1.2362434102746713</v>
          </cell>
          <cell r="W17">
            <v>1.2464772817251768</v>
          </cell>
          <cell r="X17">
            <v>1.257203853208706</v>
          </cell>
          <cell r="Y17">
            <v>1.2686046953306549</v>
          </cell>
          <cell r="Z17">
            <v>1.2808026536237722</v>
          </cell>
          <cell r="AA17">
            <v>1.2941337969061966</v>
          </cell>
          <cell r="AB17">
            <v>1.3087474119669793</v>
          </cell>
          <cell r="AC17">
            <v>1.3250090874038769</v>
          </cell>
          <cell r="AD17">
            <v>1.3430675049538019</v>
          </cell>
          <cell r="AE17">
            <v>1.3627349773761652</v>
          </cell>
          <cell r="AF17">
            <v>1.383628058103233</v>
          </cell>
          <cell r="AG17">
            <v>1.4056242873179066</v>
          </cell>
          <cell r="AH17">
            <v>1.4287568464390863</v>
          </cell>
          <cell r="AI17">
            <v>1.4530483250888904</v>
          </cell>
          <cell r="AJ17">
            <v>1.4783712982361321</v>
          </cell>
          <cell r="AK17">
            <v>1.5046325635251687</v>
          </cell>
          <cell r="AL17">
            <v>1.5317468807259838</v>
          </cell>
        </row>
        <row r="18">
          <cell r="C18">
            <v>1</v>
          </cell>
          <cell r="D18">
            <v>1.012</v>
          </cell>
          <cell r="E18">
            <v>1.0241439999999999</v>
          </cell>
          <cell r="F18">
            <v>1.036433728</v>
          </cell>
          <cell r="G18">
            <v>1.048870932736</v>
          </cell>
          <cell r="H18">
            <v>1.0614573839288319</v>
          </cell>
          <cell r="I18">
            <v>1.074194872535978</v>
          </cell>
          <cell r="J18">
            <v>1.0967913676224239</v>
          </cell>
          <cell r="K18">
            <v>1.1198531437822274</v>
          </cell>
          <cell r="L18">
            <v>1.1446519525188277</v>
          </cell>
          <cell r="M18">
            <v>1.1710697412828717</v>
          </cell>
          <cell r="N18">
            <v>1.1949208379269469</v>
          </cell>
          <cell r="O18">
            <v>1.2142017483506764</v>
          </cell>
          <cell r="P18">
            <v>1.2303931844924503</v>
          </cell>
          <cell r="Q18">
            <v>1.2444290029420635</v>
          </cell>
          <cell r="R18">
            <v>1.2568685742727732</v>
          </cell>
          <cell r="S18">
            <v>1.2691800014896901</v>
          </cell>
          <cell r="T18">
            <v>1.2821899651948194</v>
          </cell>
          <cell r="U18">
            <v>1.2951215666611449</v>
          </cell>
          <cell r="V18">
            <v>1.3079588810849647</v>
          </cell>
          <cell r="W18">
            <v>1.3208319206968551</v>
          </cell>
          <cell r="X18">
            <v>1.3341885368998057</v>
          </cell>
          <cell r="Y18">
            <v>1.3482091777830174</v>
          </cell>
          <cell r="Z18">
            <v>1.3626087406953304</v>
          </cell>
          <cell r="AA18">
            <v>1.3775804226809147</v>
          </cell>
          <cell r="AB18">
            <v>1.3932300454942828</v>
          </cell>
          <cell r="AC18">
            <v>1.4110736260399444</v>
          </cell>
          <cell r="AD18">
            <v>1.4318403356371576</v>
          </cell>
          <cell r="AE18">
            <v>1.4543996178035634</v>
          </cell>
          <cell r="AF18">
            <v>1.4781121051837476</v>
          </cell>
          <cell r="AG18">
            <v>1.5028003851390368</v>
          </cell>
          <cell r="AH18">
            <v>1.5290038875856209</v>
          </cell>
          <cell r="AI18">
            <v>1.5571228769012475</v>
          </cell>
          <cell r="AJ18">
            <v>1.5866529014185706</v>
          </cell>
          <cell r="AK18">
            <v>1.6173595279655488</v>
          </cell>
          <cell r="AL18">
            <v>1.6490992946677283</v>
          </cell>
        </row>
        <row r="19">
          <cell r="C19">
            <v>1</v>
          </cell>
          <cell r="D19">
            <v>1.012</v>
          </cell>
          <cell r="E19">
            <v>1.0241439999999999</v>
          </cell>
          <cell r="F19">
            <v>1.036433728</v>
          </cell>
          <cell r="G19">
            <v>1.048870932736</v>
          </cell>
          <cell r="H19">
            <v>1.0614573839288319</v>
          </cell>
          <cell r="I19">
            <v>1.074194872535978</v>
          </cell>
          <cell r="J19">
            <v>1.0891119895845054</v>
          </cell>
          <cell r="K19">
            <v>1.1042486476091768</v>
          </cell>
          <cell r="L19">
            <v>1.1198718743672191</v>
          </cell>
          <cell r="M19">
            <v>1.1359585050979504</v>
          </cell>
          <cell r="N19">
            <v>1.1511597153286639</v>
          </cell>
          <cell r="O19">
            <v>1.1647756220380427</v>
          </cell>
          <cell r="P19">
            <v>1.1770597681277828</v>
          </cell>
          <cell r="Q19">
            <v>1.1884288997124763</v>
          </cell>
          <cell r="R19">
            <v>1.1991950242978333</v>
          </cell>
          <cell r="S19">
            <v>1.2095748056813111</v>
          </cell>
          <cell r="T19">
            <v>1.2197494276533714</v>
          </cell>
          <cell r="U19">
            <v>1.2297707017712016</v>
          </cell>
          <cell r="V19">
            <v>1.2398587590817194</v>
          </cell>
          <cell r="W19">
            <v>1.2502256773261184</v>
          </cell>
          <cell r="X19">
            <v>1.2610848356689597</v>
          </cell>
          <cell r="Y19">
            <v>1.2726177481269079</v>
          </cell>
          <cell r="Z19">
            <v>1.2849266945867854</v>
          </cell>
          <cell r="AA19">
            <v>1.2983405413580995</v>
          </cell>
          <cell r="AB19">
            <v>1.3130063840533117</v>
          </cell>
          <cell r="AC19">
            <v>1.3293478071190432</v>
          </cell>
          <cell r="AD19">
            <v>1.3475427561636606</v>
          </cell>
          <cell r="AE19">
            <v>1.3673560116477568</v>
          </cell>
          <cell r="AF19">
            <v>1.3883912254231718</v>
          </cell>
          <cell r="AG19">
            <v>1.4105231673693333</v>
          </cell>
          <cell r="AH19">
            <v>1.4338105401055192</v>
          </cell>
          <cell r="AI19">
            <v>1.4582949727436789</v>
          </cell>
          <cell r="AJ19">
            <v>1.4838300334360508</v>
          </cell>
          <cell r="AK19">
            <v>1.5103154000429651</v>
          </cell>
          <cell r="AL19">
            <v>1.5376628972417341</v>
          </cell>
        </row>
        <row r="20">
          <cell r="C20">
            <v>1</v>
          </cell>
          <cell r="D20">
            <v>1.012</v>
          </cell>
          <cell r="E20">
            <v>1.0241439999999999</v>
          </cell>
          <cell r="F20">
            <v>1.036433728</v>
          </cell>
          <cell r="G20">
            <v>1.048870932736</v>
          </cell>
          <cell r="H20">
            <v>1.0614573839288319</v>
          </cell>
          <cell r="I20">
            <v>1.074194872535978</v>
          </cell>
          <cell r="J20">
            <v>1.1375856103074897</v>
          </cell>
          <cell r="K20">
            <v>1.2027470449182809</v>
          </cell>
          <cell r="L20">
            <v>1.2762882018192485</v>
          </cell>
          <cell r="M20">
            <v>1.3575869673951795</v>
          </cell>
          <cell r="N20">
            <v>1.4273878224445038</v>
          </cell>
          <cell r="O20">
            <v>1.4767622554417952</v>
          </cell>
          <cell r="P20">
            <v>1.5137099218194774</v>
          </cell>
          <cell r="Q20">
            <v>1.5419116623783373</v>
          </cell>
          <cell r="R20">
            <v>1.563240884969002</v>
          </cell>
          <cell r="S20">
            <v>1.5858135636208406</v>
          </cell>
          <cell r="T20">
            <v>1.6138853745462527</v>
          </cell>
          <cell r="U20">
            <v>1.6422771603610067</v>
          </cell>
          <cell r="V20">
            <v>1.669719024961926</v>
          </cell>
          <cell r="W20">
            <v>1.6959050337698702</v>
          </cell>
          <cell r="X20">
            <v>1.7225285970534254</v>
          </cell>
          <cell r="Y20">
            <v>1.7497645005026476</v>
          </cell>
          <cell r="Z20">
            <v>1.7752697954808807</v>
          </cell>
          <cell r="AA20">
            <v>1.7985169793991072</v>
          </cell>
          <cell r="AB20">
            <v>1.8193926198262238</v>
          </cell>
          <cell r="AC20">
            <v>1.8452159321268369</v>
          </cell>
          <cell r="AD20">
            <v>1.8796442981228427</v>
          </cell>
          <cell r="AE20">
            <v>1.9167909698336443</v>
          </cell>
          <cell r="AF20">
            <v>1.9547256179966404</v>
          </cell>
          <cell r="AG20">
            <v>1.9929936270152075</v>
          </cell>
          <cell r="AH20">
            <v>2.0346881370042933</v>
          </cell>
          <cell r="AI20">
            <v>2.0821145476268406</v>
          </cell>
          <cell r="AJ20">
            <v>2.1328665412917194</v>
          </cell>
          <cell r="AK20">
            <v>2.1859972628085531</v>
          </cell>
          <cell r="AL20">
            <v>2.2410695581576632</v>
          </cell>
        </row>
        <row r="21">
          <cell r="C21">
            <v>1</v>
          </cell>
          <cell r="D21">
            <v>1.012</v>
          </cell>
          <cell r="E21">
            <v>1.0241439999999999</v>
          </cell>
          <cell r="F21">
            <v>1.036433728</v>
          </cell>
          <cell r="G21">
            <v>1.048870932736</v>
          </cell>
          <cell r="H21">
            <v>1.0614573839288319</v>
          </cell>
          <cell r="I21">
            <v>1.074194872535978</v>
          </cell>
          <cell r="J21">
            <v>1.1310873538334971</v>
          </cell>
          <cell r="K21">
            <v>1.1895425877631278</v>
          </cell>
          <cell r="L21">
            <v>1.2553194068882489</v>
          </cell>
          <cell r="M21">
            <v>1.3278759912299285</v>
          </cell>
          <cell r="N21">
            <v>1.3903573498164683</v>
          </cell>
          <cell r="O21">
            <v>1.4349380811780024</v>
          </cell>
          <cell r="P21">
            <v>1.4685794156169487</v>
          </cell>
          <cell r="Q21">
            <v>1.4945246172870454</v>
          </cell>
          <cell r="R21">
            <v>1.5144377764812769</v>
          </cell>
          <cell r="S21">
            <v>1.5353759047853368</v>
          </cell>
          <cell r="T21">
            <v>1.561048461802174</v>
          </cell>
          <cell r="U21">
            <v>1.5869775412049745</v>
          </cell>
          <cell r="V21">
            <v>1.612092996330156</v>
          </cell>
          <cell r="W21">
            <v>1.6361583360786403</v>
          </cell>
          <cell r="X21">
            <v>1.660668561325203</v>
          </cell>
          <cell r="Y21">
            <v>1.6857993597431085</v>
          </cell>
          <cell r="Z21">
            <v>1.7095355841234894</v>
          </cell>
          <cell r="AA21">
            <v>1.7314645346227384</v>
          </cell>
          <cell r="AB21">
            <v>1.7515077045697944</v>
          </cell>
          <cell r="AC21">
            <v>1.7760598977093618</v>
          </cell>
          <cell r="AD21">
            <v>1.808312051051433</v>
          </cell>
          <cell r="AE21">
            <v>1.8431350468632277</v>
          </cell>
          <cell r="AF21">
            <v>1.8788041976839995</v>
          </cell>
          <cell r="AG21">
            <v>1.9149090445381955</v>
          </cell>
          <cell r="AH21">
            <v>1.9541359381817871</v>
          </cell>
          <cell r="AI21">
            <v>1.9984868026672875</v>
          </cell>
          <cell r="AJ21">
            <v>2.0458582752260726</v>
          </cell>
          <cell r="AK21">
            <v>2.0954169848431818</v>
          </cell>
          <cell r="AL21">
            <v>2.1467725607398669</v>
          </cell>
        </row>
        <row r="22">
          <cell r="C22">
            <v>1</v>
          </cell>
          <cell r="D22">
            <v>1.012</v>
          </cell>
          <cell r="E22">
            <v>1.0241439999999999</v>
          </cell>
          <cell r="F22">
            <v>1.036433728</v>
          </cell>
          <cell r="G22">
            <v>1.048870932736</v>
          </cell>
          <cell r="H22">
            <v>1.0614573839288319</v>
          </cell>
          <cell r="I22">
            <v>1.074194872535978</v>
          </cell>
          <cell r="J22">
            <v>1.0881064560509284</v>
          </cell>
          <cell r="K22">
            <v>1.1022054034689484</v>
          </cell>
          <cell r="L22">
            <v>1.1166271845729323</v>
          </cell>
          <cell r="M22">
            <v>1.1313610591570218</v>
          </cell>
          <cell r="N22">
            <v>1.1454296580216428</v>
          </cell>
          <cell r="O22">
            <v>1.1583037922626664</v>
          </cell>
          <cell r="P22">
            <v>1.1700763199435547</v>
          </cell>
          <cell r="Q22">
            <v>1.1810962770178925</v>
          </cell>
          <cell r="R22">
            <v>1.1916432814074733</v>
          </cell>
          <cell r="S22">
            <v>1.201770134148693</v>
          </cell>
          <cell r="T22">
            <v>1.2115734980347892</v>
          </cell>
          <cell r="U22">
            <v>1.2212136954914434</v>
          </cell>
          <cell r="V22">
            <v>1.2309417665887288</v>
          </cell>
          <cell r="W22">
            <v>1.2409805346806306</v>
          </cell>
          <cell r="X22">
            <v>1.2515126772658631</v>
          </cell>
          <cell r="Y22">
            <v>1.2627198479330457</v>
          </cell>
          <cell r="Z22">
            <v>1.2747550502253109</v>
          </cell>
          <cell r="AA22">
            <v>1.2879649149110965</v>
          </cell>
          <cell r="AB22">
            <v>1.3025019419791071</v>
          </cell>
          <cell r="AC22">
            <v>1.3186466733711997</v>
          </cell>
          <cell r="AD22">
            <v>1.33650487750455</v>
          </cell>
          <cell r="AE22">
            <v>1.3559585697662699</v>
          </cell>
          <cell r="AF22">
            <v>1.3766432228094403</v>
          </cell>
          <cell r="AG22">
            <v>1.3984404392636876</v>
          </cell>
          <cell r="AH22">
            <v>1.4213459755806235</v>
          </cell>
          <cell r="AI22">
            <v>1.4453545013678855</v>
          </cell>
          <cell r="AJ22">
            <v>1.4703664636958351</v>
          </cell>
          <cell r="AK22">
            <v>1.496299100849567</v>
          </cell>
          <cell r="AL22">
            <v>1.5230714766970521</v>
          </cell>
        </row>
        <row r="23">
          <cell r="C23">
            <v>1</v>
          </cell>
          <cell r="D23">
            <v>1.012</v>
          </cell>
          <cell r="E23">
            <v>1.0241439999999999</v>
          </cell>
          <cell r="F23">
            <v>1.036433728</v>
          </cell>
          <cell r="G23">
            <v>1.048870932736</v>
          </cell>
          <cell r="H23">
            <v>1.0614573839288319</v>
          </cell>
          <cell r="I23">
            <v>1.074194872535978</v>
          </cell>
          <cell r="J23">
            <v>1.0882621376525192</v>
          </cell>
          <cell r="K23">
            <v>1.1025217484833809</v>
          </cell>
          <cell r="L23">
            <v>1.1171295432581203</v>
          </cell>
          <cell r="M23">
            <v>1.1320728581407564</v>
          </cell>
          <cell r="N23">
            <v>1.1463168134162431</v>
          </cell>
          <cell r="O23">
            <v>1.1593057924854437</v>
          </cell>
          <cell r="P23">
            <v>1.1711575314214853</v>
          </cell>
          <cell r="Q23">
            <v>1.1822315493950288</v>
          </cell>
          <cell r="R23">
            <v>1.1928124790410835</v>
          </cell>
          <cell r="S23">
            <v>1.2029784914272081</v>
          </cell>
          <cell r="T23">
            <v>1.2128393352992981</v>
          </cell>
          <cell r="U23">
            <v>1.2225385329016063</v>
          </cell>
          <cell r="V23">
            <v>1.2323223388186217</v>
          </cell>
          <cell r="W23">
            <v>1.242411912716195</v>
          </cell>
          <cell r="X23">
            <v>1.2529946854745544</v>
          </cell>
          <cell r="Y23">
            <v>1.2642522890731094</v>
          </cell>
          <cell r="Z23">
            <v>1.2763298737713482</v>
          </cell>
          <cell r="AA23">
            <v>1.2895713199576115</v>
          </cell>
          <cell r="AB23">
            <v>1.3041282908887384</v>
          </cell>
          <cell r="AC23">
            <v>1.320303475044214</v>
          </cell>
          <cell r="AD23">
            <v>1.3382138156656704</v>
          </cell>
          <cell r="AE23">
            <v>1.357723177257615</v>
          </cell>
          <cell r="AF23">
            <v>1.3784621058216193</v>
          </cell>
          <cell r="AG23">
            <v>1.4003111461076279</v>
          </cell>
          <cell r="AH23">
            <v>1.4232758001996648</v>
          </cell>
          <cell r="AI23">
            <v>1.4473580082046569</v>
          </cell>
          <cell r="AJ23">
            <v>1.4724509591704225</v>
          </cell>
          <cell r="AK23">
            <v>1.4984691725915233</v>
          </cell>
          <cell r="AL23">
            <v>1.5253305915291564</v>
          </cell>
        </row>
        <row r="24">
          <cell r="C24">
            <v>1</v>
          </cell>
          <cell r="D24">
            <v>1.012</v>
          </cell>
          <cell r="E24">
            <v>1.0241439999999999</v>
          </cell>
          <cell r="F24">
            <v>1.036433728</v>
          </cell>
          <cell r="G24">
            <v>1.048870932736</v>
          </cell>
          <cell r="H24">
            <v>1.0614573839288319</v>
          </cell>
          <cell r="I24">
            <v>1.074194872535978</v>
          </cell>
          <cell r="J24">
            <v>1.0995928501715879</v>
          </cell>
          <cell r="K24">
            <v>1.1255457563221285</v>
          </cell>
          <cell r="L24">
            <v>1.1536918716588767</v>
          </cell>
          <cell r="M24">
            <v>1.1838785280056952</v>
          </cell>
          <cell r="N24">
            <v>1.2108851543970534</v>
          </cell>
          <cell r="O24">
            <v>1.2322326916971182</v>
          </cell>
          <cell r="P24">
            <v>1.2498495303703532</v>
          </cell>
          <cell r="Q24">
            <v>1.2648581719677876</v>
          </cell>
          <cell r="R24">
            <v>1.2779082265734336</v>
          </cell>
          <cell r="S24">
            <v>1.2909243296204531</v>
          </cell>
          <cell r="T24">
            <v>1.3049686427672806</v>
          </cell>
          <cell r="U24">
            <v>1.3189619488715214</v>
          </cell>
          <cell r="V24">
            <v>1.3328022085583628</v>
          </cell>
          <cell r="W24">
            <v>1.3465894960745035</v>
          </cell>
          <cell r="X24">
            <v>1.3608571996829473</v>
          </cell>
          <cell r="Y24">
            <v>1.3757853786162491</v>
          </cell>
          <cell r="Z24">
            <v>1.3909476107811465</v>
          </cell>
          <cell r="AA24">
            <v>1.4064876002710236</v>
          </cell>
          <cell r="AB24">
            <v>1.4224961118927848</v>
          </cell>
          <cell r="AC24">
            <v>1.440887688375792</v>
          </cell>
          <cell r="AD24">
            <v>1.4625925914403866</v>
          </cell>
          <cell r="AE24">
            <v>1.486153640389472</v>
          </cell>
          <cell r="AF24">
            <v>1.5108428130228191</v>
          </cell>
          <cell r="AG24">
            <v>1.5364636602103732</v>
          </cell>
          <cell r="AH24">
            <v>1.5637309840308291</v>
          </cell>
          <cell r="AI24">
            <v>1.5931758811290382</v>
          </cell>
          <cell r="AJ24">
            <v>1.6241632920889719</v>
          </cell>
          <cell r="AK24">
            <v>1.656409859240408</v>
          </cell>
          <cell r="AL24">
            <v>1.6897519518476638</v>
          </cell>
        </row>
        <row r="25">
          <cell r="C25">
            <v>1</v>
          </cell>
          <cell r="D25">
            <v>1.0241439999999999</v>
          </cell>
          <cell r="E25">
            <v>1.048870932736</v>
          </cell>
          <cell r="F25">
            <v>1.0741948725359782</v>
          </cell>
          <cell r="G25">
            <v>1.1001302335384866</v>
          </cell>
          <cell r="H25">
            <v>1.1266917778970396</v>
          </cell>
          <cell r="I25">
            <v>1.1584554724995129</v>
          </cell>
          <cell r="J25">
            <v>1.2002328430825662</v>
          </cell>
          <cell r="K25">
            <v>1.2432179262999419</v>
          </cell>
          <cell r="L25">
            <v>1.2887045180614352</v>
          </cell>
          <cell r="M25">
            <v>1.336652316917665</v>
          </cell>
          <cell r="N25">
            <v>1.3827439942652417</v>
          </cell>
          <cell r="O25">
            <v>1.4247193119025345</v>
          </cell>
          <cell r="P25">
            <v>1.463927467665247</v>
          </cell>
          <cell r="Q25">
            <v>1.5012670412970672</v>
          </cell>
          <cell r="R25">
            <v>1.5372819823198849</v>
          </cell>
          <cell r="S25">
            <v>1.5480822962519099</v>
          </cell>
          <cell r="T25">
            <v>1.5595012595386326</v>
          </cell>
          <cell r="U25">
            <v>1.5707309708491395</v>
          </cell>
          <cell r="V25">
            <v>1.5817945519406145</v>
          </cell>
          <cell r="W25">
            <v>1.5928651438437238</v>
          </cell>
          <cell r="X25">
            <v>1.6044437685520905</v>
          </cell>
          <cell r="Y25">
            <v>1.6167441428533604</v>
          </cell>
          <cell r="Z25">
            <v>1.6294838042962041</v>
          </cell>
          <cell r="AA25">
            <v>1.6429145669937886</v>
          </cell>
          <cell r="AB25">
            <v>1.6571643280507917</v>
          </cell>
          <cell r="AC25">
            <v>1.6738500346349099</v>
          </cell>
          <cell r="AD25">
            <v>1.6937261215096895</v>
          </cell>
          <cell r="AE25">
            <v>1.7155752520651346</v>
          </cell>
          <cell r="AF25">
            <v>1.7386635823736254</v>
          </cell>
          <cell r="AG25">
            <v>1.7627789760469494</v>
          </cell>
          <cell r="AH25">
            <v>1.7884664460959998</v>
          </cell>
          <cell r="AI25">
            <v>1.8161220246433725</v>
          </cell>
          <cell r="AJ25">
            <v>1.8451970894338396</v>
          </cell>
          <cell r="AK25">
            <v>1.875426936684929</v>
          </cell>
          <cell r="AL25">
            <v>1.9066424853379449</v>
          </cell>
        </row>
        <row r="26">
          <cell r="C26">
            <v>1</v>
          </cell>
          <cell r="D26">
            <v>1.0241439999999999</v>
          </cell>
          <cell r="E26">
            <v>1.048870932736</v>
          </cell>
          <cell r="F26">
            <v>1.0741948725359782</v>
          </cell>
          <cell r="G26">
            <v>1.1001302335384866</v>
          </cell>
          <cell r="H26">
            <v>1.1266917778970396</v>
          </cell>
          <cell r="I26">
            <v>1.1782191485395308</v>
          </cell>
          <cell r="J26">
            <v>1.2405507422042026</v>
          </cell>
          <cell r="K26">
            <v>1.3049043119560457</v>
          </cell>
          <cell r="L26">
            <v>1.3726802510679443</v>
          </cell>
          <cell r="M26">
            <v>1.4439145398801931</v>
          </cell>
          <cell r="N26">
            <v>1.5139532783925995</v>
          </cell>
          <cell r="O26">
            <v>1.580174296774393</v>
          </cell>
          <cell r="P26">
            <v>1.6438901823664114</v>
          </cell>
          <cell r="Q26">
            <v>1.705985274201212</v>
          </cell>
          <cell r="R26">
            <v>1.7669907842757284</v>
          </cell>
          <cell r="S26">
            <v>1.7744615364290097</v>
          </cell>
          <cell r="T26">
            <v>1.7825445609152466</v>
          </cell>
          <cell r="U26">
            <v>1.7903122852547999</v>
          </cell>
          <cell r="V26">
            <v>1.7977920492439363</v>
          </cell>
          <cell r="W26">
            <v>1.8051809178515885</v>
          </cell>
          <cell r="X26">
            <v>1.8130442051439262</v>
          </cell>
          <cell r="Y26">
            <v>1.8216169007859047</v>
          </cell>
          <cell r="Z26">
            <v>1.830573690272395</v>
          </cell>
          <cell r="AA26">
            <v>1.8401913676452928</v>
          </cell>
          <cell r="AB26">
            <v>1.8506049175451311</v>
          </cell>
          <cell r="AC26">
            <v>1.8636053751058375</v>
          </cell>
          <cell r="AD26">
            <v>1.8800044222824031</v>
          </cell>
          <cell r="AE26">
            <v>1.8984212784629679</v>
          </cell>
          <cell r="AF26">
            <v>1.9180248225350063</v>
          </cell>
          <cell r="AG26">
            <v>1.9385675265090294</v>
          </cell>
          <cell r="AH26">
            <v>1.9606346788308309</v>
          </cell>
          <cell r="AI26">
            <v>1.9846410548831555</v>
          </cell>
          <cell r="AJ26">
            <v>2.009966690892798</v>
          </cell>
          <cell r="AK26">
            <v>2.0363073633651054</v>
          </cell>
          <cell r="AL26">
            <v>2.0634658932228813</v>
          </cell>
        </row>
        <row r="27">
          <cell r="C27">
            <v>1</v>
          </cell>
          <cell r="D27">
            <v>1.012</v>
          </cell>
          <cell r="E27">
            <v>1.0241439999999999</v>
          </cell>
          <cell r="F27">
            <v>1.036433728</v>
          </cell>
          <cell r="G27">
            <v>1.048870932736</v>
          </cell>
          <cell r="H27">
            <v>1.0614573839288319</v>
          </cell>
          <cell r="I27">
            <v>1.074194872535978</v>
          </cell>
          <cell r="J27">
            <v>1.1012738154674786</v>
          </cell>
          <cell r="K27">
            <v>1.1289614778033783</v>
          </cell>
          <cell r="L27">
            <v>1.1591160676284766</v>
          </cell>
          <cell r="M27">
            <v>1.1915641464543827</v>
          </cell>
          <cell r="N27">
            <v>1.2204641760357469</v>
          </cell>
          <cell r="O27">
            <v>1.2430517453537557</v>
          </cell>
          <cell r="P27">
            <v>1.2615238640960298</v>
          </cell>
          <cell r="Q27">
            <v>1.2771162258922621</v>
          </cell>
          <cell r="R27">
            <v>1.2905325869734545</v>
          </cell>
          <cell r="S27">
            <v>1.3039715145765682</v>
          </cell>
          <cell r="T27">
            <v>1.3186364653625049</v>
          </cell>
          <cell r="U27">
            <v>1.3332668229634093</v>
          </cell>
          <cell r="V27">
            <v>1.3477088769328245</v>
          </cell>
          <cell r="W27">
            <v>1.3620447379174467</v>
          </cell>
          <cell r="X27">
            <v>1.3768591186096419</v>
          </cell>
          <cell r="Y27">
            <v>1.3923318449174602</v>
          </cell>
          <cell r="Z27">
            <v>1.4079516992603789</v>
          </cell>
          <cell r="AA27">
            <v>1.4238326886227686</v>
          </cell>
          <cell r="AB27">
            <v>1.4400565432357513</v>
          </cell>
          <cell r="AC27">
            <v>1.4587769321017741</v>
          </cell>
          <cell r="AD27">
            <v>1.481044776620339</v>
          </cell>
          <cell r="AE27">
            <v>1.5052069127319212</v>
          </cell>
          <cell r="AF27">
            <v>1.5304821229317223</v>
          </cell>
          <cell r="AG27">
            <v>1.5566625356800146</v>
          </cell>
          <cell r="AH27">
            <v>1.5845681810959555</v>
          </cell>
          <cell r="AI27">
            <v>1.6148086587230306</v>
          </cell>
          <cell r="AJ27">
            <v>1.6466705409637012</v>
          </cell>
          <cell r="AK27">
            <v>1.6798411141256688</v>
          </cell>
          <cell r="AL27">
            <v>1.7141446456110441</v>
          </cell>
        </row>
        <row r="28">
          <cell r="C28">
            <v>1</v>
          </cell>
          <cell r="D28">
            <v>1.012</v>
          </cell>
          <cell r="E28">
            <v>1.0241439999999999</v>
          </cell>
          <cell r="F28">
            <v>1.036433728</v>
          </cell>
          <cell r="G28">
            <v>1.048870932736</v>
          </cell>
          <cell r="H28">
            <v>1.0614573839288319</v>
          </cell>
          <cell r="I28">
            <v>1.074194872535978</v>
          </cell>
          <cell r="J28">
            <v>1.1047305261089793</v>
          </cell>
          <cell r="K28">
            <v>1.1359855138269079</v>
          </cell>
          <cell r="L28">
            <v>1.170270299054633</v>
          </cell>
          <cell r="M28">
            <v>1.2073687315597617</v>
          </cell>
          <cell r="N28">
            <v>1.2401623257325813</v>
          </cell>
          <cell r="O28">
            <v>1.2652998774224498</v>
          </cell>
          <cell r="P28">
            <v>1.2855307806698757</v>
          </cell>
          <cell r="Q28">
            <v>1.3023234955178788</v>
          </cell>
          <cell r="R28">
            <v>1.3164931234839783</v>
          </cell>
          <cell r="S28">
            <v>1.3308015408654423</v>
          </cell>
          <cell r="T28">
            <v>1.3467427611477625</v>
          </cell>
          <cell r="U28">
            <v>1.3626831414440099</v>
          </cell>
          <cell r="V28">
            <v>1.3783627157272902</v>
          </cell>
          <cell r="W28">
            <v>1.3938266545793028</v>
          </cell>
          <cell r="X28">
            <v>1.409765213443104</v>
          </cell>
          <cell r="Y28">
            <v>1.4263577384218968</v>
          </cell>
          <cell r="Z28">
            <v>1.4429186398265368</v>
          </cell>
          <cell r="AA28">
            <v>1.4595008559726952</v>
          </cell>
          <cell r="AB28">
            <v>1.4761675385317088</v>
          </cell>
          <cell r="AC28">
            <v>1.4955640920194555</v>
          </cell>
          <cell r="AD28">
            <v>1.5189895605051769</v>
          </cell>
          <cell r="AE28">
            <v>1.5443877628200005</v>
          </cell>
          <cell r="AF28">
            <v>1.570868091470035</v>
          </cell>
          <cell r="AG28">
            <v>1.5981991860516467</v>
          </cell>
          <cell r="AH28">
            <v>1.6274174659742049</v>
          </cell>
          <cell r="AI28">
            <v>1.6592939629093673</v>
          </cell>
          <cell r="AJ28">
            <v>1.6929540941616028</v>
          </cell>
          <cell r="AK28">
            <v>1.7280247787757361</v>
          </cell>
          <cell r="AL28">
            <v>1.7643053980744487</v>
          </cell>
        </row>
        <row r="29">
          <cell r="C29">
            <v>1</v>
          </cell>
          <cell r="D29">
            <v>1.0241439999999999</v>
          </cell>
          <cell r="E29">
            <v>1.048870932736</v>
          </cell>
          <cell r="F29">
            <v>1.0741948725359782</v>
          </cell>
          <cell r="G29">
            <v>1.1001302335384866</v>
          </cell>
          <cell r="H29">
            <v>1.1266917778970396</v>
          </cell>
          <cell r="I29">
            <v>1.1402120792318042</v>
          </cell>
          <cell r="J29">
            <v>1.1630163208164406</v>
          </cell>
          <cell r="K29">
            <v>1.1862766472327693</v>
          </cell>
          <cell r="L29">
            <v>1.2111884568246574</v>
          </cell>
          <cell r="M29">
            <v>1.2376410341830235</v>
          </cell>
          <cell r="N29">
            <v>1.261627731993834</v>
          </cell>
          <cell r="O29">
            <v>1.2812224027900494</v>
          </cell>
          <cell r="P29">
            <v>1.2978080387103259</v>
          </cell>
          <cell r="Q29">
            <v>1.3122963647701642</v>
          </cell>
          <cell r="R29">
            <v>1.3252430882067971</v>
          </cell>
          <cell r="S29">
            <v>1.3427927066513969</v>
          </cell>
          <cell r="T29">
            <v>1.3610403416374544</v>
          </cell>
          <cell r="U29">
            <v>1.3792877769340524</v>
          </cell>
          <cell r="V29">
            <v>1.397553673317367</v>
          </cell>
          <cell r="W29">
            <v>1.4159905364799161</v>
          </cell>
          <cell r="X29">
            <v>1.4350479040714839</v>
          </cell>
          <cell r="Y29">
            <v>1.4549277843939363</v>
          </cell>
          <cell r="Z29">
            <v>1.4753877503687953</v>
          </cell>
          <cell r="AA29">
            <v>1.4966659622405889</v>
          </cell>
          <cell r="AB29">
            <v>1.5188927153436438</v>
          </cell>
          <cell r="AC29">
            <v>1.5435744710316834</v>
          </cell>
          <cell r="AD29">
            <v>1.5714540781673505</v>
          </cell>
          <cell r="AE29">
            <v>1.6014513471870895</v>
          </cell>
          <cell r="AF29">
            <v>1.6329130245906116</v>
          </cell>
          <cell r="AG29">
            <v>1.6656623892820281</v>
          </cell>
          <cell r="AH29">
            <v>1.7002378855486091</v>
          </cell>
          <cell r="AI29">
            <v>1.7370483103152152</v>
          </cell>
          <cell r="AJ29">
            <v>1.7756029858282201</v>
          </cell>
          <cell r="AK29">
            <v>1.8156736629607322</v>
          </cell>
          <cell r="AL29">
            <v>1.8571193039005947</v>
          </cell>
        </row>
        <row r="30">
          <cell r="C30">
            <v>1</v>
          </cell>
          <cell r="D30">
            <v>1.012</v>
          </cell>
          <cell r="E30">
            <v>1.0241439999999999</v>
          </cell>
          <cell r="F30">
            <v>1.036433728</v>
          </cell>
          <cell r="G30">
            <v>1.048870932736</v>
          </cell>
          <cell r="H30">
            <v>1.0614573839288319</v>
          </cell>
          <cell r="I30">
            <v>1.074194872535978</v>
          </cell>
          <cell r="J30">
            <v>1.1300530059078493</v>
          </cell>
          <cell r="K30">
            <v>1.1874407927782116</v>
          </cell>
          <cell r="L30">
            <v>1.2519817378339393</v>
          </cell>
          <cell r="M30">
            <v>1.3231468016867809</v>
          </cell>
          <cell r="N30">
            <v>1.3844630929951411</v>
          </cell>
          <cell r="O30">
            <v>1.4282807957869403</v>
          </cell>
          <cell r="P30">
            <v>1.4613958509699014</v>
          </cell>
          <cell r="Q30">
            <v>1.4869818722462915</v>
          </cell>
          <cell r="R30">
            <v>1.5066696321749586</v>
          </cell>
          <cell r="S30">
            <v>1.5273475839580766</v>
          </cell>
          <cell r="T30">
            <v>1.5526382441825406</v>
          </cell>
          <cell r="U30">
            <v>1.5781753268583916</v>
          </cell>
          <cell r="V30">
            <v>1.6029204800687338</v>
          </cell>
          <cell r="W30">
            <v>1.6266482662516706</v>
          </cell>
          <cell r="X30">
            <v>1.6508221048345944</v>
          </cell>
          <cell r="Y30">
            <v>1.6756178270622744</v>
          </cell>
          <cell r="Z30">
            <v>1.6990724629103258</v>
          </cell>
          <cell r="AA30">
            <v>1.7207915860492826</v>
          </cell>
          <cell r="AB30">
            <v>1.7407022490511821</v>
          </cell>
          <cell r="AC30">
            <v>1.7650521141551077</v>
          </cell>
          <cell r="AD30">
            <v>1.796957872882966</v>
          </cell>
          <cell r="AE30">
            <v>1.8314110018919292</v>
          </cell>
          <cell r="AF30">
            <v>1.8667195463737747</v>
          </cell>
          <cell r="AG30">
            <v>1.9024800759012366</v>
          </cell>
          <cell r="AH30">
            <v>1.941314191288311</v>
          </cell>
          <cell r="AI30">
            <v>1.9851755114199034</v>
          </cell>
          <cell r="AJ30">
            <v>2.032008895799545</v>
          </cell>
          <cell r="AK30">
            <v>2.0809990370454838</v>
          </cell>
          <cell r="AL30">
            <v>2.1317630110146029</v>
          </cell>
        </row>
        <row r="31">
          <cell r="C31">
            <v>1</v>
          </cell>
          <cell r="D31">
            <v>1.012</v>
          </cell>
          <cell r="E31">
            <v>1.0241439999999999</v>
          </cell>
          <cell r="F31">
            <v>1.036433728</v>
          </cell>
          <cell r="G31">
            <v>1.048870932736</v>
          </cell>
          <cell r="H31">
            <v>1.0614573839288319</v>
          </cell>
          <cell r="I31">
            <v>1.074194872535978</v>
          </cell>
          <cell r="J31">
            <v>1.0956787699866977</v>
          </cell>
          <cell r="K31">
            <v>1.1175923453864316</v>
          </cell>
          <cell r="L31">
            <v>1.1410617846395466</v>
          </cell>
          <cell r="M31">
            <v>1.165982782654988</v>
          </cell>
          <cell r="N31">
            <v>1.1885806732288207</v>
          </cell>
          <cell r="O31">
            <v>1.2070408310202607</v>
          </cell>
          <cell r="P31">
            <v>1.2226661742242311</v>
          </cell>
          <cell r="Q31">
            <v>1.2363156398355699</v>
          </cell>
          <cell r="R31">
            <v>1.2485127601652741</v>
          </cell>
          <cell r="S31">
            <v>1.2605443281830822</v>
          </cell>
          <cell r="T31">
            <v>1.2731435041273913</v>
          </cell>
          <cell r="U31">
            <v>1.2856534538256781</v>
          </cell>
          <cell r="V31">
            <v>1.2980924525331523</v>
          </cell>
          <cell r="W31">
            <v>1.3106024022314393</v>
          </cell>
          <cell r="X31">
            <v>1.3235971837002796</v>
          </cell>
          <cell r="Y31">
            <v>1.3372573994617418</v>
          </cell>
          <cell r="Z31">
            <v>1.3513540713182031</v>
          </cell>
          <cell r="AA31">
            <v>1.3661000522421012</v>
          </cell>
          <cell r="AB31">
            <v>1.3816071437947173</v>
          </cell>
          <cell r="AC31">
            <v>1.3992330899366021</v>
          </cell>
          <cell r="AD31">
            <v>1.4196271997351932</v>
          </cell>
          <cell r="AE31">
            <v>1.4417886342140267</v>
          </cell>
          <cell r="AF31">
            <v>1.4651132349361833</v>
          </cell>
          <cell r="AG31">
            <v>1.4894311495297168</v>
          </cell>
          <cell r="AH31">
            <v>1.5152121595550085</v>
          </cell>
          <cell r="AI31">
            <v>1.5428045698760477</v>
          </cell>
          <cell r="AJ31">
            <v>1.5717557991726505</v>
          </cell>
          <cell r="AK31">
            <v>1.6018508444423545</v>
          </cell>
          <cell r="AL31">
            <v>1.6329542537936084</v>
          </cell>
        </row>
        <row r="32">
          <cell r="C32">
            <v>1</v>
          </cell>
          <cell r="D32">
            <v>1.012</v>
          </cell>
          <cell r="E32">
            <v>1.0241439999999999</v>
          </cell>
          <cell r="F32">
            <v>1.036433728</v>
          </cell>
          <cell r="G32">
            <v>1.048870932736</v>
          </cell>
          <cell r="H32">
            <v>1.0614573839288319</v>
          </cell>
          <cell r="I32">
            <v>1.074194872535978</v>
          </cell>
          <cell r="J32">
            <v>1.0956787699866977</v>
          </cell>
          <cell r="K32">
            <v>1.1175923453864316</v>
          </cell>
          <cell r="L32">
            <v>1.1410617846395466</v>
          </cell>
          <cell r="M32">
            <v>1.165982782654988</v>
          </cell>
          <cell r="N32">
            <v>1.1885806732288207</v>
          </cell>
          <cell r="O32">
            <v>1.2070408310202607</v>
          </cell>
          <cell r="P32">
            <v>1.2226661742242311</v>
          </cell>
          <cell r="Q32">
            <v>1.2363156398355699</v>
          </cell>
          <cell r="R32">
            <v>1.2485127601652741</v>
          </cell>
          <cell r="S32">
            <v>1.2605443281830822</v>
          </cell>
          <cell r="T32">
            <v>1.2731435041273913</v>
          </cell>
          <cell r="U32">
            <v>1.2856534538256781</v>
          </cell>
          <cell r="V32">
            <v>1.2980924525331523</v>
          </cell>
          <cell r="W32">
            <v>1.3106024022314393</v>
          </cell>
          <cell r="X32">
            <v>1.3235971837002796</v>
          </cell>
          <cell r="Y32">
            <v>1.3372573994617418</v>
          </cell>
          <cell r="Z32">
            <v>1.3513540713182031</v>
          </cell>
          <cell r="AA32">
            <v>1.3661000522421012</v>
          </cell>
          <cell r="AB32">
            <v>1.3816071437947173</v>
          </cell>
          <cell r="AC32">
            <v>1.3992330899366021</v>
          </cell>
          <cell r="AD32">
            <v>1.4196271997351932</v>
          </cell>
          <cell r="AE32">
            <v>1.4417886342140267</v>
          </cell>
          <cell r="AF32">
            <v>1.4651132349361833</v>
          </cell>
          <cell r="AG32">
            <v>1.4894311495297168</v>
          </cell>
          <cell r="AH32">
            <v>1.5152121595550085</v>
          </cell>
          <cell r="AI32">
            <v>1.5428045698760477</v>
          </cell>
          <cell r="AJ32">
            <v>1.5717557991726505</v>
          </cell>
          <cell r="AK32">
            <v>1.6018508444423545</v>
          </cell>
          <cell r="AL32">
            <v>1.6329542537936084</v>
          </cell>
        </row>
        <row r="33">
          <cell r="C33">
            <v>1</v>
          </cell>
          <cell r="D33">
            <v>1.012</v>
          </cell>
          <cell r="E33">
            <v>1.0241439999999999</v>
          </cell>
          <cell r="F33">
            <v>1.036433728</v>
          </cell>
          <cell r="G33">
            <v>1.048870932736</v>
          </cell>
          <cell r="H33">
            <v>1.0614573839288319</v>
          </cell>
          <cell r="I33">
            <v>1.074194872535978</v>
          </cell>
          <cell r="J33">
            <v>1.0956787699866977</v>
          </cell>
          <cell r="K33">
            <v>1.1175923453864316</v>
          </cell>
          <cell r="L33">
            <v>1.1410617846395466</v>
          </cell>
          <cell r="M33">
            <v>1.165982782654988</v>
          </cell>
          <cell r="N33">
            <v>1.1885806732288207</v>
          </cell>
          <cell r="O33">
            <v>1.2070408310202607</v>
          </cell>
          <cell r="P33">
            <v>1.2226661742242311</v>
          </cell>
          <cell r="Q33">
            <v>1.2363156398355699</v>
          </cell>
          <cell r="R33">
            <v>1.2485127601652741</v>
          </cell>
          <cell r="S33">
            <v>1.2605443281830822</v>
          </cell>
          <cell r="T33">
            <v>1.2731435041273913</v>
          </cell>
          <cell r="U33">
            <v>1.2856534538256781</v>
          </cell>
          <cell r="V33">
            <v>1.2980924525331523</v>
          </cell>
          <cell r="W33">
            <v>1.3106024022314393</v>
          </cell>
          <cell r="X33">
            <v>1.3235971837002796</v>
          </cell>
          <cell r="Y33">
            <v>1.3372573994617418</v>
          </cell>
          <cell r="Z33">
            <v>1.3513540713182031</v>
          </cell>
          <cell r="AA33">
            <v>1.3661000522421012</v>
          </cell>
          <cell r="AB33">
            <v>1.3816071437947173</v>
          </cell>
          <cell r="AC33">
            <v>1.3992330899366021</v>
          </cell>
          <cell r="AD33">
            <v>1.4196271997351932</v>
          </cell>
          <cell r="AE33">
            <v>1.4417886342140267</v>
          </cell>
          <cell r="AF33">
            <v>1.4651132349361833</v>
          </cell>
          <cell r="AG33">
            <v>1.4894311495297168</v>
          </cell>
          <cell r="AH33">
            <v>1.5152121595550085</v>
          </cell>
          <cell r="AI33">
            <v>1.5428045698760477</v>
          </cell>
          <cell r="AJ33">
            <v>1.5717557991726505</v>
          </cell>
          <cell r="AK33">
            <v>1.6018508444423545</v>
          </cell>
          <cell r="AL33">
            <v>1.6329542537936084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01"/>
  <sheetViews>
    <sheetView workbookViewId="0">
      <pane xSplit="2" ySplit="1" topLeftCell="X52" activePane="bottomRight" state="frozen"/>
      <selection pane="topRight" activeCell="C1" sqref="C1"/>
      <selection pane="bottomLeft" activeCell="A2" sqref="A2"/>
      <selection pane="bottomRight" activeCell="C54" sqref="C54:AL63"/>
    </sheetView>
  </sheetViews>
  <sheetFormatPr baseColWidth="10" defaultColWidth="8.81640625" defaultRowHeight="14.5" x14ac:dyDescent="0.35"/>
  <cols>
    <col min="2" max="2" width="20.81640625" bestFit="1" customWidth="1"/>
    <col min="7" max="7" width="16.36328125" bestFit="1" customWidth="1"/>
  </cols>
  <sheetData>
    <row r="1" spans="1:39" x14ac:dyDescent="0.35">
      <c r="A1">
        <f>SUM(A2:A406)</f>
        <v>62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9" x14ac:dyDescent="0.35">
      <c r="A2">
        <f>IF(B2="","",1)</f>
        <v>1</v>
      </c>
      <c r="B2" t="s">
        <v>0</v>
      </c>
      <c r="C2" s="9">
        <v>66422.5</v>
      </c>
      <c r="D2" s="11">
        <v>66645.662201914296</v>
      </c>
      <c r="E2" s="11">
        <v>66937.079677960879</v>
      </c>
      <c r="F2" s="11">
        <v>67229.771417666037</v>
      </c>
      <c r="G2" s="11">
        <v>67523.742992925778</v>
      </c>
      <c r="H2" s="11">
        <v>67819</v>
      </c>
      <c r="I2" s="11">
        <v>68050.631258222857</v>
      </c>
      <c r="J2" s="11">
        <v>68283.053637514822</v>
      </c>
      <c r="K2" s="11">
        <v>68516.269839896995</v>
      </c>
      <c r="L2" s="11">
        <v>68750.282576619036</v>
      </c>
      <c r="M2" s="11">
        <v>69093</v>
      </c>
      <c r="N2" s="11">
        <v>69328.982520007557</v>
      </c>
      <c r="O2" s="11">
        <v>69565.771022527799</v>
      </c>
      <c r="P2" s="11">
        <v>69803.368260340096</v>
      </c>
      <c r="Q2" s="11">
        <v>70041.776995625725</v>
      </c>
      <c r="R2" s="11">
        <v>70281</v>
      </c>
      <c r="S2" s="11">
        <v>70521.040054544617</v>
      </c>
      <c r="T2" s="11">
        <v>70761.899949839732</v>
      </c>
      <c r="U2" s="11">
        <v>71003.58248599658</v>
      </c>
      <c r="V2" s="11">
        <v>71246.090472690019</v>
      </c>
      <c r="W2" s="11">
        <v>71418</v>
      </c>
      <c r="X2" s="11">
        <v>71661.923401992957</v>
      </c>
      <c r="Y2" s="11">
        <v>71906.679908049875</v>
      </c>
      <c r="Z2" s="11">
        <v>72152.272363581957</v>
      </c>
      <c r="AA2" s="11">
        <v>72398.703623718713</v>
      </c>
      <c r="AB2" s="11">
        <v>72451</v>
      </c>
      <c r="AC2" s="11">
        <v>72606.88206075276</v>
      </c>
      <c r="AD2" s="11">
        <v>72763.099509793668</v>
      </c>
      <c r="AE2" s="11">
        <v>72919.653068727916</v>
      </c>
      <c r="AF2" s="11">
        <v>73076.543460713263</v>
      </c>
      <c r="AG2" s="11">
        <v>73233.771410463363</v>
      </c>
      <c r="AH2" s="11">
        <v>73391.337644251165</v>
      </c>
      <c r="AI2" s="11">
        <v>73549.242889912202</v>
      </c>
      <c r="AJ2" s="11">
        <v>73707.487876847998</v>
      </c>
      <c r="AK2" s="11">
        <v>73866.073336029411</v>
      </c>
      <c r="AL2" s="11">
        <v>74025</v>
      </c>
    </row>
    <row r="3" spans="1:39" x14ac:dyDescent="0.35">
      <c r="A3">
        <v>1</v>
      </c>
      <c r="B3" t="s">
        <v>42</v>
      </c>
      <c r="C3" s="10">
        <v>1.0505E-2</v>
      </c>
      <c r="D3" s="10">
        <v>1.0548999999999999E-2</v>
      </c>
      <c r="E3" s="10">
        <v>1.0579E-2</v>
      </c>
      <c r="F3" s="10">
        <v>1.0637000000000001E-2</v>
      </c>
      <c r="G3" s="10">
        <v>1.0747E-2</v>
      </c>
      <c r="H3" s="10">
        <v>1.0837000000000001E-2</v>
      </c>
      <c r="I3" s="10">
        <v>1.0998000000000001E-2</v>
      </c>
      <c r="J3" s="10">
        <v>1.1163000000000001E-2</v>
      </c>
      <c r="K3" s="10">
        <v>1.1310000000000001E-2</v>
      </c>
      <c r="L3" s="10">
        <v>1.1443000000000002E-2</v>
      </c>
      <c r="M3" s="10">
        <v>1.1567000000000001E-2</v>
      </c>
      <c r="N3" s="10">
        <v>1.1689E-2</v>
      </c>
      <c r="O3" s="10">
        <v>1.1814999999999999E-2</v>
      </c>
      <c r="P3" s="10">
        <v>1.1947000000000001E-2</v>
      </c>
      <c r="Q3" s="10">
        <v>1.2088000000000002E-2</v>
      </c>
      <c r="R3" s="10">
        <v>1.2238000000000001E-2</v>
      </c>
      <c r="S3" s="10">
        <v>1.2395E-2</v>
      </c>
      <c r="T3" s="10">
        <v>1.256E-2</v>
      </c>
      <c r="U3" s="10">
        <v>1.2730999999999999E-2</v>
      </c>
      <c r="V3" s="10">
        <v>1.2905E-2</v>
      </c>
      <c r="W3" s="10">
        <v>1.3083000000000001E-2</v>
      </c>
      <c r="X3" s="10">
        <v>1.3262000000000001E-2</v>
      </c>
      <c r="Y3" s="10">
        <v>1.3441000000000002E-2</v>
      </c>
      <c r="Z3" s="10">
        <v>1.3619000000000001E-2</v>
      </c>
      <c r="AA3" s="10">
        <v>1.3796999999999999E-2</v>
      </c>
      <c r="AB3" s="10">
        <v>1.3972999999999999E-2</v>
      </c>
      <c r="AC3" s="10">
        <v>1.4147E-2</v>
      </c>
      <c r="AD3" s="10">
        <v>1.4320999999999999E-2</v>
      </c>
      <c r="AE3" s="10">
        <v>1.4494E-2</v>
      </c>
      <c r="AF3" s="10">
        <v>1.4665999999999998E-2</v>
      </c>
      <c r="AG3" s="10">
        <v>1.4838E-2</v>
      </c>
      <c r="AH3" s="10">
        <v>1.5009999999999999E-2</v>
      </c>
      <c r="AI3" s="10">
        <v>1.5181E-2</v>
      </c>
      <c r="AJ3" s="10">
        <v>1.5351999999999999E-2</v>
      </c>
      <c r="AK3" s="10">
        <v>1.5524E-2</v>
      </c>
      <c r="AL3" s="10">
        <v>1.5695000000000001E-2</v>
      </c>
      <c r="AM3" s="10"/>
    </row>
    <row r="4" spans="1:39" x14ac:dyDescent="0.35">
      <c r="A4">
        <v>1</v>
      </c>
      <c r="B4" t="s">
        <v>20</v>
      </c>
      <c r="C4">
        <v>14.5</v>
      </c>
      <c r="D4">
        <v>22</v>
      </c>
      <c r="E4">
        <v>30.5</v>
      </c>
      <c r="F4">
        <v>44.6</v>
      </c>
      <c r="G4">
        <f>F4</f>
        <v>44.6</v>
      </c>
      <c r="H4">
        <f>G4</f>
        <v>44.6</v>
      </c>
      <c r="I4">
        <f t="shared" ref="I4:AL4" si="0">H4</f>
        <v>44.6</v>
      </c>
      <c r="J4">
        <f t="shared" si="0"/>
        <v>44.6</v>
      </c>
      <c r="K4">
        <f t="shared" si="0"/>
        <v>44.6</v>
      </c>
      <c r="L4">
        <f t="shared" si="0"/>
        <v>44.6</v>
      </c>
      <c r="M4">
        <f t="shared" si="0"/>
        <v>44.6</v>
      </c>
      <c r="N4">
        <f t="shared" si="0"/>
        <v>44.6</v>
      </c>
      <c r="O4">
        <f t="shared" si="0"/>
        <v>44.6</v>
      </c>
      <c r="P4">
        <f t="shared" si="0"/>
        <v>44.6</v>
      </c>
      <c r="Q4">
        <f t="shared" si="0"/>
        <v>44.6</v>
      </c>
      <c r="R4">
        <f t="shared" si="0"/>
        <v>44.6</v>
      </c>
      <c r="S4">
        <f t="shared" si="0"/>
        <v>44.6</v>
      </c>
      <c r="T4">
        <f t="shared" si="0"/>
        <v>44.6</v>
      </c>
      <c r="U4">
        <f t="shared" si="0"/>
        <v>44.6</v>
      </c>
      <c r="V4">
        <f t="shared" si="0"/>
        <v>44.6</v>
      </c>
      <c r="W4">
        <f t="shared" si="0"/>
        <v>44.6</v>
      </c>
      <c r="X4">
        <f t="shared" si="0"/>
        <v>44.6</v>
      </c>
      <c r="Y4">
        <f t="shared" si="0"/>
        <v>44.6</v>
      </c>
      <c r="Z4">
        <f t="shared" si="0"/>
        <v>44.6</v>
      </c>
      <c r="AA4">
        <f t="shared" si="0"/>
        <v>44.6</v>
      </c>
      <c r="AB4">
        <f t="shared" si="0"/>
        <v>44.6</v>
      </c>
      <c r="AC4">
        <f t="shared" si="0"/>
        <v>44.6</v>
      </c>
      <c r="AD4">
        <f t="shared" si="0"/>
        <v>44.6</v>
      </c>
      <c r="AE4">
        <f t="shared" si="0"/>
        <v>44.6</v>
      </c>
      <c r="AF4">
        <f t="shared" si="0"/>
        <v>44.6</v>
      </c>
      <c r="AG4">
        <f t="shared" si="0"/>
        <v>44.6</v>
      </c>
      <c r="AH4">
        <f t="shared" si="0"/>
        <v>44.6</v>
      </c>
      <c r="AI4">
        <f t="shared" si="0"/>
        <v>44.6</v>
      </c>
      <c r="AJ4">
        <f t="shared" si="0"/>
        <v>44.6</v>
      </c>
      <c r="AK4">
        <f t="shared" si="0"/>
        <v>44.6</v>
      </c>
      <c r="AL4">
        <f t="shared" si="0"/>
        <v>44.6</v>
      </c>
    </row>
    <row r="5" spans="1:39" x14ac:dyDescent="0.35">
      <c r="A5">
        <v>1</v>
      </c>
      <c r="B5" t="s">
        <v>70</v>
      </c>
      <c r="C5" s="10">
        <f>'[2]WD 3ME'!B$1</f>
        <v>1</v>
      </c>
      <c r="D5" s="10">
        <f>'[2]WD 3ME'!C$1</f>
        <v>1.04</v>
      </c>
      <c r="E5" s="10">
        <f>'[2]WD 3ME'!D$1</f>
        <v>1.0816000000000001</v>
      </c>
      <c r="F5" s="10">
        <f>'[2]WD 3ME'!E$1</f>
        <v>1.1248640000000001</v>
      </c>
      <c r="G5" s="10">
        <f>'[2]WD 3ME'!F$1</f>
        <v>1.1698585600000002</v>
      </c>
      <c r="H5" s="10">
        <f>'[2]WD 3ME'!G$1</f>
        <v>1.2166529024000003</v>
      </c>
      <c r="I5" s="10">
        <f>'[2]WD 3ME'!H$1</f>
        <v>1.2653190184960004</v>
      </c>
      <c r="J5" s="10">
        <f>'[2]WD 3ME'!I$1</f>
        <v>1.3159317792358405</v>
      </c>
      <c r="K5" s="10">
        <f>'[2]WD 3ME'!J$1</f>
        <v>1.3685690504052741</v>
      </c>
      <c r="L5" s="10">
        <f>'[2]WD 3ME'!K$1</f>
        <v>1.4233118124214852</v>
      </c>
      <c r="M5" s="10">
        <f>'[2]WD 3ME'!L$1</f>
        <v>1.4767838716009769</v>
      </c>
      <c r="N5" s="10">
        <f>'[2]WD 3ME'!M$1</f>
        <v>1.5194094584723921</v>
      </c>
      <c r="O5" s="10">
        <f>'[2]WD 3ME'!N$1</f>
        <v>1.5559022131929614</v>
      </c>
      <c r="P5" s="10">
        <f>'[2]WD 3ME'!O$1</f>
        <v>1.5886215937446344</v>
      </c>
      <c r="Q5" s="10">
        <f>'[2]WD 3ME'!P$1</f>
        <v>1.6197893009352593</v>
      </c>
      <c r="R5" s="10">
        <f>'[2]WD 3ME'!Q$1</f>
        <v>1.6510636966607195</v>
      </c>
      <c r="S5" s="10">
        <f>'[2]WD 3ME'!R$1</f>
        <v>1.68376080158424</v>
      </c>
      <c r="T5" s="10">
        <f>'[2]WD 3ME'!S$1</f>
        <v>1.7190348449645678</v>
      </c>
      <c r="U5" s="10">
        <f>'[2]WD 3ME'!T$1</f>
        <v>1.7576543359729664</v>
      </c>
      <c r="V5" s="10">
        <f>'[2]WD 3ME'!U$1</f>
        <v>1.7998672375228182</v>
      </c>
      <c r="W5" s="10">
        <f>'[2]WD 3ME'!V$1</f>
        <v>1.8460487180882716</v>
      </c>
      <c r="X5" s="10">
        <f>'[2]WD 3ME'!W$1</f>
        <v>1.8964690162108619</v>
      </c>
      <c r="Y5" s="10">
        <f>'[2]WD 3ME'!X$1</f>
        <v>1.9517729527055314</v>
      </c>
      <c r="Z5" s="10">
        <f>'[2]WD 3ME'!Y$1</f>
        <v>2.0122342833182612</v>
      </c>
      <c r="AA5" s="10">
        <f>'[2]WD 3ME'!Z$1</f>
        <v>2.0776279069645609</v>
      </c>
      <c r="AB5" s="10">
        <f>'[2]WD 3ME'!AA$1</f>
        <v>2.1480218229303709</v>
      </c>
      <c r="AC5" s="10">
        <f>'[2]WD 3ME'!AB$1</f>
        <v>2.2236716147387048</v>
      </c>
      <c r="AD5" s="10">
        <f>'[2]WD 3ME'!AC$1</f>
        <v>2.3053563431741608</v>
      </c>
      <c r="AE5" s="10">
        <f>'[2]WD 3ME'!AD$1</f>
        <v>2.3932202136189908</v>
      </c>
      <c r="AF5" s="10">
        <f>'[2]WD 3ME'!AE$1</f>
        <v>2.4861658582863098</v>
      </c>
      <c r="AG5" s="10">
        <f>'[2]WD 3ME'!AF$1</f>
        <v>2.5827606025654632</v>
      </c>
      <c r="AH5" s="10">
        <f>'[2]WD 3ME'!AG$1</f>
        <v>2.6820589046614494</v>
      </c>
      <c r="AI5" s="10">
        <f>'[2]WD 3ME'!AH$1</f>
        <v>2.783539045914905</v>
      </c>
      <c r="AJ5" s="10">
        <f>'[2]WD 3ME'!AI$1</f>
        <v>2.8867555137627794</v>
      </c>
      <c r="AK5" s="10">
        <f>'[2]WD 3ME'!AJ$1</f>
        <v>2.9912340718057182</v>
      </c>
      <c r="AL5" s="10">
        <f>'[2]WD 3ME'!AK$1</f>
        <v>3.096423105146576</v>
      </c>
    </row>
    <row r="6" spans="1:39" x14ac:dyDescent="0.35">
      <c r="A6">
        <f t="shared" ref="A6:A27" si="1">A5</f>
        <v>1</v>
      </c>
      <c r="B6" t="s">
        <v>71</v>
      </c>
      <c r="C6" s="10">
        <f>'[2]WD 3ME'!B$1</f>
        <v>1</v>
      </c>
      <c r="D6" s="10">
        <f>'[2]WD 3ME'!C$1</f>
        <v>1.04</v>
      </c>
      <c r="E6" s="10">
        <f>'[2]WD 3ME'!D$1</f>
        <v>1.0816000000000001</v>
      </c>
      <c r="F6" s="10">
        <f>'[2]WD 3ME'!E$1</f>
        <v>1.1248640000000001</v>
      </c>
      <c r="G6" s="10">
        <f>'[2]WD 3ME'!F$1</f>
        <v>1.1698585600000002</v>
      </c>
      <c r="H6" s="10">
        <f>'[2]WD 3ME'!G$1</f>
        <v>1.2166529024000003</v>
      </c>
      <c r="I6" s="10">
        <f>'[2]WD 3ME'!H$1</f>
        <v>1.2653190184960004</v>
      </c>
      <c r="J6" s="10">
        <f>'[2]WD 3ME'!I$1</f>
        <v>1.3159317792358405</v>
      </c>
      <c r="K6" s="10">
        <f>'[2]WD 3ME'!J$1</f>
        <v>1.3685690504052741</v>
      </c>
      <c r="L6" s="10">
        <f>'[2]WD 3ME'!K$1</f>
        <v>1.4233118124214852</v>
      </c>
      <c r="M6" s="10">
        <f>'[2]WD 3ME'!L$1</f>
        <v>1.4767838716009769</v>
      </c>
      <c r="N6" s="10">
        <f>'[2]WD 3ME'!M$1</f>
        <v>1.5194094584723921</v>
      </c>
      <c r="O6" s="10">
        <f>'[2]WD 3ME'!N$1</f>
        <v>1.5559022131929614</v>
      </c>
      <c r="P6" s="10">
        <f>'[2]WD 3ME'!O$1</f>
        <v>1.5886215937446344</v>
      </c>
      <c r="Q6" s="10">
        <f>'[2]WD 3ME'!P$1</f>
        <v>1.6197893009352593</v>
      </c>
      <c r="R6" s="10">
        <f>'[2]WD 3ME'!Q$1</f>
        <v>1.6510636966607195</v>
      </c>
      <c r="S6" s="10">
        <f>'[2]WD 3ME'!R$1</f>
        <v>1.68376080158424</v>
      </c>
      <c r="T6" s="10">
        <f>'[2]WD 3ME'!S$1</f>
        <v>1.7190348449645678</v>
      </c>
      <c r="U6" s="10">
        <f>'[2]WD 3ME'!T$1</f>
        <v>1.7576543359729664</v>
      </c>
      <c r="V6" s="10">
        <f>'[2]WD 3ME'!U$1</f>
        <v>1.7998672375228182</v>
      </c>
      <c r="W6" s="10">
        <f>'[2]WD 3ME'!V$1</f>
        <v>1.8460487180882716</v>
      </c>
      <c r="X6" s="10">
        <f>'[2]WD 3ME'!W$1</f>
        <v>1.8964690162108619</v>
      </c>
      <c r="Y6" s="10">
        <f>'[2]WD 3ME'!X$1</f>
        <v>1.9517729527055314</v>
      </c>
      <c r="Z6" s="10">
        <f>'[2]WD 3ME'!Y$1</f>
        <v>2.0122342833182612</v>
      </c>
      <c r="AA6" s="10">
        <f>'[2]WD 3ME'!Z$1</f>
        <v>2.0776279069645609</v>
      </c>
      <c r="AB6" s="10">
        <f>'[2]WD 3ME'!AA$1</f>
        <v>2.1480218229303709</v>
      </c>
      <c r="AC6" s="10">
        <f>'[2]WD 3ME'!AB$1</f>
        <v>2.2236716147387048</v>
      </c>
      <c r="AD6" s="10">
        <f>'[2]WD 3ME'!AC$1</f>
        <v>2.3053563431741608</v>
      </c>
      <c r="AE6" s="10">
        <f>'[2]WD 3ME'!AD$1</f>
        <v>2.3932202136189908</v>
      </c>
      <c r="AF6" s="10">
        <f>'[2]WD 3ME'!AE$1</f>
        <v>2.4861658582863098</v>
      </c>
      <c r="AG6" s="10">
        <f>'[2]WD 3ME'!AF$1</f>
        <v>2.5827606025654632</v>
      </c>
      <c r="AH6" s="10">
        <f>'[2]WD 3ME'!AG$1</f>
        <v>2.6820589046614494</v>
      </c>
      <c r="AI6" s="10">
        <f>'[2]WD 3ME'!AH$1</f>
        <v>2.783539045914905</v>
      </c>
      <c r="AJ6" s="10">
        <f>'[2]WD 3ME'!AI$1</f>
        <v>2.8867555137627794</v>
      </c>
      <c r="AK6" s="10">
        <f>'[2]WD 3ME'!AJ$1</f>
        <v>2.9912340718057182</v>
      </c>
      <c r="AL6" s="10">
        <f>'[2]WD 3ME'!AK$1</f>
        <v>3.096423105146576</v>
      </c>
    </row>
    <row r="7" spans="1:39" x14ac:dyDescent="0.35">
      <c r="A7">
        <f t="shared" si="1"/>
        <v>1</v>
      </c>
      <c r="B7" t="s">
        <v>72</v>
      </c>
      <c r="C7" s="10">
        <f>'[2]WD 3ME'!B$1</f>
        <v>1</v>
      </c>
      <c r="D7" s="10">
        <f>'[2]WD 3ME'!C$1</f>
        <v>1.04</v>
      </c>
      <c r="E7" s="10">
        <f>'[2]WD 3ME'!D$1</f>
        <v>1.0816000000000001</v>
      </c>
      <c r="F7" s="10">
        <f>'[2]WD 3ME'!E$1</f>
        <v>1.1248640000000001</v>
      </c>
      <c r="G7" s="10">
        <f>'[2]WD 3ME'!F$1</f>
        <v>1.1698585600000002</v>
      </c>
      <c r="H7" s="10">
        <f>'[2]WD 3ME'!G$1</f>
        <v>1.2166529024000003</v>
      </c>
      <c r="I7" s="10">
        <f>'[2]WD 3ME'!H$1</f>
        <v>1.2653190184960004</v>
      </c>
      <c r="J7" s="10">
        <f>'[2]WD 3ME'!I$1</f>
        <v>1.3159317792358405</v>
      </c>
      <c r="K7" s="10">
        <f>'[2]WD 3ME'!J$1</f>
        <v>1.3685690504052741</v>
      </c>
      <c r="L7" s="10">
        <f>'[2]WD 3ME'!K$1</f>
        <v>1.4233118124214852</v>
      </c>
      <c r="M7" s="10">
        <f>'[2]WD 3ME'!L$1</f>
        <v>1.4767838716009769</v>
      </c>
      <c r="N7" s="10">
        <f>'[2]WD 3ME'!M$1</f>
        <v>1.5194094584723921</v>
      </c>
      <c r="O7" s="10">
        <f>'[2]WD 3ME'!N$1</f>
        <v>1.5559022131929614</v>
      </c>
      <c r="P7" s="10">
        <f>'[2]WD 3ME'!O$1</f>
        <v>1.5886215937446344</v>
      </c>
      <c r="Q7" s="10">
        <f>'[2]WD 3ME'!P$1</f>
        <v>1.6197893009352593</v>
      </c>
      <c r="R7" s="10">
        <f>'[2]WD 3ME'!Q$1</f>
        <v>1.6510636966607195</v>
      </c>
      <c r="S7" s="10">
        <f>'[2]WD 3ME'!R$1</f>
        <v>1.68376080158424</v>
      </c>
      <c r="T7" s="10">
        <f>'[2]WD 3ME'!S$1</f>
        <v>1.7190348449645678</v>
      </c>
      <c r="U7" s="10">
        <f>'[2]WD 3ME'!T$1</f>
        <v>1.7576543359729664</v>
      </c>
      <c r="V7" s="10">
        <f>'[2]WD 3ME'!U$1</f>
        <v>1.7998672375228182</v>
      </c>
      <c r="W7" s="10">
        <f>'[2]WD 3ME'!V$1</f>
        <v>1.8460487180882716</v>
      </c>
      <c r="X7" s="10">
        <f>'[2]WD 3ME'!W$1</f>
        <v>1.8964690162108619</v>
      </c>
      <c r="Y7" s="10">
        <f>'[2]WD 3ME'!X$1</f>
        <v>1.9517729527055314</v>
      </c>
      <c r="Z7" s="10">
        <f>'[2]WD 3ME'!Y$1</f>
        <v>2.0122342833182612</v>
      </c>
      <c r="AA7" s="10">
        <f>'[2]WD 3ME'!Z$1</f>
        <v>2.0776279069645609</v>
      </c>
      <c r="AB7" s="10">
        <f>'[2]WD 3ME'!AA$1</f>
        <v>2.1480218229303709</v>
      </c>
      <c r="AC7" s="10">
        <f>'[2]WD 3ME'!AB$1</f>
        <v>2.2236716147387048</v>
      </c>
      <c r="AD7" s="10">
        <f>'[2]WD 3ME'!AC$1</f>
        <v>2.3053563431741608</v>
      </c>
      <c r="AE7" s="10">
        <f>'[2]WD 3ME'!AD$1</f>
        <v>2.3932202136189908</v>
      </c>
      <c r="AF7" s="10">
        <f>'[2]WD 3ME'!AE$1</f>
        <v>2.4861658582863098</v>
      </c>
      <c r="AG7" s="10">
        <f>'[2]WD 3ME'!AF$1</f>
        <v>2.5827606025654632</v>
      </c>
      <c r="AH7" s="10">
        <f>'[2]WD 3ME'!AG$1</f>
        <v>2.6820589046614494</v>
      </c>
      <c r="AI7" s="10">
        <f>'[2]WD 3ME'!AH$1</f>
        <v>2.783539045914905</v>
      </c>
      <c r="AJ7" s="10">
        <f>'[2]WD 3ME'!AI$1</f>
        <v>2.8867555137627794</v>
      </c>
      <c r="AK7" s="10">
        <f>'[2]WD 3ME'!AJ$1</f>
        <v>2.9912340718057182</v>
      </c>
      <c r="AL7" s="10">
        <f>'[2]WD 3ME'!AK$1</f>
        <v>3.096423105146576</v>
      </c>
    </row>
    <row r="8" spans="1:39" x14ac:dyDescent="0.35">
      <c r="A8">
        <f t="shared" si="1"/>
        <v>1</v>
      </c>
      <c r="B8" t="s">
        <v>73</v>
      </c>
      <c r="C8" s="10">
        <f>'[2]WD 3ME'!B$1</f>
        <v>1</v>
      </c>
      <c r="D8" s="10">
        <f>'[2]WD 3ME'!C$1</f>
        <v>1.04</v>
      </c>
      <c r="E8" s="10">
        <f>'[2]WD 3ME'!D$1</f>
        <v>1.0816000000000001</v>
      </c>
      <c r="F8" s="10">
        <f>'[2]WD 3ME'!E$1</f>
        <v>1.1248640000000001</v>
      </c>
      <c r="G8" s="10">
        <f>'[2]WD 3ME'!F$1</f>
        <v>1.1698585600000002</v>
      </c>
      <c r="H8" s="10">
        <f>'[2]WD 3ME'!G$1</f>
        <v>1.2166529024000003</v>
      </c>
      <c r="I8" s="10">
        <f>'[2]WD 3ME'!H$1</f>
        <v>1.2653190184960004</v>
      </c>
      <c r="J8" s="10">
        <f>'[2]WD 3ME'!I$1</f>
        <v>1.3159317792358405</v>
      </c>
      <c r="K8" s="10">
        <f>'[2]WD 3ME'!J$1</f>
        <v>1.3685690504052741</v>
      </c>
      <c r="L8" s="10">
        <f>'[2]WD 3ME'!K$1</f>
        <v>1.4233118124214852</v>
      </c>
      <c r="M8" s="10">
        <f>'[2]WD 3ME'!L$1</f>
        <v>1.4767838716009769</v>
      </c>
      <c r="N8" s="10">
        <f>'[2]WD 3ME'!M$1</f>
        <v>1.5194094584723921</v>
      </c>
      <c r="O8" s="10">
        <f>'[2]WD 3ME'!N$1</f>
        <v>1.5559022131929614</v>
      </c>
      <c r="P8" s="10">
        <f>'[2]WD 3ME'!O$1</f>
        <v>1.5886215937446344</v>
      </c>
      <c r="Q8" s="10">
        <f>'[2]WD 3ME'!P$1</f>
        <v>1.6197893009352593</v>
      </c>
      <c r="R8" s="10">
        <f>'[2]WD 3ME'!Q$1</f>
        <v>1.6510636966607195</v>
      </c>
      <c r="S8" s="10">
        <f>'[2]WD 3ME'!R$1</f>
        <v>1.68376080158424</v>
      </c>
      <c r="T8" s="10">
        <f>'[2]WD 3ME'!S$1</f>
        <v>1.7190348449645678</v>
      </c>
      <c r="U8" s="10">
        <f>'[2]WD 3ME'!T$1</f>
        <v>1.7576543359729664</v>
      </c>
      <c r="V8" s="10">
        <f>'[2]WD 3ME'!U$1</f>
        <v>1.7998672375228182</v>
      </c>
      <c r="W8" s="10">
        <f>'[2]WD 3ME'!V$1</f>
        <v>1.8460487180882716</v>
      </c>
      <c r="X8" s="10">
        <f>'[2]WD 3ME'!W$1</f>
        <v>1.8964690162108619</v>
      </c>
      <c r="Y8" s="10">
        <f>'[2]WD 3ME'!X$1</f>
        <v>1.9517729527055314</v>
      </c>
      <c r="Z8" s="10">
        <f>'[2]WD 3ME'!Y$1</f>
        <v>2.0122342833182612</v>
      </c>
      <c r="AA8" s="10">
        <f>'[2]WD 3ME'!Z$1</f>
        <v>2.0776279069645609</v>
      </c>
      <c r="AB8" s="10">
        <f>'[2]WD 3ME'!AA$1</f>
        <v>2.1480218229303709</v>
      </c>
      <c r="AC8" s="10">
        <f>'[2]WD 3ME'!AB$1</f>
        <v>2.2236716147387048</v>
      </c>
      <c r="AD8" s="10">
        <f>'[2]WD 3ME'!AC$1</f>
        <v>2.3053563431741608</v>
      </c>
      <c r="AE8" s="10">
        <f>'[2]WD 3ME'!AD$1</f>
        <v>2.3932202136189908</v>
      </c>
      <c r="AF8" s="10">
        <f>'[2]WD 3ME'!AE$1</f>
        <v>2.4861658582863098</v>
      </c>
      <c r="AG8" s="10">
        <f>'[2]WD 3ME'!AF$1</f>
        <v>2.5827606025654632</v>
      </c>
      <c r="AH8" s="10">
        <f>'[2]WD 3ME'!AG$1</f>
        <v>2.6820589046614494</v>
      </c>
      <c r="AI8" s="10">
        <f>'[2]WD 3ME'!AH$1</f>
        <v>2.783539045914905</v>
      </c>
      <c r="AJ8" s="10">
        <f>'[2]WD 3ME'!AI$1</f>
        <v>2.8867555137627794</v>
      </c>
      <c r="AK8" s="10">
        <f>'[2]WD 3ME'!AJ$1</f>
        <v>2.9912340718057182</v>
      </c>
      <c r="AL8" s="10">
        <f>'[2]WD 3ME'!AK$1</f>
        <v>3.096423105146576</v>
      </c>
    </row>
    <row r="9" spans="1:39" x14ac:dyDescent="0.35">
      <c r="A9">
        <f t="shared" si="1"/>
        <v>1</v>
      </c>
      <c r="B9" t="s">
        <v>74</v>
      </c>
      <c r="C9" s="10">
        <f>'[2]WD 3ME'!B$1</f>
        <v>1</v>
      </c>
      <c r="D9" s="10">
        <f>'[2]WD 3ME'!C$1</f>
        <v>1.04</v>
      </c>
      <c r="E9" s="10">
        <f>'[2]WD 3ME'!D$1</f>
        <v>1.0816000000000001</v>
      </c>
      <c r="F9" s="10">
        <f>'[2]WD 3ME'!E$1</f>
        <v>1.1248640000000001</v>
      </c>
      <c r="G9" s="10">
        <f>'[2]WD 3ME'!F$1</f>
        <v>1.1698585600000002</v>
      </c>
      <c r="H9" s="10">
        <f>'[2]WD 3ME'!G$1</f>
        <v>1.2166529024000003</v>
      </c>
      <c r="I9" s="10">
        <f>'[2]WD 3ME'!H$1</f>
        <v>1.2653190184960004</v>
      </c>
      <c r="J9" s="10">
        <f>'[2]WD 3ME'!I$1</f>
        <v>1.3159317792358405</v>
      </c>
      <c r="K9" s="10">
        <f>'[2]WD 3ME'!J$1</f>
        <v>1.3685690504052741</v>
      </c>
      <c r="L9" s="10">
        <f>'[2]WD 3ME'!K$1</f>
        <v>1.4233118124214852</v>
      </c>
      <c r="M9" s="10">
        <f>'[2]WD 3ME'!L$1</f>
        <v>1.4767838716009769</v>
      </c>
      <c r="N9" s="10">
        <f>'[2]WD 3ME'!M$1</f>
        <v>1.5194094584723921</v>
      </c>
      <c r="O9" s="10">
        <f>'[2]WD 3ME'!N$1</f>
        <v>1.5559022131929614</v>
      </c>
      <c r="P9" s="10">
        <f>'[2]WD 3ME'!O$1</f>
        <v>1.5886215937446344</v>
      </c>
      <c r="Q9" s="10">
        <f>'[2]WD 3ME'!P$1</f>
        <v>1.6197893009352593</v>
      </c>
      <c r="R9" s="10">
        <f>'[2]WD 3ME'!Q$1</f>
        <v>1.6510636966607195</v>
      </c>
      <c r="S9" s="10">
        <f>'[2]WD 3ME'!R$1</f>
        <v>1.68376080158424</v>
      </c>
      <c r="T9" s="10">
        <f>'[2]WD 3ME'!S$1</f>
        <v>1.7190348449645678</v>
      </c>
      <c r="U9" s="10">
        <f>'[2]WD 3ME'!T$1</f>
        <v>1.7576543359729664</v>
      </c>
      <c r="V9" s="10">
        <f>'[2]WD 3ME'!U$1</f>
        <v>1.7998672375228182</v>
      </c>
      <c r="W9" s="10">
        <f>'[2]WD 3ME'!V$1</f>
        <v>1.8460487180882716</v>
      </c>
      <c r="X9" s="10">
        <f>'[2]WD 3ME'!W$1</f>
        <v>1.8964690162108619</v>
      </c>
      <c r="Y9" s="10">
        <f>'[2]WD 3ME'!X$1</f>
        <v>1.9517729527055314</v>
      </c>
      <c r="Z9" s="10">
        <f>'[2]WD 3ME'!Y$1</f>
        <v>2.0122342833182612</v>
      </c>
      <c r="AA9" s="10">
        <f>'[2]WD 3ME'!Z$1</f>
        <v>2.0776279069645609</v>
      </c>
      <c r="AB9" s="10">
        <f>'[2]WD 3ME'!AA$1</f>
        <v>2.1480218229303709</v>
      </c>
      <c r="AC9" s="10">
        <f>'[2]WD 3ME'!AB$1</f>
        <v>2.2236716147387048</v>
      </c>
      <c r="AD9" s="10">
        <f>'[2]WD 3ME'!AC$1</f>
        <v>2.3053563431741608</v>
      </c>
      <c r="AE9" s="10">
        <f>'[2]WD 3ME'!AD$1</f>
        <v>2.3932202136189908</v>
      </c>
      <c r="AF9" s="10">
        <f>'[2]WD 3ME'!AE$1</f>
        <v>2.4861658582863098</v>
      </c>
      <c r="AG9" s="10">
        <f>'[2]WD 3ME'!AF$1</f>
        <v>2.5827606025654632</v>
      </c>
      <c r="AH9" s="10">
        <f>'[2]WD 3ME'!AG$1</f>
        <v>2.6820589046614494</v>
      </c>
      <c r="AI9" s="10">
        <f>'[2]WD 3ME'!AH$1</f>
        <v>2.783539045914905</v>
      </c>
      <c r="AJ9" s="10">
        <f>'[2]WD 3ME'!AI$1</f>
        <v>2.8867555137627794</v>
      </c>
      <c r="AK9" s="10">
        <f>'[2]WD 3ME'!AJ$1</f>
        <v>2.9912340718057182</v>
      </c>
      <c r="AL9" s="10">
        <f>'[2]WD 3ME'!AK$1</f>
        <v>3.096423105146576</v>
      </c>
    </row>
    <row r="10" spans="1:39" x14ac:dyDescent="0.35">
      <c r="A10">
        <f t="shared" si="1"/>
        <v>1</v>
      </c>
      <c r="B10" t="s">
        <v>75</v>
      </c>
      <c r="C10" s="10">
        <f>'[2]WD 3ME'!B$1</f>
        <v>1</v>
      </c>
      <c r="D10" s="10">
        <f>'[2]WD 3ME'!C$1</f>
        <v>1.04</v>
      </c>
      <c r="E10" s="10">
        <f>'[2]WD 3ME'!D$1</f>
        <v>1.0816000000000001</v>
      </c>
      <c r="F10" s="10">
        <f>'[2]WD 3ME'!E$1</f>
        <v>1.1248640000000001</v>
      </c>
      <c r="G10" s="10">
        <f>'[2]WD 3ME'!F$1</f>
        <v>1.1698585600000002</v>
      </c>
      <c r="H10" s="10">
        <f>'[2]WD 3ME'!G$1</f>
        <v>1.2166529024000003</v>
      </c>
      <c r="I10" s="10">
        <f>'[2]WD 3ME'!H$1</f>
        <v>1.2653190184960004</v>
      </c>
      <c r="J10" s="10">
        <f>'[2]WD 3ME'!I$1</f>
        <v>1.3159317792358405</v>
      </c>
      <c r="K10" s="10">
        <f>'[2]WD 3ME'!J$1</f>
        <v>1.3685690504052741</v>
      </c>
      <c r="L10" s="10">
        <f>'[2]WD 3ME'!K$1</f>
        <v>1.4233118124214852</v>
      </c>
      <c r="M10" s="10">
        <f>'[2]WD 3ME'!L$1</f>
        <v>1.4767838716009769</v>
      </c>
      <c r="N10" s="10">
        <f>'[2]WD 3ME'!M$1</f>
        <v>1.5194094584723921</v>
      </c>
      <c r="O10" s="10">
        <f>'[2]WD 3ME'!N$1</f>
        <v>1.5559022131929614</v>
      </c>
      <c r="P10" s="10">
        <f>'[2]WD 3ME'!O$1</f>
        <v>1.5886215937446344</v>
      </c>
      <c r="Q10" s="10">
        <f>'[2]WD 3ME'!P$1</f>
        <v>1.6197893009352593</v>
      </c>
      <c r="R10" s="10">
        <f>'[2]WD 3ME'!Q$1</f>
        <v>1.6510636966607195</v>
      </c>
      <c r="S10" s="10">
        <f>'[2]WD 3ME'!R$1</f>
        <v>1.68376080158424</v>
      </c>
      <c r="T10" s="10">
        <f>'[2]WD 3ME'!S$1</f>
        <v>1.7190348449645678</v>
      </c>
      <c r="U10" s="10">
        <f>'[2]WD 3ME'!T$1</f>
        <v>1.7576543359729664</v>
      </c>
      <c r="V10" s="10">
        <f>'[2]WD 3ME'!U$1</f>
        <v>1.7998672375228182</v>
      </c>
      <c r="W10" s="10">
        <f>'[2]WD 3ME'!V$1</f>
        <v>1.8460487180882716</v>
      </c>
      <c r="X10" s="10">
        <f>'[2]WD 3ME'!W$1</f>
        <v>1.8964690162108619</v>
      </c>
      <c r="Y10" s="10">
        <f>'[2]WD 3ME'!X$1</f>
        <v>1.9517729527055314</v>
      </c>
      <c r="Z10" s="10">
        <f>'[2]WD 3ME'!Y$1</f>
        <v>2.0122342833182612</v>
      </c>
      <c r="AA10" s="10">
        <f>'[2]WD 3ME'!Z$1</f>
        <v>2.0776279069645609</v>
      </c>
      <c r="AB10" s="10">
        <f>'[2]WD 3ME'!AA$1</f>
        <v>2.1480218229303709</v>
      </c>
      <c r="AC10" s="10">
        <f>'[2]WD 3ME'!AB$1</f>
        <v>2.2236716147387048</v>
      </c>
      <c r="AD10" s="10">
        <f>'[2]WD 3ME'!AC$1</f>
        <v>2.3053563431741608</v>
      </c>
      <c r="AE10" s="10">
        <f>'[2]WD 3ME'!AD$1</f>
        <v>2.3932202136189908</v>
      </c>
      <c r="AF10" s="10">
        <f>'[2]WD 3ME'!AE$1</f>
        <v>2.4861658582863098</v>
      </c>
      <c r="AG10" s="10">
        <f>'[2]WD 3ME'!AF$1</f>
        <v>2.5827606025654632</v>
      </c>
      <c r="AH10" s="10">
        <f>'[2]WD 3ME'!AG$1</f>
        <v>2.6820589046614494</v>
      </c>
      <c r="AI10" s="10">
        <f>'[2]WD 3ME'!AH$1</f>
        <v>2.783539045914905</v>
      </c>
      <c r="AJ10" s="10">
        <f>'[2]WD 3ME'!AI$1</f>
        <v>2.8867555137627794</v>
      </c>
      <c r="AK10" s="10">
        <f>'[2]WD 3ME'!AJ$1</f>
        <v>2.9912340718057182</v>
      </c>
      <c r="AL10" s="10">
        <f>'[2]WD 3ME'!AK$1</f>
        <v>3.096423105146576</v>
      </c>
    </row>
    <row r="11" spans="1:39" x14ac:dyDescent="0.35">
      <c r="A11">
        <f t="shared" si="1"/>
        <v>1</v>
      </c>
      <c r="B11" t="s">
        <v>76</v>
      </c>
      <c r="C11" s="10">
        <f>'[2]WD 3ME'!B$1</f>
        <v>1</v>
      </c>
      <c r="D11" s="10">
        <f>'[2]WD 3ME'!C$1</f>
        <v>1.04</v>
      </c>
      <c r="E11" s="10">
        <f>'[2]WD 3ME'!D$1</f>
        <v>1.0816000000000001</v>
      </c>
      <c r="F11" s="10">
        <f>'[2]WD 3ME'!E$1</f>
        <v>1.1248640000000001</v>
      </c>
      <c r="G11" s="10">
        <f>'[2]WD 3ME'!F$1</f>
        <v>1.1698585600000002</v>
      </c>
      <c r="H11" s="10">
        <f>'[2]WD 3ME'!G$1</f>
        <v>1.2166529024000003</v>
      </c>
      <c r="I11" s="10">
        <f>'[2]WD 3ME'!H$1</f>
        <v>1.2653190184960004</v>
      </c>
      <c r="J11" s="10">
        <f>'[2]WD 3ME'!I$1</f>
        <v>1.3159317792358405</v>
      </c>
      <c r="K11" s="10">
        <f>'[2]WD 3ME'!J$1</f>
        <v>1.3685690504052741</v>
      </c>
      <c r="L11" s="10">
        <f>'[2]WD 3ME'!K$1</f>
        <v>1.4233118124214852</v>
      </c>
      <c r="M11" s="10">
        <f>'[2]WD 3ME'!L$1</f>
        <v>1.4767838716009769</v>
      </c>
      <c r="N11" s="10">
        <f>'[2]WD 3ME'!M$1</f>
        <v>1.5194094584723921</v>
      </c>
      <c r="O11" s="10">
        <f>'[2]WD 3ME'!N$1</f>
        <v>1.5559022131929614</v>
      </c>
      <c r="P11" s="10">
        <f>'[2]WD 3ME'!O$1</f>
        <v>1.5886215937446344</v>
      </c>
      <c r="Q11" s="10">
        <f>'[2]WD 3ME'!P$1</f>
        <v>1.6197893009352593</v>
      </c>
      <c r="R11" s="10">
        <f>'[2]WD 3ME'!Q$1</f>
        <v>1.6510636966607195</v>
      </c>
      <c r="S11" s="10">
        <f>'[2]WD 3ME'!R$1</f>
        <v>1.68376080158424</v>
      </c>
      <c r="T11" s="10">
        <f>'[2]WD 3ME'!S$1</f>
        <v>1.7190348449645678</v>
      </c>
      <c r="U11" s="10">
        <f>'[2]WD 3ME'!T$1</f>
        <v>1.7576543359729664</v>
      </c>
      <c r="V11" s="10">
        <f>'[2]WD 3ME'!U$1</f>
        <v>1.7998672375228182</v>
      </c>
      <c r="W11" s="10">
        <f>'[2]WD 3ME'!V$1</f>
        <v>1.8460487180882716</v>
      </c>
      <c r="X11" s="10">
        <f>'[2]WD 3ME'!W$1</f>
        <v>1.8964690162108619</v>
      </c>
      <c r="Y11" s="10">
        <f>'[2]WD 3ME'!X$1</f>
        <v>1.9517729527055314</v>
      </c>
      <c r="Z11" s="10">
        <f>'[2]WD 3ME'!Y$1</f>
        <v>2.0122342833182612</v>
      </c>
      <c r="AA11" s="10">
        <f>'[2]WD 3ME'!Z$1</f>
        <v>2.0776279069645609</v>
      </c>
      <c r="AB11" s="10">
        <f>'[2]WD 3ME'!AA$1</f>
        <v>2.1480218229303709</v>
      </c>
      <c r="AC11" s="10">
        <f>'[2]WD 3ME'!AB$1</f>
        <v>2.2236716147387048</v>
      </c>
      <c r="AD11" s="10">
        <f>'[2]WD 3ME'!AC$1</f>
        <v>2.3053563431741608</v>
      </c>
      <c r="AE11" s="10">
        <f>'[2]WD 3ME'!AD$1</f>
        <v>2.3932202136189908</v>
      </c>
      <c r="AF11" s="10">
        <f>'[2]WD 3ME'!AE$1</f>
        <v>2.4861658582863098</v>
      </c>
      <c r="AG11" s="10">
        <f>'[2]WD 3ME'!AF$1</f>
        <v>2.5827606025654632</v>
      </c>
      <c r="AH11" s="10">
        <f>'[2]WD 3ME'!AG$1</f>
        <v>2.6820589046614494</v>
      </c>
      <c r="AI11" s="10">
        <f>'[2]WD 3ME'!AH$1</f>
        <v>2.783539045914905</v>
      </c>
      <c r="AJ11" s="10">
        <f>'[2]WD 3ME'!AI$1</f>
        <v>2.8867555137627794</v>
      </c>
      <c r="AK11" s="10">
        <f>'[2]WD 3ME'!AJ$1</f>
        <v>2.9912340718057182</v>
      </c>
      <c r="AL11" s="10">
        <f>'[2]WD 3ME'!AK$1</f>
        <v>3.096423105146576</v>
      </c>
    </row>
    <row r="12" spans="1:39" x14ac:dyDescent="0.35">
      <c r="A12">
        <f t="shared" si="1"/>
        <v>1</v>
      </c>
      <c r="B12" t="s">
        <v>77</v>
      </c>
      <c r="C12" s="10">
        <f>'[2]WD 3ME'!B$1</f>
        <v>1</v>
      </c>
      <c r="D12" s="10">
        <f>'[2]WD 3ME'!C$1</f>
        <v>1.04</v>
      </c>
      <c r="E12" s="10">
        <f>'[2]WD 3ME'!D$1</f>
        <v>1.0816000000000001</v>
      </c>
      <c r="F12" s="10">
        <f>'[2]WD 3ME'!E$1</f>
        <v>1.1248640000000001</v>
      </c>
      <c r="G12" s="10">
        <f>'[2]WD 3ME'!F$1</f>
        <v>1.1698585600000002</v>
      </c>
      <c r="H12" s="10">
        <f>'[2]WD 3ME'!G$1</f>
        <v>1.2166529024000003</v>
      </c>
      <c r="I12" s="10">
        <f>'[2]WD 3ME'!H$1</f>
        <v>1.2653190184960004</v>
      </c>
      <c r="J12" s="10">
        <f>'[2]WD 3ME'!I$1</f>
        <v>1.3159317792358405</v>
      </c>
      <c r="K12" s="10">
        <f>'[2]WD 3ME'!J$1</f>
        <v>1.3685690504052741</v>
      </c>
      <c r="L12" s="10">
        <f>'[2]WD 3ME'!K$1</f>
        <v>1.4233118124214852</v>
      </c>
      <c r="M12" s="10">
        <f>'[2]WD 3ME'!L$1</f>
        <v>1.4767838716009769</v>
      </c>
      <c r="N12" s="10">
        <f>'[2]WD 3ME'!M$1</f>
        <v>1.5194094584723921</v>
      </c>
      <c r="O12" s="10">
        <f>'[2]WD 3ME'!N$1</f>
        <v>1.5559022131929614</v>
      </c>
      <c r="P12" s="10">
        <f>'[2]WD 3ME'!O$1</f>
        <v>1.5886215937446344</v>
      </c>
      <c r="Q12" s="10">
        <f>'[2]WD 3ME'!P$1</f>
        <v>1.6197893009352593</v>
      </c>
      <c r="R12" s="10">
        <f>'[2]WD 3ME'!Q$1</f>
        <v>1.6510636966607195</v>
      </c>
      <c r="S12" s="10">
        <f>'[2]WD 3ME'!R$1</f>
        <v>1.68376080158424</v>
      </c>
      <c r="T12" s="10">
        <f>'[2]WD 3ME'!S$1</f>
        <v>1.7190348449645678</v>
      </c>
      <c r="U12" s="10">
        <f>'[2]WD 3ME'!T$1</f>
        <v>1.7576543359729664</v>
      </c>
      <c r="V12" s="10">
        <f>'[2]WD 3ME'!U$1</f>
        <v>1.7998672375228182</v>
      </c>
      <c r="W12" s="10">
        <f>'[2]WD 3ME'!V$1</f>
        <v>1.8460487180882716</v>
      </c>
      <c r="X12" s="10">
        <f>'[2]WD 3ME'!W$1</f>
        <v>1.8964690162108619</v>
      </c>
      <c r="Y12" s="10">
        <f>'[2]WD 3ME'!X$1</f>
        <v>1.9517729527055314</v>
      </c>
      <c r="Z12" s="10">
        <f>'[2]WD 3ME'!Y$1</f>
        <v>2.0122342833182612</v>
      </c>
      <c r="AA12" s="10">
        <f>'[2]WD 3ME'!Z$1</f>
        <v>2.0776279069645609</v>
      </c>
      <c r="AB12" s="10">
        <f>'[2]WD 3ME'!AA$1</f>
        <v>2.1480218229303709</v>
      </c>
      <c r="AC12" s="10">
        <f>'[2]WD 3ME'!AB$1</f>
        <v>2.2236716147387048</v>
      </c>
      <c r="AD12" s="10">
        <f>'[2]WD 3ME'!AC$1</f>
        <v>2.3053563431741608</v>
      </c>
      <c r="AE12" s="10">
        <f>'[2]WD 3ME'!AD$1</f>
        <v>2.3932202136189908</v>
      </c>
      <c r="AF12" s="10">
        <f>'[2]WD 3ME'!AE$1</f>
        <v>2.4861658582863098</v>
      </c>
      <c r="AG12" s="10">
        <f>'[2]WD 3ME'!AF$1</f>
        <v>2.5827606025654632</v>
      </c>
      <c r="AH12" s="10">
        <f>'[2]WD 3ME'!AG$1</f>
        <v>2.6820589046614494</v>
      </c>
      <c r="AI12" s="10">
        <f>'[2]WD 3ME'!AH$1</f>
        <v>2.783539045914905</v>
      </c>
      <c r="AJ12" s="10">
        <f>'[2]WD 3ME'!AI$1</f>
        <v>2.8867555137627794</v>
      </c>
      <c r="AK12" s="10">
        <f>'[2]WD 3ME'!AJ$1</f>
        <v>2.9912340718057182</v>
      </c>
      <c r="AL12" s="10">
        <f>'[2]WD 3ME'!AK$1</f>
        <v>3.096423105146576</v>
      </c>
    </row>
    <row r="13" spans="1:39" x14ac:dyDescent="0.35">
      <c r="A13">
        <f t="shared" si="1"/>
        <v>1</v>
      </c>
      <c r="B13" t="s">
        <v>78</v>
      </c>
      <c r="C13" s="10">
        <f>'[2]WD 3ME'!B$1</f>
        <v>1</v>
      </c>
      <c r="D13" s="10">
        <f>'[2]WD 3ME'!C$1</f>
        <v>1.04</v>
      </c>
      <c r="E13" s="10">
        <f>'[2]WD 3ME'!D$1</f>
        <v>1.0816000000000001</v>
      </c>
      <c r="F13" s="10">
        <f>'[2]WD 3ME'!E$1</f>
        <v>1.1248640000000001</v>
      </c>
      <c r="G13" s="10">
        <f>'[2]WD 3ME'!F$1</f>
        <v>1.1698585600000002</v>
      </c>
      <c r="H13" s="10">
        <f>'[2]WD 3ME'!G$1</f>
        <v>1.2166529024000003</v>
      </c>
      <c r="I13" s="10">
        <f>'[2]WD 3ME'!H$1</f>
        <v>1.2653190184960004</v>
      </c>
      <c r="J13" s="10">
        <f>'[2]WD 3ME'!I$1</f>
        <v>1.3159317792358405</v>
      </c>
      <c r="K13" s="10">
        <f>'[2]WD 3ME'!J$1</f>
        <v>1.3685690504052741</v>
      </c>
      <c r="L13" s="10">
        <f>'[2]WD 3ME'!K$1</f>
        <v>1.4233118124214852</v>
      </c>
      <c r="M13" s="10">
        <f>'[2]WD 3ME'!L$1</f>
        <v>1.4767838716009769</v>
      </c>
      <c r="N13" s="10">
        <f>'[2]WD 3ME'!M$1</f>
        <v>1.5194094584723921</v>
      </c>
      <c r="O13" s="10">
        <f>'[2]WD 3ME'!N$1</f>
        <v>1.5559022131929614</v>
      </c>
      <c r="P13" s="10">
        <f>'[2]WD 3ME'!O$1</f>
        <v>1.5886215937446344</v>
      </c>
      <c r="Q13" s="10">
        <f>'[2]WD 3ME'!P$1</f>
        <v>1.6197893009352593</v>
      </c>
      <c r="R13" s="10">
        <f>'[2]WD 3ME'!Q$1</f>
        <v>1.6510636966607195</v>
      </c>
      <c r="S13" s="10">
        <f>'[2]WD 3ME'!R$1</f>
        <v>1.68376080158424</v>
      </c>
      <c r="T13" s="10">
        <f>'[2]WD 3ME'!S$1</f>
        <v>1.7190348449645678</v>
      </c>
      <c r="U13" s="10">
        <f>'[2]WD 3ME'!T$1</f>
        <v>1.7576543359729664</v>
      </c>
      <c r="V13" s="10">
        <f>'[2]WD 3ME'!U$1</f>
        <v>1.7998672375228182</v>
      </c>
      <c r="W13" s="10">
        <f>'[2]WD 3ME'!V$1</f>
        <v>1.8460487180882716</v>
      </c>
      <c r="X13" s="10">
        <f>'[2]WD 3ME'!W$1</f>
        <v>1.8964690162108619</v>
      </c>
      <c r="Y13" s="10">
        <f>'[2]WD 3ME'!X$1</f>
        <v>1.9517729527055314</v>
      </c>
      <c r="Z13" s="10">
        <f>'[2]WD 3ME'!Y$1</f>
        <v>2.0122342833182612</v>
      </c>
      <c r="AA13" s="10">
        <f>'[2]WD 3ME'!Z$1</f>
        <v>2.0776279069645609</v>
      </c>
      <c r="AB13" s="10">
        <f>'[2]WD 3ME'!AA$1</f>
        <v>2.1480218229303709</v>
      </c>
      <c r="AC13" s="10">
        <f>'[2]WD 3ME'!AB$1</f>
        <v>2.2236716147387048</v>
      </c>
      <c r="AD13" s="10">
        <f>'[2]WD 3ME'!AC$1</f>
        <v>2.3053563431741608</v>
      </c>
      <c r="AE13" s="10">
        <f>'[2]WD 3ME'!AD$1</f>
        <v>2.3932202136189908</v>
      </c>
      <c r="AF13" s="10">
        <f>'[2]WD 3ME'!AE$1</f>
        <v>2.4861658582863098</v>
      </c>
      <c r="AG13" s="10">
        <f>'[2]WD 3ME'!AF$1</f>
        <v>2.5827606025654632</v>
      </c>
      <c r="AH13" s="10">
        <f>'[2]WD 3ME'!AG$1</f>
        <v>2.6820589046614494</v>
      </c>
      <c r="AI13" s="10">
        <f>'[2]WD 3ME'!AH$1</f>
        <v>2.783539045914905</v>
      </c>
      <c r="AJ13" s="10">
        <f>'[2]WD 3ME'!AI$1</f>
        <v>2.8867555137627794</v>
      </c>
      <c r="AK13" s="10">
        <f>'[2]WD 3ME'!AJ$1</f>
        <v>2.9912340718057182</v>
      </c>
      <c r="AL13" s="10">
        <f>'[2]WD 3ME'!AK$1</f>
        <v>3.096423105146576</v>
      </c>
    </row>
    <row r="14" spans="1:39" x14ac:dyDescent="0.35">
      <c r="A14">
        <f t="shared" si="1"/>
        <v>1</v>
      </c>
      <c r="B14" t="s">
        <v>79</v>
      </c>
      <c r="C14" s="10">
        <f>'[2]WD 3ME'!B$1</f>
        <v>1</v>
      </c>
      <c r="D14" s="10">
        <f>'[2]WD 3ME'!C$1</f>
        <v>1.04</v>
      </c>
      <c r="E14" s="10">
        <f>'[2]WD 3ME'!D$1</f>
        <v>1.0816000000000001</v>
      </c>
      <c r="F14" s="10">
        <f>'[2]WD 3ME'!E$1</f>
        <v>1.1248640000000001</v>
      </c>
      <c r="G14" s="10">
        <f>'[2]WD 3ME'!F$1</f>
        <v>1.1698585600000002</v>
      </c>
      <c r="H14" s="10">
        <f>'[2]WD 3ME'!G$1</f>
        <v>1.2166529024000003</v>
      </c>
      <c r="I14" s="10">
        <f>'[2]WD 3ME'!H$1</f>
        <v>1.2653190184960004</v>
      </c>
      <c r="J14" s="10">
        <f>'[2]WD 3ME'!I$1</f>
        <v>1.3159317792358405</v>
      </c>
      <c r="K14" s="10">
        <f>'[2]WD 3ME'!J$1</f>
        <v>1.3685690504052741</v>
      </c>
      <c r="L14" s="10">
        <f>'[2]WD 3ME'!K$1</f>
        <v>1.4233118124214852</v>
      </c>
      <c r="M14" s="10">
        <f>'[2]WD 3ME'!L$1</f>
        <v>1.4767838716009769</v>
      </c>
      <c r="N14" s="10">
        <f>'[2]WD 3ME'!M$1</f>
        <v>1.5194094584723921</v>
      </c>
      <c r="O14" s="10">
        <f>'[2]WD 3ME'!N$1</f>
        <v>1.5559022131929614</v>
      </c>
      <c r="P14" s="10">
        <f>'[2]WD 3ME'!O$1</f>
        <v>1.5886215937446344</v>
      </c>
      <c r="Q14" s="10">
        <f>'[2]WD 3ME'!P$1</f>
        <v>1.6197893009352593</v>
      </c>
      <c r="R14" s="10">
        <f>'[2]WD 3ME'!Q$1</f>
        <v>1.6510636966607195</v>
      </c>
      <c r="S14" s="10">
        <f>'[2]WD 3ME'!R$1</f>
        <v>1.68376080158424</v>
      </c>
      <c r="T14" s="10">
        <f>'[2]WD 3ME'!S$1</f>
        <v>1.7190348449645678</v>
      </c>
      <c r="U14" s="10">
        <f>'[2]WD 3ME'!T$1</f>
        <v>1.7576543359729664</v>
      </c>
      <c r="V14" s="10">
        <f>'[2]WD 3ME'!U$1</f>
        <v>1.7998672375228182</v>
      </c>
      <c r="W14" s="10">
        <f>'[2]WD 3ME'!V$1</f>
        <v>1.8460487180882716</v>
      </c>
      <c r="X14" s="10">
        <f>'[2]WD 3ME'!W$1</f>
        <v>1.8964690162108619</v>
      </c>
      <c r="Y14" s="10">
        <f>'[2]WD 3ME'!X$1</f>
        <v>1.9517729527055314</v>
      </c>
      <c r="Z14" s="10">
        <f>'[2]WD 3ME'!Y$1</f>
        <v>2.0122342833182612</v>
      </c>
      <c r="AA14" s="10">
        <f>'[2]WD 3ME'!Z$1</f>
        <v>2.0776279069645609</v>
      </c>
      <c r="AB14" s="10">
        <f>'[2]WD 3ME'!AA$1</f>
        <v>2.1480218229303709</v>
      </c>
      <c r="AC14" s="10">
        <f>'[2]WD 3ME'!AB$1</f>
        <v>2.2236716147387048</v>
      </c>
      <c r="AD14" s="10">
        <f>'[2]WD 3ME'!AC$1</f>
        <v>2.3053563431741608</v>
      </c>
      <c r="AE14" s="10">
        <f>'[2]WD 3ME'!AD$1</f>
        <v>2.3932202136189908</v>
      </c>
      <c r="AF14" s="10">
        <f>'[2]WD 3ME'!AE$1</f>
        <v>2.4861658582863098</v>
      </c>
      <c r="AG14" s="10">
        <f>'[2]WD 3ME'!AF$1</f>
        <v>2.5827606025654632</v>
      </c>
      <c r="AH14" s="10">
        <f>'[2]WD 3ME'!AG$1</f>
        <v>2.6820589046614494</v>
      </c>
      <c r="AI14" s="10">
        <f>'[2]WD 3ME'!AH$1</f>
        <v>2.783539045914905</v>
      </c>
      <c r="AJ14" s="10">
        <f>'[2]WD 3ME'!AI$1</f>
        <v>2.8867555137627794</v>
      </c>
      <c r="AK14" s="10">
        <f>'[2]WD 3ME'!AJ$1</f>
        <v>2.9912340718057182</v>
      </c>
      <c r="AL14" s="10">
        <f>'[2]WD 3ME'!AK$1</f>
        <v>3.096423105146576</v>
      </c>
    </row>
    <row r="15" spans="1:39" x14ac:dyDescent="0.35">
      <c r="A15">
        <f t="shared" si="1"/>
        <v>1</v>
      </c>
      <c r="B15" t="s">
        <v>80</v>
      </c>
      <c r="C15" s="10">
        <f>'[2]WD 3ME'!B$1</f>
        <v>1</v>
      </c>
      <c r="D15" s="10">
        <f>'[2]WD 3ME'!C$1</f>
        <v>1.04</v>
      </c>
      <c r="E15" s="10">
        <f>'[2]WD 3ME'!D$1</f>
        <v>1.0816000000000001</v>
      </c>
      <c r="F15" s="10">
        <f>'[2]WD 3ME'!E$1</f>
        <v>1.1248640000000001</v>
      </c>
      <c r="G15" s="10">
        <f>'[2]WD 3ME'!F$1</f>
        <v>1.1698585600000002</v>
      </c>
      <c r="H15" s="10">
        <f>'[2]WD 3ME'!G$1</f>
        <v>1.2166529024000003</v>
      </c>
      <c r="I15" s="10">
        <f>'[2]WD 3ME'!H$1</f>
        <v>1.2653190184960004</v>
      </c>
      <c r="J15" s="10">
        <f>'[2]WD 3ME'!I$1</f>
        <v>1.3159317792358405</v>
      </c>
      <c r="K15" s="10">
        <f>'[2]WD 3ME'!J$1</f>
        <v>1.3685690504052741</v>
      </c>
      <c r="L15" s="10">
        <f>'[2]WD 3ME'!K$1</f>
        <v>1.4233118124214852</v>
      </c>
      <c r="M15" s="10">
        <f>'[2]WD 3ME'!L$1</f>
        <v>1.4767838716009769</v>
      </c>
      <c r="N15" s="10">
        <f>'[2]WD 3ME'!M$1</f>
        <v>1.5194094584723921</v>
      </c>
      <c r="O15" s="10">
        <f>'[2]WD 3ME'!N$1</f>
        <v>1.5559022131929614</v>
      </c>
      <c r="P15" s="10">
        <f>'[2]WD 3ME'!O$1</f>
        <v>1.5886215937446344</v>
      </c>
      <c r="Q15" s="10">
        <f>'[2]WD 3ME'!P$1</f>
        <v>1.6197893009352593</v>
      </c>
      <c r="R15" s="10">
        <f>'[2]WD 3ME'!Q$1</f>
        <v>1.6510636966607195</v>
      </c>
      <c r="S15" s="10">
        <f>'[2]WD 3ME'!R$1</f>
        <v>1.68376080158424</v>
      </c>
      <c r="T15" s="10">
        <f>'[2]WD 3ME'!S$1</f>
        <v>1.7190348449645678</v>
      </c>
      <c r="U15" s="10">
        <f>'[2]WD 3ME'!T$1</f>
        <v>1.7576543359729664</v>
      </c>
      <c r="V15" s="10">
        <f>'[2]WD 3ME'!U$1</f>
        <v>1.7998672375228182</v>
      </c>
      <c r="W15" s="10">
        <f>'[2]WD 3ME'!V$1</f>
        <v>1.8460487180882716</v>
      </c>
      <c r="X15" s="10">
        <f>'[2]WD 3ME'!W$1</f>
        <v>1.8964690162108619</v>
      </c>
      <c r="Y15" s="10">
        <f>'[2]WD 3ME'!X$1</f>
        <v>1.9517729527055314</v>
      </c>
      <c r="Z15" s="10">
        <f>'[2]WD 3ME'!Y$1</f>
        <v>2.0122342833182612</v>
      </c>
      <c r="AA15" s="10">
        <f>'[2]WD 3ME'!Z$1</f>
        <v>2.0776279069645609</v>
      </c>
      <c r="AB15" s="10">
        <f>'[2]WD 3ME'!AA$1</f>
        <v>2.1480218229303709</v>
      </c>
      <c r="AC15" s="10">
        <f>'[2]WD 3ME'!AB$1</f>
        <v>2.2236716147387048</v>
      </c>
      <c r="AD15" s="10">
        <f>'[2]WD 3ME'!AC$1</f>
        <v>2.3053563431741608</v>
      </c>
      <c r="AE15" s="10">
        <f>'[2]WD 3ME'!AD$1</f>
        <v>2.3932202136189908</v>
      </c>
      <c r="AF15" s="10">
        <f>'[2]WD 3ME'!AE$1</f>
        <v>2.4861658582863098</v>
      </c>
      <c r="AG15" s="10">
        <f>'[2]WD 3ME'!AF$1</f>
        <v>2.5827606025654632</v>
      </c>
      <c r="AH15" s="10">
        <f>'[2]WD 3ME'!AG$1</f>
        <v>2.6820589046614494</v>
      </c>
      <c r="AI15" s="10">
        <f>'[2]WD 3ME'!AH$1</f>
        <v>2.783539045914905</v>
      </c>
      <c r="AJ15" s="10">
        <f>'[2]WD 3ME'!AI$1</f>
        <v>2.8867555137627794</v>
      </c>
      <c r="AK15" s="10">
        <f>'[2]WD 3ME'!AJ$1</f>
        <v>2.9912340718057182</v>
      </c>
      <c r="AL15" s="10">
        <f>'[2]WD 3ME'!AK$1</f>
        <v>3.096423105146576</v>
      </c>
    </row>
    <row r="16" spans="1:39" x14ac:dyDescent="0.35">
      <c r="A16">
        <f t="shared" si="1"/>
        <v>1</v>
      </c>
      <c r="B16" t="s">
        <v>81</v>
      </c>
      <c r="C16" s="10">
        <f>'[2]WD 3ME'!B$1</f>
        <v>1</v>
      </c>
      <c r="D16" s="10">
        <f>'[2]WD 3ME'!C$1</f>
        <v>1.04</v>
      </c>
      <c r="E16" s="10">
        <f>'[2]WD 3ME'!D$1</f>
        <v>1.0816000000000001</v>
      </c>
      <c r="F16" s="10">
        <f>'[2]WD 3ME'!E$1</f>
        <v>1.1248640000000001</v>
      </c>
      <c r="G16" s="10">
        <f>'[2]WD 3ME'!F$1</f>
        <v>1.1698585600000002</v>
      </c>
      <c r="H16" s="10">
        <f>'[2]WD 3ME'!G$1</f>
        <v>1.2166529024000003</v>
      </c>
      <c r="I16" s="10">
        <f>'[2]WD 3ME'!H$1</f>
        <v>1.2653190184960004</v>
      </c>
      <c r="J16" s="10">
        <f>'[2]WD 3ME'!I$1</f>
        <v>1.3159317792358405</v>
      </c>
      <c r="K16" s="10">
        <f>'[2]WD 3ME'!J$1</f>
        <v>1.3685690504052741</v>
      </c>
      <c r="L16" s="10">
        <f>'[2]WD 3ME'!K$1</f>
        <v>1.4233118124214852</v>
      </c>
      <c r="M16" s="10">
        <f>'[2]WD 3ME'!L$1</f>
        <v>1.4767838716009769</v>
      </c>
      <c r="N16" s="10">
        <f>'[2]WD 3ME'!M$1</f>
        <v>1.5194094584723921</v>
      </c>
      <c r="O16" s="10">
        <f>'[2]WD 3ME'!N$1</f>
        <v>1.5559022131929614</v>
      </c>
      <c r="P16" s="10">
        <f>'[2]WD 3ME'!O$1</f>
        <v>1.5886215937446344</v>
      </c>
      <c r="Q16" s="10">
        <f>'[2]WD 3ME'!P$1</f>
        <v>1.6197893009352593</v>
      </c>
      <c r="R16" s="10">
        <f>'[2]WD 3ME'!Q$1</f>
        <v>1.6510636966607195</v>
      </c>
      <c r="S16" s="10">
        <f>'[2]WD 3ME'!R$1</f>
        <v>1.68376080158424</v>
      </c>
      <c r="T16" s="10">
        <f>'[2]WD 3ME'!S$1</f>
        <v>1.7190348449645678</v>
      </c>
      <c r="U16" s="10">
        <f>'[2]WD 3ME'!T$1</f>
        <v>1.7576543359729664</v>
      </c>
      <c r="V16" s="10">
        <f>'[2]WD 3ME'!U$1</f>
        <v>1.7998672375228182</v>
      </c>
      <c r="W16" s="10">
        <f>'[2]WD 3ME'!V$1</f>
        <v>1.8460487180882716</v>
      </c>
      <c r="X16" s="10">
        <f>'[2]WD 3ME'!W$1</f>
        <v>1.8964690162108619</v>
      </c>
      <c r="Y16" s="10">
        <f>'[2]WD 3ME'!X$1</f>
        <v>1.9517729527055314</v>
      </c>
      <c r="Z16" s="10">
        <f>'[2]WD 3ME'!Y$1</f>
        <v>2.0122342833182612</v>
      </c>
      <c r="AA16" s="10">
        <f>'[2]WD 3ME'!Z$1</f>
        <v>2.0776279069645609</v>
      </c>
      <c r="AB16" s="10">
        <f>'[2]WD 3ME'!AA$1</f>
        <v>2.1480218229303709</v>
      </c>
      <c r="AC16" s="10">
        <f>'[2]WD 3ME'!AB$1</f>
        <v>2.2236716147387048</v>
      </c>
      <c r="AD16" s="10">
        <f>'[2]WD 3ME'!AC$1</f>
        <v>2.3053563431741608</v>
      </c>
      <c r="AE16" s="10">
        <f>'[2]WD 3ME'!AD$1</f>
        <v>2.3932202136189908</v>
      </c>
      <c r="AF16" s="10">
        <f>'[2]WD 3ME'!AE$1</f>
        <v>2.4861658582863098</v>
      </c>
      <c r="AG16" s="10">
        <f>'[2]WD 3ME'!AF$1</f>
        <v>2.5827606025654632</v>
      </c>
      <c r="AH16" s="10">
        <f>'[2]WD 3ME'!AG$1</f>
        <v>2.6820589046614494</v>
      </c>
      <c r="AI16" s="10">
        <f>'[2]WD 3ME'!AH$1</f>
        <v>2.783539045914905</v>
      </c>
      <c r="AJ16" s="10">
        <f>'[2]WD 3ME'!AI$1</f>
        <v>2.8867555137627794</v>
      </c>
      <c r="AK16" s="10">
        <f>'[2]WD 3ME'!AJ$1</f>
        <v>2.9912340718057182</v>
      </c>
      <c r="AL16" s="10">
        <f>'[2]WD 3ME'!AK$1</f>
        <v>3.096423105146576</v>
      </c>
    </row>
    <row r="17" spans="1:38" x14ac:dyDescent="0.35">
      <c r="A17">
        <f t="shared" si="1"/>
        <v>1</v>
      </c>
      <c r="B17" t="s">
        <v>82</v>
      </c>
      <c r="C17" s="10">
        <f>'[2]WD 3ME'!B$1</f>
        <v>1</v>
      </c>
      <c r="D17" s="10">
        <f>'[2]WD 3ME'!C$1</f>
        <v>1.04</v>
      </c>
      <c r="E17" s="10">
        <f>'[2]WD 3ME'!D$1</f>
        <v>1.0816000000000001</v>
      </c>
      <c r="F17" s="10">
        <f>'[2]WD 3ME'!E$1</f>
        <v>1.1248640000000001</v>
      </c>
      <c r="G17" s="10">
        <f>'[2]WD 3ME'!F$1</f>
        <v>1.1698585600000002</v>
      </c>
      <c r="H17" s="10">
        <f>'[2]WD 3ME'!G$1</f>
        <v>1.2166529024000003</v>
      </c>
      <c r="I17" s="10">
        <f>'[2]WD 3ME'!H$1</f>
        <v>1.2653190184960004</v>
      </c>
      <c r="J17" s="10">
        <f>'[2]WD 3ME'!I$1</f>
        <v>1.3159317792358405</v>
      </c>
      <c r="K17" s="10">
        <f>'[2]WD 3ME'!J$1</f>
        <v>1.3685690504052741</v>
      </c>
      <c r="L17" s="10">
        <f>'[2]WD 3ME'!K$1</f>
        <v>1.4233118124214852</v>
      </c>
      <c r="M17" s="10">
        <f>'[2]WD 3ME'!L$1</f>
        <v>1.4767838716009769</v>
      </c>
      <c r="N17" s="10">
        <f>'[2]WD 3ME'!M$1</f>
        <v>1.5194094584723921</v>
      </c>
      <c r="O17" s="10">
        <f>'[2]WD 3ME'!N$1</f>
        <v>1.5559022131929614</v>
      </c>
      <c r="P17" s="10">
        <f>'[2]WD 3ME'!O$1</f>
        <v>1.5886215937446344</v>
      </c>
      <c r="Q17" s="10">
        <f>'[2]WD 3ME'!P$1</f>
        <v>1.6197893009352593</v>
      </c>
      <c r="R17" s="10">
        <f>'[2]WD 3ME'!Q$1</f>
        <v>1.6510636966607195</v>
      </c>
      <c r="S17" s="10">
        <f>'[2]WD 3ME'!R$1</f>
        <v>1.68376080158424</v>
      </c>
      <c r="T17" s="10">
        <f>'[2]WD 3ME'!S$1</f>
        <v>1.7190348449645678</v>
      </c>
      <c r="U17" s="10">
        <f>'[2]WD 3ME'!T$1</f>
        <v>1.7576543359729664</v>
      </c>
      <c r="V17" s="10">
        <f>'[2]WD 3ME'!U$1</f>
        <v>1.7998672375228182</v>
      </c>
      <c r="W17" s="10">
        <f>'[2]WD 3ME'!V$1</f>
        <v>1.8460487180882716</v>
      </c>
      <c r="X17" s="10">
        <f>'[2]WD 3ME'!W$1</f>
        <v>1.8964690162108619</v>
      </c>
      <c r="Y17" s="10">
        <f>'[2]WD 3ME'!X$1</f>
        <v>1.9517729527055314</v>
      </c>
      <c r="Z17" s="10">
        <f>'[2]WD 3ME'!Y$1</f>
        <v>2.0122342833182612</v>
      </c>
      <c r="AA17" s="10">
        <f>'[2]WD 3ME'!Z$1</f>
        <v>2.0776279069645609</v>
      </c>
      <c r="AB17" s="10">
        <f>'[2]WD 3ME'!AA$1</f>
        <v>2.1480218229303709</v>
      </c>
      <c r="AC17" s="10">
        <f>'[2]WD 3ME'!AB$1</f>
        <v>2.2236716147387048</v>
      </c>
      <c r="AD17" s="10">
        <f>'[2]WD 3ME'!AC$1</f>
        <v>2.3053563431741608</v>
      </c>
      <c r="AE17" s="10">
        <f>'[2]WD 3ME'!AD$1</f>
        <v>2.3932202136189908</v>
      </c>
      <c r="AF17" s="10">
        <f>'[2]WD 3ME'!AE$1</f>
        <v>2.4861658582863098</v>
      </c>
      <c r="AG17" s="10">
        <f>'[2]WD 3ME'!AF$1</f>
        <v>2.5827606025654632</v>
      </c>
      <c r="AH17" s="10">
        <f>'[2]WD 3ME'!AG$1</f>
        <v>2.6820589046614494</v>
      </c>
      <c r="AI17" s="10">
        <f>'[2]WD 3ME'!AH$1</f>
        <v>2.783539045914905</v>
      </c>
      <c r="AJ17" s="10">
        <f>'[2]WD 3ME'!AI$1</f>
        <v>2.8867555137627794</v>
      </c>
      <c r="AK17" s="10">
        <f>'[2]WD 3ME'!AJ$1</f>
        <v>2.9912340718057182</v>
      </c>
      <c r="AL17" s="10">
        <f>'[2]WD 3ME'!AK$1</f>
        <v>3.096423105146576</v>
      </c>
    </row>
    <row r="18" spans="1:38" x14ac:dyDescent="0.35">
      <c r="A18">
        <f t="shared" si="1"/>
        <v>1</v>
      </c>
      <c r="B18" t="s">
        <v>83</v>
      </c>
      <c r="C18" s="10">
        <f>'[2]WD 3ME'!B$1</f>
        <v>1</v>
      </c>
      <c r="D18" s="10">
        <f>'[2]WD 3ME'!C$1</f>
        <v>1.04</v>
      </c>
      <c r="E18" s="10">
        <f>'[2]WD 3ME'!D$1</f>
        <v>1.0816000000000001</v>
      </c>
      <c r="F18" s="10">
        <f>'[2]WD 3ME'!E$1</f>
        <v>1.1248640000000001</v>
      </c>
      <c r="G18" s="10">
        <f>'[2]WD 3ME'!F$1</f>
        <v>1.1698585600000002</v>
      </c>
      <c r="H18" s="10">
        <f>'[2]WD 3ME'!G$1</f>
        <v>1.2166529024000003</v>
      </c>
      <c r="I18" s="10">
        <f>'[2]WD 3ME'!H$1</f>
        <v>1.2653190184960004</v>
      </c>
      <c r="J18" s="10">
        <f>'[2]WD 3ME'!I$1</f>
        <v>1.3159317792358405</v>
      </c>
      <c r="K18" s="10">
        <f>'[2]WD 3ME'!J$1</f>
        <v>1.3685690504052741</v>
      </c>
      <c r="L18" s="10">
        <f>'[2]WD 3ME'!K$1</f>
        <v>1.4233118124214852</v>
      </c>
      <c r="M18" s="10">
        <f>'[2]WD 3ME'!L$1</f>
        <v>1.4767838716009769</v>
      </c>
      <c r="N18" s="10">
        <f>'[2]WD 3ME'!M$1</f>
        <v>1.5194094584723921</v>
      </c>
      <c r="O18" s="10">
        <f>'[2]WD 3ME'!N$1</f>
        <v>1.5559022131929614</v>
      </c>
      <c r="P18" s="10">
        <f>'[2]WD 3ME'!O$1</f>
        <v>1.5886215937446344</v>
      </c>
      <c r="Q18" s="10">
        <f>'[2]WD 3ME'!P$1</f>
        <v>1.6197893009352593</v>
      </c>
      <c r="R18" s="10">
        <f>'[2]WD 3ME'!Q$1</f>
        <v>1.6510636966607195</v>
      </c>
      <c r="S18" s="10">
        <f>'[2]WD 3ME'!R$1</f>
        <v>1.68376080158424</v>
      </c>
      <c r="T18" s="10">
        <f>'[2]WD 3ME'!S$1</f>
        <v>1.7190348449645678</v>
      </c>
      <c r="U18" s="10">
        <f>'[2]WD 3ME'!T$1</f>
        <v>1.7576543359729664</v>
      </c>
      <c r="V18" s="10">
        <f>'[2]WD 3ME'!U$1</f>
        <v>1.7998672375228182</v>
      </c>
      <c r="W18" s="10">
        <f>'[2]WD 3ME'!V$1</f>
        <v>1.8460487180882716</v>
      </c>
      <c r="X18" s="10">
        <f>'[2]WD 3ME'!W$1</f>
        <v>1.8964690162108619</v>
      </c>
      <c r="Y18" s="10">
        <f>'[2]WD 3ME'!X$1</f>
        <v>1.9517729527055314</v>
      </c>
      <c r="Z18" s="10">
        <f>'[2]WD 3ME'!Y$1</f>
        <v>2.0122342833182612</v>
      </c>
      <c r="AA18" s="10">
        <f>'[2]WD 3ME'!Z$1</f>
        <v>2.0776279069645609</v>
      </c>
      <c r="AB18" s="10">
        <f>'[2]WD 3ME'!AA$1</f>
        <v>2.1480218229303709</v>
      </c>
      <c r="AC18" s="10">
        <f>'[2]WD 3ME'!AB$1</f>
        <v>2.2236716147387048</v>
      </c>
      <c r="AD18" s="10">
        <f>'[2]WD 3ME'!AC$1</f>
        <v>2.3053563431741608</v>
      </c>
      <c r="AE18" s="10">
        <f>'[2]WD 3ME'!AD$1</f>
        <v>2.3932202136189908</v>
      </c>
      <c r="AF18" s="10">
        <f>'[2]WD 3ME'!AE$1</f>
        <v>2.4861658582863098</v>
      </c>
      <c r="AG18" s="10">
        <f>'[2]WD 3ME'!AF$1</f>
        <v>2.5827606025654632</v>
      </c>
      <c r="AH18" s="10">
        <f>'[2]WD 3ME'!AG$1</f>
        <v>2.6820589046614494</v>
      </c>
      <c r="AI18" s="10">
        <f>'[2]WD 3ME'!AH$1</f>
        <v>2.783539045914905</v>
      </c>
      <c r="AJ18" s="10">
        <f>'[2]WD 3ME'!AI$1</f>
        <v>2.8867555137627794</v>
      </c>
      <c r="AK18" s="10">
        <f>'[2]WD 3ME'!AJ$1</f>
        <v>2.9912340718057182</v>
      </c>
      <c r="AL18" s="10">
        <f>'[2]WD 3ME'!AK$1</f>
        <v>3.096423105146576</v>
      </c>
    </row>
    <row r="19" spans="1:38" x14ac:dyDescent="0.35">
      <c r="A19">
        <f t="shared" si="1"/>
        <v>1</v>
      </c>
      <c r="B19" t="s">
        <v>84</v>
      </c>
      <c r="C19" s="10">
        <f>'[2]WD 3ME'!B$1</f>
        <v>1</v>
      </c>
      <c r="D19" s="10">
        <f>'[2]WD 3ME'!C$1</f>
        <v>1.04</v>
      </c>
      <c r="E19" s="10">
        <f>'[2]WD 3ME'!D$1</f>
        <v>1.0816000000000001</v>
      </c>
      <c r="F19" s="10">
        <f>'[2]WD 3ME'!E$1</f>
        <v>1.1248640000000001</v>
      </c>
      <c r="G19" s="10">
        <f>'[2]WD 3ME'!F$1</f>
        <v>1.1698585600000002</v>
      </c>
      <c r="H19" s="10">
        <f>'[2]WD 3ME'!G$1</f>
        <v>1.2166529024000003</v>
      </c>
      <c r="I19" s="10">
        <f>'[2]WD 3ME'!H$1</f>
        <v>1.2653190184960004</v>
      </c>
      <c r="J19" s="10">
        <f>'[2]WD 3ME'!I$1</f>
        <v>1.3159317792358405</v>
      </c>
      <c r="K19" s="10">
        <f>'[2]WD 3ME'!J$1</f>
        <v>1.3685690504052741</v>
      </c>
      <c r="L19" s="10">
        <f>'[2]WD 3ME'!K$1</f>
        <v>1.4233118124214852</v>
      </c>
      <c r="M19" s="10">
        <f>'[2]WD 3ME'!L$1</f>
        <v>1.4767838716009769</v>
      </c>
      <c r="N19" s="10">
        <f>'[2]WD 3ME'!M$1</f>
        <v>1.5194094584723921</v>
      </c>
      <c r="O19" s="10">
        <f>'[2]WD 3ME'!N$1</f>
        <v>1.5559022131929614</v>
      </c>
      <c r="P19" s="10">
        <f>'[2]WD 3ME'!O$1</f>
        <v>1.5886215937446344</v>
      </c>
      <c r="Q19" s="10">
        <f>'[2]WD 3ME'!P$1</f>
        <v>1.6197893009352593</v>
      </c>
      <c r="R19" s="10">
        <f>'[2]WD 3ME'!Q$1</f>
        <v>1.6510636966607195</v>
      </c>
      <c r="S19" s="10">
        <f>'[2]WD 3ME'!R$1</f>
        <v>1.68376080158424</v>
      </c>
      <c r="T19" s="10">
        <f>'[2]WD 3ME'!S$1</f>
        <v>1.7190348449645678</v>
      </c>
      <c r="U19" s="10">
        <f>'[2]WD 3ME'!T$1</f>
        <v>1.7576543359729664</v>
      </c>
      <c r="V19" s="10">
        <f>'[2]WD 3ME'!U$1</f>
        <v>1.7998672375228182</v>
      </c>
      <c r="W19" s="10">
        <f>'[2]WD 3ME'!V$1</f>
        <v>1.8460487180882716</v>
      </c>
      <c r="X19" s="10">
        <f>'[2]WD 3ME'!W$1</f>
        <v>1.8964690162108619</v>
      </c>
      <c r="Y19" s="10">
        <f>'[2]WD 3ME'!X$1</f>
        <v>1.9517729527055314</v>
      </c>
      <c r="Z19" s="10">
        <f>'[2]WD 3ME'!Y$1</f>
        <v>2.0122342833182612</v>
      </c>
      <c r="AA19" s="10">
        <f>'[2]WD 3ME'!Z$1</f>
        <v>2.0776279069645609</v>
      </c>
      <c r="AB19" s="10">
        <f>'[2]WD 3ME'!AA$1</f>
        <v>2.1480218229303709</v>
      </c>
      <c r="AC19" s="10">
        <f>'[2]WD 3ME'!AB$1</f>
        <v>2.2236716147387048</v>
      </c>
      <c r="AD19" s="10">
        <f>'[2]WD 3ME'!AC$1</f>
        <v>2.3053563431741608</v>
      </c>
      <c r="AE19" s="10">
        <f>'[2]WD 3ME'!AD$1</f>
        <v>2.3932202136189908</v>
      </c>
      <c r="AF19" s="10">
        <f>'[2]WD 3ME'!AE$1</f>
        <v>2.4861658582863098</v>
      </c>
      <c r="AG19" s="10">
        <f>'[2]WD 3ME'!AF$1</f>
        <v>2.5827606025654632</v>
      </c>
      <c r="AH19" s="10">
        <f>'[2]WD 3ME'!AG$1</f>
        <v>2.6820589046614494</v>
      </c>
      <c r="AI19" s="10">
        <f>'[2]WD 3ME'!AH$1</f>
        <v>2.783539045914905</v>
      </c>
      <c r="AJ19" s="10">
        <f>'[2]WD 3ME'!AI$1</f>
        <v>2.8867555137627794</v>
      </c>
      <c r="AK19" s="10">
        <f>'[2]WD 3ME'!AJ$1</f>
        <v>2.9912340718057182</v>
      </c>
      <c r="AL19" s="10">
        <f>'[2]WD 3ME'!AK$1</f>
        <v>3.096423105146576</v>
      </c>
    </row>
    <row r="20" spans="1:38" x14ac:dyDescent="0.35">
      <c r="A20">
        <f t="shared" si="1"/>
        <v>1</v>
      </c>
      <c r="B20" t="s">
        <v>85</v>
      </c>
      <c r="C20" s="10">
        <f>'[2]WD 3ME'!B$1</f>
        <v>1</v>
      </c>
      <c r="D20" s="10">
        <f>'[2]WD 3ME'!C$1</f>
        <v>1.04</v>
      </c>
      <c r="E20" s="10">
        <f>'[2]WD 3ME'!D$1</f>
        <v>1.0816000000000001</v>
      </c>
      <c r="F20" s="10">
        <f>'[2]WD 3ME'!E$1</f>
        <v>1.1248640000000001</v>
      </c>
      <c r="G20" s="10">
        <f>'[2]WD 3ME'!F$1</f>
        <v>1.1698585600000002</v>
      </c>
      <c r="H20" s="10">
        <f>'[2]WD 3ME'!G$1</f>
        <v>1.2166529024000003</v>
      </c>
      <c r="I20" s="10">
        <f>'[2]WD 3ME'!H$1</f>
        <v>1.2653190184960004</v>
      </c>
      <c r="J20" s="10">
        <f>'[2]WD 3ME'!I$1</f>
        <v>1.3159317792358405</v>
      </c>
      <c r="K20" s="10">
        <f>'[2]WD 3ME'!J$1</f>
        <v>1.3685690504052741</v>
      </c>
      <c r="L20" s="10">
        <f>'[2]WD 3ME'!K$1</f>
        <v>1.4233118124214852</v>
      </c>
      <c r="M20" s="10">
        <f>'[2]WD 3ME'!L$1</f>
        <v>1.4767838716009769</v>
      </c>
      <c r="N20" s="10">
        <f>'[2]WD 3ME'!M$1</f>
        <v>1.5194094584723921</v>
      </c>
      <c r="O20" s="10">
        <f>'[2]WD 3ME'!N$1</f>
        <v>1.5559022131929614</v>
      </c>
      <c r="P20" s="10">
        <f>'[2]WD 3ME'!O$1</f>
        <v>1.5886215937446344</v>
      </c>
      <c r="Q20" s="10">
        <f>'[2]WD 3ME'!P$1</f>
        <v>1.6197893009352593</v>
      </c>
      <c r="R20" s="10">
        <f>'[2]WD 3ME'!Q$1</f>
        <v>1.6510636966607195</v>
      </c>
      <c r="S20" s="10">
        <f>'[2]WD 3ME'!R$1</f>
        <v>1.68376080158424</v>
      </c>
      <c r="T20" s="10">
        <f>'[2]WD 3ME'!S$1</f>
        <v>1.7190348449645678</v>
      </c>
      <c r="U20" s="10">
        <f>'[2]WD 3ME'!T$1</f>
        <v>1.7576543359729664</v>
      </c>
      <c r="V20" s="10">
        <f>'[2]WD 3ME'!U$1</f>
        <v>1.7998672375228182</v>
      </c>
      <c r="W20" s="10">
        <f>'[2]WD 3ME'!V$1</f>
        <v>1.8460487180882716</v>
      </c>
      <c r="X20" s="10">
        <f>'[2]WD 3ME'!W$1</f>
        <v>1.8964690162108619</v>
      </c>
      <c r="Y20" s="10">
        <f>'[2]WD 3ME'!X$1</f>
        <v>1.9517729527055314</v>
      </c>
      <c r="Z20" s="10">
        <f>'[2]WD 3ME'!Y$1</f>
        <v>2.0122342833182612</v>
      </c>
      <c r="AA20" s="10">
        <f>'[2]WD 3ME'!Z$1</f>
        <v>2.0776279069645609</v>
      </c>
      <c r="AB20" s="10">
        <f>'[2]WD 3ME'!AA$1</f>
        <v>2.1480218229303709</v>
      </c>
      <c r="AC20" s="10">
        <f>'[2]WD 3ME'!AB$1</f>
        <v>2.2236716147387048</v>
      </c>
      <c r="AD20" s="10">
        <f>'[2]WD 3ME'!AC$1</f>
        <v>2.3053563431741608</v>
      </c>
      <c r="AE20" s="10">
        <f>'[2]WD 3ME'!AD$1</f>
        <v>2.3932202136189908</v>
      </c>
      <c r="AF20" s="10">
        <f>'[2]WD 3ME'!AE$1</f>
        <v>2.4861658582863098</v>
      </c>
      <c r="AG20" s="10">
        <f>'[2]WD 3ME'!AF$1</f>
        <v>2.5827606025654632</v>
      </c>
      <c r="AH20" s="10">
        <f>'[2]WD 3ME'!AG$1</f>
        <v>2.6820589046614494</v>
      </c>
      <c r="AI20" s="10">
        <f>'[2]WD 3ME'!AH$1</f>
        <v>2.783539045914905</v>
      </c>
      <c r="AJ20" s="10">
        <f>'[2]WD 3ME'!AI$1</f>
        <v>2.8867555137627794</v>
      </c>
      <c r="AK20" s="10">
        <f>'[2]WD 3ME'!AJ$1</f>
        <v>2.9912340718057182</v>
      </c>
      <c r="AL20" s="10">
        <f>'[2]WD 3ME'!AK$1</f>
        <v>3.096423105146576</v>
      </c>
    </row>
    <row r="21" spans="1:38" x14ac:dyDescent="0.35">
      <c r="A21">
        <f t="shared" si="1"/>
        <v>1</v>
      </c>
      <c r="B21" t="s">
        <v>86</v>
      </c>
      <c r="C21" s="10">
        <f>'[2]WD 3ME'!B$1</f>
        <v>1</v>
      </c>
      <c r="D21" s="10">
        <f>'[2]WD 3ME'!C$1</f>
        <v>1.04</v>
      </c>
      <c r="E21" s="10">
        <f>'[2]WD 3ME'!D$1</f>
        <v>1.0816000000000001</v>
      </c>
      <c r="F21" s="10">
        <f>'[2]WD 3ME'!E$1</f>
        <v>1.1248640000000001</v>
      </c>
      <c r="G21" s="10">
        <f>'[2]WD 3ME'!F$1</f>
        <v>1.1698585600000002</v>
      </c>
      <c r="H21" s="10">
        <f>'[2]WD 3ME'!G$1</f>
        <v>1.2166529024000003</v>
      </c>
      <c r="I21" s="10">
        <f>'[2]WD 3ME'!H$1</f>
        <v>1.2653190184960004</v>
      </c>
      <c r="J21" s="10">
        <f>'[2]WD 3ME'!I$1</f>
        <v>1.3159317792358405</v>
      </c>
      <c r="K21" s="10">
        <f>'[2]WD 3ME'!J$1</f>
        <v>1.3685690504052741</v>
      </c>
      <c r="L21" s="10">
        <f>'[2]WD 3ME'!K$1</f>
        <v>1.4233118124214852</v>
      </c>
      <c r="M21" s="10">
        <f>'[2]WD 3ME'!L$1</f>
        <v>1.4767838716009769</v>
      </c>
      <c r="N21" s="10">
        <f>'[2]WD 3ME'!M$1</f>
        <v>1.5194094584723921</v>
      </c>
      <c r="O21" s="10">
        <f>'[2]WD 3ME'!N$1</f>
        <v>1.5559022131929614</v>
      </c>
      <c r="P21" s="10">
        <f>'[2]WD 3ME'!O$1</f>
        <v>1.5886215937446344</v>
      </c>
      <c r="Q21" s="10">
        <f>'[2]WD 3ME'!P$1</f>
        <v>1.6197893009352593</v>
      </c>
      <c r="R21" s="10">
        <f>'[2]WD 3ME'!Q$1</f>
        <v>1.6510636966607195</v>
      </c>
      <c r="S21" s="10">
        <f>'[2]WD 3ME'!R$1</f>
        <v>1.68376080158424</v>
      </c>
      <c r="T21" s="10">
        <f>'[2]WD 3ME'!S$1</f>
        <v>1.7190348449645678</v>
      </c>
      <c r="U21" s="10">
        <f>'[2]WD 3ME'!T$1</f>
        <v>1.7576543359729664</v>
      </c>
      <c r="V21" s="10">
        <f>'[2]WD 3ME'!U$1</f>
        <v>1.7998672375228182</v>
      </c>
      <c r="W21" s="10">
        <f>'[2]WD 3ME'!V$1</f>
        <v>1.8460487180882716</v>
      </c>
      <c r="X21" s="10">
        <f>'[2]WD 3ME'!W$1</f>
        <v>1.8964690162108619</v>
      </c>
      <c r="Y21" s="10">
        <f>'[2]WD 3ME'!X$1</f>
        <v>1.9517729527055314</v>
      </c>
      <c r="Z21" s="10">
        <f>'[2]WD 3ME'!Y$1</f>
        <v>2.0122342833182612</v>
      </c>
      <c r="AA21" s="10">
        <f>'[2]WD 3ME'!Z$1</f>
        <v>2.0776279069645609</v>
      </c>
      <c r="AB21" s="10">
        <f>'[2]WD 3ME'!AA$1</f>
        <v>2.1480218229303709</v>
      </c>
      <c r="AC21" s="10">
        <f>'[2]WD 3ME'!AB$1</f>
        <v>2.2236716147387048</v>
      </c>
      <c r="AD21" s="10">
        <f>'[2]WD 3ME'!AC$1</f>
        <v>2.3053563431741608</v>
      </c>
      <c r="AE21" s="10">
        <f>'[2]WD 3ME'!AD$1</f>
        <v>2.3932202136189908</v>
      </c>
      <c r="AF21" s="10">
        <f>'[2]WD 3ME'!AE$1</f>
        <v>2.4861658582863098</v>
      </c>
      <c r="AG21" s="10">
        <f>'[2]WD 3ME'!AF$1</f>
        <v>2.5827606025654632</v>
      </c>
      <c r="AH21" s="10">
        <f>'[2]WD 3ME'!AG$1</f>
        <v>2.6820589046614494</v>
      </c>
      <c r="AI21" s="10">
        <f>'[2]WD 3ME'!AH$1</f>
        <v>2.783539045914905</v>
      </c>
      <c r="AJ21" s="10">
        <f>'[2]WD 3ME'!AI$1</f>
        <v>2.8867555137627794</v>
      </c>
      <c r="AK21" s="10">
        <f>'[2]WD 3ME'!AJ$1</f>
        <v>2.9912340718057182</v>
      </c>
      <c r="AL21" s="10">
        <f>'[2]WD 3ME'!AK$1</f>
        <v>3.096423105146576</v>
      </c>
    </row>
    <row r="22" spans="1:38" x14ac:dyDescent="0.35">
      <c r="A22">
        <f t="shared" si="1"/>
        <v>1</v>
      </c>
      <c r="B22" t="s">
        <v>87</v>
      </c>
      <c r="C22" s="10">
        <f>'[2]WD 3ME'!B$1</f>
        <v>1</v>
      </c>
      <c r="D22" s="10">
        <f>'[2]WD 3ME'!C$1</f>
        <v>1.04</v>
      </c>
      <c r="E22" s="10">
        <f>'[2]WD 3ME'!D$1</f>
        <v>1.0816000000000001</v>
      </c>
      <c r="F22" s="10">
        <f>'[2]WD 3ME'!E$1</f>
        <v>1.1248640000000001</v>
      </c>
      <c r="G22" s="10">
        <f>'[2]WD 3ME'!F$1</f>
        <v>1.1698585600000002</v>
      </c>
      <c r="H22" s="10">
        <f>'[2]WD 3ME'!G$1</f>
        <v>1.2166529024000003</v>
      </c>
      <c r="I22" s="10">
        <f>'[2]WD 3ME'!H$1</f>
        <v>1.2653190184960004</v>
      </c>
      <c r="J22" s="10">
        <f>'[2]WD 3ME'!I$1</f>
        <v>1.3159317792358405</v>
      </c>
      <c r="K22" s="10">
        <f>'[2]WD 3ME'!J$1</f>
        <v>1.3685690504052741</v>
      </c>
      <c r="L22" s="10">
        <f>'[2]WD 3ME'!K$1</f>
        <v>1.4233118124214852</v>
      </c>
      <c r="M22" s="10">
        <f>'[2]WD 3ME'!L$1</f>
        <v>1.4767838716009769</v>
      </c>
      <c r="N22" s="10">
        <f>'[2]WD 3ME'!M$1</f>
        <v>1.5194094584723921</v>
      </c>
      <c r="O22" s="10">
        <f>'[2]WD 3ME'!N$1</f>
        <v>1.5559022131929614</v>
      </c>
      <c r="P22" s="10">
        <f>'[2]WD 3ME'!O$1</f>
        <v>1.5886215937446344</v>
      </c>
      <c r="Q22" s="10">
        <f>'[2]WD 3ME'!P$1</f>
        <v>1.6197893009352593</v>
      </c>
      <c r="R22" s="10">
        <f>'[2]WD 3ME'!Q$1</f>
        <v>1.6510636966607195</v>
      </c>
      <c r="S22" s="10">
        <f>'[2]WD 3ME'!R$1</f>
        <v>1.68376080158424</v>
      </c>
      <c r="T22" s="10">
        <f>'[2]WD 3ME'!S$1</f>
        <v>1.7190348449645678</v>
      </c>
      <c r="U22" s="10">
        <f>'[2]WD 3ME'!T$1</f>
        <v>1.7576543359729664</v>
      </c>
      <c r="V22" s="10">
        <f>'[2]WD 3ME'!U$1</f>
        <v>1.7998672375228182</v>
      </c>
      <c r="W22" s="10">
        <f>'[2]WD 3ME'!V$1</f>
        <v>1.8460487180882716</v>
      </c>
      <c r="X22" s="10">
        <f>'[2]WD 3ME'!W$1</f>
        <v>1.8964690162108619</v>
      </c>
      <c r="Y22" s="10">
        <f>'[2]WD 3ME'!X$1</f>
        <v>1.9517729527055314</v>
      </c>
      <c r="Z22" s="10">
        <f>'[2]WD 3ME'!Y$1</f>
        <v>2.0122342833182612</v>
      </c>
      <c r="AA22" s="10">
        <f>'[2]WD 3ME'!Z$1</f>
        <v>2.0776279069645609</v>
      </c>
      <c r="AB22" s="10">
        <f>'[2]WD 3ME'!AA$1</f>
        <v>2.1480218229303709</v>
      </c>
      <c r="AC22" s="10">
        <f>'[2]WD 3ME'!AB$1</f>
        <v>2.2236716147387048</v>
      </c>
      <c r="AD22" s="10">
        <f>'[2]WD 3ME'!AC$1</f>
        <v>2.3053563431741608</v>
      </c>
      <c r="AE22" s="10">
        <f>'[2]WD 3ME'!AD$1</f>
        <v>2.3932202136189908</v>
      </c>
      <c r="AF22" s="10">
        <f>'[2]WD 3ME'!AE$1</f>
        <v>2.4861658582863098</v>
      </c>
      <c r="AG22" s="10">
        <f>'[2]WD 3ME'!AF$1</f>
        <v>2.5827606025654632</v>
      </c>
      <c r="AH22" s="10">
        <f>'[2]WD 3ME'!AG$1</f>
        <v>2.6820589046614494</v>
      </c>
      <c r="AI22" s="10">
        <f>'[2]WD 3ME'!AH$1</f>
        <v>2.783539045914905</v>
      </c>
      <c r="AJ22" s="10">
        <f>'[2]WD 3ME'!AI$1</f>
        <v>2.8867555137627794</v>
      </c>
      <c r="AK22" s="10">
        <f>'[2]WD 3ME'!AJ$1</f>
        <v>2.9912340718057182</v>
      </c>
      <c r="AL22" s="10">
        <f>'[2]WD 3ME'!AK$1</f>
        <v>3.096423105146576</v>
      </c>
    </row>
    <row r="23" spans="1:38" x14ac:dyDescent="0.35">
      <c r="A23">
        <f t="shared" si="1"/>
        <v>1</v>
      </c>
      <c r="B23" t="s">
        <v>88</v>
      </c>
      <c r="C23" s="10">
        <f>'[2]WD 3ME'!B$1</f>
        <v>1</v>
      </c>
      <c r="D23" s="10">
        <f>'[2]WD 3ME'!C$1</f>
        <v>1.04</v>
      </c>
      <c r="E23" s="10">
        <f>'[2]WD 3ME'!D$1</f>
        <v>1.0816000000000001</v>
      </c>
      <c r="F23" s="10">
        <f>'[2]WD 3ME'!E$1</f>
        <v>1.1248640000000001</v>
      </c>
      <c r="G23" s="10">
        <f>'[2]WD 3ME'!F$1</f>
        <v>1.1698585600000002</v>
      </c>
      <c r="H23" s="10">
        <f>'[2]WD 3ME'!G$1</f>
        <v>1.2166529024000003</v>
      </c>
      <c r="I23" s="10">
        <f>'[2]WD 3ME'!H$1</f>
        <v>1.2653190184960004</v>
      </c>
      <c r="J23" s="10">
        <f>'[2]WD 3ME'!I$1</f>
        <v>1.3159317792358405</v>
      </c>
      <c r="K23" s="10">
        <f>'[2]WD 3ME'!J$1</f>
        <v>1.3685690504052741</v>
      </c>
      <c r="L23" s="10">
        <f>'[2]WD 3ME'!K$1</f>
        <v>1.4233118124214852</v>
      </c>
      <c r="M23" s="10">
        <f>'[2]WD 3ME'!L$1</f>
        <v>1.4767838716009769</v>
      </c>
      <c r="N23" s="10">
        <f>'[2]WD 3ME'!M$1</f>
        <v>1.5194094584723921</v>
      </c>
      <c r="O23" s="10">
        <f>'[2]WD 3ME'!N$1</f>
        <v>1.5559022131929614</v>
      </c>
      <c r="P23" s="10">
        <f>'[2]WD 3ME'!O$1</f>
        <v>1.5886215937446344</v>
      </c>
      <c r="Q23" s="10">
        <f>'[2]WD 3ME'!P$1</f>
        <v>1.6197893009352593</v>
      </c>
      <c r="R23" s="10">
        <f>'[2]WD 3ME'!Q$1</f>
        <v>1.6510636966607195</v>
      </c>
      <c r="S23" s="10">
        <f>'[2]WD 3ME'!R$1</f>
        <v>1.68376080158424</v>
      </c>
      <c r="T23" s="10">
        <f>'[2]WD 3ME'!S$1</f>
        <v>1.7190348449645678</v>
      </c>
      <c r="U23" s="10">
        <f>'[2]WD 3ME'!T$1</f>
        <v>1.7576543359729664</v>
      </c>
      <c r="V23" s="10">
        <f>'[2]WD 3ME'!U$1</f>
        <v>1.7998672375228182</v>
      </c>
      <c r="W23" s="10">
        <f>'[2]WD 3ME'!V$1</f>
        <v>1.8460487180882716</v>
      </c>
      <c r="X23" s="10">
        <f>'[2]WD 3ME'!W$1</f>
        <v>1.8964690162108619</v>
      </c>
      <c r="Y23" s="10">
        <f>'[2]WD 3ME'!X$1</f>
        <v>1.9517729527055314</v>
      </c>
      <c r="Z23" s="10">
        <f>'[2]WD 3ME'!Y$1</f>
        <v>2.0122342833182612</v>
      </c>
      <c r="AA23" s="10">
        <f>'[2]WD 3ME'!Z$1</f>
        <v>2.0776279069645609</v>
      </c>
      <c r="AB23" s="10">
        <f>'[2]WD 3ME'!AA$1</f>
        <v>2.1480218229303709</v>
      </c>
      <c r="AC23" s="10">
        <f>'[2]WD 3ME'!AB$1</f>
        <v>2.2236716147387048</v>
      </c>
      <c r="AD23" s="10">
        <f>'[2]WD 3ME'!AC$1</f>
        <v>2.3053563431741608</v>
      </c>
      <c r="AE23" s="10">
        <f>'[2]WD 3ME'!AD$1</f>
        <v>2.3932202136189908</v>
      </c>
      <c r="AF23" s="10">
        <f>'[2]WD 3ME'!AE$1</f>
        <v>2.4861658582863098</v>
      </c>
      <c r="AG23" s="10">
        <f>'[2]WD 3ME'!AF$1</f>
        <v>2.5827606025654632</v>
      </c>
      <c r="AH23" s="10">
        <f>'[2]WD 3ME'!AG$1</f>
        <v>2.6820589046614494</v>
      </c>
      <c r="AI23" s="10">
        <f>'[2]WD 3ME'!AH$1</f>
        <v>2.783539045914905</v>
      </c>
      <c r="AJ23" s="10">
        <f>'[2]WD 3ME'!AI$1</f>
        <v>2.8867555137627794</v>
      </c>
      <c r="AK23" s="10">
        <f>'[2]WD 3ME'!AJ$1</f>
        <v>2.9912340718057182</v>
      </c>
      <c r="AL23" s="10">
        <f>'[2]WD 3ME'!AK$1</f>
        <v>3.096423105146576</v>
      </c>
    </row>
    <row r="24" spans="1:38" x14ac:dyDescent="0.35">
      <c r="A24">
        <f t="shared" si="1"/>
        <v>1</v>
      </c>
      <c r="B24" t="s">
        <v>89</v>
      </c>
      <c r="C24" s="10">
        <f>'[2]WD 3ME'!B$1</f>
        <v>1</v>
      </c>
      <c r="D24" s="10">
        <f>'[2]WD 3ME'!C$1</f>
        <v>1.04</v>
      </c>
      <c r="E24" s="10">
        <f>'[2]WD 3ME'!D$1</f>
        <v>1.0816000000000001</v>
      </c>
      <c r="F24" s="10">
        <f>'[2]WD 3ME'!E$1</f>
        <v>1.1248640000000001</v>
      </c>
      <c r="G24" s="10">
        <f>'[2]WD 3ME'!F$1</f>
        <v>1.1698585600000002</v>
      </c>
      <c r="H24" s="10">
        <f>'[2]WD 3ME'!G$1</f>
        <v>1.2166529024000003</v>
      </c>
      <c r="I24" s="10">
        <f>'[2]WD 3ME'!H$1</f>
        <v>1.2653190184960004</v>
      </c>
      <c r="J24" s="10">
        <f>'[2]WD 3ME'!I$1</f>
        <v>1.3159317792358405</v>
      </c>
      <c r="K24" s="10">
        <f>'[2]WD 3ME'!J$1</f>
        <v>1.3685690504052741</v>
      </c>
      <c r="L24" s="10">
        <f>'[2]WD 3ME'!K$1</f>
        <v>1.4233118124214852</v>
      </c>
      <c r="M24" s="10">
        <f>'[2]WD 3ME'!L$1</f>
        <v>1.4767838716009769</v>
      </c>
      <c r="N24" s="10">
        <f>'[2]WD 3ME'!M$1</f>
        <v>1.5194094584723921</v>
      </c>
      <c r="O24" s="10">
        <f>'[2]WD 3ME'!N$1</f>
        <v>1.5559022131929614</v>
      </c>
      <c r="P24" s="10">
        <f>'[2]WD 3ME'!O$1</f>
        <v>1.5886215937446344</v>
      </c>
      <c r="Q24" s="10">
        <f>'[2]WD 3ME'!P$1</f>
        <v>1.6197893009352593</v>
      </c>
      <c r="R24" s="10">
        <f>'[2]WD 3ME'!Q$1</f>
        <v>1.6510636966607195</v>
      </c>
      <c r="S24" s="10">
        <f>'[2]WD 3ME'!R$1</f>
        <v>1.68376080158424</v>
      </c>
      <c r="T24" s="10">
        <f>'[2]WD 3ME'!S$1</f>
        <v>1.7190348449645678</v>
      </c>
      <c r="U24" s="10">
        <f>'[2]WD 3ME'!T$1</f>
        <v>1.7576543359729664</v>
      </c>
      <c r="V24" s="10">
        <f>'[2]WD 3ME'!U$1</f>
        <v>1.7998672375228182</v>
      </c>
      <c r="W24" s="10">
        <f>'[2]WD 3ME'!V$1</f>
        <v>1.8460487180882716</v>
      </c>
      <c r="X24" s="10">
        <f>'[2]WD 3ME'!W$1</f>
        <v>1.8964690162108619</v>
      </c>
      <c r="Y24" s="10">
        <f>'[2]WD 3ME'!X$1</f>
        <v>1.9517729527055314</v>
      </c>
      <c r="Z24" s="10">
        <f>'[2]WD 3ME'!Y$1</f>
        <v>2.0122342833182612</v>
      </c>
      <c r="AA24" s="10">
        <f>'[2]WD 3ME'!Z$1</f>
        <v>2.0776279069645609</v>
      </c>
      <c r="AB24" s="10">
        <f>'[2]WD 3ME'!AA$1</f>
        <v>2.1480218229303709</v>
      </c>
      <c r="AC24" s="10">
        <f>'[2]WD 3ME'!AB$1</f>
        <v>2.2236716147387048</v>
      </c>
      <c r="AD24" s="10">
        <f>'[2]WD 3ME'!AC$1</f>
        <v>2.3053563431741608</v>
      </c>
      <c r="AE24" s="10">
        <f>'[2]WD 3ME'!AD$1</f>
        <v>2.3932202136189908</v>
      </c>
      <c r="AF24" s="10">
        <f>'[2]WD 3ME'!AE$1</f>
        <v>2.4861658582863098</v>
      </c>
      <c r="AG24" s="10">
        <f>'[2]WD 3ME'!AF$1</f>
        <v>2.5827606025654632</v>
      </c>
      <c r="AH24" s="10">
        <f>'[2]WD 3ME'!AG$1</f>
        <v>2.6820589046614494</v>
      </c>
      <c r="AI24" s="10">
        <f>'[2]WD 3ME'!AH$1</f>
        <v>2.783539045914905</v>
      </c>
      <c r="AJ24" s="10">
        <f>'[2]WD 3ME'!AI$1</f>
        <v>2.8867555137627794</v>
      </c>
      <c r="AK24" s="10">
        <f>'[2]WD 3ME'!AJ$1</f>
        <v>2.9912340718057182</v>
      </c>
      <c r="AL24" s="10">
        <f>'[2]WD 3ME'!AK$1</f>
        <v>3.096423105146576</v>
      </c>
    </row>
    <row r="25" spans="1:38" x14ac:dyDescent="0.35">
      <c r="A25">
        <f t="shared" si="1"/>
        <v>1</v>
      </c>
      <c r="B25" t="s">
        <v>90</v>
      </c>
      <c r="C25" s="10">
        <f>'[2]WD 3ME'!B$1</f>
        <v>1</v>
      </c>
      <c r="D25" s="10">
        <f>'[2]WD 3ME'!C$1</f>
        <v>1.04</v>
      </c>
      <c r="E25" s="10">
        <f>'[2]WD 3ME'!D$1</f>
        <v>1.0816000000000001</v>
      </c>
      <c r="F25" s="10">
        <f>'[2]WD 3ME'!E$1</f>
        <v>1.1248640000000001</v>
      </c>
      <c r="G25" s="10">
        <f>'[2]WD 3ME'!F$1</f>
        <v>1.1698585600000002</v>
      </c>
      <c r="H25" s="10">
        <f>'[2]WD 3ME'!G$1</f>
        <v>1.2166529024000003</v>
      </c>
      <c r="I25" s="10">
        <f>'[2]WD 3ME'!H$1</f>
        <v>1.2653190184960004</v>
      </c>
      <c r="J25" s="10">
        <f>'[2]WD 3ME'!I$1</f>
        <v>1.3159317792358405</v>
      </c>
      <c r="K25" s="10">
        <f>'[2]WD 3ME'!J$1</f>
        <v>1.3685690504052741</v>
      </c>
      <c r="L25" s="10">
        <f>'[2]WD 3ME'!K$1</f>
        <v>1.4233118124214852</v>
      </c>
      <c r="M25" s="10">
        <f>'[2]WD 3ME'!L$1</f>
        <v>1.4767838716009769</v>
      </c>
      <c r="N25" s="10">
        <f>'[2]WD 3ME'!M$1</f>
        <v>1.5194094584723921</v>
      </c>
      <c r="O25" s="10">
        <f>'[2]WD 3ME'!N$1</f>
        <v>1.5559022131929614</v>
      </c>
      <c r="P25" s="10">
        <f>'[2]WD 3ME'!O$1</f>
        <v>1.5886215937446344</v>
      </c>
      <c r="Q25" s="10">
        <f>'[2]WD 3ME'!P$1</f>
        <v>1.6197893009352593</v>
      </c>
      <c r="R25" s="10">
        <f>'[2]WD 3ME'!Q$1</f>
        <v>1.6510636966607195</v>
      </c>
      <c r="S25" s="10">
        <f>'[2]WD 3ME'!R$1</f>
        <v>1.68376080158424</v>
      </c>
      <c r="T25" s="10">
        <f>'[2]WD 3ME'!S$1</f>
        <v>1.7190348449645678</v>
      </c>
      <c r="U25" s="10">
        <f>'[2]WD 3ME'!T$1</f>
        <v>1.7576543359729664</v>
      </c>
      <c r="V25" s="10">
        <f>'[2]WD 3ME'!U$1</f>
        <v>1.7998672375228182</v>
      </c>
      <c r="W25" s="10">
        <f>'[2]WD 3ME'!V$1</f>
        <v>1.8460487180882716</v>
      </c>
      <c r="X25" s="10">
        <f>'[2]WD 3ME'!W$1</f>
        <v>1.8964690162108619</v>
      </c>
      <c r="Y25" s="10">
        <f>'[2]WD 3ME'!X$1</f>
        <v>1.9517729527055314</v>
      </c>
      <c r="Z25" s="10">
        <f>'[2]WD 3ME'!Y$1</f>
        <v>2.0122342833182612</v>
      </c>
      <c r="AA25" s="10">
        <f>'[2]WD 3ME'!Z$1</f>
        <v>2.0776279069645609</v>
      </c>
      <c r="AB25" s="10">
        <f>'[2]WD 3ME'!AA$1</f>
        <v>2.1480218229303709</v>
      </c>
      <c r="AC25" s="10">
        <f>'[2]WD 3ME'!AB$1</f>
        <v>2.2236716147387048</v>
      </c>
      <c r="AD25" s="10">
        <f>'[2]WD 3ME'!AC$1</f>
        <v>2.3053563431741608</v>
      </c>
      <c r="AE25" s="10">
        <f>'[2]WD 3ME'!AD$1</f>
        <v>2.3932202136189908</v>
      </c>
      <c r="AF25" s="10">
        <f>'[2]WD 3ME'!AE$1</f>
        <v>2.4861658582863098</v>
      </c>
      <c r="AG25" s="10">
        <f>'[2]WD 3ME'!AF$1</f>
        <v>2.5827606025654632</v>
      </c>
      <c r="AH25" s="10">
        <f>'[2]WD 3ME'!AG$1</f>
        <v>2.6820589046614494</v>
      </c>
      <c r="AI25" s="10">
        <f>'[2]WD 3ME'!AH$1</f>
        <v>2.783539045914905</v>
      </c>
      <c r="AJ25" s="10">
        <f>'[2]WD 3ME'!AI$1</f>
        <v>2.8867555137627794</v>
      </c>
      <c r="AK25" s="10">
        <f>'[2]WD 3ME'!AJ$1</f>
        <v>2.9912340718057182</v>
      </c>
      <c r="AL25" s="10">
        <f>'[2]WD 3ME'!AK$1</f>
        <v>3.096423105146576</v>
      </c>
    </row>
    <row r="26" spans="1:38" x14ac:dyDescent="0.35">
      <c r="A26">
        <f t="shared" si="1"/>
        <v>1</v>
      </c>
      <c r="B26" t="s">
        <v>91</v>
      </c>
      <c r="C26" s="10">
        <f>'[2]WD 3ME'!B$1</f>
        <v>1</v>
      </c>
      <c r="D26" s="10">
        <f>'[2]WD 3ME'!C$1</f>
        <v>1.04</v>
      </c>
      <c r="E26" s="10">
        <f>'[2]WD 3ME'!D$1</f>
        <v>1.0816000000000001</v>
      </c>
      <c r="F26" s="10">
        <f>'[2]WD 3ME'!E$1</f>
        <v>1.1248640000000001</v>
      </c>
      <c r="G26" s="10">
        <f>'[2]WD 3ME'!F$1</f>
        <v>1.1698585600000002</v>
      </c>
      <c r="H26" s="10">
        <f>'[2]WD 3ME'!G$1</f>
        <v>1.2166529024000003</v>
      </c>
      <c r="I26" s="10">
        <f>'[2]WD 3ME'!H$1</f>
        <v>1.2653190184960004</v>
      </c>
      <c r="J26" s="10">
        <f>'[2]WD 3ME'!I$1</f>
        <v>1.3159317792358405</v>
      </c>
      <c r="K26" s="10">
        <f>'[2]WD 3ME'!J$1</f>
        <v>1.3685690504052741</v>
      </c>
      <c r="L26" s="10">
        <f>'[2]WD 3ME'!K$1</f>
        <v>1.4233118124214852</v>
      </c>
      <c r="M26" s="10">
        <f>'[2]WD 3ME'!L$1</f>
        <v>1.4767838716009769</v>
      </c>
      <c r="N26" s="10">
        <f>'[2]WD 3ME'!M$1</f>
        <v>1.5194094584723921</v>
      </c>
      <c r="O26" s="10">
        <f>'[2]WD 3ME'!N$1</f>
        <v>1.5559022131929614</v>
      </c>
      <c r="P26" s="10">
        <f>'[2]WD 3ME'!O$1</f>
        <v>1.5886215937446344</v>
      </c>
      <c r="Q26" s="10">
        <f>'[2]WD 3ME'!P$1</f>
        <v>1.6197893009352593</v>
      </c>
      <c r="R26" s="10">
        <f>'[2]WD 3ME'!Q$1</f>
        <v>1.6510636966607195</v>
      </c>
      <c r="S26" s="10">
        <f>'[2]WD 3ME'!R$1</f>
        <v>1.68376080158424</v>
      </c>
      <c r="T26" s="10">
        <f>'[2]WD 3ME'!S$1</f>
        <v>1.7190348449645678</v>
      </c>
      <c r="U26" s="10">
        <f>'[2]WD 3ME'!T$1</f>
        <v>1.7576543359729664</v>
      </c>
      <c r="V26" s="10">
        <f>'[2]WD 3ME'!U$1</f>
        <v>1.7998672375228182</v>
      </c>
      <c r="W26" s="10">
        <f>'[2]WD 3ME'!V$1</f>
        <v>1.8460487180882716</v>
      </c>
      <c r="X26" s="10">
        <f>'[2]WD 3ME'!W$1</f>
        <v>1.8964690162108619</v>
      </c>
      <c r="Y26" s="10">
        <f>'[2]WD 3ME'!X$1</f>
        <v>1.9517729527055314</v>
      </c>
      <c r="Z26" s="10">
        <f>'[2]WD 3ME'!Y$1</f>
        <v>2.0122342833182612</v>
      </c>
      <c r="AA26" s="10">
        <f>'[2]WD 3ME'!Z$1</f>
        <v>2.0776279069645609</v>
      </c>
      <c r="AB26" s="10">
        <f>'[2]WD 3ME'!AA$1</f>
        <v>2.1480218229303709</v>
      </c>
      <c r="AC26" s="10">
        <f>'[2]WD 3ME'!AB$1</f>
        <v>2.2236716147387048</v>
      </c>
      <c r="AD26" s="10">
        <f>'[2]WD 3ME'!AC$1</f>
        <v>2.3053563431741608</v>
      </c>
      <c r="AE26" s="10">
        <f>'[2]WD 3ME'!AD$1</f>
        <v>2.3932202136189908</v>
      </c>
      <c r="AF26" s="10">
        <f>'[2]WD 3ME'!AE$1</f>
        <v>2.4861658582863098</v>
      </c>
      <c r="AG26" s="10">
        <f>'[2]WD 3ME'!AF$1</f>
        <v>2.5827606025654632</v>
      </c>
      <c r="AH26" s="10">
        <f>'[2]WD 3ME'!AG$1</f>
        <v>2.6820589046614494</v>
      </c>
      <c r="AI26" s="10">
        <f>'[2]WD 3ME'!AH$1</f>
        <v>2.783539045914905</v>
      </c>
      <c r="AJ26" s="10">
        <f>'[2]WD 3ME'!AI$1</f>
        <v>2.8867555137627794</v>
      </c>
      <c r="AK26" s="10">
        <f>'[2]WD 3ME'!AJ$1</f>
        <v>2.9912340718057182</v>
      </c>
      <c r="AL26" s="10">
        <f>'[2]WD 3ME'!AK$1</f>
        <v>3.096423105146576</v>
      </c>
    </row>
    <row r="27" spans="1:38" x14ac:dyDescent="0.35">
      <c r="A27">
        <f t="shared" si="1"/>
        <v>1</v>
      </c>
      <c r="B27" t="s">
        <v>92</v>
      </c>
      <c r="C27" s="10">
        <f>'[2]WD 3ME'!B$1</f>
        <v>1</v>
      </c>
      <c r="D27" s="10">
        <f>'[2]WD 3ME'!C$1</f>
        <v>1.04</v>
      </c>
      <c r="E27" s="10">
        <f>'[2]WD 3ME'!D$1</f>
        <v>1.0816000000000001</v>
      </c>
      <c r="F27" s="10">
        <f>'[2]WD 3ME'!E$1</f>
        <v>1.1248640000000001</v>
      </c>
      <c r="G27" s="10">
        <f>'[2]WD 3ME'!F$1</f>
        <v>1.1698585600000002</v>
      </c>
      <c r="H27" s="10">
        <f>'[2]WD 3ME'!G$1</f>
        <v>1.2166529024000003</v>
      </c>
      <c r="I27" s="10">
        <f>'[2]WD 3ME'!H$1</f>
        <v>1.2653190184960004</v>
      </c>
      <c r="J27" s="10">
        <f>'[2]WD 3ME'!I$1</f>
        <v>1.3159317792358405</v>
      </c>
      <c r="K27" s="10">
        <f>'[2]WD 3ME'!J$1</f>
        <v>1.3685690504052741</v>
      </c>
      <c r="L27" s="10">
        <f>'[2]WD 3ME'!K$1</f>
        <v>1.4233118124214852</v>
      </c>
      <c r="M27" s="10">
        <f>'[2]WD 3ME'!L$1</f>
        <v>1.4767838716009769</v>
      </c>
      <c r="N27" s="10">
        <f>'[2]WD 3ME'!M$1</f>
        <v>1.5194094584723921</v>
      </c>
      <c r="O27" s="10">
        <f>'[2]WD 3ME'!N$1</f>
        <v>1.5559022131929614</v>
      </c>
      <c r="P27" s="10">
        <f>'[2]WD 3ME'!O$1</f>
        <v>1.5886215937446344</v>
      </c>
      <c r="Q27" s="10">
        <f>'[2]WD 3ME'!P$1</f>
        <v>1.6197893009352593</v>
      </c>
      <c r="R27" s="10">
        <f>'[2]WD 3ME'!Q$1</f>
        <v>1.6510636966607195</v>
      </c>
      <c r="S27" s="10">
        <f>'[2]WD 3ME'!R$1</f>
        <v>1.68376080158424</v>
      </c>
      <c r="T27" s="10">
        <f>'[2]WD 3ME'!S$1</f>
        <v>1.7190348449645678</v>
      </c>
      <c r="U27" s="10">
        <f>'[2]WD 3ME'!T$1</f>
        <v>1.7576543359729664</v>
      </c>
      <c r="V27" s="10">
        <f>'[2]WD 3ME'!U$1</f>
        <v>1.7998672375228182</v>
      </c>
      <c r="W27" s="10">
        <f>'[2]WD 3ME'!V$1</f>
        <v>1.8460487180882716</v>
      </c>
      <c r="X27" s="10">
        <f>'[2]WD 3ME'!W$1</f>
        <v>1.8964690162108619</v>
      </c>
      <c r="Y27" s="10">
        <f>'[2]WD 3ME'!X$1</f>
        <v>1.9517729527055314</v>
      </c>
      <c r="Z27" s="10">
        <f>'[2]WD 3ME'!Y$1</f>
        <v>2.0122342833182612</v>
      </c>
      <c r="AA27" s="10">
        <f>'[2]WD 3ME'!Z$1</f>
        <v>2.0776279069645609</v>
      </c>
      <c r="AB27" s="10">
        <f>'[2]WD 3ME'!AA$1</f>
        <v>2.1480218229303709</v>
      </c>
      <c r="AC27" s="10">
        <f>'[2]WD 3ME'!AB$1</f>
        <v>2.2236716147387048</v>
      </c>
      <c r="AD27" s="10">
        <f>'[2]WD 3ME'!AC$1</f>
        <v>2.3053563431741608</v>
      </c>
      <c r="AE27" s="10">
        <f>'[2]WD 3ME'!AD$1</f>
        <v>2.3932202136189908</v>
      </c>
      <c r="AF27" s="10">
        <f>'[2]WD 3ME'!AE$1</f>
        <v>2.4861658582863098</v>
      </c>
      <c r="AG27" s="10">
        <f>'[2]WD 3ME'!AF$1</f>
        <v>2.5827606025654632</v>
      </c>
      <c r="AH27" s="10">
        <f>'[2]WD 3ME'!AG$1</f>
        <v>2.6820589046614494</v>
      </c>
      <c r="AI27" s="10">
        <f>'[2]WD 3ME'!AH$1</f>
        <v>2.783539045914905</v>
      </c>
      <c r="AJ27" s="10">
        <f>'[2]WD 3ME'!AI$1</f>
        <v>2.8867555137627794</v>
      </c>
      <c r="AK27" s="10">
        <f>'[2]WD 3ME'!AJ$1</f>
        <v>2.9912340718057182</v>
      </c>
      <c r="AL27" s="10">
        <f>'[2]WD 3ME'!AK$1</f>
        <v>3.096423105146576</v>
      </c>
    </row>
    <row r="28" spans="1:38" x14ac:dyDescent="0.35">
      <c r="A28">
        <v>1</v>
      </c>
      <c r="B28" t="s">
        <v>33</v>
      </c>
      <c r="C28" s="13">
        <v>6.1515789010213998E-2</v>
      </c>
      <c r="D28" s="13">
        <f t="shared" ref="D28:G35" si="2">C28</f>
        <v>6.1515789010213998E-2</v>
      </c>
      <c r="E28" s="10">
        <f t="shared" si="2"/>
        <v>6.1515789010213998E-2</v>
      </c>
      <c r="F28" s="10">
        <f t="shared" si="2"/>
        <v>6.1515789010213998E-2</v>
      </c>
      <c r="G28" s="10">
        <f t="shared" si="2"/>
        <v>6.1515789010213998E-2</v>
      </c>
      <c r="H28" s="13">
        <v>6.1515789010214102E-2</v>
      </c>
      <c r="I28" s="13">
        <f t="shared" ref="I28:L35" si="3">H28+($M28-$H28)/5</f>
        <v>7.2160641696642477E-2</v>
      </c>
      <c r="J28" s="13">
        <f t="shared" si="3"/>
        <v>8.2805494383070846E-2</v>
      </c>
      <c r="K28" s="13">
        <f t="shared" si="3"/>
        <v>9.3450347069499215E-2</v>
      </c>
      <c r="L28" s="13">
        <f t="shared" si="3"/>
        <v>0.10409519975592758</v>
      </c>
      <c r="M28" s="13">
        <v>0.11474005244235595</v>
      </c>
      <c r="N28" s="13">
        <v>0.12180783395043239</v>
      </c>
      <c r="O28" s="13">
        <v>0.1291570807669008</v>
      </c>
      <c r="P28" s="13">
        <v>0.13677309850193994</v>
      </c>
      <c r="Q28" s="13">
        <v>0.14463689496646159</v>
      </c>
      <c r="R28" s="13">
        <v>0.15272504944446305</v>
      </c>
      <c r="S28" s="13">
        <v>0.1643290858503095</v>
      </c>
      <c r="T28" s="13">
        <v>0.17590331713157972</v>
      </c>
      <c r="U28" s="13">
        <v>0.18722520038733484</v>
      </c>
      <c r="V28" s="13">
        <v>0.19808535294759846</v>
      </c>
      <c r="W28" s="13">
        <v>0.20830032532323678</v>
      </c>
      <c r="X28" s="13">
        <v>0.21772187370308785</v>
      </c>
      <c r="Y28" s="13">
        <v>0.22624201089908297</v>
      </c>
      <c r="Z28" s="13">
        <v>0.23379385668675684</v>
      </c>
      <c r="AA28" s="13">
        <v>0.24034893376356981</v>
      </c>
      <c r="AB28" s="13">
        <v>0.24591193542724096</v>
      </c>
      <c r="AC28" s="13">
        <f>AB28</f>
        <v>0.24591193542724096</v>
      </c>
      <c r="AD28" s="13">
        <f t="shared" ref="AD28:AL28" si="4">AC28</f>
        <v>0.24591193542724096</v>
      </c>
      <c r="AE28" s="13">
        <f t="shared" si="4"/>
        <v>0.24591193542724096</v>
      </c>
      <c r="AF28" s="13">
        <f t="shared" si="4"/>
        <v>0.24591193542724096</v>
      </c>
      <c r="AG28" s="13">
        <f t="shared" si="4"/>
        <v>0.24591193542724096</v>
      </c>
      <c r="AH28" s="13">
        <f t="shared" si="4"/>
        <v>0.24591193542724096</v>
      </c>
      <c r="AI28" s="13">
        <f t="shared" si="4"/>
        <v>0.24591193542724096</v>
      </c>
      <c r="AJ28" s="13">
        <f t="shared" si="4"/>
        <v>0.24591193542724096</v>
      </c>
      <c r="AK28" s="13">
        <f t="shared" si="4"/>
        <v>0.24591193542724096</v>
      </c>
      <c r="AL28" s="13">
        <f t="shared" si="4"/>
        <v>0.24591193542724096</v>
      </c>
    </row>
    <row r="29" spans="1:38" x14ac:dyDescent="0.35">
      <c r="A29">
        <f t="shared" ref="A29:A63" si="5">A28</f>
        <v>1</v>
      </c>
      <c r="B29" t="s">
        <v>34</v>
      </c>
      <c r="C29" s="13">
        <v>1.9096191625379198E-2</v>
      </c>
      <c r="D29" s="13">
        <f t="shared" si="2"/>
        <v>1.9096191625379198E-2</v>
      </c>
      <c r="E29" s="10">
        <f t="shared" si="2"/>
        <v>1.9096191625379198E-2</v>
      </c>
      <c r="F29" s="10">
        <f t="shared" si="2"/>
        <v>1.9096191625379198E-2</v>
      </c>
      <c r="G29" s="10">
        <f t="shared" si="2"/>
        <v>1.9096191625379198E-2</v>
      </c>
      <c r="H29" s="13">
        <v>1.9096191625379198E-2</v>
      </c>
      <c r="I29" s="13">
        <f t="shared" si="3"/>
        <v>1.5751178428271929E-2</v>
      </c>
      <c r="J29" s="13">
        <f t="shared" si="3"/>
        <v>1.2406165231164659E-2</v>
      </c>
      <c r="K29" s="13">
        <f t="shared" si="3"/>
        <v>9.0611520340573883E-3</v>
      </c>
      <c r="L29" s="13">
        <f t="shared" si="3"/>
        <v>5.7161388369501177E-3</v>
      </c>
      <c r="M29" s="13">
        <v>2.3711256398428466E-3</v>
      </c>
      <c r="N29" s="13">
        <v>2.3669216707589546E-3</v>
      </c>
      <c r="O29" s="13">
        <v>2.3571965588253178E-3</v>
      </c>
      <c r="P29" s="13">
        <v>2.3418103167000769E-3</v>
      </c>
      <c r="Q29" s="13">
        <v>2.3206866234017623E-3</v>
      </c>
      <c r="R29" s="13">
        <v>2.2938193282139494E-3</v>
      </c>
      <c r="S29" s="13">
        <v>2.3037923700276641E-3</v>
      </c>
      <c r="T29" s="13">
        <v>2.3062967449130707E-3</v>
      </c>
      <c r="U29" s="13">
        <v>2.3020068217085967E-3</v>
      </c>
      <c r="V29" s="13">
        <v>2.2915802266526399E-3</v>
      </c>
      <c r="W29" s="13">
        <v>2.2756367958851019E-3</v>
      </c>
      <c r="X29" s="13">
        <v>2.2547362529106415E-3</v>
      </c>
      <c r="Y29" s="13">
        <v>2.229362075052756E-3</v>
      </c>
      <c r="Z29" s="13">
        <v>2.1999154868348023E-3</v>
      </c>
      <c r="AA29" s="13">
        <v>2.1667201278845628E-3</v>
      </c>
      <c r="AB29" s="13">
        <v>2.1300353962056466E-3</v>
      </c>
      <c r="AC29" s="13">
        <f t="shared" ref="AC29:AL29" si="6">AB29</f>
        <v>2.1300353962056466E-3</v>
      </c>
      <c r="AD29" s="13">
        <f t="shared" si="6"/>
        <v>2.1300353962056466E-3</v>
      </c>
      <c r="AE29" s="13">
        <f t="shared" si="6"/>
        <v>2.1300353962056466E-3</v>
      </c>
      <c r="AF29" s="13">
        <f t="shared" si="6"/>
        <v>2.1300353962056466E-3</v>
      </c>
      <c r="AG29" s="13">
        <f t="shared" si="6"/>
        <v>2.1300353962056466E-3</v>
      </c>
      <c r="AH29" s="13">
        <f t="shared" si="6"/>
        <v>2.1300353962056466E-3</v>
      </c>
      <c r="AI29" s="13">
        <f t="shared" si="6"/>
        <v>2.1300353962056466E-3</v>
      </c>
      <c r="AJ29" s="13">
        <f t="shared" si="6"/>
        <v>2.1300353962056466E-3</v>
      </c>
      <c r="AK29" s="13">
        <f t="shared" si="6"/>
        <v>2.1300353962056466E-3</v>
      </c>
      <c r="AL29" s="13">
        <f t="shared" si="6"/>
        <v>2.1300353962056466E-3</v>
      </c>
    </row>
    <row r="30" spans="1:38" x14ac:dyDescent="0.35">
      <c r="A30">
        <f t="shared" si="5"/>
        <v>1</v>
      </c>
      <c r="B30" t="s">
        <v>35</v>
      </c>
      <c r="C30" s="13">
        <v>2.1019342378894201E-2</v>
      </c>
      <c r="D30" s="13">
        <f t="shared" si="2"/>
        <v>2.1019342378894201E-2</v>
      </c>
      <c r="E30" s="10">
        <f t="shared" si="2"/>
        <v>2.1019342378894201E-2</v>
      </c>
      <c r="F30" s="10">
        <f t="shared" si="2"/>
        <v>2.1019342378894201E-2</v>
      </c>
      <c r="G30" s="10">
        <f t="shared" si="2"/>
        <v>2.1019342378894201E-2</v>
      </c>
      <c r="H30" s="13">
        <v>2.1019342378894201E-2</v>
      </c>
      <c r="I30" s="13">
        <f t="shared" si="3"/>
        <v>2.4667840050638257E-2</v>
      </c>
      <c r="J30" s="13">
        <f t="shared" si="3"/>
        <v>2.8316337722382314E-2</v>
      </c>
      <c r="K30" s="13">
        <f t="shared" si="3"/>
        <v>3.1964835394126374E-2</v>
      </c>
      <c r="L30" s="13">
        <f t="shared" si="3"/>
        <v>3.5613333065870431E-2</v>
      </c>
      <c r="M30" s="13">
        <v>3.9261830737614488E-2</v>
      </c>
      <c r="N30" s="13">
        <v>3.9529373478714165E-2</v>
      </c>
      <c r="O30" s="13">
        <v>3.9705613331462546E-2</v>
      </c>
      <c r="P30" s="13">
        <v>3.9785781287171001E-2</v>
      </c>
      <c r="Q30" s="13">
        <v>3.9766076194965638E-2</v>
      </c>
      <c r="R30" s="13">
        <v>3.9643821740832627E-2</v>
      </c>
      <c r="S30" s="13">
        <v>3.8748359582771723E-2</v>
      </c>
      <c r="T30" s="13">
        <v>3.7750164695361042E-2</v>
      </c>
      <c r="U30" s="13">
        <v>3.666941232373068E-2</v>
      </c>
      <c r="V30" s="13">
        <v>3.5524345785783722E-2</v>
      </c>
      <c r="W30" s="13">
        <v>3.4331094474449167E-2</v>
      </c>
      <c r="X30" s="13">
        <v>3.3103516342660073E-2</v>
      </c>
      <c r="Y30" s="13">
        <v>3.1853170640886989E-2</v>
      </c>
      <c r="Z30" s="13">
        <v>3.0589454713261591E-2</v>
      </c>
      <c r="AA30" s="13">
        <v>2.9319883137698156E-2</v>
      </c>
      <c r="AB30" s="13">
        <v>2.8050455412024295E-2</v>
      </c>
      <c r="AC30" s="13">
        <f t="shared" ref="AC30:AL30" si="7">AB30</f>
        <v>2.8050455412024295E-2</v>
      </c>
      <c r="AD30" s="13">
        <f t="shared" si="7"/>
        <v>2.8050455412024295E-2</v>
      </c>
      <c r="AE30" s="13">
        <f t="shared" si="7"/>
        <v>2.8050455412024295E-2</v>
      </c>
      <c r="AF30" s="13">
        <f t="shared" si="7"/>
        <v>2.8050455412024295E-2</v>
      </c>
      <c r="AG30" s="13">
        <f t="shared" si="7"/>
        <v>2.8050455412024295E-2</v>
      </c>
      <c r="AH30" s="13">
        <f t="shared" si="7"/>
        <v>2.8050455412024295E-2</v>
      </c>
      <c r="AI30" s="13">
        <f t="shared" si="7"/>
        <v>2.8050455412024295E-2</v>
      </c>
      <c r="AJ30" s="13">
        <f t="shared" si="7"/>
        <v>2.8050455412024295E-2</v>
      </c>
      <c r="AK30" s="13">
        <f t="shared" si="7"/>
        <v>2.8050455412024295E-2</v>
      </c>
      <c r="AL30" s="13">
        <f t="shared" si="7"/>
        <v>2.8050455412024295E-2</v>
      </c>
    </row>
    <row r="31" spans="1:38" x14ac:dyDescent="0.35">
      <c r="A31">
        <f t="shared" si="5"/>
        <v>1</v>
      </c>
      <c r="B31" t="s">
        <v>36</v>
      </c>
      <c r="C31" s="13">
        <v>0.105173056578504</v>
      </c>
      <c r="D31" s="13">
        <f t="shared" si="2"/>
        <v>0.105173056578504</v>
      </c>
      <c r="E31" s="10">
        <f t="shared" si="2"/>
        <v>0.105173056578504</v>
      </c>
      <c r="F31" s="10">
        <f t="shared" si="2"/>
        <v>0.105173056578504</v>
      </c>
      <c r="G31" s="10">
        <f t="shared" si="2"/>
        <v>0.105173056578504</v>
      </c>
      <c r="H31" s="13">
        <v>0.105173056578504</v>
      </c>
      <c r="I31" s="13">
        <f t="shared" si="3"/>
        <v>0.10103803064188562</v>
      </c>
      <c r="J31" s="13">
        <f t="shared" si="3"/>
        <v>9.6903004705267234E-2</v>
      </c>
      <c r="K31" s="13">
        <f t="shared" si="3"/>
        <v>9.2767978768648854E-2</v>
      </c>
      <c r="L31" s="13">
        <f t="shared" si="3"/>
        <v>8.8632952832030473E-2</v>
      </c>
      <c r="M31" s="13">
        <v>8.4497926895412079E-2</v>
      </c>
      <c r="N31" s="13">
        <v>8.4882553756096699E-2</v>
      </c>
      <c r="O31" s="13">
        <v>8.5069408615696646E-2</v>
      </c>
      <c r="P31" s="13">
        <v>8.5049623272566766E-2</v>
      </c>
      <c r="Q31" s="13">
        <v>8.4816479537964951E-2</v>
      </c>
      <c r="R31" s="13">
        <v>8.4365719615690629E-2</v>
      </c>
      <c r="S31" s="13">
        <v>8.5597790070962396E-2</v>
      </c>
      <c r="T31" s="13">
        <v>8.6565892744286638E-2</v>
      </c>
      <c r="U31" s="13">
        <v>8.7287215963771217E-2</v>
      </c>
      <c r="V31" s="13">
        <v>8.7779178310665409E-2</v>
      </c>
      <c r="W31" s="13">
        <v>8.8058605124108805E-2</v>
      </c>
      <c r="X31" s="13">
        <v>8.8140804756639407E-2</v>
      </c>
      <c r="Y31" s="13">
        <v>8.8038833978141384E-2</v>
      </c>
      <c r="Z31" s="13">
        <v>8.7763125142007931E-2</v>
      </c>
      <c r="AA31" s="13">
        <v>8.7321524587074387E-2</v>
      </c>
      <c r="AB31" s="13">
        <v>8.6719691006299199E-2</v>
      </c>
      <c r="AC31" s="13">
        <f t="shared" ref="AC31:AL31" si="8">AB31</f>
        <v>8.6719691006299199E-2</v>
      </c>
      <c r="AD31" s="13">
        <f t="shared" si="8"/>
        <v>8.6719691006299199E-2</v>
      </c>
      <c r="AE31" s="13">
        <f t="shared" si="8"/>
        <v>8.6719691006299199E-2</v>
      </c>
      <c r="AF31" s="13">
        <f t="shared" si="8"/>
        <v>8.6719691006299199E-2</v>
      </c>
      <c r="AG31" s="13">
        <f t="shared" si="8"/>
        <v>8.6719691006299199E-2</v>
      </c>
      <c r="AH31" s="13">
        <f t="shared" si="8"/>
        <v>8.6719691006299199E-2</v>
      </c>
      <c r="AI31" s="13">
        <f t="shared" si="8"/>
        <v>8.6719691006299199E-2</v>
      </c>
      <c r="AJ31" s="13">
        <f t="shared" si="8"/>
        <v>8.6719691006299199E-2</v>
      </c>
      <c r="AK31" s="13">
        <f t="shared" si="8"/>
        <v>8.6719691006299199E-2</v>
      </c>
      <c r="AL31" s="13">
        <f t="shared" si="8"/>
        <v>8.6719691006299199E-2</v>
      </c>
    </row>
    <row r="32" spans="1:38" x14ac:dyDescent="0.35">
      <c r="A32">
        <f t="shared" si="5"/>
        <v>1</v>
      </c>
      <c r="B32" t="s">
        <v>37</v>
      </c>
      <c r="C32" s="13">
        <v>0.72577008495494999</v>
      </c>
      <c r="D32" s="13">
        <f t="shared" si="2"/>
        <v>0.72577008495494999</v>
      </c>
      <c r="E32" s="10">
        <f t="shared" si="2"/>
        <v>0.72577008495494999</v>
      </c>
      <c r="F32" s="10">
        <f t="shared" si="2"/>
        <v>0.72577008495494999</v>
      </c>
      <c r="G32" s="10">
        <f t="shared" si="2"/>
        <v>0.72577008495494999</v>
      </c>
      <c r="H32" s="13">
        <v>0.72577008495495099</v>
      </c>
      <c r="I32" s="13">
        <f t="shared" si="3"/>
        <v>0.69773857350213908</v>
      </c>
      <c r="J32" s="13">
        <f t="shared" si="3"/>
        <v>0.66970706204932717</v>
      </c>
      <c r="K32" s="13">
        <f t="shared" si="3"/>
        <v>0.64167555059651527</v>
      </c>
      <c r="L32" s="13">
        <f t="shared" si="3"/>
        <v>0.61364403914370336</v>
      </c>
      <c r="M32" s="13">
        <v>0.58561252769089156</v>
      </c>
      <c r="N32" s="13">
        <v>0.56480477729261469</v>
      </c>
      <c r="O32" s="13">
        <v>0.54346171808951771</v>
      </c>
      <c r="P32" s="13">
        <v>0.52165521983569973</v>
      </c>
      <c r="Q32" s="13">
        <v>0.49946725927910335</v>
      </c>
      <c r="R32" s="13">
        <v>0.47698905885537685</v>
      </c>
      <c r="S32" s="13">
        <v>0.45139419073513343</v>
      </c>
      <c r="T32" s="13">
        <v>0.42578586173743654</v>
      </c>
      <c r="U32" s="13">
        <v>0.40044795237128206</v>
      </c>
      <c r="V32" s="13">
        <v>0.37561070196027574</v>
      </c>
      <c r="W32" s="13">
        <v>0.35145462235202263</v>
      </c>
      <c r="X32" s="13">
        <v>0.32811454323417377</v>
      </c>
      <c r="Y32" s="13">
        <v>0.30568474209890356</v>
      </c>
      <c r="Z32" s="13">
        <v>0.28422519342402824</v>
      </c>
      <c r="AA32" s="13">
        <v>0.26376842853697136</v>
      </c>
      <c r="AB32" s="13">
        <v>0.24432630953294215</v>
      </c>
      <c r="AC32" s="13">
        <f t="shared" ref="AC32:AL32" si="9">AB32</f>
        <v>0.24432630953294215</v>
      </c>
      <c r="AD32" s="13">
        <f t="shared" si="9"/>
        <v>0.24432630953294215</v>
      </c>
      <c r="AE32" s="13">
        <f t="shared" si="9"/>
        <v>0.24432630953294215</v>
      </c>
      <c r="AF32" s="13">
        <f t="shared" si="9"/>
        <v>0.24432630953294215</v>
      </c>
      <c r="AG32" s="13">
        <f t="shared" si="9"/>
        <v>0.24432630953294215</v>
      </c>
      <c r="AH32" s="13">
        <f t="shared" si="9"/>
        <v>0.24432630953294215</v>
      </c>
      <c r="AI32" s="13">
        <f t="shared" si="9"/>
        <v>0.24432630953294215</v>
      </c>
      <c r="AJ32" s="13">
        <f t="shared" si="9"/>
        <v>0.24432630953294215</v>
      </c>
      <c r="AK32" s="13">
        <f t="shared" si="9"/>
        <v>0.24432630953294215</v>
      </c>
      <c r="AL32" s="13">
        <f t="shared" si="9"/>
        <v>0.24432630953294215</v>
      </c>
    </row>
    <row r="33" spans="1:39" x14ac:dyDescent="0.35">
      <c r="A33">
        <f t="shared" si="5"/>
        <v>1</v>
      </c>
      <c r="B33" t="s">
        <v>38</v>
      </c>
      <c r="C33" s="13">
        <v>1.4464495890775799E-2</v>
      </c>
      <c r="D33" s="13">
        <f t="shared" si="2"/>
        <v>1.4464495890775799E-2</v>
      </c>
      <c r="E33" s="10">
        <f t="shared" si="2"/>
        <v>1.4464495890775799E-2</v>
      </c>
      <c r="F33" s="10">
        <f t="shared" si="2"/>
        <v>1.4464495890775799E-2</v>
      </c>
      <c r="G33" s="10">
        <f t="shared" si="2"/>
        <v>1.4464495890775799E-2</v>
      </c>
      <c r="H33" s="13">
        <v>1.4464495890775799E-2</v>
      </c>
      <c r="I33" s="13">
        <f t="shared" si="3"/>
        <v>1.2045821840589209E-2</v>
      </c>
      <c r="J33" s="13">
        <f t="shared" si="3"/>
        <v>9.6271477904026192E-3</v>
      </c>
      <c r="K33" s="13">
        <f t="shared" si="3"/>
        <v>7.2084737402160291E-3</v>
      </c>
      <c r="L33" s="13">
        <f t="shared" si="3"/>
        <v>4.7897996900294389E-3</v>
      </c>
      <c r="M33" s="13">
        <v>2.3711256398428466E-3</v>
      </c>
      <c r="N33" s="13">
        <v>2.3669216707589546E-3</v>
      </c>
      <c r="O33" s="13">
        <v>2.3571965588253178E-3</v>
      </c>
      <c r="P33" s="13">
        <v>2.3418103167000769E-3</v>
      </c>
      <c r="Q33" s="13">
        <v>2.3206866234017623E-3</v>
      </c>
      <c r="R33" s="13">
        <v>2.2938193282139494E-3</v>
      </c>
      <c r="S33" s="13">
        <v>1.4535947160263856E-3</v>
      </c>
      <c r="T33" s="13">
        <v>9.1815327157408343E-4</v>
      </c>
      <c r="U33" s="13">
        <v>5.7823797006923176E-4</v>
      </c>
      <c r="V33" s="13">
        <v>3.6319099012002638E-4</v>
      </c>
      <c r="W33" s="13">
        <v>2.2756367958851021E-4</v>
      </c>
      <c r="X33" s="13">
        <v>1.4226423986397199E-4</v>
      </c>
      <c r="Y33" s="13">
        <v>8.8752502783852604E-5</v>
      </c>
      <c r="Z33" s="13">
        <v>5.5259378618481328E-5</v>
      </c>
      <c r="AA33" s="13">
        <v>3.4340199806527165E-5</v>
      </c>
      <c r="AB33" s="13">
        <v>2.1300353962056466E-5</v>
      </c>
      <c r="AC33" s="13">
        <f t="shared" ref="AC33:AL33" si="10">AB33</f>
        <v>2.1300353962056466E-5</v>
      </c>
      <c r="AD33" s="13">
        <f t="shared" si="10"/>
        <v>2.1300353962056466E-5</v>
      </c>
      <c r="AE33" s="13">
        <f t="shared" si="10"/>
        <v>2.1300353962056466E-5</v>
      </c>
      <c r="AF33" s="13">
        <f t="shared" si="10"/>
        <v>2.1300353962056466E-5</v>
      </c>
      <c r="AG33" s="13">
        <f t="shared" si="10"/>
        <v>2.1300353962056466E-5</v>
      </c>
      <c r="AH33" s="13">
        <f t="shared" si="10"/>
        <v>2.1300353962056466E-5</v>
      </c>
      <c r="AI33" s="13">
        <f t="shared" si="10"/>
        <v>2.1300353962056466E-5</v>
      </c>
      <c r="AJ33" s="13">
        <f t="shared" si="10"/>
        <v>2.1300353962056466E-5</v>
      </c>
      <c r="AK33" s="13">
        <f t="shared" si="10"/>
        <v>2.1300353962056466E-5</v>
      </c>
      <c r="AL33" s="13">
        <f t="shared" si="10"/>
        <v>2.1300353962056466E-5</v>
      </c>
    </row>
    <row r="34" spans="1:39" x14ac:dyDescent="0.35">
      <c r="A34">
        <f t="shared" si="5"/>
        <v>1</v>
      </c>
      <c r="B34" t="s">
        <v>39</v>
      </c>
      <c r="C34" s="13">
        <v>1.7180069751184901E-3</v>
      </c>
      <c r="D34" s="13">
        <f t="shared" si="2"/>
        <v>1.7180069751184901E-3</v>
      </c>
      <c r="E34" s="10">
        <f t="shared" si="2"/>
        <v>1.7180069751184901E-3</v>
      </c>
      <c r="F34" s="10">
        <f t="shared" si="2"/>
        <v>1.7180069751184901E-3</v>
      </c>
      <c r="G34" s="10">
        <f t="shared" si="2"/>
        <v>1.7180069751184901E-3</v>
      </c>
      <c r="H34" s="13">
        <v>1.7180069751184901E-3</v>
      </c>
      <c r="I34" s="13">
        <f t="shared" si="3"/>
        <v>1.683173031526018E-3</v>
      </c>
      <c r="J34" s="13">
        <f t="shared" si="3"/>
        <v>1.6483390879335458E-3</v>
      </c>
      <c r="K34" s="13">
        <f t="shared" si="3"/>
        <v>1.6135051443410737E-3</v>
      </c>
      <c r="L34" s="13">
        <f t="shared" si="3"/>
        <v>1.5786712007486016E-3</v>
      </c>
      <c r="M34" s="13">
        <v>1.5438372571561297E-3</v>
      </c>
      <c r="N34" s="13">
        <v>1.5322430174866005E-3</v>
      </c>
      <c r="O34" s="13">
        <v>1.5201146211883169E-3</v>
      </c>
      <c r="P34" s="13">
        <v>1.5074716859242428E-3</v>
      </c>
      <c r="Q34" s="13">
        <v>1.4943416219242315E-3</v>
      </c>
      <c r="R34" s="13">
        <v>1.4807600036461637E-3</v>
      </c>
      <c r="S34" s="13">
        <v>1.4584012513213802E-3</v>
      </c>
      <c r="T34" s="13">
        <v>1.4362376451377721E-3</v>
      </c>
      <c r="U34" s="13">
        <v>1.4146582390975038E-3</v>
      </c>
      <c r="V34" s="13">
        <v>1.3940250024857314E-3</v>
      </c>
      <c r="W34" s="13">
        <v>1.3746517867644673E-3</v>
      </c>
      <c r="X34" s="13">
        <v>1.3567891899837192E-3</v>
      </c>
      <c r="Y34" s="13">
        <v>1.3406166074418247E-3</v>
      </c>
      <c r="Z34" s="13">
        <v>1.3262414320623192E-3</v>
      </c>
      <c r="AA34" s="13">
        <v>1.3137042737420717E-3</v>
      </c>
      <c r="AB34" s="13">
        <v>1.3029884150789063E-3</v>
      </c>
      <c r="AC34" s="13">
        <f t="shared" ref="AC34:AL34" si="11">AB34</f>
        <v>1.3029884150789063E-3</v>
      </c>
      <c r="AD34" s="13">
        <f t="shared" si="11"/>
        <v>1.3029884150789063E-3</v>
      </c>
      <c r="AE34" s="13">
        <f t="shared" si="11"/>
        <v>1.3029884150789063E-3</v>
      </c>
      <c r="AF34" s="13">
        <f t="shared" si="11"/>
        <v>1.3029884150789063E-3</v>
      </c>
      <c r="AG34" s="13">
        <f t="shared" si="11"/>
        <v>1.3029884150789063E-3</v>
      </c>
      <c r="AH34" s="13">
        <f t="shared" si="11"/>
        <v>1.3029884150789063E-3</v>
      </c>
      <c r="AI34" s="13">
        <f t="shared" si="11"/>
        <v>1.3029884150789063E-3</v>
      </c>
      <c r="AJ34" s="13">
        <f t="shared" si="11"/>
        <v>1.3029884150789063E-3</v>
      </c>
      <c r="AK34" s="13">
        <f t="shared" si="11"/>
        <v>1.3029884150789063E-3</v>
      </c>
      <c r="AL34" s="13">
        <f t="shared" si="11"/>
        <v>1.3029884150789063E-3</v>
      </c>
    </row>
    <row r="35" spans="1:39" x14ac:dyDescent="0.35">
      <c r="A35">
        <f t="shared" si="5"/>
        <v>1</v>
      </c>
      <c r="B35" t="s">
        <v>32</v>
      </c>
      <c r="C35" s="13">
        <v>1.36621186897453E-2</v>
      </c>
      <c r="D35" s="13">
        <f t="shared" si="2"/>
        <v>1.36621186897453E-2</v>
      </c>
      <c r="E35" s="10">
        <f t="shared" si="2"/>
        <v>1.36621186897453E-2</v>
      </c>
      <c r="F35" s="10">
        <f t="shared" si="2"/>
        <v>1.36621186897453E-2</v>
      </c>
      <c r="G35" s="10">
        <f t="shared" si="2"/>
        <v>1.36621186897453E-2</v>
      </c>
      <c r="H35" s="13">
        <v>1.36621186897453E-2</v>
      </c>
      <c r="I35" s="13">
        <f t="shared" si="3"/>
        <v>2.1226933354821322E-2</v>
      </c>
      <c r="J35" s="13">
        <f t="shared" si="3"/>
        <v>2.8791748019897343E-2</v>
      </c>
      <c r="K35" s="13">
        <f t="shared" si="3"/>
        <v>3.6356562684973365E-2</v>
      </c>
      <c r="L35" s="13">
        <f t="shared" si="3"/>
        <v>4.392137735004939E-2</v>
      </c>
      <c r="M35" s="13">
        <v>5.1486192015125408E-2</v>
      </c>
      <c r="N35" s="13">
        <v>5.5734453903555331E-2</v>
      </c>
      <c r="O35" s="13">
        <v>6.0192075917442828E-2</v>
      </c>
      <c r="P35" s="13">
        <v>6.4848345029194454E-2</v>
      </c>
      <c r="Q35" s="13">
        <v>6.9689498631375579E-2</v>
      </c>
      <c r="R35" s="13">
        <v>7.4698814243059158E-2</v>
      </c>
      <c r="S35" s="13">
        <v>8.1628320718353603E-2</v>
      </c>
      <c r="T35" s="13">
        <v>8.8911049998522895E-2</v>
      </c>
      <c r="U35" s="13">
        <v>9.6558427802708055E-2</v>
      </c>
      <c r="V35" s="13">
        <v>0.10458313886876823</v>
      </c>
      <c r="W35" s="13">
        <v>0.11299847437695401</v>
      </c>
      <c r="X35" s="13">
        <v>0.12181714216878045</v>
      </c>
      <c r="Y35" s="13">
        <v>0.13104977943168183</v>
      </c>
      <c r="Z35" s="13">
        <v>0.14070343792309747</v>
      </c>
      <c r="AA35" s="13">
        <v>0.15078028373864527</v>
      </c>
      <c r="AB35" s="13">
        <v>0.16127668402782211</v>
      </c>
      <c r="AC35" s="13">
        <f t="shared" ref="AC35:AL35" si="12">AB35</f>
        <v>0.16127668402782211</v>
      </c>
      <c r="AD35" s="13">
        <f t="shared" si="12"/>
        <v>0.16127668402782211</v>
      </c>
      <c r="AE35" s="13">
        <f t="shared" si="12"/>
        <v>0.16127668402782211</v>
      </c>
      <c r="AF35" s="13">
        <f t="shared" si="12"/>
        <v>0.16127668402782211</v>
      </c>
      <c r="AG35" s="13">
        <f t="shared" si="12"/>
        <v>0.16127668402782211</v>
      </c>
      <c r="AH35" s="13">
        <f t="shared" si="12"/>
        <v>0.16127668402782211</v>
      </c>
      <c r="AI35" s="13">
        <f t="shared" si="12"/>
        <v>0.16127668402782211</v>
      </c>
      <c r="AJ35" s="13">
        <f t="shared" si="12"/>
        <v>0.16127668402782211</v>
      </c>
      <c r="AK35" s="13">
        <f t="shared" si="12"/>
        <v>0.16127668402782211</v>
      </c>
      <c r="AL35" s="13">
        <f t="shared" si="12"/>
        <v>0.16127668402782211</v>
      </c>
    </row>
    <row r="36" spans="1:39" x14ac:dyDescent="0.35">
      <c r="A36">
        <f t="shared" si="5"/>
        <v>1</v>
      </c>
      <c r="B36" t="s">
        <v>46</v>
      </c>
      <c r="C36" s="10">
        <f>'[2]Prix 3ME baseline'!C4</f>
        <v>1</v>
      </c>
      <c r="D36" s="10">
        <f>'[2]Prix 3ME baseline'!D4</f>
        <v>1.012</v>
      </c>
      <c r="E36" s="10">
        <f>'[2]Prix 3ME baseline'!E4</f>
        <v>1.0241439999999999</v>
      </c>
      <c r="F36" s="10">
        <f>'[2]Prix 3ME baseline'!F4</f>
        <v>1.036433728</v>
      </c>
      <c r="G36" s="10">
        <f>'[2]Prix 3ME baseline'!G4</f>
        <v>1.048870932736</v>
      </c>
      <c r="H36" s="10">
        <f>'[2]Prix 3ME baseline'!H4</f>
        <v>1.0614573839288319</v>
      </c>
      <c r="I36" s="10">
        <f>'[2]Prix 3ME baseline'!I4</f>
        <v>1.074194872535978</v>
      </c>
      <c r="J36" s="10">
        <f>'[2]Prix 3ME baseline'!J4</f>
        <v>1.0870852110064098</v>
      </c>
      <c r="K36" s="10">
        <f>'[2]Prix 3ME baseline'!K4</f>
        <v>1.1001302335384866</v>
      </c>
      <c r="L36" s="10">
        <f>'[2]Prix 3ME baseline'!L4</f>
        <v>1.1133317963409484</v>
      </c>
      <c r="M36" s="10">
        <f>'[2]Prix 3ME baseline'!M4</f>
        <v>1.1266917778970398</v>
      </c>
      <c r="N36" s="10">
        <f>'[2]Prix 3ME baseline'!N4</f>
        <v>1.1396100682872405</v>
      </c>
      <c r="O36" s="10">
        <f>'[2]Prix 3ME baseline'!O4</f>
        <v>1.1517308398285908</v>
      </c>
      <c r="P36" s="10">
        <f>'[2]Prix 3ME baseline'!P4</f>
        <v>1.1629837550378135</v>
      </c>
      <c r="Q36" s="10">
        <f>'[2]Prix 3ME baseline'!Q4</f>
        <v>1.1736490817328895</v>
      </c>
      <c r="R36" s="10">
        <f>'[2]Prix 3ME baseline'!R4</f>
        <v>1.183973542162853</v>
      </c>
      <c r="S36" s="10">
        <f>'[2]Prix 3ME baseline'!S4</f>
        <v>1.1938435142393335</v>
      </c>
      <c r="T36" s="10">
        <f>'[2]Prix 3ME baseline'!T4</f>
        <v>1.203269819113604</v>
      </c>
      <c r="U36" s="10">
        <f>'[2]Prix 3ME baseline'!U4</f>
        <v>1.2125229855674997</v>
      </c>
      <c r="V36" s="10">
        <f>'[2]Prix 3ME baseline'!V4</f>
        <v>1.2218854456492569</v>
      </c>
      <c r="W36" s="10">
        <f>'[2]Prix 3ME baseline'!W4</f>
        <v>1.2315909362263815</v>
      </c>
      <c r="X36" s="10">
        <f>'[2]Prix 3ME baseline'!X4</f>
        <v>1.2417909534167009</v>
      </c>
      <c r="Y36" s="10">
        <f>'[2]Prix 3ME baseline'!Y4</f>
        <v>1.2526672925616087</v>
      </c>
      <c r="Z36" s="15">
        <f>'[2]Prix 3ME baseline'!Z4</f>
        <v>1.2644244734201724</v>
      </c>
      <c r="AA36" s="16">
        <f>'[2]Prix 3ME baseline'!AA4</f>
        <v>1.2774271687903058</v>
      </c>
      <c r="AB36" s="16">
        <f>'[2]Prix 3ME baseline'!AB4</f>
        <v>1.2918333674806011</v>
      </c>
      <c r="AC36" s="16">
        <f>'[2]Prix 3ME baseline'!AC4</f>
        <v>1.3077783338819757</v>
      </c>
      <c r="AD36" s="10">
        <f>'[2]Prix 3ME baseline'!AD4</f>
        <v>1.32529453144825</v>
      </c>
      <c r="AE36" s="10">
        <f>'[2]Prix 3ME baseline'!AE4</f>
        <v>1.3443830422945511</v>
      </c>
      <c r="AF36" s="10">
        <f>'[2]Prix 3ME baseline'!AF4</f>
        <v>1.3647116570767854</v>
      </c>
      <c r="AG36" s="10">
        <f>'[2]Prix 3ME baseline'!AG4</f>
        <v>1.3861689179368368</v>
      </c>
      <c r="AH36" s="10">
        <f>'[2]Prix 3ME baseline'!AH4</f>
        <v>1.4086866516216829</v>
      </c>
      <c r="AI36" s="10">
        <f>'[2]Prix 3ME baseline'!AI4</f>
        <v>1.4322118344900838</v>
      </c>
      <c r="AJ36" s="10">
        <f>'[2]Prix 3ME baseline'!AJ4</f>
        <v>1.4566925250159268</v>
      </c>
      <c r="AK36" s="10">
        <f>'[2]Prix 3ME baseline'!AK4</f>
        <v>1.4820637962915721</v>
      </c>
      <c r="AL36" s="10">
        <f>'[2]Prix 3ME baseline'!AL4</f>
        <v>1.5082520644883597</v>
      </c>
    </row>
    <row r="37" spans="1:39" x14ac:dyDescent="0.35">
      <c r="A37">
        <f t="shared" si="5"/>
        <v>1</v>
      </c>
      <c r="B37" t="s">
        <v>47</v>
      </c>
      <c r="C37">
        <f>'[2]Prix 3ME baseline'!C5</f>
        <v>1</v>
      </c>
      <c r="D37" s="10">
        <f>'[2]Prix 3ME baseline'!D5</f>
        <v>1.012</v>
      </c>
      <c r="E37" s="10">
        <f>'[2]Prix 3ME baseline'!E5</f>
        <v>1.0241439999999999</v>
      </c>
      <c r="F37" s="10">
        <f>'[2]Prix 3ME baseline'!F5</f>
        <v>1.036433728</v>
      </c>
      <c r="G37" s="10">
        <f>'[2]Prix 3ME baseline'!G5</f>
        <v>1.048870932736</v>
      </c>
      <c r="H37" s="10">
        <f>'[2]Prix 3ME baseline'!H5</f>
        <v>1.0614573839288319</v>
      </c>
      <c r="I37" s="10">
        <f>'[2]Prix 3ME baseline'!I5</f>
        <v>1.074194872535978</v>
      </c>
      <c r="J37" s="10">
        <f>'[2]Prix 3ME baseline'!J5</f>
        <v>1.0870852110064098</v>
      </c>
      <c r="K37" s="10">
        <f>'[2]Prix 3ME baseline'!K5</f>
        <v>1.1001302335384866</v>
      </c>
      <c r="L37" s="10">
        <f>'[2]Prix 3ME baseline'!L5</f>
        <v>1.1133317963409484</v>
      </c>
      <c r="M37" s="10">
        <f>'[2]Prix 3ME baseline'!M5</f>
        <v>1.1266917778970398</v>
      </c>
      <c r="N37" s="10">
        <f>'[2]Prix 3ME baseline'!N5</f>
        <v>1.1396100682872405</v>
      </c>
      <c r="O37" s="10">
        <f>'[2]Prix 3ME baseline'!O5</f>
        <v>1.1517308398285908</v>
      </c>
      <c r="P37" s="10">
        <f>'[2]Prix 3ME baseline'!P5</f>
        <v>1.1629837550378135</v>
      </c>
      <c r="Q37" s="10">
        <f>'[2]Prix 3ME baseline'!Q5</f>
        <v>1.1736490817328895</v>
      </c>
      <c r="R37" s="10">
        <f>'[2]Prix 3ME baseline'!R5</f>
        <v>1.183973542162853</v>
      </c>
      <c r="S37" s="10">
        <f>'[2]Prix 3ME baseline'!S5</f>
        <v>1.1938435142393335</v>
      </c>
      <c r="T37" s="10">
        <f>'[2]Prix 3ME baseline'!T5</f>
        <v>1.203269819113604</v>
      </c>
      <c r="U37" s="10">
        <f>'[2]Prix 3ME baseline'!U5</f>
        <v>1.2125229855674997</v>
      </c>
      <c r="V37" s="10">
        <f>'[2]Prix 3ME baseline'!V5</f>
        <v>1.2218854456492569</v>
      </c>
      <c r="W37" s="10">
        <f>'[2]Prix 3ME baseline'!W5</f>
        <v>1.2315909362263815</v>
      </c>
      <c r="X37" s="10">
        <f>'[2]Prix 3ME baseline'!X5</f>
        <v>1.2417909534167009</v>
      </c>
      <c r="Y37" s="10">
        <f>'[2]Prix 3ME baseline'!Y5</f>
        <v>1.2526672925616087</v>
      </c>
      <c r="Z37" s="10">
        <f>'[2]Prix 3ME baseline'!Z5</f>
        <v>1.2644244734201724</v>
      </c>
      <c r="AA37" s="16">
        <f>'[2]Prix 3ME baseline'!AA5</f>
        <v>1.2774271687903058</v>
      </c>
      <c r="AB37" s="16">
        <f>'[2]Prix 3ME baseline'!AB5</f>
        <v>1.2918333674806011</v>
      </c>
      <c r="AC37" s="16">
        <f>'[2]Prix 3ME baseline'!AC5</f>
        <v>1.3077783338819757</v>
      </c>
      <c r="AD37" s="10">
        <f>'[2]Prix 3ME baseline'!AD5</f>
        <v>1.32529453144825</v>
      </c>
      <c r="AE37" s="10">
        <f>'[2]Prix 3ME baseline'!AE5</f>
        <v>1.3443830422945511</v>
      </c>
      <c r="AF37" s="10">
        <f>'[2]Prix 3ME baseline'!AF5</f>
        <v>1.3647116570767854</v>
      </c>
      <c r="AG37" s="10">
        <f>'[2]Prix 3ME baseline'!AG5</f>
        <v>1.3861689179368368</v>
      </c>
      <c r="AH37" s="10">
        <f>'[2]Prix 3ME baseline'!AH5</f>
        <v>1.4086866516216829</v>
      </c>
      <c r="AI37" s="10">
        <f>'[2]Prix 3ME baseline'!AI5</f>
        <v>1.4322118344900838</v>
      </c>
      <c r="AJ37" s="10">
        <f>'[2]Prix 3ME baseline'!AJ5</f>
        <v>1.4566925250159268</v>
      </c>
      <c r="AK37" s="10">
        <f>'[2]Prix 3ME baseline'!AK5</f>
        <v>1.4820637962915721</v>
      </c>
      <c r="AL37" s="10">
        <f>'[2]Prix 3ME baseline'!AL5</f>
        <v>1.5082520644883597</v>
      </c>
    </row>
    <row r="38" spans="1:39" x14ac:dyDescent="0.35">
      <c r="A38">
        <f t="shared" si="5"/>
        <v>1</v>
      </c>
      <c r="B38" t="s">
        <v>48</v>
      </c>
      <c r="C38">
        <f>'[2]Prix 3ME baseline'!C6</f>
        <v>1</v>
      </c>
      <c r="D38" s="10">
        <f>'[2]Prix 3ME baseline'!D6</f>
        <v>1.012</v>
      </c>
      <c r="E38" s="10">
        <f>'[2]Prix 3ME baseline'!E6</f>
        <v>1.0241439999999999</v>
      </c>
      <c r="F38" s="10">
        <f>'[2]Prix 3ME baseline'!F6</f>
        <v>1.036433728</v>
      </c>
      <c r="G38" s="10">
        <f>'[2]Prix 3ME baseline'!G6</f>
        <v>1.048870932736</v>
      </c>
      <c r="H38" s="10">
        <f>'[2]Prix 3ME baseline'!H6</f>
        <v>1.0614573839288319</v>
      </c>
      <c r="I38" s="10">
        <f>'[2]Prix 3ME baseline'!I6</f>
        <v>1.074194872535978</v>
      </c>
      <c r="J38" s="10">
        <f>'[2]Prix 3ME baseline'!J6</f>
        <v>1.0870852110064098</v>
      </c>
      <c r="K38" s="10">
        <f>'[2]Prix 3ME baseline'!K6</f>
        <v>1.1001302335384866</v>
      </c>
      <c r="L38" s="10">
        <f>'[2]Prix 3ME baseline'!L6</f>
        <v>1.1133317963409484</v>
      </c>
      <c r="M38" s="10">
        <f>'[2]Prix 3ME baseline'!M6</f>
        <v>1.1266917778970398</v>
      </c>
      <c r="N38" s="10">
        <f>'[2]Prix 3ME baseline'!N6</f>
        <v>1.1396100682872405</v>
      </c>
      <c r="O38" s="10">
        <f>'[2]Prix 3ME baseline'!O6</f>
        <v>1.1517308398285908</v>
      </c>
      <c r="P38" s="10">
        <f>'[2]Prix 3ME baseline'!P6</f>
        <v>1.1629837550378135</v>
      </c>
      <c r="Q38" s="10">
        <f>'[2]Prix 3ME baseline'!Q6</f>
        <v>1.1736490817328895</v>
      </c>
      <c r="R38" s="10">
        <f>'[2]Prix 3ME baseline'!R6</f>
        <v>1.183973542162853</v>
      </c>
      <c r="S38" s="10">
        <f>'[2]Prix 3ME baseline'!S6</f>
        <v>1.1938435142393335</v>
      </c>
      <c r="T38" s="10">
        <f>'[2]Prix 3ME baseline'!T6</f>
        <v>1.203269819113604</v>
      </c>
      <c r="U38" s="10">
        <f>'[2]Prix 3ME baseline'!U6</f>
        <v>1.2125229855674997</v>
      </c>
      <c r="V38" s="10">
        <f>'[2]Prix 3ME baseline'!V6</f>
        <v>1.2218854456492569</v>
      </c>
      <c r="W38" s="10">
        <f>'[2]Prix 3ME baseline'!W6</f>
        <v>1.2315909362263815</v>
      </c>
      <c r="X38" s="10">
        <f>'[2]Prix 3ME baseline'!X6</f>
        <v>1.2417909534167009</v>
      </c>
      <c r="Y38" s="10">
        <f>'[2]Prix 3ME baseline'!Y6</f>
        <v>1.2526672925616087</v>
      </c>
      <c r="Z38" s="10">
        <f>'[2]Prix 3ME baseline'!Z6</f>
        <v>1.2644244734201724</v>
      </c>
      <c r="AA38" s="16">
        <f>'[2]Prix 3ME baseline'!AA6</f>
        <v>1.2774271687903058</v>
      </c>
      <c r="AB38" s="16">
        <f>'[2]Prix 3ME baseline'!AB6</f>
        <v>1.2918333674806011</v>
      </c>
      <c r="AC38" s="16">
        <f>'[2]Prix 3ME baseline'!AC6</f>
        <v>1.3077783338819757</v>
      </c>
      <c r="AD38" s="10">
        <f>'[2]Prix 3ME baseline'!AD6</f>
        <v>1.32529453144825</v>
      </c>
      <c r="AE38" s="10">
        <f>'[2]Prix 3ME baseline'!AE6</f>
        <v>1.3443830422945511</v>
      </c>
      <c r="AF38" s="10">
        <f>'[2]Prix 3ME baseline'!AF6</f>
        <v>1.3647116570767854</v>
      </c>
      <c r="AG38" s="10">
        <f>'[2]Prix 3ME baseline'!AG6</f>
        <v>1.3861689179368368</v>
      </c>
      <c r="AH38" s="10">
        <f>'[2]Prix 3ME baseline'!AH6</f>
        <v>1.4086866516216829</v>
      </c>
      <c r="AI38" s="10">
        <f>'[2]Prix 3ME baseline'!AI6</f>
        <v>1.4322118344900838</v>
      </c>
      <c r="AJ38" s="10">
        <f>'[2]Prix 3ME baseline'!AJ6</f>
        <v>1.4566925250159268</v>
      </c>
      <c r="AK38" s="10">
        <f>'[2]Prix 3ME baseline'!AK6</f>
        <v>1.4820637962915721</v>
      </c>
      <c r="AL38" s="10">
        <f>'[2]Prix 3ME baseline'!AL6</f>
        <v>1.5082520644883597</v>
      </c>
    </row>
    <row r="39" spans="1:39" x14ac:dyDescent="0.35">
      <c r="A39">
        <f t="shared" si="5"/>
        <v>1</v>
      </c>
      <c r="B39" t="s">
        <v>49</v>
      </c>
      <c r="C39">
        <f>'[2]Prix 3ME baseline'!C7</f>
        <v>1</v>
      </c>
      <c r="D39" s="10">
        <f>'[2]Prix 3ME baseline'!D7</f>
        <v>1.012</v>
      </c>
      <c r="E39" s="10">
        <f>'[2]Prix 3ME baseline'!E7</f>
        <v>1.0241439999999999</v>
      </c>
      <c r="F39" s="10">
        <f>'[2]Prix 3ME baseline'!F7</f>
        <v>1.036433728</v>
      </c>
      <c r="G39" s="10">
        <f>'[2]Prix 3ME baseline'!G7</f>
        <v>1.048870932736</v>
      </c>
      <c r="H39" s="10">
        <f>'[2]Prix 3ME baseline'!H7</f>
        <v>1.0614573839288319</v>
      </c>
      <c r="I39" s="10">
        <f>'[2]Prix 3ME baseline'!I7</f>
        <v>1.074194872535978</v>
      </c>
      <c r="J39" s="10">
        <f>'[2]Prix 3ME baseline'!J7</f>
        <v>1.0870852110064098</v>
      </c>
      <c r="K39" s="10">
        <f>'[2]Prix 3ME baseline'!K7</f>
        <v>1.1001302335384866</v>
      </c>
      <c r="L39" s="10">
        <f>'[2]Prix 3ME baseline'!L7</f>
        <v>1.1133317963409484</v>
      </c>
      <c r="M39" s="10">
        <f>'[2]Prix 3ME baseline'!M7</f>
        <v>1.1266917778970398</v>
      </c>
      <c r="N39" s="10">
        <f>'[2]Prix 3ME baseline'!N7</f>
        <v>1.1396100682872405</v>
      </c>
      <c r="O39" s="10">
        <f>'[2]Prix 3ME baseline'!O7</f>
        <v>1.1517308398285908</v>
      </c>
      <c r="P39" s="10">
        <f>'[2]Prix 3ME baseline'!P7</f>
        <v>1.1629837550378135</v>
      </c>
      <c r="Q39" s="10">
        <f>'[2]Prix 3ME baseline'!Q7</f>
        <v>1.1736490817328895</v>
      </c>
      <c r="R39" s="10">
        <f>'[2]Prix 3ME baseline'!R7</f>
        <v>1.183973542162853</v>
      </c>
      <c r="S39" s="10">
        <f>'[2]Prix 3ME baseline'!S7</f>
        <v>1.1938435142393335</v>
      </c>
      <c r="T39" s="10">
        <f>'[2]Prix 3ME baseline'!T7</f>
        <v>1.203269819113604</v>
      </c>
      <c r="U39" s="10">
        <f>'[2]Prix 3ME baseline'!U7</f>
        <v>1.2125229855674997</v>
      </c>
      <c r="V39" s="10">
        <f>'[2]Prix 3ME baseline'!V7</f>
        <v>1.2218854456492569</v>
      </c>
      <c r="W39" s="10">
        <f>'[2]Prix 3ME baseline'!W7</f>
        <v>1.2315909362263815</v>
      </c>
      <c r="X39" s="10">
        <f>'[2]Prix 3ME baseline'!X7</f>
        <v>1.2417909534167009</v>
      </c>
      <c r="Y39" s="10">
        <f>'[2]Prix 3ME baseline'!Y7</f>
        <v>1.2526672925616087</v>
      </c>
      <c r="Z39" s="10">
        <f>'[2]Prix 3ME baseline'!Z7</f>
        <v>1.2644244734201724</v>
      </c>
      <c r="AA39" s="16">
        <f>'[2]Prix 3ME baseline'!AA7</f>
        <v>1.2774271687903058</v>
      </c>
      <c r="AB39" s="16">
        <f>'[2]Prix 3ME baseline'!AB7</f>
        <v>1.2918333674806011</v>
      </c>
      <c r="AC39" s="16">
        <f>'[2]Prix 3ME baseline'!AC7</f>
        <v>1.3077783338819757</v>
      </c>
      <c r="AD39" s="10">
        <f>'[2]Prix 3ME baseline'!AD7</f>
        <v>1.32529453144825</v>
      </c>
      <c r="AE39" s="10">
        <f>'[2]Prix 3ME baseline'!AE7</f>
        <v>1.3443830422945511</v>
      </c>
      <c r="AF39" s="10">
        <f>'[2]Prix 3ME baseline'!AF7</f>
        <v>1.3647116570767854</v>
      </c>
      <c r="AG39" s="10">
        <f>'[2]Prix 3ME baseline'!AG7</f>
        <v>1.3861689179368368</v>
      </c>
      <c r="AH39" s="10">
        <f>'[2]Prix 3ME baseline'!AH7</f>
        <v>1.4086866516216829</v>
      </c>
      <c r="AI39" s="10">
        <f>'[2]Prix 3ME baseline'!AI7</f>
        <v>1.4322118344900838</v>
      </c>
      <c r="AJ39" s="10">
        <f>'[2]Prix 3ME baseline'!AJ7</f>
        <v>1.4566925250159268</v>
      </c>
      <c r="AK39" s="10">
        <f>'[2]Prix 3ME baseline'!AK7</f>
        <v>1.4820637962915721</v>
      </c>
      <c r="AL39" s="10">
        <f>'[2]Prix 3ME baseline'!AL7</f>
        <v>1.5082520644883597</v>
      </c>
    </row>
    <row r="40" spans="1:39" x14ac:dyDescent="0.35">
      <c r="A40">
        <f t="shared" si="5"/>
        <v>1</v>
      </c>
      <c r="B40" t="s">
        <v>50</v>
      </c>
      <c r="C40">
        <f>'[2]Prix 3ME baseline'!C8</f>
        <v>1</v>
      </c>
      <c r="D40" s="10">
        <f>'[2]Prix 3ME baseline'!D8</f>
        <v>1.012</v>
      </c>
      <c r="E40" s="10">
        <f>'[2]Prix 3ME baseline'!E8</f>
        <v>1.0241439999999999</v>
      </c>
      <c r="F40" s="10">
        <f>'[2]Prix 3ME baseline'!F8</f>
        <v>1.036433728</v>
      </c>
      <c r="G40" s="10">
        <f>'[2]Prix 3ME baseline'!G8</f>
        <v>1.048870932736</v>
      </c>
      <c r="H40" s="10">
        <f>'[2]Prix 3ME baseline'!H8</f>
        <v>1.0614573839288319</v>
      </c>
      <c r="I40" s="10">
        <f>'[2]Prix 3ME baseline'!I8</f>
        <v>1.074194872535978</v>
      </c>
      <c r="J40" s="10">
        <f>'[2]Prix 3ME baseline'!J8</f>
        <v>1.0870852110064098</v>
      </c>
      <c r="K40" s="10">
        <f>'[2]Prix 3ME baseline'!K8</f>
        <v>1.1001302335384866</v>
      </c>
      <c r="L40" s="10">
        <f>'[2]Prix 3ME baseline'!L8</f>
        <v>1.1133317963409484</v>
      </c>
      <c r="M40" s="10">
        <f>'[2]Prix 3ME baseline'!M8</f>
        <v>1.1266917778970398</v>
      </c>
      <c r="N40" s="10">
        <f>'[2]Prix 3ME baseline'!N8</f>
        <v>1.1396100682872405</v>
      </c>
      <c r="O40" s="10">
        <f>'[2]Prix 3ME baseline'!O8</f>
        <v>1.1517308398285908</v>
      </c>
      <c r="P40" s="10">
        <f>'[2]Prix 3ME baseline'!P8</f>
        <v>1.1629837550378135</v>
      </c>
      <c r="Q40" s="10">
        <f>'[2]Prix 3ME baseline'!Q8</f>
        <v>1.1736490817328895</v>
      </c>
      <c r="R40" s="10">
        <f>'[2]Prix 3ME baseline'!R8</f>
        <v>1.183973542162853</v>
      </c>
      <c r="S40" s="10">
        <f>'[2]Prix 3ME baseline'!S8</f>
        <v>1.1938435142393335</v>
      </c>
      <c r="T40" s="10">
        <f>'[2]Prix 3ME baseline'!T8</f>
        <v>1.203269819113604</v>
      </c>
      <c r="U40" s="10">
        <f>'[2]Prix 3ME baseline'!U8</f>
        <v>1.2125229855674997</v>
      </c>
      <c r="V40" s="10">
        <f>'[2]Prix 3ME baseline'!V8</f>
        <v>1.2218854456492569</v>
      </c>
      <c r="W40" s="10">
        <f>'[2]Prix 3ME baseline'!W8</f>
        <v>1.2315909362263815</v>
      </c>
      <c r="X40" s="10">
        <f>'[2]Prix 3ME baseline'!X8</f>
        <v>1.2417909534167009</v>
      </c>
      <c r="Y40" s="10">
        <f>'[2]Prix 3ME baseline'!Y8</f>
        <v>1.2526672925616087</v>
      </c>
      <c r="Z40" s="10">
        <f>'[2]Prix 3ME baseline'!Z8</f>
        <v>1.2644244734201724</v>
      </c>
      <c r="AA40" s="16">
        <f>'[2]Prix 3ME baseline'!AA8</f>
        <v>1.2774271687903058</v>
      </c>
      <c r="AB40" s="16">
        <f>'[2]Prix 3ME baseline'!AB8</f>
        <v>1.2918333674806011</v>
      </c>
      <c r="AC40" s="16">
        <f>'[2]Prix 3ME baseline'!AC8</f>
        <v>1.3077783338819757</v>
      </c>
      <c r="AD40" s="10">
        <f>'[2]Prix 3ME baseline'!AD8</f>
        <v>1.32529453144825</v>
      </c>
      <c r="AE40" s="10">
        <f>'[2]Prix 3ME baseline'!AE8</f>
        <v>1.3443830422945511</v>
      </c>
      <c r="AF40" s="10">
        <f>'[2]Prix 3ME baseline'!AF8</f>
        <v>1.3647116570767854</v>
      </c>
      <c r="AG40" s="10">
        <f>'[2]Prix 3ME baseline'!AG8</f>
        <v>1.3861689179368368</v>
      </c>
      <c r="AH40" s="10">
        <f>'[2]Prix 3ME baseline'!AH8</f>
        <v>1.4086866516216829</v>
      </c>
      <c r="AI40" s="10">
        <f>'[2]Prix 3ME baseline'!AI8</f>
        <v>1.4322118344900838</v>
      </c>
      <c r="AJ40" s="10">
        <f>'[2]Prix 3ME baseline'!AJ8</f>
        <v>1.4566925250159268</v>
      </c>
      <c r="AK40" s="10">
        <f>'[2]Prix 3ME baseline'!AK8</f>
        <v>1.4820637962915721</v>
      </c>
      <c r="AL40" s="10">
        <f>'[2]Prix 3ME baseline'!AL8</f>
        <v>1.5082520644883597</v>
      </c>
    </row>
    <row r="41" spans="1:39" x14ac:dyDescent="0.35">
      <c r="A41">
        <f t="shared" si="5"/>
        <v>1</v>
      </c>
      <c r="B41" t="s">
        <v>51</v>
      </c>
      <c r="C41">
        <f>'[2]Prix 3ME baseline'!C9</f>
        <v>1</v>
      </c>
      <c r="D41" s="10">
        <f>'[2]Prix 3ME baseline'!D9</f>
        <v>1.012</v>
      </c>
      <c r="E41" s="10">
        <f>'[2]Prix 3ME baseline'!E9</f>
        <v>1.0241439999999999</v>
      </c>
      <c r="F41" s="10">
        <f>'[2]Prix 3ME baseline'!F9</f>
        <v>1.036433728</v>
      </c>
      <c r="G41" s="10">
        <f>'[2]Prix 3ME baseline'!G9</f>
        <v>1.048870932736</v>
      </c>
      <c r="H41" s="10">
        <f>'[2]Prix 3ME baseline'!H9</f>
        <v>1.0614573839288319</v>
      </c>
      <c r="I41" s="10">
        <f>'[2]Prix 3ME baseline'!I9</f>
        <v>1.074194872535978</v>
      </c>
      <c r="J41" s="10">
        <f>'[2]Prix 3ME baseline'!J9</f>
        <v>1.0870852110064098</v>
      </c>
      <c r="K41" s="10">
        <f>'[2]Prix 3ME baseline'!K9</f>
        <v>1.1001302335384866</v>
      </c>
      <c r="L41" s="10">
        <f>'[2]Prix 3ME baseline'!L9</f>
        <v>1.1133317963409484</v>
      </c>
      <c r="M41" s="10">
        <f>'[2]Prix 3ME baseline'!M9</f>
        <v>1.1266917778970398</v>
      </c>
      <c r="N41" s="10">
        <f>'[2]Prix 3ME baseline'!N9</f>
        <v>1.1396100682872405</v>
      </c>
      <c r="O41" s="10">
        <f>'[2]Prix 3ME baseline'!O9</f>
        <v>1.1517308398285908</v>
      </c>
      <c r="P41" s="10">
        <f>'[2]Prix 3ME baseline'!P9</f>
        <v>1.1629837550378135</v>
      </c>
      <c r="Q41" s="10">
        <f>'[2]Prix 3ME baseline'!Q9</f>
        <v>1.1736490817328895</v>
      </c>
      <c r="R41" s="10">
        <f>'[2]Prix 3ME baseline'!R9</f>
        <v>1.183973542162853</v>
      </c>
      <c r="S41" s="10">
        <f>'[2]Prix 3ME baseline'!S9</f>
        <v>1.1938435142393335</v>
      </c>
      <c r="T41" s="10">
        <f>'[2]Prix 3ME baseline'!T9</f>
        <v>1.203269819113604</v>
      </c>
      <c r="U41" s="10">
        <f>'[2]Prix 3ME baseline'!U9</f>
        <v>1.2125229855674997</v>
      </c>
      <c r="V41" s="10">
        <f>'[2]Prix 3ME baseline'!V9</f>
        <v>1.2218854456492569</v>
      </c>
      <c r="W41" s="10">
        <f>'[2]Prix 3ME baseline'!W9</f>
        <v>1.2315909362263815</v>
      </c>
      <c r="X41" s="10">
        <f>'[2]Prix 3ME baseline'!X9</f>
        <v>1.2417909534167009</v>
      </c>
      <c r="Y41" s="10">
        <f>'[2]Prix 3ME baseline'!Y9</f>
        <v>1.2526672925616087</v>
      </c>
      <c r="Z41" s="10">
        <f>'[2]Prix 3ME baseline'!Z9</f>
        <v>1.2644244734201724</v>
      </c>
      <c r="AA41" s="16">
        <f>'[2]Prix 3ME baseline'!AA9</f>
        <v>1.2774271687903058</v>
      </c>
      <c r="AB41" s="16">
        <f>'[2]Prix 3ME baseline'!AB9</f>
        <v>1.2918333674806011</v>
      </c>
      <c r="AC41" s="16">
        <f>'[2]Prix 3ME baseline'!AC9</f>
        <v>1.3077783338819757</v>
      </c>
      <c r="AD41" s="10">
        <f>'[2]Prix 3ME baseline'!AD9</f>
        <v>1.32529453144825</v>
      </c>
      <c r="AE41" s="10">
        <f>'[2]Prix 3ME baseline'!AE9</f>
        <v>1.3443830422945511</v>
      </c>
      <c r="AF41" s="10">
        <f>'[2]Prix 3ME baseline'!AF9</f>
        <v>1.3647116570767854</v>
      </c>
      <c r="AG41" s="10">
        <f>'[2]Prix 3ME baseline'!AG9</f>
        <v>1.3861689179368368</v>
      </c>
      <c r="AH41" s="10">
        <f>'[2]Prix 3ME baseline'!AH9</f>
        <v>1.4086866516216829</v>
      </c>
      <c r="AI41" s="10">
        <f>'[2]Prix 3ME baseline'!AI9</f>
        <v>1.4322118344900838</v>
      </c>
      <c r="AJ41" s="10">
        <f>'[2]Prix 3ME baseline'!AJ9</f>
        <v>1.4566925250159268</v>
      </c>
      <c r="AK41" s="10">
        <f>'[2]Prix 3ME baseline'!AK9</f>
        <v>1.4820637962915721</v>
      </c>
      <c r="AL41" s="10">
        <f>'[2]Prix 3ME baseline'!AL9</f>
        <v>1.5082520644883597</v>
      </c>
    </row>
    <row r="42" spans="1:39" x14ac:dyDescent="0.35">
      <c r="A42">
        <f t="shared" si="5"/>
        <v>1</v>
      </c>
      <c r="B42" t="s">
        <v>52</v>
      </c>
      <c r="C42">
        <f>'[2]Prix 3ME baseline'!C10</f>
        <v>1</v>
      </c>
      <c r="D42" s="10">
        <f>'[2]Prix 3ME baseline'!D10</f>
        <v>1.012</v>
      </c>
      <c r="E42" s="10">
        <f>'[2]Prix 3ME baseline'!E10</f>
        <v>1.0241439999999999</v>
      </c>
      <c r="F42" s="10">
        <f>'[2]Prix 3ME baseline'!F10</f>
        <v>1.036433728</v>
      </c>
      <c r="G42" s="10">
        <f>'[2]Prix 3ME baseline'!G10</f>
        <v>1.048870932736</v>
      </c>
      <c r="H42" s="10">
        <f>'[2]Prix 3ME baseline'!H10</f>
        <v>1.0614573839288319</v>
      </c>
      <c r="I42" s="10">
        <f>'[2]Prix 3ME baseline'!I10</f>
        <v>1.074194872535978</v>
      </c>
      <c r="J42" s="10">
        <f>'[2]Prix 3ME baseline'!J10</f>
        <v>1.0870852110064098</v>
      </c>
      <c r="K42" s="10">
        <f>'[2]Prix 3ME baseline'!K10</f>
        <v>1.1001302335384866</v>
      </c>
      <c r="L42" s="10">
        <f>'[2]Prix 3ME baseline'!L10</f>
        <v>1.1133317963409484</v>
      </c>
      <c r="M42" s="10">
        <f>'[2]Prix 3ME baseline'!M10</f>
        <v>1.1266917778970398</v>
      </c>
      <c r="N42" s="10">
        <f>'[2]Prix 3ME baseline'!N10</f>
        <v>1.1396100682872405</v>
      </c>
      <c r="O42" s="10">
        <f>'[2]Prix 3ME baseline'!O10</f>
        <v>1.1517308398285908</v>
      </c>
      <c r="P42" s="10">
        <f>'[2]Prix 3ME baseline'!P10</f>
        <v>1.1629837550378135</v>
      </c>
      <c r="Q42" s="10">
        <f>'[2]Prix 3ME baseline'!Q10</f>
        <v>1.1736490817328895</v>
      </c>
      <c r="R42" s="10">
        <f>'[2]Prix 3ME baseline'!R10</f>
        <v>1.183973542162853</v>
      </c>
      <c r="S42" s="10">
        <f>'[2]Prix 3ME baseline'!S10</f>
        <v>1.1938435142393335</v>
      </c>
      <c r="T42" s="10">
        <f>'[2]Prix 3ME baseline'!T10</f>
        <v>1.203269819113604</v>
      </c>
      <c r="U42" s="10">
        <f>'[2]Prix 3ME baseline'!U10</f>
        <v>1.2125229855674997</v>
      </c>
      <c r="V42" s="10">
        <f>'[2]Prix 3ME baseline'!V10</f>
        <v>1.2218854456492569</v>
      </c>
      <c r="W42" s="10">
        <f>'[2]Prix 3ME baseline'!W10</f>
        <v>1.2315909362263815</v>
      </c>
      <c r="X42" s="10">
        <f>'[2]Prix 3ME baseline'!X10</f>
        <v>1.2417909534167009</v>
      </c>
      <c r="Y42" s="10">
        <f>'[2]Prix 3ME baseline'!Y10</f>
        <v>1.2526672925616087</v>
      </c>
      <c r="Z42" s="10">
        <f>'[2]Prix 3ME baseline'!Z10</f>
        <v>1.2644244734201724</v>
      </c>
      <c r="AA42" s="16">
        <f>'[2]Prix 3ME baseline'!AA10</f>
        <v>1.2774271687903058</v>
      </c>
      <c r="AB42" s="16">
        <f>'[2]Prix 3ME baseline'!AB10</f>
        <v>1.2918333674806011</v>
      </c>
      <c r="AC42" s="16">
        <f>'[2]Prix 3ME baseline'!AC10</f>
        <v>1.3077783338819757</v>
      </c>
      <c r="AD42" s="10">
        <f>'[2]Prix 3ME baseline'!AD10</f>
        <v>1.32529453144825</v>
      </c>
      <c r="AE42" s="10">
        <f>'[2]Prix 3ME baseline'!AE10</f>
        <v>1.3443830422945511</v>
      </c>
      <c r="AF42" s="10">
        <f>'[2]Prix 3ME baseline'!AF10</f>
        <v>1.3647116570767854</v>
      </c>
      <c r="AG42" s="10">
        <f>'[2]Prix 3ME baseline'!AG10</f>
        <v>1.3861689179368368</v>
      </c>
      <c r="AH42" s="10">
        <f>'[2]Prix 3ME baseline'!AH10</f>
        <v>1.4086866516216829</v>
      </c>
      <c r="AI42" s="10">
        <f>'[2]Prix 3ME baseline'!AI10</f>
        <v>1.4322118344900838</v>
      </c>
      <c r="AJ42" s="10">
        <f>'[2]Prix 3ME baseline'!AJ10</f>
        <v>1.4566925250159268</v>
      </c>
      <c r="AK42" s="10">
        <f>'[2]Prix 3ME baseline'!AK10</f>
        <v>1.4820637962915721</v>
      </c>
      <c r="AL42" s="10">
        <f>'[2]Prix 3ME baseline'!AL10</f>
        <v>1.5082520644883597</v>
      </c>
    </row>
    <row r="43" spans="1:39" x14ac:dyDescent="0.35">
      <c r="A43">
        <f t="shared" si="5"/>
        <v>1</v>
      </c>
      <c r="B43" t="s">
        <v>53</v>
      </c>
      <c r="C43">
        <f>'[2]Prix 3ME baseline'!C11</f>
        <v>1</v>
      </c>
      <c r="D43" s="10">
        <f>'[2]Prix 3ME baseline'!D11</f>
        <v>1.012</v>
      </c>
      <c r="E43" s="10">
        <f>'[2]Prix 3ME baseline'!E11</f>
        <v>1.0241439999999999</v>
      </c>
      <c r="F43" s="10">
        <f>'[2]Prix 3ME baseline'!F11</f>
        <v>1.036433728</v>
      </c>
      <c r="G43" s="10">
        <f>'[2]Prix 3ME baseline'!G11</f>
        <v>1.048870932736</v>
      </c>
      <c r="H43" s="10">
        <f>'[2]Prix 3ME baseline'!H11</f>
        <v>1.0614573839288319</v>
      </c>
      <c r="I43" s="10">
        <f>'[2]Prix 3ME baseline'!I11</f>
        <v>1.074194872535978</v>
      </c>
      <c r="J43" s="10">
        <f>'[2]Prix 3ME baseline'!J11</f>
        <v>1.0870852110064098</v>
      </c>
      <c r="K43" s="10">
        <f>'[2]Prix 3ME baseline'!K11</f>
        <v>1.1001302335384866</v>
      </c>
      <c r="L43" s="10">
        <f>'[2]Prix 3ME baseline'!L11</f>
        <v>1.1133317963409484</v>
      </c>
      <c r="M43" s="10">
        <f>'[2]Prix 3ME baseline'!M11</f>
        <v>1.1266917778970398</v>
      </c>
      <c r="N43" s="10">
        <f>'[2]Prix 3ME baseline'!N11</f>
        <v>1.1396100682872405</v>
      </c>
      <c r="O43" s="10">
        <f>'[2]Prix 3ME baseline'!O11</f>
        <v>1.1517308398285908</v>
      </c>
      <c r="P43" s="10">
        <f>'[2]Prix 3ME baseline'!P11</f>
        <v>1.1629837550378135</v>
      </c>
      <c r="Q43" s="10">
        <f>'[2]Prix 3ME baseline'!Q11</f>
        <v>1.1736490817328895</v>
      </c>
      <c r="R43" s="10">
        <f>'[2]Prix 3ME baseline'!R11</f>
        <v>1.183973542162853</v>
      </c>
      <c r="S43" s="10">
        <f>'[2]Prix 3ME baseline'!S11</f>
        <v>1.1938435142393335</v>
      </c>
      <c r="T43" s="10">
        <f>'[2]Prix 3ME baseline'!T11</f>
        <v>1.203269819113604</v>
      </c>
      <c r="U43" s="10">
        <f>'[2]Prix 3ME baseline'!U11</f>
        <v>1.2125229855674997</v>
      </c>
      <c r="V43" s="10">
        <f>'[2]Prix 3ME baseline'!V11</f>
        <v>1.2218854456492569</v>
      </c>
      <c r="W43" s="10">
        <f>'[2]Prix 3ME baseline'!W11</f>
        <v>1.2315909362263815</v>
      </c>
      <c r="X43" s="10">
        <f>'[2]Prix 3ME baseline'!X11</f>
        <v>1.2417909534167009</v>
      </c>
      <c r="Y43" s="10">
        <f>'[2]Prix 3ME baseline'!Y11</f>
        <v>1.2526672925616087</v>
      </c>
      <c r="Z43" s="10">
        <f>'[2]Prix 3ME baseline'!Z11</f>
        <v>1.2644244734201724</v>
      </c>
      <c r="AA43" s="16">
        <f>'[2]Prix 3ME baseline'!AA11</f>
        <v>1.2774271687903058</v>
      </c>
      <c r="AB43" s="16">
        <f>'[2]Prix 3ME baseline'!AB11</f>
        <v>1.2918333674806011</v>
      </c>
      <c r="AC43" s="16">
        <f>'[2]Prix 3ME baseline'!AC11</f>
        <v>1.3077783338819757</v>
      </c>
      <c r="AD43" s="10">
        <f>'[2]Prix 3ME baseline'!AD11</f>
        <v>1.32529453144825</v>
      </c>
      <c r="AE43" s="10">
        <f>'[2]Prix 3ME baseline'!AE11</f>
        <v>1.3443830422945511</v>
      </c>
      <c r="AF43" s="10">
        <f>'[2]Prix 3ME baseline'!AF11</f>
        <v>1.3647116570767854</v>
      </c>
      <c r="AG43" s="10">
        <f>'[2]Prix 3ME baseline'!AG11</f>
        <v>1.3861689179368368</v>
      </c>
      <c r="AH43" s="10">
        <f>'[2]Prix 3ME baseline'!AH11</f>
        <v>1.4086866516216829</v>
      </c>
      <c r="AI43" s="10">
        <f>'[2]Prix 3ME baseline'!AI11</f>
        <v>1.4322118344900838</v>
      </c>
      <c r="AJ43" s="10">
        <f>'[2]Prix 3ME baseline'!AJ11</f>
        <v>1.4566925250159268</v>
      </c>
      <c r="AK43" s="10">
        <f>'[2]Prix 3ME baseline'!AK11</f>
        <v>1.4820637962915721</v>
      </c>
      <c r="AL43" s="10">
        <f>'[2]Prix 3ME baseline'!AL11</f>
        <v>1.5082520644883597</v>
      </c>
    </row>
    <row r="44" spans="1:39" x14ac:dyDescent="0.35">
      <c r="A44">
        <f t="shared" si="5"/>
        <v>1</v>
      </c>
      <c r="B44" t="s">
        <v>54</v>
      </c>
      <c r="C44">
        <f>'[2]Prix 3ME baseline'!C12</f>
        <v>1</v>
      </c>
      <c r="D44" s="10">
        <f>'[2]Prix 3ME baseline'!D12</f>
        <v>1.012</v>
      </c>
      <c r="E44" s="10">
        <f>'[2]Prix 3ME baseline'!E12</f>
        <v>1.0241439999999999</v>
      </c>
      <c r="F44" s="10">
        <f>'[2]Prix 3ME baseline'!F12</f>
        <v>1.036433728</v>
      </c>
      <c r="G44" s="10">
        <f>'[2]Prix 3ME baseline'!G12</f>
        <v>1.048870932736</v>
      </c>
      <c r="H44" s="10">
        <f>'[2]Prix 3ME baseline'!H12</f>
        <v>1.0614573839288319</v>
      </c>
      <c r="I44" s="10">
        <f>'[2]Prix 3ME baseline'!I12</f>
        <v>1.074194872535978</v>
      </c>
      <c r="J44" s="10">
        <f>'[2]Prix 3ME baseline'!J12</f>
        <v>1.0870852110064098</v>
      </c>
      <c r="K44" s="10">
        <f>'[2]Prix 3ME baseline'!K12</f>
        <v>1.1001302335384866</v>
      </c>
      <c r="L44" s="10">
        <f>'[2]Prix 3ME baseline'!L12</f>
        <v>1.1133317963409484</v>
      </c>
      <c r="M44" s="10">
        <f>'[2]Prix 3ME baseline'!M12</f>
        <v>1.1266917778970398</v>
      </c>
      <c r="N44" s="10">
        <f>'[2]Prix 3ME baseline'!N12</f>
        <v>1.1396100682872405</v>
      </c>
      <c r="O44" s="10">
        <f>'[2]Prix 3ME baseline'!O12</f>
        <v>1.1517308398285908</v>
      </c>
      <c r="P44" s="10">
        <f>'[2]Prix 3ME baseline'!P12</f>
        <v>1.1629837550378135</v>
      </c>
      <c r="Q44" s="10">
        <f>'[2]Prix 3ME baseline'!Q12</f>
        <v>1.1736490817328895</v>
      </c>
      <c r="R44" s="10">
        <f>'[2]Prix 3ME baseline'!R12</f>
        <v>1.183973542162853</v>
      </c>
      <c r="S44" s="10">
        <f>'[2]Prix 3ME baseline'!S12</f>
        <v>1.1938435142393335</v>
      </c>
      <c r="T44" s="10">
        <f>'[2]Prix 3ME baseline'!T12</f>
        <v>1.203269819113604</v>
      </c>
      <c r="U44" s="10">
        <f>'[2]Prix 3ME baseline'!U12</f>
        <v>1.2125229855674997</v>
      </c>
      <c r="V44" s="10">
        <f>'[2]Prix 3ME baseline'!V12</f>
        <v>1.2218854456492569</v>
      </c>
      <c r="W44" s="10">
        <f>'[2]Prix 3ME baseline'!W12</f>
        <v>1.2315909362263815</v>
      </c>
      <c r="X44" s="10">
        <f>'[2]Prix 3ME baseline'!X12</f>
        <v>1.2417909534167009</v>
      </c>
      <c r="Y44" s="10">
        <f>'[2]Prix 3ME baseline'!Y12</f>
        <v>1.2526672925616087</v>
      </c>
      <c r="Z44" s="10">
        <f>'[2]Prix 3ME baseline'!Z12</f>
        <v>1.2644244734201724</v>
      </c>
      <c r="AA44" s="16">
        <f>'[2]Prix 3ME baseline'!AA12</f>
        <v>1.2774271687903058</v>
      </c>
      <c r="AB44" s="16">
        <f>'[2]Prix 3ME baseline'!AB12</f>
        <v>1.2918333674806011</v>
      </c>
      <c r="AC44" s="16">
        <f>'[2]Prix 3ME baseline'!AC12</f>
        <v>1.3077783338819757</v>
      </c>
      <c r="AD44" s="10">
        <f>'[2]Prix 3ME baseline'!AD12</f>
        <v>1.32529453144825</v>
      </c>
      <c r="AE44" s="10">
        <f>'[2]Prix 3ME baseline'!AE12</f>
        <v>1.3443830422945511</v>
      </c>
      <c r="AF44" s="10">
        <f>'[2]Prix 3ME baseline'!AF12</f>
        <v>1.3647116570767854</v>
      </c>
      <c r="AG44" s="10">
        <f>'[2]Prix 3ME baseline'!AG12</f>
        <v>1.3861689179368368</v>
      </c>
      <c r="AH44" s="10">
        <f>'[2]Prix 3ME baseline'!AH12</f>
        <v>1.4086866516216829</v>
      </c>
      <c r="AI44" s="10">
        <f>'[2]Prix 3ME baseline'!AI12</f>
        <v>1.4322118344900838</v>
      </c>
      <c r="AJ44" s="10">
        <f>'[2]Prix 3ME baseline'!AJ12</f>
        <v>1.4566925250159268</v>
      </c>
      <c r="AK44" s="10">
        <f>'[2]Prix 3ME baseline'!AK12</f>
        <v>1.4820637962915721</v>
      </c>
      <c r="AL44" s="10">
        <f>'[2]Prix 3ME baseline'!AL12</f>
        <v>1.5082520644883597</v>
      </c>
    </row>
    <row r="45" spans="1:39" x14ac:dyDescent="0.35">
      <c r="A45">
        <f t="shared" si="5"/>
        <v>1</v>
      </c>
      <c r="B45" t="s">
        <v>55</v>
      </c>
      <c r="C45">
        <f>'[2]Prix 3ME baseline'!C13</f>
        <v>1</v>
      </c>
      <c r="D45" s="10">
        <f>'[2]Prix 3ME baseline'!D13</f>
        <v>1.012</v>
      </c>
      <c r="E45" s="10">
        <f>'[2]Prix 3ME baseline'!E13</f>
        <v>1.0241439999999999</v>
      </c>
      <c r="F45" s="10">
        <f>'[2]Prix 3ME baseline'!F13</f>
        <v>1.036433728</v>
      </c>
      <c r="G45" s="10">
        <f>'[2]Prix 3ME baseline'!G13</f>
        <v>1.048870932736</v>
      </c>
      <c r="H45" s="10">
        <f>'[2]Prix 3ME baseline'!H13</f>
        <v>1.0614573839288319</v>
      </c>
      <c r="I45" s="10">
        <f>'[2]Prix 3ME baseline'!I13</f>
        <v>1.074194872535978</v>
      </c>
      <c r="J45" s="10">
        <f>'[2]Prix 3ME baseline'!J13</f>
        <v>1.0870852110064098</v>
      </c>
      <c r="K45" s="10">
        <f>'[2]Prix 3ME baseline'!K13</f>
        <v>1.1001302335384866</v>
      </c>
      <c r="L45" s="10">
        <f>'[2]Prix 3ME baseline'!L13</f>
        <v>1.1133317963409484</v>
      </c>
      <c r="M45" s="10">
        <f>'[2]Prix 3ME baseline'!M13</f>
        <v>1.1266917778970398</v>
      </c>
      <c r="N45" s="10">
        <f>'[2]Prix 3ME baseline'!N13</f>
        <v>1.1396100682872405</v>
      </c>
      <c r="O45" s="10">
        <f>'[2]Prix 3ME baseline'!O13</f>
        <v>1.1517308398285908</v>
      </c>
      <c r="P45" s="10">
        <f>'[2]Prix 3ME baseline'!P13</f>
        <v>1.1629837550378135</v>
      </c>
      <c r="Q45" s="10">
        <f>'[2]Prix 3ME baseline'!Q13</f>
        <v>1.1736490817328895</v>
      </c>
      <c r="R45" s="10">
        <f>'[2]Prix 3ME baseline'!R13</f>
        <v>1.183973542162853</v>
      </c>
      <c r="S45" s="10">
        <f>'[2]Prix 3ME baseline'!S13</f>
        <v>1.1938435142393335</v>
      </c>
      <c r="T45" s="10">
        <f>'[2]Prix 3ME baseline'!T13</f>
        <v>1.203269819113604</v>
      </c>
      <c r="U45" s="10">
        <f>'[2]Prix 3ME baseline'!U13</f>
        <v>1.2125229855674997</v>
      </c>
      <c r="V45" s="10">
        <f>'[2]Prix 3ME baseline'!V13</f>
        <v>1.2218854456492569</v>
      </c>
      <c r="W45" s="10">
        <f>'[2]Prix 3ME baseline'!W13</f>
        <v>1.2315909362263815</v>
      </c>
      <c r="X45" s="10">
        <f>'[2]Prix 3ME baseline'!X13</f>
        <v>1.2417909534167009</v>
      </c>
      <c r="Y45" s="10">
        <f>'[2]Prix 3ME baseline'!Y13</f>
        <v>1.2526672925616087</v>
      </c>
      <c r="Z45" s="10">
        <f>'[2]Prix 3ME baseline'!Z13</f>
        <v>1.2644244734201724</v>
      </c>
      <c r="AA45" s="16">
        <f>'[2]Prix 3ME baseline'!AA13</f>
        <v>1.2774271687903058</v>
      </c>
      <c r="AB45" s="16">
        <f>'[2]Prix 3ME baseline'!AB13</f>
        <v>1.2918333674806011</v>
      </c>
      <c r="AC45" s="16">
        <f>'[2]Prix 3ME baseline'!AC13</f>
        <v>1.3077783338819757</v>
      </c>
      <c r="AD45" s="10">
        <f>'[2]Prix 3ME baseline'!AD13</f>
        <v>1.32529453144825</v>
      </c>
      <c r="AE45" s="10">
        <f>'[2]Prix 3ME baseline'!AE13</f>
        <v>1.3443830422945511</v>
      </c>
      <c r="AF45" s="10">
        <f>'[2]Prix 3ME baseline'!AF13</f>
        <v>1.3647116570767854</v>
      </c>
      <c r="AG45" s="10">
        <f>'[2]Prix 3ME baseline'!AG13</f>
        <v>1.3861689179368368</v>
      </c>
      <c r="AH45" s="10">
        <f>'[2]Prix 3ME baseline'!AH13</f>
        <v>1.4086866516216829</v>
      </c>
      <c r="AI45" s="10">
        <f>'[2]Prix 3ME baseline'!AI13</f>
        <v>1.4322118344900838</v>
      </c>
      <c r="AJ45" s="10">
        <f>'[2]Prix 3ME baseline'!AJ13</f>
        <v>1.4566925250159268</v>
      </c>
      <c r="AK45" s="10">
        <f>'[2]Prix 3ME baseline'!AK13</f>
        <v>1.4820637962915721</v>
      </c>
      <c r="AL45" s="10">
        <f>'[2]Prix 3ME baseline'!AL13</f>
        <v>1.5082520644883597</v>
      </c>
      <c r="AM45" s="19"/>
    </row>
    <row r="46" spans="1:39" x14ac:dyDescent="0.35">
      <c r="A46">
        <f t="shared" si="5"/>
        <v>1</v>
      </c>
      <c r="B46" t="s">
        <v>56</v>
      </c>
      <c r="C46">
        <f>'[2]Prix 3ME baseline'!C14</f>
        <v>1</v>
      </c>
      <c r="D46" s="10">
        <f>'[2]Prix 3ME baseline'!D14</f>
        <v>1.012</v>
      </c>
      <c r="E46" s="10">
        <f>'[2]Prix 3ME baseline'!E14</f>
        <v>1.0241439999999999</v>
      </c>
      <c r="F46" s="10">
        <f>'[2]Prix 3ME baseline'!F14</f>
        <v>1.036433728</v>
      </c>
      <c r="G46" s="10">
        <f>'[2]Prix 3ME baseline'!G14</f>
        <v>1.048870932736</v>
      </c>
      <c r="H46" s="10">
        <f>'[2]Prix 3ME baseline'!H14</f>
        <v>1.0614573839288319</v>
      </c>
      <c r="I46" s="10">
        <f>'[2]Prix 3ME baseline'!I14</f>
        <v>1.074194872535978</v>
      </c>
      <c r="J46" s="10">
        <f>'[2]Prix 3ME baseline'!J14</f>
        <v>1.0870852110064098</v>
      </c>
      <c r="K46" s="10">
        <f>'[2]Prix 3ME baseline'!K14</f>
        <v>1.1001302335384866</v>
      </c>
      <c r="L46" s="10">
        <f>'[2]Prix 3ME baseline'!L14</f>
        <v>1.1133317963409484</v>
      </c>
      <c r="M46" s="10">
        <f>'[2]Prix 3ME baseline'!M14</f>
        <v>1.1266917778970398</v>
      </c>
      <c r="N46" s="10">
        <f>'[2]Prix 3ME baseline'!N14</f>
        <v>1.1396100682872405</v>
      </c>
      <c r="O46" s="10">
        <f>'[2]Prix 3ME baseline'!O14</f>
        <v>1.1517308398285908</v>
      </c>
      <c r="P46" s="10">
        <f>'[2]Prix 3ME baseline'!P14</f>
        <v>1.1629837550378135</v>
      </c>
      <c r="Q46" s="10">
        <f>'[2]Prix 3ME baseline'!Q14</f>
        <v>1.1736490817328895</v>
      </c>
      <c r="R46" s="10">
        <f>'[2]Prix 3ME baseline'!R14</f>
        <v>1.183973542162853</v>
      </c>
      <c r="S46" s="10">
        <f>'[2]Prix 3ME baseline'!S14</f>
        <v>1.1938435142393335</v>
      </c>
      <c r="T46" s="10">
        <f>'[2]Prix 3ME baseline'!T14</f>
        <v>1.203269819113604</v>
      </c>
      <c r="U46" s="10">
        <f>'[2]Prix 3ME baseline'!U14</f>
        <v>1.2125229855674997</v>
      </c>
      <c r="V46" s="10">
        <f>'[2]Prix 3ME baseline'!V14</f>
        <v>1.2218854456492569</v>
      </c>
      <c r="W46" s="10">
        <f>'[2]Prix 3ME baseline'!W14</f>
        <v>1.2315909362263815</v>
      </c>
      <c r="X46" s="10">
        <f>'[2]Prix 3ME baseline'!X14</f>
        <v>1.2417909534167009</v>
      </c>
      <c r="Y46" s="10">
        <f>'[2]Prix 3ME baseline'!Y14</f>
        <v>1.2526672925616087</v>
      </c>
      <c r="Z46" s="10">
        <f>'[2]Prix 3ME baseline'!Z14</f>
        <v>1.2644244734201724</v>
      </c>
      <c r="AA46" s="16">
        <f>'[2]Prix 3ME baseline'!AA14</f>
        <v>1.2774271687903058</v>
      </c>
      <c r="AB46" s="16">
        <f>'[2]Prix 3ME baseline'!AB14</f>
        <v>1.2918333674806011</v>
      </c>
      <c r="AC46" s="16">
        <f>'[2]Prix 3ME baseline'!AC14</f>
        <v>1.3077783338819757</v>
      </c>
      <c r="AD46" s="10">
        <f>'[2]Prix 3ME baseline'!AD14</f>
        <v>1.32529453144825</v>
      </c>
      <c r="AE46" s="10">
        <f>'[2]Prix 3ME baseline'!AE14</f>
        <v>1.3443830422945511</v>
      </c>
      <c r="AF46" s="10">
        <f>'[2]Prix 3ME baseline'!AF14</f>
        <v>1.3647116570767854</v>
      </c>
      <c r="AG46" s="10">
        <f>'[2]Prix 3ME baseline'!AG14</f>
        <v>1.3861689179368368</v>
      </c>
      <c r="AH46" s="10">
        <f>'[2]Prix 3ME baseline'!AH14</f>
        <v>1.4086866516216829</v>
      </c>
      <c r="AI46" s="10">
        <f>'[2]Prix 3ME baseline'!AI14</f>
        <v>1.4322118344900838</v>
      </c>
      <c r="AJ46" s="10">
        <f>'[2]Prix 3ME baseline'!AJ14</f>
        <v>1.4566925250159268</v>
      </c>
      <c r="AK46" s="10">
        <f>'[2]Prix 3ME baseline'!AK14</f>
        <v>1.4820637962915721</v>
      </c>
      <c r="AL46" s="10">
        <f>'[2]Prix 3ME baseline'!AL14</f>
        <v>1.5082520644883597</v>
      </c>
    </row>
    <row r="47" spans="1:39" x14ac:dyDescent="0.35">
      <c r="A47">
        <f t="shared" si="5"/>
        <v>1</v>
      </c>
      <c r="B47" t="s">
        <v>57</v>
      </c>
      <c r="C47">
        <f>'[2]Prix 3ME baseline'!C15</f>
        <v>1</v>
      </c>
      <c r="D47" s="10">
        <f>'[2]Prix 3ME baseline'!D15</f>
        <v>1.012</v>
      </c>
      <c r="E47" s="10">
        <f>'[2]Prix 3ME baseline'!E15</f>
        <v>1.0241439999999999</v>
      </c>
      <c r="F47" s="10">
        <f>'[2]Prix 3ME baseline'!F15</f>
        <v>1.036433728</v>
      </c>
      <c r="G47" s="10">
        <f>'[2]Prix 3ME baseline'!G15</f>
        <v>1.048870932736</v>
      </c>
      <c r="H47" s="10">
        <f>'[2]Prix 3ME baseline'!H15</f>
        <v>1.0614573839288319</v>
      </c>
      <c r="I47" s="10">
        <f>'[2]Prix 3ME baseline'!I15</f>
        <v>1.074194872535978</v>
      </c>
      <c r="J47" s="10">
        <f>'[2]Prix 3ME baseline'!J15</f>
        <v>1.0870852110064098</v>
      </c>
      <c r="K47" s="10">
        <f>'[2]Prix 3ME baseline'!K15</f>
        <v>1.1001302335384866</v>
      </c>
      <c r="L47" s="10">
        <f>'[2]Prix 3ME baseline'!L15</f>
        <v>1.1133317963409484</v>
      </c>
      <c r="M47" s="10">
        <f>'[2]Prix 3ME baseline'!M15</f>
        <v>1.1266917778970398</v>
      </c>
      <c r="N47" s="10">
        <f>'[2]Prix 3ME baseline'!N15</f>
        <v>1.1396100682872405</v>
      </c>
      <c r="O47" s="10">
        <f>'[2]Prix 3ME baseline'!O15</f>
        <v>1.1517308398285908</v>
      </c>
      <c r="P47" s="10">
        <f>'[2]Prix 3ME baseline'!P15</f>
        <v>1.1629837550378135</v>
      </c>
      <c r="Q47" s="10">
        <f>'[2]Prix 3ME baseline'!Q15</f>
        <v>1.1736490817328895</v>
      </c>
      <c r="R47" s="10">
        <f>'[2]Prix 3ME baseline'!R15</f>
        <v>1.183973542162853</v>
      </c>
      <c r="S47" s="10">
        <f>'[2]Prix 3ME baseline'!S15</f>
        <v>1.1938435142393335</v>
      </c>
      <c r="T47" s="10">
        <f>'[2]Prix 3ME baseline'!T15</f>
        <v>1.203269819113604</v>
      </c>
      <c r="U47" s="10">
        <f>'[2]Prix 3ME baseline'!U15</f>
        <v>1.2125229855674997</v>
      </c>
      <c r="V47" s="10">
        <f>'[2]Prix 3ME baseline'!V15</f>
        <v>1.2218854456492569</v>
      </c>
      <c r="W47" s="10">
        <f>'[2]Prix 3ME baseline'!W15</f>
        <v>1.2315909362263815</v>
      </c>
      <c r="X47" s="10">
        <f>'[2]Prix 3ME baseline'!X15</f>
        <v>1.2417909534167009</v>
      </c>
      <c r="Y47" s="10">
        <f>'[2]Prix 3ME baseline'!Y15</f>
        <v>1.2526672925616087</v>
      </c>
      <c r="Z47" s="10">
        <f>'[2]Prix 3ME baseline'!Z15</f>
        <v>1.2644244734201724</v>
      </c>
      <c r="AA47" s="16">
        <f>'[2]Prix 3ME baseline'!AA15</f>
        <v>1.2774271687903058</v>
      </c>
      <c r="AB47" s="16">
        <f>'[2]Prix 3ME baseline'!AB15</f>
        <v>1.2918333674806011</v>
      </c>
      <c r="AC47" s="16">
        <f>'[2]Prix 3ME baseline'!AC15</f>
        <v>1.3077783338819757</v>
      </c>
      <c r="AD47" s="10">
        <f>'[2]Prix 3ME baseline'!AD15</f>
        <v>1.32529453144825</v>
      </c>
      <c r="AE47" s="10">
        <f>'[2]Prix 3ME baseline'!AE15</f>
        <v>1.3443830422945511</v>
      </c>
      <c r="AF47" s="10">
        <f>'[2]Prix 3ME baseline'!AF15</f>
        <v>1.3647116570767854</v>
      </c>
      <c r="AG47" s="10">
        <f>'[2]Prix 3ME baseline'!AG15</f>
        <v>1.3861689179368368</v>
      </c>
      <c r="AH47" s="10">
        <f>'[2]Prix 3ME baseline'!AH15</f>
        <v>1.4086866516216829</v>
      </c>
      <c r="AI47" s="10">
        <f>'[2]Prix 3ME baseline'!AI15</f>
        <v>1.4322118344900838</v>
      </c>
      <c r="AJ47" s="10">
        <f>'[2]Prix 3ME baseline'!AJ15</f>
        <v>1.4566925250159268</v>
      </c>
      <c r="AK47" s="10">
        <f>'[2]Prix 3ME baseline'!AK15</f>
        <v>1.4820637962915721</v>
      </c>
      <c r="AL47" s="10">
        <f>'[2]Prix 3ME baseline'!AL15</f>
        <v>1.5082520644883597</v>
      </c>
    </row>
    <row r="48" spans="1:39" x14ac:dyDescent="0.35">
      <c r="A48">
        <f t="shared" si="5"/>
        <v>1</v>
      </c>
      <c r="B48" t="s">
        <v>58</v>
      </c>
      <c r="C48">
        <f>'[2]Prix 3ME baseline'!C16</f>
        <v>1</v>
      </c>
      <c r="D48" s="10">
        <f>'[2]Prix 3ME baseline'!D16</f>
        <v>1.012</v>
      </c>
      <c r="E48" s="10">
        <f>'[2]Prix 3ME baseline'!E16</f>
        <v>1.0241439999999999</v>
      </c>
      <c r="F48" s="10">
        <f>'[2]Prix 3ME baseline'!F16</f>
        <v>1.036433728</v>
      </c>
      <c r="G48" s="10">
        <f>'[2]Prix 3ME baseline'!G16</f>
        <v>1.048870932736</v>
      </c>
      <c r="H48" s="10">
        <f>'[2]Prix 3ME baseline'!H16</f>
        <v>1.0614573839288319</v>
      </c>
      <c r="I48" s="10">
        <f>'[2]Prix 3ME baseline'!I16</f>
        <v>1.074194872535978</v>
      </c>
      <c r="J48" s="10">
        <f>'[2]Prix 3ME baseline'!J16</f>
        <v>1.0870852110064098</v>
      </c>
      <c r="K48" s="10">
        <f>'[2]Prix 3ME baseline'!K16</f>
        <v>1.1001302335384866</v>
      </c>
      <c r="L48" s="10">
        <f>'[2]Prix 3ME baseline'!L16</f>
        <v>1.1133317963409484</v>
      </c>
      <c r="M48" s="10">
        <f>'[2]Prix 3ME baseline'!M16</f>
        <v>1.1266917778970398</v>
      </c>
      <c r="N48" s="10">
        <f>'[2]Prix 3ME baseline'!N16</f>
        <v>1.1396100682872405</v>
      </c>
      <c r="O48" s="10">
        <f>'[2]Prix 3ME baseline'!O16</f>
        <v>1.1517308398285908</v>
      </c>
      <c r="P48" s="10">
        <f>'[2]Prix 3ME baseline'!P16</f>
        <v>1.1629837550378135</v>
      </c>
      <c r="Q48" s="10">
        <f>'[2]Prix 3ME baseline'!Q16</f>
        <v>1.1736490817328895</v>
      </c>
      <c r="R48" s="10">
        <f>'[2]Prix 3ME baseline'!R16</f>
        <v>1.183973542162853</v>
      </c>
      <c r="S48" s="10">
        <f>'[2]Prix 3ME baseline'!S16</f>
        <v>1.1938435142393335</v>
      </c>
      <c r="T48" s="10">
        <f>'[2]Prix 3ME baseline'!T16</f>
        <v>1.203269819113604</v>
      </c>
      <c r="U48" s="10">
        <f>'[2]Prix 3ME baseline'!U16</f>
        <v>1.2125229855674997</v>
      </c>
      <c r="V48" s="10">
        <f>'[2]Prix 3ME baseline'!V16</f>
        <v>1.2218854456492569</v>
      </c>
      <c r="W48" s="10">
        <f>'[2]Prix 3ME baseline'!W16</f>
        <v>1.2315909362263815</v>
      </c>
      <c r="X48" s="10">
        <f>'[2]Prix 3ME baseline'!X16</f>
        <v>1.2417909534167009</v>
      </c>
      <c r="Y48" s="10">
        <f>'[2]Prix 3ME baseline'!Y16</f>
        <v>1.2526672925616087</v>
      </c>
      <c r="Z48" s="10">
        <f>'[2]Prix 3ME baseline'!Z16</f>
        <v>1.2644244734201724</v>
      </c>
      <c r="AA48" s="16">
        <f>'[2]Prix 3ME baseline'!AA16</f>
        <v>1.2774271687903058</v>
      </c>
      <c r="AB48" s="16">
        <f>'[2]Prix 3ME baseline'!AB16</f>
        <v>1.2918333674806011</v>
      </c>
      <c r="AC48" s="16">
        <f>'[2]Prix 3ME baseline'!AC16</f>
        <v>1.3077783338819757</v>
      </c>
      <c r="AD48" s="10">
        <f>'[2]Prix 3ME baseline'!AD16</f>
        <v>1.32529453144825</v>
      </c>
      <c r="AE48" s="10">
        <f>'[2]Prix 3ME baseline'!AE16</f>
        <v>1.3443830422945511</v>
      </c>
      <c r="AF48" s="10">
        <f>'[2]Prix 3ME baseline'!AF16</f>
        <v>1.3647116570767854</v>
      </c>
      <c r="AG48" s="10">
        <f>'[2]Prix 3ME baseline'!AG16</f>
        <v>1.3861689179368368</v>
      </c>
      <c r="AH48" s="10">
        <f>'[2]Prix 3ME baseline'!AH16</f>
        <v>1.4086866516216829</v>
      </c>
      <c r="AI48" s="10">
        <f>'[2]Prix 3ME baseline'!AI16</f>
        <v>1.4322118344900838</v>
      </c>
      <c r="AJ48" s="10">
        <f>'[2]Prix 3ME baseline'!AJ16</f>
        <v>1.4566925250159268</v>
      </c>
      <c r="AK48" s="10">
        <f>'[2]Prix 3ME baseline'!AK16</f>
        <v>1.4820637962915721</v>
      </c>
      <c r="AL48" s="10">
        <f>'[2]Prix 3ME baseline'!AL16</f>
        <v>1.5082520644883597</v>
      </c>
    </row>
    <row r="49" spans="1:40" x14ac:dyDescent="0.35">
      <c r="A49">
        <f t="shared" si="5"/>
        <v>1</v>
      </c>
      <c r="B49" t="s">
        <v>59</v>
      </c>
      <c r="C49">
        <f>'[2]Prix 3ME baseline'!C17</f>
        <v>1</v>
      </c>
      <c r="D49" s="10">
        <f>'[2]Prix 3ME baseline'!D17</f>
        <v>1.012</v>
      </c>
      <c r="E49" s="10">
        <f>'[2]Prix 3ME baseline'!E17</f>
        <v>1.0241439999999999</v>
      </c>
      <c r="F49" s="10">
        <f>'[2]Prix 3ME baseline'!F17</f>
        <v>1.036433728</v>
      </c>
      <c r="G49" s="10">
        <f>'[2]Prix 3ME baseline'!G17</f>
        <v>1.048870932736</v>
      </c>
      <c r="H49" s="10">
        <f>'[2]Prix 3ME baseline'!H17</f>
        <v>1.0614573839288319</v>
      </c>
      <c r="I49" s="10">
        <f>'[2]Prix 3ME baseline'!I17</f>
        <v>1.074194872535978</v>
      </c>
      <c r="J49" s="10">
        <f>'[2]Prix 3ME baseline'!J17</f>
        <v>1.0870852110064098</v>
      </c>
      <c r="K49" s="10">
        <f>'[2]Prix 3ME baseline'!K17</f>
        <v>1.1001302335384866</v>
      </c>
      <c r="L49" s="10">
        <f>'[2]Prix 3ME baseline'!L17</f>
        <v>1.1133317963409484</v>
      </c>
      <c r="M49" s="10">
        <f>'[2]Prix 3ME baseline'!M17</f>
        <v>1.1266917778970398</v>
      </c>
      <c r="N49" s="10">
        <f>'[2]Prix 3ME baseline'!N17</f>
        <v>1.1396100682872405</v>
      </c>
      <c r="O49" s="10">
        <f>'[2]Prix 3ME baseline'!O17</f>
        <v>1.1517308398285908</v>
      </c>
      <c r="P49" s="10">
        <f>'[2]Prix 3ME baseline'!P17</f>
        <v>1.1629837550378135</v>
      </c>
      <c r="Q49" s="10">
        <f>'[2]Prix 3ME baseline'!Q17</f>
        <v>1.1736490817328895</v>
      </c>
      <c r="R49" s="10">
        <f>'[2]Prix 3ME baseline'!R17</f>
        <v>1.183973542162853</v>
      </c>
      <c r="S49" s="10">
        <f>'[2]Prix 3ME baseline'!S17</f>
        <v>1.1938435142393335</v>
      </c>
      <c r="T49" s="10">
        <f>'[2]Prix 3ME baseline'!T17</f>
        <v>1.203269819113604</v>
      </c>
      <c r="U49" s="10">
        <f>'[2]Prix 3ME baseline'!U17</f>
        <v>1.2125229855674997</v>
      </c>
      <c r="V49" s="10">
        <f>'[2]Prix 3ME baseline'!V17</f>
        <v>1.2218854456492569</v>
      </c>
      <c r="W49" s="10">
        <f>'[2]Prix 3ME baseline'!W17</f>
        <v>1.2315909362263815</v>
      </c>
      <c r="X49" s="10">
        <f>'[2]Prix 3ME baseline'!X17</f>
        <v>1.2417909534167009</v>
      </c>
      <c r="Y49" s="10">
        <f>'[2]Prix 3ME baseline'!Y17</f>
        <v>1.2526672925616087</v>
      </c>
      <c r="Z49" s="10">
        <f>'[2]Prix 3ME baseline'!Z17</f>
        <v>1.2644244734201724</v>
      </c>
      <c r="AA49" s="16">
        <f>'[2]Prix 3ME baseline'!AA17</f>
        <v>1.2774271687903058</v>
      </c>
      <c r="AB49" s="16">
        <f>'[2]Prix 3ME baseline'!AB17</f>
        <v>1.2918333674806011</v>
      </c>
      <c r="AC49" s="16">
        <f>'[2]Prix 3ME baseline'!AC17</f>
        <v>1.3077783338819757</v>
      </c>
      <c r="AD49" s="10">
        <f>'[2]Prix 3ME baseline'!AD17</f>
        <v>1.32529453144825</v>
      </c>
      <c r="AE49" s="10">
        <f>'[2]Prix 3ME baseline'!AE17</f>
        <v>1.3443830422945511</v>
      </c>
      <c r="AF49" s="10">
        <f>'[2]Prix 3ME baseline'!AF17</f>
        <v>1.3647116570767854</v>
      </c>
      <c r="AG49" s="10">
        <f>'[2]Prix 3ME baseline'!AG17</f>
        <v>1.3861689179368368</v>
      </c>
      <c r="AH49" s="10">
        <f>'[2]Prix 3ME baseline'!AH17</f>
        <v>1.4086866516216829</v>
      </c>
      <c r="AI49" s="10">
        <f>'[2]Prix 3ME baseline'!AI17</f>
        <v>1.4322118344900838</v>
      </c>
      <c r="AJ49" s="10">
        <f>'[2]Prix 3ME baseline'!AJ17</f>
        <v>1.4566925250159268</v>
      </c>
      <c r="AK49" s="10">
        <f>'[2]Prix 3ME baseline'!AK17</f>
        <v>1.4820637962915721</v>
      </c>
      <c r="AL49" s="10">
        <f>'[2]Prix 3ME baseline'!AL17</f>
        <v>1.5082520644883597</v>
      </c>
    </row>
    <row r="50" spans="1:40" x14ac:dyDescent="0.35">
      <c r="A50">
        <f t="shared" si="5"/>
        <v>1</v>
      </c>
      <c r="B50" t="s">
        <v>60</v>
      </c>
      <c r="C50">
        <f>'[2]Prix 3ME baseline'!C18</f>
        <v>1</v>
      </c>
      <c r="D50" s="10">
        <f>'[2]Prix 3ME baseline'!D18</f>
        <v>1.012</v>
      </c>
      <c r="E50" s="10">
        <f>'[2]Prix 3ME baseline'!E18</f>
        <v>1.0241439999999999</v>
      </c>
      <c r="F50" s="10">
        <f>'[2]Prix 3ME baseline'!F18</f>
        <v>1.036433728</v>
      </c>
      <c r="G50" s="10">
        <f>'[2]Prix 3ME baseline'!G18</f>
        <v>1.048870932736</v>
      </c>
      <c r="H50" s="10">
        <f>'[2]Prix 3ME baseline'!H18</f>
        <v>1.0614573839288319</v>
      </c>
      <c r="I50" s="10">
        <f>'[2]Prix 3ME baseline'!I18</f>
        <v>1.074194872535978</v>
      </c>
      <c r="J50" s="10">
        <f>'[2]Prix 3ME baseline'!J18</f>
        <v>1.0870852110064098</v>
      </c>
      <c r="K50" s="10">
        <f>'[2]Prix 3ME baseline'!K18</f>
        <v>1.1001302335384866</v>
      </c>
      <c r="L50" s="10">
        <f>'[2]Prix 3ME baseline'!L18</f>
        <v>1.1133317963409484</v>
      </c>
      <c r="M50" s="10">
        <f>'[2]Prix 3ME baseline'!M18</f>
        <v>1.1266917778970398</v>
      </c>
      <c r="N50" s="10">
        <f>'[2]Prix 3ME baseline'!N18</f>
        <v>1.1396100682872405</v>
      </c>
      <c r="O50" s="10">
        <f>'[2]Prix 3ME baseline'!O18</f>
        <v>1.1517308398285908</v>
      </c>
      <c r="P50" s="10">
        <f>'[2]Prix 3ME baseline'!P18</f>
        <v>1.1629837550378135</v>
      </c>
      <c r="Q50" s="10">
        <f>'[2]Prix 3ME baseline'!Q18</f>
        <v>1.1736490817328895</v>
      </c>
      <c r="R50" s="10">
        <f>'[2]Prix 3ME baseline'!R18</f>
        <v>1.183973542162853</v>
      </c>
      <c r="S50" s="10">
        <f>'[2]Prix 3ME baseline'!S18</f>
        <v>1.1938435142393335</v>
      </c>
      <c r="T50" s="10">
        <f>'[2]Prix 3ME baseline'!T18</f>
        <v>1.203269819113604</v>
      </c>
      <c r="U50" s="10">
        <f>'[2]Prix 3ME baseline'!U18</f>
        <v>1.2125229855674997</v>
      </c>
      <c r="V50" s="10">
        <f>'[2]Prix 3ME baseline'!V18</f>
        <v>1.2218854456492569</v>
      </c>
      <c r="W50" s="10">
        <f>'[2]Prix 3ME baseline'!W18</f>
        <v>1.2315909362263815</v>
      </c>
      <c r="X50" s="10">
        <f>'[2]Prix 3ME baseline'!X18</f>
        <v>1.2417909534167009</v>
      </c>
      <c r="Y50" s="10">
        <f>'[2]Prix 3ME baseline'!Y18</f>
        <v>1.2526672925616087</v>
      </c>
      <c r="Z50" s="10">
        <f>'[2]Prix 3ME baseline'!Z18</f>
        <v>1.2644244734201724</v>
      </c>
      <c r="AA50" s="16">
        <f>'[2]Prix 3ME baseline'!AA18</f>
        <v>1.2774271687903058</v>
      </c>
      <c r="AB50" s="16">
        <f>'[2]Prix 3ME baseline'!AB18</f>
        <v>1.2918333674806011</v>
      </c>
      <c r="AC50" s="16">
        <f>'[2]Prix 3ME baseline'!AC18</f>
        <v>1.3077783338819757</v>
      </c>
      <c r="AD50" s="10">
        <f>'[2]Prix 3ME baseline'!AD18</f>
        <v>1.32529453144825</v>
      </c>
      <c r="AE50" s="10">
        <f>'[2]Prix 3ME baseline'!AE18</f>
        <v>1.3443830422945511</v>
      </c>
      <c r="AF50" s="10">
        <f>'[2]Prix 3ME baseline'!AF18</f>
        <v>1.3647116570767854</v>
      </c>
      <c r="AG50" s="10">
        <f>'[2]Prix 3ME baseline'!AG18</f>
        <v>1.3861689179368368</v>
      </c>
      <c r="AH50" s="10">
        <f>'[2]Prix 3ME baseline'!AH18</f>
        <v>1.4086866516216829</v>
      </c>
      <c r="AI50" s="10">
        <f>'[2]Prix 3ME baseline'!AI18</f>
        <v>1.4322118344900838</v>
      </c>
      <c r="AJ50" s="10">
        <f>'[2]Prix 3ME baseline'!AJ18</f>
        <v>1.4566925250159268</v>
      </c>
      <c r="AK50" s="10">
        <f>'[2]Prix 3ME baseline'!AK18</f>
        <v>1.4820637962915721</v>
      </c>
      <c r="AL50" s="10">
        <f>'[2]Prix 3ME baseline'!AL18</f>
        <v>1.5082520644883597</v>
      </c>
    </row>
    <row r="51" spans="1:40" x14ac:dyDescent="0.35">
      <c r="A51">
        <f t="shared" si="5"/>
        <v>1</v>
      </c>
      <c r="B51" t="s">
        <v>61</v>
      </c>
      <c r="C51">
        <f>'[2]Prix 3ME baseline'!C19</f>
        <v>1</v>
      </c>
      <c r="D51" s="10">
        <f>'[2]Prix 3ME baseline'!D19</f>
        <v>1.012</v>
      </c>
      <c r="E51" s="10">
        <f>'[2]Prix 3ME baseline'!E19</f>
        <v>1.0241439999999999</v>
      </c>
      <c r="F51" s="10">
        <f>'[2]Prix 3ME baseline'!F19</f>
        <v>1.036433728</v>
      </c>
      <c r="G51" s="10">
        <f>'[2]Prix 3ME baseline'!G19</f>
        <v>1.048870932736</v>
      </c>
      <c r="H51" s="10">
        <f>'[2]Prix 3ME baseline'!H19</f>
        <v>1.0614573839288319</v>
      </c>
      <c r="I51" s="10">
        <f>'[2]Prix 3ME baseline'!I19</f>
        <v>1.074194872535978</v>
      </c>
      <c r="J51" s="10">
        <f>'[2]Prix 3ME baseline'!J19</f>
        <v>1.0870852110064098</v>
      </c>
      <c r="K51" s="10">
        <f>'[2]Prix 3ME baseline'!K19</f>
        <v>1.1001302335384866</v>
      </c>
      <c r="L51" s="10">
        <f>'[2]Prix 3ME baseline'!L19</f>
        <v>1.1133317963409484</v>
      </c>
      <c r="M51" s="10">
        <f>'[2]Prix 3ME baseline'!M19</f>
        <v>1.1266917778970398</v>
      </c>
      <c r="N51" s="10">
        <f>'[2]Prix 3ME baseline'!N19</f>
        <v>1.1396100682872405</v>
      </c>
      <c r="O51" s="10">
        <f>'[2]Prix 3ME baseline'!O19</f>
        <v>1.1517308398285908</v>
      </c>
      <c r="P51" s="10">
        <f>'[2]Prix 3ME baseline'!P19</f>
        <v>1.1629837550378135</v>
      </c>
      <c r="Q51" s="10">
        <f>'[2]Prix 3ME baseline'!Q19</f>
        <v>1.1736490817328895</v>
      </c>
      <c r="R51" s="10">
        <f>'[2]Prix 3ME baseline'!R19</f>
        <v>1.183973542162853</v>
      </c>
      <c r="S51" s="10">
        <f>'[2]Prix 3ME baseline'!S19</f>
        <v>1.1938435142393335</v>
      </c>
      <c r="T51" s="10">
        <f>'[2]Prix 3ME baseline'!T19</f>
        <v>1.203269819113604</v>
      </c>
      <c r="U51" s="10">
        <f>'[2]Prix 3ME baseline'!U19</f>
        <v>1.2125229855674997</v>
      </c>
      <c r="V51" s="10">
        <f>'[2]Prix 3ME baseline'!V19</f>
        <v>1.2218854456492569</v>
      </c>
      <c r="W51" s="10">
        <f>'[2]Prix 3ME baseline'!W19</f>
        <v>1.2315909362263815</v>
      </c>
      <c r="X51" s="10">
        <f>'[2]Prix 3ME baseline'!X19</f>
        <v>1.2417909534167009</v>
      </c>
      <c r="Y51" s="10">
        <f>'[2]Prix 3ME baseline'!Y19</f>
        <v>1.2526672925616087</v>
      </c>
      <c r="Z51" s="10">
        <f>'[2]Prix 3ME baseline'!Z19</f>
        <v>1.2644244734201724</v>
      </c>
      <c r="AA51" s="16">
        <f>'[2]Prix 3ME baseline'!AA19</f>
        <v>1.2774271687903058</v>
      </c>
      <c r="AB51" s="16">
        <f>'[2]Prix 3ME baseline'!AB19</f>
        <v>1.2918333674806011</v>
      </c>
      <c r="AC51" s="16">
        <f>'[2]Prix 3ME baseline'!AC19</f>
        <v>1.3077783338819757</v>
      </c>
      <c r="AD51" s="10">
        <f>'[2]Prix 3ME baseline'!AD19</f>
        <v>1.32529453144825</v>
      </c>
      <c r="AE51" s="10">
        <f>'[2]Prix 3ME baseline'!AE19</f>
        <v>1.3443830422945511</v>
      </c>
      <c r="AF51" s="10">
        <f>'[2]Prix 3ME baseline'!AF19</f>
        <v>1.3647116570767854</v>
      </c>
      <c r="AG51" s="10">
        <f>'[2]Prix 3ME baseline'!AG19</f>
        <v>1.3861689179368368</v>
      </c>
      <c r="AH51" s="10">
        <f>'[2]Prix 3ME baseline'!AH19</f>
        <v>1.4086866516216829</v>
      </c>
      <c r="AI51" s="10">
        <f>'[2]Prix 3ME baseline'!AI19</f>
        <v>1.4322118344900838</v>
      </c>
      <c r="AJ51" s="10">
        <f>'[2]Prix 3ME baseline'!AJ19</f>
        <v>1.4566925250159268</v>
      </c>
      <c r="AK51" s="10">
        <f>'[2]Prix 3ME baseline'!AK19</f>
        <v>1.4820637962915721</v>
      </c>
      <c r="AL51" s="10">
        <f>'[2]Prix 3ME baseline'!AL19</f>
        <v>1.5082520644883597</v>
      </c>
    </row>
    <row r="52" spans="1:40" x14ac:dyDescent="0.35">
      <c r="A52">
        <f t="shared" si="5"/>
        <v>1</v>
      </c>
      <c r="B52" t="s">
        <v>62</v>
      </c>
      <c r="C52">
        <f>'[2]Prix 3ME baseline'!C20</f>
        <v>1</v>
      </c>
      <c r="D52" s="10">
        <f>'[2]Prix 3ME baseline'!D20</f>
        <v>1.012</v>
      </c>
      <c r="E52" s="10">
        <f>'[2]Prix 3ME baseline'!E20</f>
        <v>1.0241439999999999</v>
      </c>
      <c r="F52" s="10">
        <f>'[2]Prix 3ME baseline'!F20</f>
        <v>1.036433728</v>
      </c>
      <c r="G52" s="10">
        <f>'[2]Prix 3ME baseline'!G20</f>
        <v>1.048870932736</v>
      </c>
      <c r="H52" s="10">
        <f>'[2]Prix 3ME baseline'!H20</f>
        <v>1.0614573839288319</v>
      </c>
      <c r="I52" s="10">
        <f>'[2]Prix 3ME baseline'!I20</f>
        <v>1.074194872535978</v>
      </c>
      <c r="J52" s="10">
        <f>'[2]Prix 3ME baseline'!J20</f>
        <v>1.0870852110064098</v>
      </c>
      <c r="K52" s="10">
        <f>'[2]Prix 3ME baseline'!K20</f>
        <v>1.1001302335384866</v>
      </c>
      <c r="L52" s="10">
        <f>'[2]Prix 3ME baseline'!L20</f>
        <v>1.1133317963409484</v>
      </c>
      <c r="M52" s="10">
        <f>'[2]Prix 3ME baseline'!M20</f>
        <v>1.1266917778970398</v>
      </c>
      <c r="N52" s="10">
        <f>'[2]Prix 3ME baseline'!N20</f>
        <v>1.1396100682872405</v>
      </c>
      <c r="O52" s="10">
        <f>'[2]Prix 3ME baseline'!O20</f>
        <v>1.1517308398285908</v>
      </c>
      <c r="P52" s="10">
        <f>'[2]Prix 3ME baseline'!P20</f>
        <v>1.1629837550378135</v>
      </c>
      <c r="Q52" s="10">
        <f>'[2]Prix 3ME baseline'!Q20</f>
        <v>1.1736490817328895</v>
      </c>
      <c r="R52" s="10">
        <f>'[2]Prix 3ME baseline'!R20</f>
        <v>1.183973542162853</v>
      </c>
      <c r="S52" s="10">
        <f>'[2]Prix 3ME baseline'!S20</f>
        <v>1.1938435142393335</v>
      </c>
      <c r="T52" s="10">
        <f>'[2]Prix 3ME baseline'!T20</f>
        <v>1.203269819113604</v>
      </c>
      <c r="U52" s="10">
        <f>'[2]Prix 3ME baseline'!U20</f>
        <v>1.2125229855674997</v>
      </c>
      <c r="V52" s="10">
        <f>'[2]Prix 3ME baseline'!V20</f>
        <v>1.2218854456492569</v>
      </c>
      <c r="W52" s="10">
        <f>'[2]Prix 3ME baseline'!W20</f>
        <v>1.2315909362263815</v>
      </c>
      <c r="X52" s="10">
        <f>'[2]Prix 3ME baseline'!X20</f>
        <v>1.2417909534167009</v>
      </c>
      <c r="Y52" s="10">
        <f>'[2]Prix 3ME baseline'!Y20</f>
        <v>1.2526672925616087</v>
      </c>
      <c r="Z52" s="10">
        <f>'[2]Prix 3ME baseline'!Z20</f>
        <v>1.2644244734201724</v>
      </c>
      <c r="AA52" s="16">
        <f>'[2]Prix 3ME baseline'!AA20</f>
        <v>1.2774271687903058</v>
      </c>
      <c r="AB52" s="16">
        <f>'[2]Prix 3ME baseline'!AB20</f>
        <v>1.2918333674806011</v>
      </c>
      <c r="AC52" s="16">
        <f>'[2]Prix 3ME baseline'!AC20</f>
        <v>1.3077783338819757</v>
      </c>
      <c r="AD52" s="10">
        <f>'[2]Prix 3ME baseline'!AD20</f>
        <v>1.32529453144825</v>
      </c>
      <c r="AE52" s="10">
        <f>'[2]Prix 3ME baseline'!AE20</f>
        <v>1.3443830422945511</v>
      </c>
      <c r="AF52" s="10">
        <f>'[2]Prix 3ME baseline'!AF20</f>
        <v>1.3647116570767854</v>
      </c>
      <c r="AG52" s="10">
        <f>'[2]Prix 3ME baseline'!AG20</f>
        <v>1.3861689179368368</v>
      </c>
      <c r="AH52" s="10">
        <f>'[2]Prix 3ME baseline'!AH20</f>
        <v>1.4086866516216829</v>
      </c>
      <c r="AI52" s="10">
        <f>'[2]Prix 3ME baseline'!AI20</f>
        <v>1.4322118344900838</v>
      </c>
      <c r="AJ52" s="10">
        <f>'[2]Prix 3ME baseline'!AJ20</f>
        <v>1.4566925250159268</v>
      </c>
      <c r="AK52" s="10">
        <f>'[2]Prix 3ME baseline'!AK20</f>
        <v>1.4820637962915721</v>
      </c>
      <c r="AL52" s="10">
        <f>'[2]Prix 3ME baseline'!AL20</f>
        <v>1.5082520644883597</v>
      </c>
    </row>
    <row r="53" spans="1:40" x14ac:dyDescent="0.35">
      <c r="A53">
        <f t="shared" si="5"/>
        <v>1</v>
      </c>
      <c r="B53" t="s">
        <v>63</v>
      </c>
      <c r="C53">
        <f>'[2]Prix 3ME baseline'!C21</f>
        <v>1</v>
      </c>
      <c r="D53" s="10">
        <f>'[2]Prix 3ME baseline'!D21</f>
        <v>1.012</v>
      </c>
      <c r="E53" s="10">
        <f>'[2]Prix 3ME baseline'!E21</f>
        <v>1.0241439999999999</v>
      </c>
      <c r="F53" s="10">
        <f>'[2]Prix 3ME baseline'!F21</f>
        <v>1.036433728</v>
      </c>
      <c r="G53" s="10">
        <f>'[2]Prix 3ME baseline'!G21</f>
        <v>1.048870932736</v>
      </c>
      <c r="H53" s="10">
        <f>'[2]Prix 3ME baseline'!H21</f>
        <v>1.0614573839288319</v>
      </c>
      <c r="I53" s="10">
        <f>'[2]Prix 3ME baseline'!I21</f>
        <v>1.074194872535978</v>
      </c>
      <c r="J53" s="10">
        <f>'[2]Prix 3ME baseline'!J21</f>
        <v>1.0870852110064098</v>
      </c>
      <c r="K53" s="10">
        <f>'[2]Prix 3ME baseline'!K21</f>
        <v>1.1001302335384866</v>
      </c>
      <c r="L53" s="10">
        <f>'[2]Prix 3ME baseline'!L21</f>
        <v>1.1133317963409484</v>
      </c>
      <c r="M53" s="10">
        <f>'[2]Prix 3ME baseline'!M21</f>
        <v>1.1266917778970398</v>
      </c>
      <c r="N53" s="10">
        <f>'[2]Prix 3ME baseline'!N21</f>
        <v>1.1396100682872405</v>
      </c>
      <c r="O53" s="10">
        <f>'[2]Prix 3ME baseline'!O21</f>
        <v>1.1517308398285908</v>
      </c>
      <c r="P53" s="10">
        <f>'[2]Prix 3ME baseline'!P21</f>
        <v>1.1629837550378135</v>
      </c>
      <c r="Q53" s="10">
        <f>'[2]Prix 3ME baseline'!Q21</f>
        <v>1.1736490817328895</v>
      </c>
      <c r="R53" s="10">
        <f>'[2]Prix 3ME baseline'!R21</f>
        <v>1.183973542162853</v>
      </c>
      <c r="S53" s="10">
        <f>'[2]Prix 3ME baseline'!S21</f>
        <v>1.1938435142393335</v>
      </c>
      <c r="T53" s="10">
        <f>'[2]Prix 3ME baseline'!T21</f>
        <v>1.203269819113604</v>
      </c>
      <c r="U53" s="10">
        <f>'[2]Prix 3ME baseline'!U21</f>
        <v>1.2125229855674997</v>
      </c>
      <c r="V53" s="10">
        <f>'[2]Prix 3ME baseline'!V21</f>
        <v>1.2218854456492569</v>
      </c>
      <c r="W53" s="10">
        <f>'[2]Prix 3ME baseline'!W21</f>
        <v>1.2315909362263815</v>
      </c>
      <c r="X53" s="10">
        <f>'[2]Prix 3ME baseline'!X21</f>
        <v>1.2417909534167009</v>
      </c>
      <c r="Y53" s="10">
        <f>'[2]Prix 3ME baseline'!Y21</f>
        <v>1.2526672925616087</v>
      </c>
      <c r="Z53" s="10">
        <f>'[2]Prix 3ME baseline'!Z21</f>
        <v>1.2644244734201724</v>
      </c>
      <c r="AA53" s="16">
        <f>'[2]Prix 3ME baseline'!AA21</f>
        <v>1.2774271687903058</v>
      </c>
      <c r="AB53" s="16">
        <f>'[2]Prix 3ME baseline'!AB21</f>
        <v>1.2918333674806011</v>
      </c>
      <c r="AC53" s="16">
        <f>'[2]Prix 3ME baseline'!AC21</f>
        <v>1.3077783338819757</v>
      </c>
      <c r="AD53" s="10">
        <f>'[2]Prix 3ME baseline'!AD21</f>
        <v>1.32529453144825</v>
      </c>
      <c r="AE53" s="10">
        <f>'[2]Prix 3ME baseline'!AE21</f>
        <v>1.3443830422945511</v>
      </c>
      <c r="AF53" s="10">
        <f>'[2]Prix 3ME baseline'!AF21</f>
        <v>1.3647116570767854</v>
      </c>
      <c r="AG53" s="10">
        <f>'[2]Prix 3ME baseline'!AG21</f>
        <v>1.3861689179368368</v>
      </c>
      <c r="AH53" s="10">
        <f>'[2]Prix 3ME baseline'!AH21</f>
        <v>1.4086866516216829</v>
      </c>
      <c r="AI53" s="10">
        <f>'[2]Prix 3ME baseline'!AI21</f>
        <v>1.4322118344900838</v>
      </c>
      <c r="AJ53" s="10">
        <f>'[2]Prix 3ME baseline'!AJ21</f>
        <v>1.4566925250159268</v>
      </c>
      <c r="AK53" s="10">
        <f>'[2]Prix 3ME baseline'!AK21</f>
        <v>1.4820637962915721</v>
      </c>
      <c r="AL53" s="10">
        <f>'[2]Prix 3ME baseline'!AL21</f>
        <v>1.5082520644883597</v>
      </c>
    </row>
    <row r="54" spans="1:40" x14ac:dyDescent="0.35">
      <c r="A54">
        <f t="shared" si="5"/>
        <v>1</v>
      </c>
      <c r="B54" t="s">
        <v>64</v>
      </c>
      <c r="C54">
        <f>'[2]Prix 3ME baseline'!C22</f>
        <v>1</v>
      </c>
      <c r="D54" s="10">
        <f>'[2]Prix 3ME baseline'!D22</f>
        <v>1.012</v>
      </c>
      <c r="E54" s="10">
        <f>'[2]Prix 3ME baseline'!E22</f>
        <v>1.0241439999999999</v>
      </c>
      <c r="F54" s="10">
        <f>'[2]Prix 3ME baseline'!F22</f>
        <v>1.036433728</v>
      </c>
      <c r="G54" s="10">
        <f>'[2]Prix 3ME baseline'!G22</f>
        <v>1.048870932736</v>
      </c>
      <c r="H54" s="10">
        <f>'[2]Prix 3ME baseline'!H22</f>
        <v>1.0614573839288319</v>
      </c>
      <c r="I54" s="10">
        <f>'[2]Prix 3ME baseline'!I22</f>
        <v>1.074194872535978</v>
      </c>
      <c r="J54" s="10">
        <f>'[2]Prix 3ME baseline'!J22</f>
        <v>1.0870852110064098</v>
      </c>
      <c r="K54" s="10">
        <f>'[2]Prix 3ME baseline'!K22</f>
        <v>1.1001302335384866</v>
      </c>
      <c r="L54" s="10">
        <f>'[2]Prix 3ME baseline'!L22</f>
        <v>1.1133317963409484</v>
      </c>
      <c r="M54" s="10">
        <f>'[2]Prix 3ME baseline'!M22</f>
        <v>1.1266917778970398</v>
      </c>
      <c r="N54" s="10">
        <f>'[2]Prix 3ME baseline'!N22</f>
        <v>1.1396100682872405</v>
      </c>
      <c r="O54" s="10">
        <f>'[2]Prix 3ME baseline'!O22</f>
        <v>1.1517308398285908</v>
      </c>
      <c r="P54" s="10">
        <f>'[2]Prix 3ME baseline'!P22</f>
        <v>1.1629837550378135</v>
      </c>
      <c r="Q54" s="10">
        <f>'[2]Prix 3ME baseline'!Q22</f>
        <v>1.1736490817328895</v>
      </c>
      <c r="R54" s="10">
        <f>'[2]Prix 3ME baseline'!R22</f>
        <v>1.183973542162853</v>
      </c>
      <c r="S54" s="10">
        <f>'[2]Prix 3ME baseline'!S22</f>
        <v>1.1938435142393335</v>
      </c>
      <c r="T54" s="10">
        <f>'[2]Prix 3ME baseline'!T22</f>
        <v>1.203269819113604</v>
      </c>
      <c r="U54" s="10">
        <f>'[2]Prix 3ME baseline'!U22</f>
        <v>1.2125229855674997</v>
      </c>
      <c r="V54" s="10">
        <f>'[2]Prix 3ME baseline'!V22</f>
        <v>1.2218854456492569</v>
      </c>
      <c r="W54" s="10">
        <f>'[2]Prix 3ME baseline'!W22</f>
        <v>1.2315909362263815</v>
      </c>
      <c r="X54" s="10">
        <f>'[2]Prix 3ME baseline'!X22</f>
        <v>1.2417909534167009</v>
      </c>
      <c r="Y54" s="10">
        <f>'[2]Prix 3ME baseline'!Y22</f>
        <v>1.2526672925616087</v>
      </c>
      <c r="Z54" s="10">
        <f>'[2]Prix 3ME baseline'!Z22</f>
        <v>1.2644244734201724</v>
      </c>
      <c r="AA54" s="16">
        <f>'[2]Prix 3ME baseline'!AA22</f>
        <v>1.2774271687903058</v>
      </c>
      <c r="AB54" s="16">
        <f>'[2]Prix 3ME baseline'!AB22</f>
        <v>1.2918333674806011</v>
      </c>
      <c r="AC54" s="16">
        <f>'[2]Prix 3ME baseline'!AC22</f>
        <v>1.3077783338819757</v>
      </c>
      <c r="AD54" s="10">
        <f>'[2]Prix 3ME baseline'!AD22</f>
        <v>1.32529453144825</v>
      </c>
      <c r="AE54" s="10">
        <f>'[2]Prix 3ME baseline'!AE22</f>
        <v>1.3443830422945511</v>
      </c>
      <c r="AF54" s="10">
        <f>'[2]Prix 3ME baseline'!AF22</f>
        <v>1.3647116570767854</v>
      </c>
      <c r="AG54" s="10">
        <f>'[2]Prix 3ME baseline'!AG22</f>
        <v>1.3861689179368368</v>
      </c>
      <c r="AH54" s="10">
        <f>'[2]Prix 3ME baseline'!AH22</f>
        <v>1.4086866516216829</v>
      </c>
      <c r="AI54" s="10">
        <f>'[2]Prix 3ME baseline'!AI22</f>
        <v>1.4322118344900838</v>
      </c>
      <c r="AJ54" s="10">
        <f>'[2]Prix 3ME baseline'!AJ22</f>
        <v>1.4566925250159268</v>
      </c>
      <c r="AK54" s="10">
        <f>'[2]Prix 3ME baseline'!AK22</f>
        <v>1.4820637962915721</v>
      </c>
      <c r="AL54" s="10">
        <f>'[2]Prix 3ME baseline'!AL22</f>
        <v>1.5082520644883597</v>
      </c>
      <c r="AN54" t="s">
        <v>100</v>
      </c>
    </row>
    <row r="55" spans="1:40" x14ac:dyDescent="0.35">
      <c r="A55">
        <f t="shared" si="5"/>
        <v>1</v>
      </c>
      <c r="B55" t="s">
        <v>106</v>
      </c>
      <c r="C55" s="10">
        <f>'[2]Prix 3ME baseline'!C23</f>
        <v>1</v>
      </c>
      <c r="D55" s="10">
        <f>'[2]Prix 3ME baseline'!D23</f>
        <v>1.0241439999999999</v>
      </c>
      <c r="E55" s="10">
        <f>'[2]Prix 3ME baseline'!E23</f>
        <v>1.048870932736</v>
      </c>
      <c r="F55" s="10">
        <f>'[2]Prix 3ME baseline'!F23</f>
        <v>1.0741948725359782</v>
      </c>
      <c r="G55" s="10">
        <f>'[2]Prix 3ME baseline'!G23</f>
        <v>1.1001302335384866</v>
      </c>
      <c r="H55" s="10">
        <f>'[2]Prix 3ME baseline'!H23</f>
        <v>1.1266917778970396</v>
      </c>
      <c r="I55" s="10">
        <f>'[2]Prix 3ME baseline'!I23</f>
        <v>1.1789792899256857</v>
      </c>
      <c r="J55" s="10">
        <f>'[2]Prix 3ME baseline'!J23</f>
        <v>1.2323594586270015</v>
      </c>
      <c r="K55" s="10">
        <f>'[2]Prix 3ME baseline'!K23</f>
        <v>1.2868509783593998</v>
      </c>
      <c r="L55" s="10">
        <f>'[2]Prix 3ME baseline'!L23</f>
        <v>1.3424728348033335</v>
      </c>
      <c r="M55" s="10">
        <f>'[2]Prix 3ME baseline'!M23</f>
        <v>1.3992443092610378</v>
      </c>
      <c r="N55" s="10">
        <f>'[2]Prix 3ME baseline'!N23</f>
        <v>1.4564156162268906</v>
      </c>
      <c r="O55" s="10">
        <f>'[2]Prix 3ME baseline'!O23</f>
        <v>1.5134713468424503</v>
      </c>
      <c r="P55" s="10">
        <f>'[2]Prix 3ME baseline'!P23</f>
        <v>1.5702301869895403</v>
      </c>
      <c r="Q55" s="10">
        <f>'[2]Prix 3ME baseline'!Q23</f>
        <v>1.6269867000343492</v>
      </c>
      <c r="R55" s="10">
        <f>'[2]Prix 3ME baseline'!R23</f>
        <v>1.6840281946648792</v>
      </c>
      <c r="S55" s="10">
        <f>'[2]Prix 3ME baseline'!S23</f>
        <v>1.6929979219623672</v>
      </c>
      <c r="T55" s="10">
        <f>'[2]Prix 3ME baseline'!T23</f>
        <v>1.7012565529633166</v>
      </c>
      <c r="U55" s="10">
        <f>'[2]Prix 3ME baseline'!U23</f>
        <v>1.7091910804122643</v>
      </c>
      <c r="V55" s="10">
        <f>'[2]Prix 3ME baseline'!V23</f>
        <v>1.7172006310658365</v>
      </c>
      <c r="W55" s="10">
        <f>'[2]Prix 3ME baseline'!W23</f>
        <v>1.7256113070732555</v>
      </c>
      <c r="X55" s="10">
        <f>'[2]Prix 3ME baseline'!X23</f>
        <v>1.7346303606690372</v>
      </c>
      <c r="Y55" s="10">
        <f>'[2]Prix 3ME baseline'!Y23</f>
        <v>1.7445046668519015</v>
      </c>
      <c r="Z55" s="10">
        <f>'[2]Prix 3ME baseline'!Z23</f>
        <v>1.7555095634016731</v>
      </c>
      <c r="AA55" s="10">
        <f>'[2]Prix 3ME baseline'!AA23</f>
        <v>1.768138588969878</v>
      </c>
      <c r="AB55" s="10">
        <f>'[2]Prix 3ME baseline'!AB23</f>
        <v>1.7825938867333102</v>
      </c>
      <c r="AC55" s="10">
        <f>'[2]Prix 3ME baseline'!AC23</f>
        <v>1.7990436558773526</v>
      </c>
      <c r="AD55" s="10">
        <f>'[2]Prix 3ME baseline'!AD23</f>
        <v>1.8175128168418291</v>
      </c>
      <c r="AE55" s="10">
        <f>'[2]Prix 3ME baseline'!AE23</f>
        <v>1.8379828355090673</v>
      </c>
      <c r="AF55" s="10">
        <f>'[2]Prix 3ME baseline'!AF23</f>
        <v>1.8599809126938691</v>
      </c>
      <c r="AG55" s="10">
        <f>'[2]Prix 3ME baseline'!AG23</f>
        <v>1.8833398186453669</v>
      </c>
      <c r="AH55" s="10">
        <f>'[2]Prix 3ME baseline'!AH23</f>
        <v>1.9079528420554208</v>
      </c>
      <c r="AI55" s="10">
        <f>'[2]Prix 3ME baseline'!AI23</f>
        <v>1.9337348840327295</v>
      </c>
      <c r="AJ55" s="10">
        <f>'[2]Prix 3ME baseline'!AJ23</f>
        <v>1.9606032026523683</v>
      </c>
      <c r="AK55" s="10">
        <f>'[2]Prix 3ME baseline'!AK23</f>
        <v>1.9884585158744863</v>
      </c>
      <c r="AL55" s="10">
        <f>'[2]Prix 3ME baseline'!AL23</f>
        <v>2.0171910662531127</v>
      </c>
    </row>
    <row r="56" spans="1:40" x14ac:dyDescent="0.35">
      <c r="A56">
        <f t="shared" si="5"/>
        <v>1</v>
      </c>
      <c r="B56" t="s">
        <v>107</v>
      </c>
      <c r="C56">
        <f>'[2]Prix 3ME baseline'!C24</f>
        <v>1</v>
      </c>
      <c r="D56" s="10">
        <f>'[2]Prix 3ME baseline'!D24</f>
        <v>1.0241439999999999</v>
      </c>
      <c r="E56" s="10">
        <f>'[2]Prix 3ME baseline'!E24</f>
        <v>1.048870932736</v>
      </c>
      <c r="F56" s="10">
        <f>'[2]Prix 3ME baseline'!F24</f>
        <v>1.0741948725359782</v>
      </c>
      <c r="G56" s="10">
        <f>'[2]Prix 3ME baseline'!G24</f>
        <v>1.1001302335384866</v>
      </c>
      <c r="H56" s="10">
        <f>'[2]Prix 3ME baseline'!H24</f>
        <v>1.1266917778970396</v>
      </c>
      <c r="I56" s="10">
        <f>'[2]Prix 3ME baseline'!I24</f>
        <v>1.2352297525011211</v>
      </c>
      <c r="J56" s="10">
        <f>'[2]Prix 3ME baseline'!J24</f>
        <v>1.3462103948796833</v>
      </c>
      <c r="K56" s="10">
        <f>'[2]Prix 3ME baseline'!K24</f>
        <v>1.4596766995909707</v>
      </c>
      <c r="L56" s="10">
        <f>'[2]Prix 3ME baseline'!L24</f>
        <v>1.5756723413184666</v>
      </c>
      <c r="M56" s="10">
        <f>'[2]Prix 3ME baseline'!M24</f>
        <v>1.6942416850026811</v>
      </c>
      <c r="N56" s="10">
        <f>'[2]Prix 3ME baseline'!N24</f>
        <v>1.8144712826746974</v>
      </c>
      <c r="O56" s="10">
        <f>'[2]Prix 3ME baseline'!O24</f>
        <v>1.9356459067048031</v>
      </c>
      <c r="P56" s="10">
        <f>'[2]Prix 3ME baseline'!P24</f>
        <v>2.0574294902902781</v>
      </c>
      <c r="Q56" s="10">
        <f>'[2]Prix 3ME baseline'!Q24</f>
        <v>2.1801123469066703</v>
      </c>
      <c r="R56" s="10">
        <f>'[2]Prix 3ME baseline'!R24</f>
        <v>2.3040186742927462</v>
      </c>
      <c r="S56" s="10">
        <f>'[2]Prix 3ME baseline'!S24</f>
        <v>2.3398201605393076</v>
      </c>
      <c r="T56" s="10">
        <f>'[2]Prix 3ME baseline'!T24</f>
        <v>2.375020320077847</v>
      </c>
      <c r="U56" s="10">
        <f>'[2]Prix 3ME baseline'!U24</f>
        <v>2.4101383834341763</v>
      </c>
      <c r="V56" s="10">
        <f>'[2]Prix 3ME baseline'!V24</f>
        <v>2.4457324482163409</v>
      </c>
      <c r="W56" s="10">
        <f>'[2]Prix 3ME baseline'!W24</f>
        <v>2.4822781698970453</v>
      </c>
      <c r="X56" s="10">
        <f>'[2]Prix 3ME baseline'!X24</f>
        <v>2.5200972999298696</v>
      </c>
      <c r="Y56" s="10">
        <f>'[2]Prix 3ME baseline'!Y24</f>
        <v>2.5595819235441404</v>
      </c>
      <c r="Z56" s="10">
        <f>'[2]Prix 3ME baseline'!Z24</f>
        <v>2.6011809826142462</v>
      </c>
      <c r="AA56" s="10">
        <f>'[2]Prix 3ME baseline'!AA24</f>
        <v>2.6456864841893353</v>
      </c>
      <c r="AB56" s="10">
        <f>'[2]Prix 3ME baseline'!AB24</f>
        <v>2.6934797739102221</v>
      </c>
      <c r="AC56" s="10">
        <f>'[2]Prix 3ME baseline'!AC24</f>
        <v>2.7449032852111657</v>
      </c>
      <c r="AD56" s="10">
        <f>'[2]Prix 3ME baseline'!AD24</f>
        <v>2.8000897738459556</v>
      </c>
      <c r="AE56" s="10">
        <f>'[2]Prix 3ME baseline'!AE24</f>
        <v>2.8591070616697731</v>
      </c>
      <c r="AF56" s="10">
        <f>'[2]Prix 3ME baseline'!AF24</f>
        <v>2.9213095850981086</v>
      </c>
      <c r="AG56" s="10">
        <f>'[2]Prix 3ME baseline'!AG24</f>
        <v>2.986508920005909</v>
      </c>
      <c r="AH56" s="10">
        <f>'[2]Prix 3ME baseline'!AH24</f>
        <v>3.0546043037833117</v>
      </c>
      <c r="AI56" s="10">
        <f>'[2]Prix 3ME baseline'!AI24</f>
        <v>3.1255242444636546</v>
      </c>
      <c r="AJ56" s="10">
        <f>'[2]Prix 3ME baseline'!AJ24</f>
        <v>3.1991966785055372</v>
      </c>
      <c r="AK56" s="10">
        <f>'[2]Prix 3ME baseline'!AK24</f>
        <v>3.2755179553425244</v>
      </c>
      <c r="AL56" s="10">
        <f>'[2]Prix 3ME baseline'!AL24</f>
        <v>3.354361561418632</v>
      </c>
    </row>
    <row r="57" spans="1:40" x14ac:dyDescent="0.35">
      <c r="A57">
        <f t="shared" si="5"/>
        <v>1</v>
      </c>
      <c r="B57" t="s">
        <v>104</v>
      </c>
      <c r="C57">
        <f>'[2]Prix 3ME baseline'!C25</f>
        <v>1</v>
      </c>
      <c r="D57" s="10">
        <f>'[2]Prix 3ME baseline'!D25</f>
        <v>1.012</v>
      </c>
      <c r="E57" s="10">
        <f>'[2]Prix 3ME baseline'!E25</f>
        <v>1.0241439999999999</v>
      </c>
      <c r="F57" s="10">
        <f>'[2]Prix 3ME baseline'!F25</f>
        <v>1.036433728</v>
      </c>
      <c r="G57" s="10">
        <f>'[2]Prix 3ME baseline'!G25</f>
        <v>1.048870932736</v>
      </c>
      <c r="H57" s="10">
        <f>'[2]Prix 3ME baseline'!H25</f>
        <v>1.0614573839288319</v>
      </c>
      <c r="I57" s="10">
        <f>'[2]Prix 3ME baseline'!I25</f>
        <v>1.074194872535978</v>
      </c>
      <c r="J57" s="10">
        <f>'[2]Prix 3ME baseline'!J25</f>
        <v>1.0870852110064098</v>
      </c>
      <c r="K57" s="10">
        <f>'[2]Prix 3ME baseline'!K25</f>
        <v>1.1001302335384866</v>
      </c>
      <c r="L57" s="10">
        <f>'[2]Prix 3ME baseline'!L25</f>
        <v>1.1133317963409484</v>
      </c>
      <c r="M57" s="10">
        <f>'[2]Prix 3ME baseline'!M25</f>
        <v>1.1266917778970398</v>
      </c>
      <c r="N57" s="10">
        <f>'[2]Prix 3ME baseline'!N25</f>
        <v>1.1396100682872405</v>
      </c>
      <c r="O57" s="10">
        <f>'[2]Prix 3ME baseline'!O25</f>
        <v>1.1517308398285908</v>
      </c>
      <c r="P57" s="10">
        <f>'[2]Prix 3ME baseline'!P25</f>
        <v>1.1629837550378135</v>
      </c>
      <c r="Q57" s="10">
        <f>'[2]Prix 3ME baseline'!Q25</f>
        <v>1.1736490817328895</v>
      </c>
      <c r="R57" s="10">
        <f>'[2]Prix 3ME baseline'!R25</f>
        <v>1.183973542162853</v>
      </c>
      <c r="S57" s="10">
        <f>'[2]Prix 3ME baseline'!S25</f>
        <v>1.1938435142393335</v>
      </c>
      <c r="T57" s="10">
        <f>'[2]Prix 3ME baseline'!T25</f>
        <v>1.203269819113604</v>
      </c>
      <c r="U57" s="10">
        <f>'[2]Prix 3ME baseline'!U25</f>
        <v>1.2125229855674997</v>
      </c>
      <c r="V57" s="10">
        <f>'[2]Prix 3ME baseline'!V25</f>
        <v>1.2218854456492569</v>
      </c>
      <c r="W57" s="10">
        <f>'[2]Prix 3ME baseline'!W25</f>
        <v>1.2315909362263815</v>
      </c>
      <c r="X57" s="10">
        <f>'[2]Prix 3ME baseline'!X25</f>
        <v>1.2417909534167009</v>
      </c>
      <c r="Y57" s="10">
        <f>'[2]Prix 3ME baseline'!Y25</f>
        <v>1.2526672925616087</v>
      </c>
      <c r="Z57" s="10">
        <f>'[2]Prix 3ME baseline'!Z25</f>
        <v>1.2644244734201724</v>
      </c>
      <c r="AA57" s="16">
        <f>'[2]Prix 3ME baseline'!AA25</f>
        <v>1.2774271687903058</v>
      </c>
      <c r="AB57" s="16">
        <f>'[2]Prix 3ME baseline'!AB25</f>
        <v>1.2918333674806011</v>
      </c>
      <c r="AC57" s="16">
        <f>'[2]Prix 3ME baseline'!AC25</f>
        <v>1.3077783338819757</v>
      </c>
      <c r="AD57" s="10">
        <f>'[2]Prix 3ME baseline'!AD25</f>
        <v>1.32529453144825</v>
      </c>
      <c r="AE57" s="10">
        <f>'[2]Prix 3ME baseline'!AE25</f>
        <v>1.3443830422945511</v>
      </c>
      <c r="AF57" s="10">
        <f>'[2]Prix 3ME baseline'!AF25</f>
        <v>1.3647116570767854</v>
      </c>
      <c r="AG57" s="10">
        <f>'[2]Prix 3ME baseline'!AG25</f>
        <v>1.3861689179368368</v>
      </c>
      <c r="AH57" s="10">
        <f>'[2]Prix 3ME baseline'!AH25</f>
        <v>1.4086866516216829</v>
      </c>
      <c r="AI57" s="10">
        <f>'[2]Prix 3ME baseline'!AI25</f>
        <v>1.4322118344900838</v>
      </c>
      <c r="AJ57" s="10">
        <f>'[2]Prix 3ME baseline'!AJ25</f>
        <v>1.4566925250159268</v>
      </c>
      <c r="AK57" s="10">
        <f>'[2]Prix 3ME baseline'!AK25</f>
        <v>1.4820637962915721</v>
      </c>
      <c r="AL57" s="10">
        <f>'[2]Prix 3ME baseline'!AL25</f>
        <v>1.5082520644883597</v>
      </c>
    </row>
    <row r="58" spans="1:40" x14ac:dyDescent="0.35">
      <c r="A58">
        <f t="shared" si="5"/>
        <v>1</v>
      </c>
      <c r="B58" t="s">
        <v>105</v>
      </c>
      <c r="C58">
        <f>'[2]Prix 3ME baseline'!C26</f>
        <v>1</v>
      </c>
      <c r="D58" s="10">
        <f>'[2]Prix 3ME baseline'!D26</f>
        <v>1.012</v>
      </c>
      <c r="E58" s="10">
        <f>'[2]Prix 3ME baseline'!E26</f>
        <v>1.0241439999999999</v>
      </c>
      <c r="F58" s="10">
        <f>'[2]Prix 3ME baseline'!F26</f>
        <v>1.036433728</v>
      </c>
      <c r="G58" s="10">
        <f>'[2]Prix 3ME baseline'!G26</f>
        <v>1.048870932736</v>
      </c>
      <c r="H58" s="10">
        <f>'[2]Prix 3ME baseline'!H26</f>
        <v>1.0614573839288319</v>
      </c>
      <c r="I58" s="10">
        <f>'[2]Prix 3ME baseline'!I26</f>
        <v>1.074194872535978</v>
      </c>
      <c r="J58" s="10">
        <f>'[2]Prix 3ME baseline'!J26</f>
        <v>1.0870852110064098</v>
      </c>
      <c r="K58" s="10">
        <f>'[2]Prix 3ME baseline'!K26</f>
        <v>1.1001302335384866</v>
      </c>
      <c r="L58" s="10">
        <f>'[2]Prix 3ME baseline'!L26</f>
        <v>1.1133317963409484</v>
      </c>
      <c r="M58" s="10">
        <f>'[2]Prix 3ME baseline'!M26</f>
        <v>1.1266917778970398</v>
      </c>
      <c r="N58" s="10">
        <f>'[2]Prix 3ME baseline'!N26</f>
        <v>1.1396100682872405</v>
      </c>
      <c r="O58" s="10">
        <f>'[2]Prix 3ME baseline'!O26</f>
        <v>1.1517308398285908</v>
      </c>
      <c r="P58" s="10">
        <f>'[2]Prix 3ME baseline'!P26</f>
        <v>1.1629837550378135</v>
      </c>
      <c r="Q58" s="10">
        <f>'[2]Prix 3ME baseline'!Q26</f>
        <v>1.1736490817328895</v>
      </c>
      <c r="R58" s="10">
        <f>'[2]Prix 3ME baseline'!R26</f>
        <v>1.183973542162853</v>
      </c>
      <c r="S58" s="10">
        <f>'[2]Prix 3ME baseline'!S26</f>
        <v>1.1938435142393335</v>
      </c>
      <c r="T58" s="10">
        <f>'[2]Prix 3ME baseline'!T26</f>
        <v>1.203269819113604</v>
      </c>
      <c r="U58" s="10">
        <f>'[2]Prix 3ME baseline'!U26</f>
        <v>1.2125229855674997</v>
      </c>
      <c r="V58" s="10">
        <f>'[2]Prix 3ME baseline'!V26</f>
        <v>1.2218854456492569</v>
      </c>
      <c r="W58" s="10">
        <f>'[2]Prix 3ME baseline'!W26</f>
        <v>1.2315909362263815</v>
      </c>
      <c r="X58" s="10">
        <f>'[2]Prix 3ME baseline'!X26</f>
        <v>1.2417909534167009</v>
      </c>
      <c r="Y58" s="10">
        <f>'[2]Prix 3ME baseline'!Y26</f>
        <v>1.2526672925616087</v>
      </c>
      <c r="Z58" s="10">
        <f>'[2]Prix 3ME baseline'!Z26</f>
        <v>1.2644244734201724</v>
      </c>
      <c r="AA58" s="16">
        <f>'[2]Prix 3ME baseline'!AA26</f>
        <v>1.2774271687903058</v>
      </c>
      <c r="AB58" s="16">
        <f>'[2]Prix 3ME baseline'!AB26</f>
        <v>1.2918333674806011</v>
      </c>
      <c r="AC58" s="16">
        <f>'[2]Prix 3ME baseline'!AC26</f>
        <v>1.3077783338819757</v>
      </c>
      <c r="AD58" s="10">
        <f>'[2]Prix 3ME baseline'!AD26</f>
        <v>1.32529453144825</v>
      </c>
      <c r="AE58" s="10">
        <f>'[2]Prix 3ME baseline'!AE26</f>
        <v>1.3443830422945511</v>
      </c>
      <c r="AF58" s="10">
        <f>'[2]Prix 3ME baseline'!AF26</f>
        <v>1.3647116570767854</v>
      </c>
      <c r="AG58" s="10">
        <f>'[2]Prix 3ME baseline'!AG26</f>
        <v>1.3861689179368368</v>
      </c>
      <c r="AH58" s="10">
        <f>'[2]Prix 3ME baseline'!AH26</f>
        <v>1.4086866516216829</v>
      </c>
      <c r="AI58" s="10">
        <f>'[2]Prix 3ME baseline'!AI26</f>
        <v>1.4322118344900838</v>
      </c>
      <c r="AJ58" s="10">
        <f>'[2]Prix 3ME baseline'!AJ26</f>
        <v>1.4566925250159268</v>
      </c>
      <c r="AK58" s="10">
        <f>'[2]Prix 3ME baseline'!AK26</f>
        <v>1.4820637962915721</v>
      </c>
      <c r="AL58" s="10">
        <f>'[2]Prix 3ME baseline'!AL26</f>
        <v>1.5082520644883597</v>
      </c>
    </row>
    <row r="59" spans="1:40" x14ac:dyDescent="0.35">
      <c r="A59">
        <f t="shared" si="5"/>
        <v>1</v>
      </c>
      <c r="B59" t="s">
        <v>108</v>
      </c>
      <c r="C59">
        <f>'[2]Prix 3ME baseline'!C27</f>
        <v>1</v>
      </c>
      <c r="D59" s="10">
        <f>'[2]Prix 3ME baseline'!D27</f>
        <v>1.0241439999999999</v>
      </c>
      <c r="E59" s="10">
        <f>'[2]Prix 3ME baseline'!E27</f>
        <v>1.048870932736</v>
      </c>
      <c r="F59" s="10">
        <f>'[2]Prix 3ME baseline'!F27</f>
        <v>1.0741948725359782</v>
      </c>
      <c r="G59" s="10">
        <f>'[2]Prix 3ME baseline'!G27</f>
        <v>1.1001302335384866</v>
      </c>
      <c r="H59" s="10">
        <f>'[2]Prix 3ME baseline'!H27</f>
        <v>1.1266917778970396</v>
      </c>
      <c r="I59" s="10">
        <f>'[2]Prix 3ME baseline'!I27</f>
        <v>1.2352297525011211</v>
      </c>
      <c r="J59" s="10">
        <f>'[2]Prix 3ME baseline'!J27</f>
        <v>1.3462103948796833</v>
      </c>
      <c r="K59" s="10">
        <f>'[2]Prix 3ME baseline'!K27</f>
        <v>1.4596766995909707</v>
      </c>
      <c r="L59" s="10">
        <f>'[2]Prix 3ME baseline'!L27</f>
        <v>1.5756723413184666</v>
      </c>
      <c r="M59" s="10">
        <f>'[2]Prix 3ME baseline'!M27</f>
        <v>1.6942416850026811</v>
      </c>
      <c r="N59" s="10">
        <f>'[2]Prix 3ME baseline'!N27</f>
        <v>1.8144712826746974</v>
      </c>
      <c r="O59" s="10">
        <f>'[2]Prix 3ME baseline'!O27</f>
        <v>1.9356459067048031</v>
      </c>
      <c r="P59" s="10">
        <f>'[2]Prix 3ME baseline'!P27</f>
        <v>2.0574294902902781</v>
      </c>
      <c r="Q59" s="10">
        <f>'[2]Prix 3ME baseline'!Q27</f>
        <v>2.1801123469066703</v>
      </c>
      <c r="R59" s="10">
        <f>'[2]Prix 3ME baseline'!R27</f>
        <v>2.3040186742927484</v>
      </c>
      <c r="S59" s="10">
        <f>'[2]Prix 3ME baseline'!S27</f>
        <v>2.3322772199830895</v>
      </c>
      <c r="T59" s="10">
        <f>'[2]Prix 3ME baseline'!T27</f>
        <v>2.3598153244307434</v>
      </c>
      <c r="U59" s="10">
        <f>'[2]Prix 3ME baseline'!U27</f>
        <v>2.3871554999303557</v>
      </c>
      <c r="V59" s="10">
        <f>'[2]Prix 3ME baseline'!V27</f>
        <v>2.4148519880115917</v>
      </c>
      <c r="W59" s="10">
        <f>'[2]Prix 3ME baseline'!W27</f>
        <v>2.4433709885506998</v>
      </c>
      <c r="X59" s="10">
        <f>'[2]Prix 3ME baseline'!X27</f>
        <v>2.4730220079012946</v>
      </c>
      <c r="Y59" s="10">
        <f>'[2]Prix 3ME baseline'!Y27</f>
        <v>2.5041797174068243</v>
      </c>
      <c r="Z59" s="10">
        <f>'[2]Prix 3ME baseline'!Z27</f>
        <v>2.5372699019603369</v>
      </c>
      <c r="AA59" s="10">
        <f>'[2]Prix 3ME baseline'!AA27</f>
        <v>2.5730471359352078</v>
      </c>
      <c r="AB59" s="10">
        <f>'[2]Prix 3ME baseline'!AB27</f>
        <v>2.6118591747008248</v>
      </c>
      <c r="AC59" s="10">
        <f>'[2]Prix 3ME baseline'!AC27</f>
        <v>2.6540124479525211</v>
      </c>
      <c r="AD59" s="10">
        <f>'[2]Prix 3ME baseline'!AD27</f>
        <v>2.6996080833969414</v>
      </c>
      <c r="AE59" s="10">
        <f>'[2]Prix 3ME baseline'!AE27</f>
        <v>2.7486840319558516</v>
      </c>
      <c r="AF59" s="10">
        <f>'[2]Prix 3ME baseline'!AF27</f>
        <v>2.80059431298662</v>
      </c>
      <c r="AG59" s="10">
        <f>'[2]Prix 3ME baseline'!AG27</f>
        <v>2.8551375598883495</v>
      </c>
      <c r="AH59" s="10">
        <f>'[2]Prix 3ME baseline'!AH27</f>
        <v>2.9121985087351412</v>
      </c>
      <c r="AI59" s="10">
        <f>'[2]Prix 3ME baseline'!AI27</f>
        <v>2.9716912619625511</v>
      </c>
      <c r="AJ59" s="10">
        <f>'[2]Prix 3ME baseline'!AJ27</f>
        <v>3.033530567420673</v>
      </c>
      <c r="AK59" s="10">
        <f>'[2]Prix 3ME baseline'!AK27</f>
        <v>3.0976024574822976</v>
      </c>
      <c r="AL59" s="10">
        <f>'[2]Prix 3ME baseline'!AL27</f>
        <v>3.1637728363380289</v>
      </c>
    </row>
    <row r="60" spans="1:40" x14ac:dyDescent="0.35">
      <c r="A60">
        <f>A54</f>
        <v>1</v>
      </c>
      <c r="B60" t="s">
        <v>65</v>
      </c>
      <c r="C60">
        <f>'[2]Prix 3ME baseline'!C28</f>
        <v>1</v>
      </c>
      <c r="D60" s="10">
        <f>'[2]Prix 3ME baseline'!D28</f>
        <v>1.012</v>
      </c>
      <c r="E60" s="10">
        <f>'[2]Prix 3ME baseline'!E28</f>
        <v>1.0241439999999999</v>
      </c>
      <c r="F60" s="10">
        <f>'[2]Prix 3ME baseline'!F28</f>
        <v>1.036433728</v>
      </c>
      <c r="G60" s="10">
        <f>'[2]Prix 3ME baseline'!G28</f>
        <v>1.048870932736</v>
      </c>
      <c r="H60" s="10">
        <f>'[2]Prix 3ME baseline'!H28</f>
        <v>1.0614573839288319</v>
      </c>
      <c r="I60" s="10">
        <f>'[2]Prix 3ME baseline'!I28</f>
        <v>1.074194872535978</v>
      </c>
      <c r="J60" s="10">
        <f>'[2]Prix 3ME baseline'!J28</f>
        <v>1.0870852110064098</v>
      </c>
      <c r="K60" s="10">
        <f>'[2]Prix 3ME baseline'!K28</f>
        <v>1.1001302335384866</v>
      </c>
      <c r="L60" s="10">
        <f>'[2]Prix 3ME baseline'!L28</f>
        <v>1.1133317963409484</v>
      </c>
      <c r="M60" s="10">
        <f>'[2]Prix 3ME baseline'!M28</f>
        <v>1.1266917778970398</v>
      </c>
      <c r="N60" s="10">
        <f>'[2]Prix 3ME baseline'!N28</f>
        <v>1.1396100682872405</v>
      </c>
      <c r="O60" s="10">
        <f>'[2]Prix 3ME baseline'!O28</f>
        <v>1.1517308398285908</v>
      </c>
      <c r="P60" s="10">
        <f>'[2]Prix 3ME baseline'!P28</f>
        <v>1.1629837550378135</v>
      </c>
      <c r="Q60" s="10">
        <f>'[2]Prix 3ME baseline'!Q28</f>
        <v>1.1736490817328895</v>
      </c>
      <c r="R60" s="10">
        <f>'[2]Prix 3ME baseline'!R28</f>
        <v>1.183973542162853</v>
      </c>
      <c r="S60" s="10">
        <f>'[2]Prix 3ME baseline'!S28</f>
        <v>1.1938435142393335</v>
      </c>
      <c r="T60" s="10">
        <f>'[2]Prix 3ME baseline'!T28</f>
        <v>1.203269819113604</v>
      </c>
      <c r="U60" s="10">
        <f>'[2]Prix 3ME baseline'!U28</f>
        <v>1.2125229855674997</v>
      </c>
      <c r="V60" s="10">
        <f>'[2]Prix 3ME baseline'!V28</f>
        <v>1.2218854456492569</v>
      </c>
      <c r="W60" s="10">
        <f>'[2]Prix 3ME baseline'!W28</f>
        <v>1.2315909362263815</v>
      </c>
      <c r="X60" s="10">
        <f>'[2]Prix 3ME baseline'!X28</f>
        <v>1.2417909534167009</v>
      </c>
      <c r="Y60" s="10">
        <f>'[2]Prix 3ME baseline'!Y28</f>
        <v>1.2526672925616087</v>
      </c>
      <c r="Z60" s="10">
        <f>'[2]Prix 3ME baseline'!Z28</f>
        <v>1.2644244734201724</v>
      </c>
      <c r="AA60" s="16">
        <f>'[2]Prix 3ME baseline'!AA28</f>
        <v>1.2774271687903058</v>
      </c>
      <c r="AB60" s="16">
        <f>'[2]Prix 3ME baseline'!AB28</f>
        <v>1.2918333674806011</v>
      </c>
      <c r="AC60" s="16">
        <f>'[2]Prix 3ME baseline'!AC28</f>
        <v>1.3077783338819757</v>
      </c>
      <c r="AD60" s="10">
        <f>'[2]Prix 3ME baseline'!AD28</f>
        <v>1.32529453144825</v>
      </c>
      <c r="AE60" s="10">
        <f>'[2]Prix 3ME baseline'!AE28</f>
        <v>1.3443830422945511</v>
      </c>
      <c r="AF60" s="10">
        <f>'[2]Prix 3ME baseline'!AF28</f>
        <v>1.3647116570767854</v>
      </c>
      <c r="AG60" s="10">
        <f>'[2]Prix 3ME baseline'!AG28</f>
        <v>1.3861689179368368</v>
      </c>
      <c r="AH60" s="10">
        <f>'[2]Prix 3ME baseline'!AH28</f>
        <v>1.4086866516216829</v>
      </c>
      <c r="AI60" s="10">
        <f>'[2]Prix 3ME baseline'!AI28</f>
        <v>1.4322118344900838</v>
      </c>
      <c r="AJ60" s="10">
        <f>'[2]Prix 3ME baseline'!AJ28</f>
        <v>1.4566925250159268</v>
      </c>
      <c r="AK60" s="10">
        <f>'[2]Prix 3ME baseline'!AK28</f>
        <v>1.4820637962915721</v>
      </c>
      <c r="AL60" s="10">
        <f>'[2]Prix 3ME baseline'!AL28</f>
        <v>1.5082520644883597</v>
      </c>
    </row>
    <row r="61" spans="1:40" x14ac:dyDescent="0.35">
      <c r="A61">
        <f t="shared" si="5"/>
        <v>1</v>
      </c>
      <c r="B61" t="s">
        <v>66</v>
      </c>
      <c r="C61">
        <f>'[2]Prix 3ME baseline'!C29</f>
        <v>1</v>
      </c>
      <c r="D61" s="10">
        <f>'[2]Prix 3ME baseline'!D29</f>
        <v>1.012</v>
      </c>
      <c r="E61" s="10">
        <f>'[2]Prix 3ME baseline'!E29</f>
        <v>1.0241439999999999</v>
      </c>
      <c r="F61" s="10">
        <f>'[2]Prix 3ME baseline'!F29</f>
        <v>1.036433728</v>
      </c>
      <c r="G61" s="10">
        <f>'[2]Prix 3ME baseline'!G29</f>
        <v>1.048870932736</v>
      </c>
      <c r="H61" s="10">
        <f>'[2]Prix 3ME baseline'!H29</f>
        <v>1.0614573839288319</v>
      </c>
      <c r="I61" s="10">
        <f>'[2]Prix 3ME baseline'!I29</f>
        <v>1.074194872535978</v>
      </c>
      <c r="J61" s="10">
        <f>'[2]Prix 3ME baseline'!J29</f>
        <v>1.0870852110064098</v>
      </c>
      <c r="K61" s="10">
        <f>'[2]Prix 3ME baseline'!K29</f>
        <v>1.1001302335384866</v>
      </c>
      <c r="L61" s="10">
        <f>'[2]Prix 3ME baseline'!L29</f>
        <v>1.1133317963409484</v>
      </c>
      <c r="M61" s="10">
        <f>'[2]Prix 3ME baseline'!M29</f>
        <v>1.1266917778970398</v>
      </c>
      <c r="N61" s="10">
        <f>'[2]Prix 3ME baseline'!N29</f>
        <v>1.1396100682872405</v>
      </c>
      <c r="O61" s="10">
        <f>'[2]Prix 3ME baseline'!O29</f>
        <v>1.1517308398285908</v>
      </c>
      <c r="P61" s="10">
        <f>'[2]Prix 3ME baseline'!P29</f>
        <v>1.1629837550378135</v>
      </c>
      <c r="Q61" s="10">
        <f>'[2]Prix 3ME baseline'!Q29</f>
        <v>1.1736490817328895</v>
      </c>
      <c r="R61" s="10">
        <f>'[2]Prix 3ME baseline'!R29</f>
        <v>1.183973542162853</v>
      </c>
      <c r="S61" s="10">
        <f>'[2]Prix 3ME baseline'!S29</f>
        <v>1.1938435142393335</v>
      </c>
      <c r="T61" s="10">
        <f>'[2]Prix 3ME baseline'!T29</f>
        <v>1.203269819113604</v>
      </c>
      <c r="U61" s="10">
        <f>'[2]Prix 3ME baseline'!U29</f>
        <v>1.2125229855674997</v>
      </c>
      <c r="V61" s="10">
        <f>'[2]Prix 3ME baseline'!V29</f>
        <v>1.2218854456492569</v>
      </c>
      <c r="W61" s="10">
        <f>'[2]Prix 3ME baseline'!W29</f>
        <v>1.2315909362263815</v>
      </c>
      <c r="X61" s="10">
        <f>'[2]Prix 3ME baseline'!X29</f>
        <v>1.2417909534167009</v>
      </c>
      <c r="Y61" s="10">
        <f>'[2]Prix 3ME baseline'!Y29</f>
        <v>1.2526672925616087</v>
      </c>
      <c r="Z61" s="10">
        <f>'[2]Prix 3ME baseline'!Z29</f>
        <v>1.2644244734201724</v>
      </c>
      <c r="AA61" s="16">
        <f>'[2]Prix 3ME baseline'!AA29</f>
        <v>1.2774271687903058</v>
      </c>
      <c r="AB61" s="16">
        <f>'[2]Prix 3ME baseline'!AB29</f>
        <v>1.2918333674806011</v>
      </c>
      <c r="AC61" s="16">
        <f>'[2]Prix 3ME baseline'!AC29</f>
        <v>1.3077783338819757</v>
      </c>
      <c r="AD61" s="10">
        <f>'[2]Prix 3ME baseline'!AD29</f>
        <v>1.32529453144825</v>
      </c>
      <c r="AE61" s="10">
        <f>'[2]Prix 3ME baseline'!AE29</f>
        <v>1.3443830422945511</v>
      </c>
      <c r="AF61" s="10">
        <f>'[2]Prix 3ME baseline'!AF29</f>
        <v>1.3647116570767854</v>
      </c>
      <c r="AG61" s="10">
        <f>'[2]Prix 3ME baseline'!AG29</f>
        <v>1.3861689179368368</v>
      </c>
      <c r="AH61" s="10">
        <f>'[2]Prix 3ME baseline'!AH29</f>
        <v>1.4086866516216829</v>
      </c>
      <c r="AI61" s="10">
        <f>'[2]Prix 3ME baseline'!AI29</f>
        <v>1.4322118344900838</v>
      </c>
      <c r="AJ61" s="10">
        <f>'[2]Prix 3ME baseline'!AJ29</f>
        <v>1.4566925250159268</v>
      </c>
      <c r="AK61" s="10">
        <f>'[2]Prix 3ME baseline'!AK29</f>
        <v>1.4820637962915721</v>
      </c>
      <c r="AL61" s="10">
        <f>'[2]Prix 3ME baseline'!AL29</f>
        <v>1.5082520644883597</v>
      </c>
    </row>
    <row r="62" spans="1:40" x14ac:dyDescent="0.35">
      <c r="A62">
        <f t="shared" si="5"/>
        <v>1</v>
      </c>
      <c r="B62" t="s">
        <v>67</v>
      </c>
      <c r="C62">
        <f>'[2]Prix 3ME baseline'!C30</f>
        <v>1</v>
      </c>
      <c r="D62" s="10">
        <f>'[2]Prix 3ME baseline'!D30</f>
        <v>1.012</v>
      </c>
      <c r="E62" s="10">
        <f>'[2]Prix 3ME baseline'!E30</f>
        <v>1.0241439999999999</v>
      </c>
      <c r="F62" s="10">
        <f>'[2]Prix 3ME baseline'!F30</f>
        <v>1.036433728</v>
      </c>
      <c r="G62" s="10">
        <f>'[2]Prix 3ME baseline'!G30</f>
        <v>1.048870932736</v>
      </c>
      <c r="H62" s="10">
        <f>'[2]Prix 3ME baseline'!H30</f>
        <v>1.0614573839288319</v>
      </c>
      <c r="I62" s="10">
        <f>'[2]Prix 3ME baseline'!I30</f>
        <v>1.074194872535978</v>
      </c>
      <c r="J62" s="10">
        <f>'[2]Prix 3ME baseline'!J30</f>
        <v>1.0870852110064098</v>
      </c>
      <c r="K62" s="10">
        <f>'[2]Prix 3ME baseline'!K30</f>
        <v>1.1001302335384866</v>
      </c>
      <c r="L62" s="10">
        <f>'[2]Prix 3ME baseline'!L30</f>
        <v>1.1133317963409484</v>
      </c>
      <c r="M62" s="10">
        <f>'[2]Prix 3ME baseline'!M30</f>
        <v>1.1266917778970398</v>
      </c>
      <c r="N62" s="10">
        <f>'[2]Prix 3ME baseline'!N30</f>
        <v>1.1396100682872405</v>
      </c>
      <c r="O62" s="10">
        <f>'[2]Prix 3ME baseline'!O30</f>
        <v>1.1517308398285908</v>
      </c>
      <c r="P62" s="10">
        <f>'[2]Prix 3ME baseline'!P30</f>
        <v>1.1629837550378135</v>
      </c>
      <c r="Q62" s="10">
        <f>'[2]Prix 3ME baseline'!Q30</f>
        <v>1.1736490817328895</v>
      </c>
      <c r="R62" s="10">
        <f>'[2]Prix 3ME baseline'!R30</f>
        <v>1.183973542162853</v>
      </c>
      <c r="S62" s="10">
        <f>'[2]Prix 3ME baseline'!S30</f>
        <v>1.1938435142393335</v>
      </c>
      <c r="T62" s="10">
        <f>'[2]Prix 3ME baseline'!T30</f>
        <v>1.203269819113604</v>
      </c>
      <c r="U62" s="10">
        <f>'[2]Prix 3ME baseline'!U30</f>
        <v>1.2125229855674997</v>
      </c>
      <c r="V62" s="10">
        <f>'[2]Prix 3ME baseline'!V30</f>
        <v>1.2218854456492569</v>
      </c>
      <c r="W62" s="10">
        <f>'[2]Prix 3ME baseline'!W30</f>
        <v>1.2315909362263815</v>
      </c>
      <c r="X62" s="10">
        <f>'[2]Prix 3ME baseline'!X30</f>
        <v>1.2417909534167009</v>
      </c>
      <c r="Y62" s="10">
        <f>'[2]Prix 3ME baseline'!Y30</f>
        <v>1.2526672925616087</v>
      </c>
      <c r="Z62" s="10">
        <f>'[2]Prix 3ME baseline'!Z30</f>
        <v>1.2644244734201724</v>
      </c>
      <c r="AA62" s="16">
        <f>'[2]Prix 3ME baseline'!AA30</f>
        <v>1.2774271687903058</v>
      </c>
      <c r="AB62" s="16">
        <f>'[2]Prix 3ME baseline'!AB30</f>
        <v>1.2918333674806011</v>
      </c>
      <c r="AC62" s="16">
        <f>'[2]Prix 3ME baseline'!AC30</f>
        <v>1.3077783338819757</v>
      </c>
      <c r="AD62" s="10">
        <f>'[2]Prix 3ME baseline'!AD30</f>
        <v>1.32529453144825</v>
      </c>
      <c r="AE62" s="10">
        <f>'[2]Prix 3ME baseline'!AE30</f>
        <v>1.3443830422945511</v>
      </c>
      <c r="AF62" s="10">
        <f>'[2]Prix 3ME baseline'!AF30</f>
        <v>1.3647116570767854</v>
      </c>
      <c r="AG62" s="10">
        <f>'[2]Prix 3ME baseline'!AG30</f>
        <v>1.3861689179368368</v>
      </c>
      <c r="AH62" s="10">
        <f>'[2]Prix 3ME baseline'!AH30</f>
        <v>1.4086866516216829</v>
      </c>
      <c r="AI62" s="10">
        <f>'[2]Prix 3ME baseline'!AI30</f>
        <v>1.4322118344900838</v>
      </c>
      <c r="AJ62" s="10">
        <f>'[2]Prix 3ME baseline'!AJ30</f>
        <v>1.4566925250159268</v>
      </c>
      <c r="AK62" s="10">
        <f>'[2]Prix 3ME baseline'!AK30</f>
        <v>1.4820637962915721</v>
      </c>
      <c r="AL62" s="10">
        <f>'[2]Prix 3ME baseline'!AL30</f>
        <v>1.5082520644883597</v>
      </c>
    </row>
    <row r="63" spans="1:40" x14ac:dyDescent="0.35">
      <c r="A63">
        <f t="shared" si="5"/>
        <v>1</v>
      </c>
      <c r="B63" t="s">
        <v>68</v>
      </c>
      <c r="C63">
        <f>'[2]Prix 3ME baseline'!C31</f>
        <v>1</v>
      </c>
      <c r="D63" s="10">
        <f>'[2]Prix 3ME baseline'!D31</f>
        <v>1.012</v>
      </c>
      <c r="E63" s="10">
        <f>'[2]Prix 3ME baseline'!E31</f>
        <v>1.0241439999999999</v>
      </c>
      <c r="F63" s="10">
        <f>'[2]Prix 3ME baseline'!F31</f>
        <v>1.036433728</v>
      </c>
      <c r="G63" s="10">
        <f>'[2]Prix 3ME baseline'!G31</f>
        <v>1.048870932736</v>
      </c>
      <c r="H63" s="10">
        <f>'[2]Prix 3ME baseline'!H31</f>
        <v>1.0614573839288319</v>
      </c>
      <c r="I63" s="10">
        <f>'[2]Prix 3ME baseline'!I31</f>
        <v>1.074194872535978</v>
      </c>
      <c r="J63" s="10">
        <f>'[2]Prix 3ME baseline'!J31</f>
        <v>1.0870852110064098</v>
      </c>
      <c r="K63" s="10">
        <f>'[2]Prix 3ME baseline'!K31</f>
        <v>1.1001302335384866</v>
      </c>
      <c r="L63" s="10">
        <f>'[2]Prix 3ME baseline'!L31</f>
        <v>1.1133317963409484</v>
      </c>
      <c r="M63" s="10">
        <f>'[2]Prix 3ME baseline'!M31</f>
        <v>1.1266917778970398</v>
      </c>
      <c r="N63" s="10">
        <f>'[2]Prix 3ME baseline'!N31</f>
        <v>1.1396100682872405</v>
      </c>
      <c r="O63" s="10">
        <f>'[2]Prix 3ME baseline'!O31</f>
        <v>1.1517308398285908</v>
      </c>
      <c r="P63" s="10">
        <f>'[2]Prix 3ME baseline'!P31</f>
        <v>1.1629837550378135</v>
      </c>
      <c r="Q63" s="10">
        <f>'[2]Prix 3ME baseline'!Q31</f>
        <v>1.1736490817328895</v>
      </c>
      <c r="R63" s="10">
        <f>'[2]Prix 3ME baseline'!R31</f>
        <v>1.183973542162853</v>
      </c>
      <c r="S63" s="10">
        <f>'[2]Prix 3ME baseline'!S31</f>
        <v>1.1938435142393335</v>
      </c>
      <c r="T63" s="10">
        <f>'[2]Prix 3ME baseline'!T31</f>
        <v>1.203269819113604</v>
      </c>
      <c r="U63" s="10">
        <f>'[2]Prix 3ME baseline'!U31</f>
        <v>1.2125229855674997</v>
      </c>
      <c r="V63" s="10">
        <f>'[2]Prix 3ME baseline'!V31</f>
        <v>1.2218854456492569</v>
      </c>
      <c r="W63" s="10">
        <f>'[2]Prix 3ME baseline'!W31</f>
        <v>1.2315909362263815</v>
      </c>
      <c r="X63" s="10">
        <f>'[2]Prix 3ME baseline'!X31</f>
        <v>1.2417909534167009</v>
      </c>
      <c r="Y63" s="10">
        <f>'[2]Prix 3ME baseline'!Y31</f>
        <v>1.2526672925616087</v>
      </c>
      <c r="Z63" s="17">
        <f>'[2]Prix 3ME baseline'!Z31</f>
        <v>1.2644244734201724</v>
      </c>
      <c r="AA63" s="17">
        <f>'[2]Prix 3ME baseline'!AA31</f>
        <v>1.2774271687903058</v>
      </c>
      <c r="AB63" s="17">
        <f>'[2]Prix 3ME baseline'!AB31</f>
        <v>1.2918333674806011</v>
      </c>
      <c r="AC63" s="17">
        <f>'[2]Prix 3ME baseline'!AC31</f>
        <v>1.3077783338819757</v>
      </c>
      <c r="AD63" s="17">
        <f>'[2]Prix 3ME baseline'!AD31</f>
        <v>1.32529453144825</v>
      </c>
      <c r="AE63" s="10">
        <f>'[2]Prix 3ME baseline'!AE31</f>
        <v>1.3443830422945511</v>
      </c>
      <c r="AF63" s="10">
        <f>'[2]Prix 3ME baseline'!AF31</f>
        <v>1.3647116570767854</v>
      </c>
      <c r="AG63" s="10">
        <f>'[2]Prix 3ME baseline'!AG31</f>
        <v>1.3861689179368368</v>
      </c>
      <c r="AH63" s="10">
        <f>'[2]Prix 3ME baseline'!AH31</f>
        <v>1.4086866516216829</v>
      </c>
      <c r="AI63" s="10">
        <f>'[2]Prix 3ME baseline'!AI31</f>
        <v>1.4322118344900838</v>
      </c>
      <c r="AJ63" s="10">
        <f>'[2]Prix 3ME baseline'!AJ31</f>
        <v>1.4566925250159268</v>
      </c>
      <c r="AK63" s="10">
        <f>'[2]Prix 3ME baseline'!AK31</f>
        <v>1.4820637962915721</v>
      </c>
      <c r="AL63" s="10">
        <f>'[2]Prix 3ME baseline'!AL31</f>
        <v>1.5082520644883597</v>
      </c>
    </row>
    <row r="64" spans="1:40" x14ac:dyDescent="0.35">
      <c r="AA64" s="19"/>
      <c r="AB64" s="19"/>
      <c r="AC64" s="19"/>
      <c r="AD64" s="10"/>
      <c r="AE64" s="10"/>
      <c r="AF64" s="10"/>
      <c r="AG64" s="10"/>
      <c r="AH64" s="10"/>
      <c r="AI64" s="10"/>
      <c r="AJ64" s="10"/>
      <c r="AK64" s="10"/>
      <c r="AL64" s="10"/>
    </row>
    <row r="65" spans="2:59" x14ac:dyDescent="0.35">
      <c r="C65">
        <f>'[2]Prix 3ME baseline'!C23</f>
        <v>1</v>
      </c>
      <c r="D65" s="10">
        <f>'[2]Prix 3ME baseline'!D23</f>
        <v>1.0241439999999999</v>
      </c>
      <c r="E65" s="10">
        <f>'[2]Prix 3ME baseline'!E23</f>
        <v>1.048870932736</v>
      </c>
      <c r="F65" s="10">
        <f>'[2]Prix 3ME baseline'!F23</f>
        <v>1.0741948725359782</v>
      </c>
      <c r="G65" s="10">
        <f>'[2]Prix 3ME baseline'!G23</f>
        <v>1.1001302335384866</v>
      </c>
      <c r="H65" s="10">
        <f>'[2]Prix 3ME baseline'!H23</f>
        <v>1.1266917778970396</v>
      </c>
      <c r="I65" s="10">
        <f>'[2]Prix 3ME baseline'!I23</f>
        <v>1.1789792899256857</v>
      </c>
      <c r="J65" s="10">
        <f>'[2]Prix 3ME baseline'!J23</f>
        <v>1.2323594586270015</v>
      </c>
      <c r="K65" s="10">
        <f>'[2]Prix 3ME baseline'!K23</f>
        <v>1.2868509783593998</v>
      </c>
      <c r="L65" s="10">
        <f>'[2]Prix 3ME baseline'!L23</f>
        <v>1.3424728348033335</v>
      </c>
      <c r="M65" s="10">
        <f>'[2]Prix 3ME baseline'!M23</f>
        <v>1.3992443092610378</v>
      </c>
      <c r="N65" s="10">
        <f>'[2]Prix 3ME baseline'!N23</f>
        <v>1.4564156162268906</v>
      </c>
      <c r="O65" s="10">
        <f>'[2]Prix 3ME baseline'!O23</f>
        <v>1.5134713468424503</v>
      </c>
      <c r="P65" s="10">
        <f>'[2]Prix 3ME baseline'!P23</f>
        <v>1.5702301869895403</v>
      </c>
      <c r="Q65" s="10">
        <f>'[2]Prix 3ME baseline'!Q23</f>
        <v>1.6269867000343492</v>
      </c>
      <c r="R65" s="10">
        <f>'[2]Prix 3ME baseline'!R23</f>
        <v>1.6840281946648792</v>
      </c>
      <c r="S65" s="10">
        <f>'[2]Prix 3ME baseline'!S23</f>
        <v>1.6929979219623672</v>
      </c>
      <c r="T65" s="10">
        <f>'[2]Prix 3ME baseline'!T23</f>
        <v>1.7012565529633166</v>
      </c>
      <c r="U65" s="10">
        <f>'[2]Prix 3ME baseline'!U23</f>
        <v>1.7091910804122643</v>
      </c>
      <c r="V65" s="10">
        <f>'[2]Prix 3ME baseline'!V23</f>
        <v>1.7172006310658365</v>
      </c>
      <c r="W65" s="10">
        <f>'[2]Prix 3ME baseline'!W23</f>
        <v>1.7256113070732555</v>
      </c>
      <c r="X65" s="10">
        <f>'[2]Prix 3ME baseline'!X23</f>
        <v>1.7346303606690372</v>
      </c>
      <c r="Y65" s="10">
        <f>'[2]Prix 3ME baseline'!Y23</f>
        <v>1.7445046668519015</v>
      </c>
      <c r="Z65" s="10">
        <f>'[2]Prix 3ME baseline'!Z23</f>
        <v>1.7555095634016731</v>
      </c>
      <c r="AA65" s="16">
        <f>'[2]Prix 3ME baseline'!AA23</f>
        <v>1.768138588969878</v>
      </c>
      <c r="AB65" s="16">
        <f>'[2]Prix 3ME baseline'!AB23</f>
        <v>1.7825938867333102</v>
      </c>
      <c r="AC65" s="16">
        <f>'[2]Prix 3ME baseline'!AC23</f>
        <v>1.7990436558773526</v>
      </c>
      <c r="AD65" s="10">
        <f>'[2]Prix 3ME baseline'!AD23</f>
        <v>1.8175128168418291</v>
      </c>
      <c r="AE65" s="10">
        <f>'[2]Prix 3ME baseline'!AE23</f>
        <v>1.8379828355090673</v>
      </c>
      <c r="AF65" s="10">
        <f>'[2]Prix 3ME baseline'!AF23</f>
        <v>1.8599809126938691</v>
      </c>
      <c r="AG65" s="10">
        <f>'[2]Prix 3ME baseline'!AG23</f>
        <v>1.8833398186453669</v>
      </c>
      <c r="AH65" s="10">
        <f>'[2]Prix 3ME baseline'!AH23</f>
        <v>1.9079528420554208</v>
      </c>
      <c r="AI65" s="10">
        <f>'[2]Prix 3ME baseline'!AI23</f>
        <v>1.9337348840327295</v>
      </c>
      <c r="AJ65" s="10">
        <f>'[2]Prix 3ME baseline'!AJ23</f>
        <v>1.9606032026523683</v>
      </c>
      <c r="AK65" s="10">
        <f>'[2]Prix 3ME baseline'!AK23</f>
        <v>1.9884585158744863</v>
      </c>
      <c r="AL65" s="10">
        <f>'[2]Prix 3ME baseline'!AL23</f>
        <v>2.0171910662531127</v>
      </c>
    </row>
    <row r="66" spans="2:59" x14ac:dyDescent="0.35">
      <c r="C66">
        <f>'[2]Prix 3ME baseline'!C24</f>
        <v>1</v>
      </c>
      <c r="D66" s="10">
        <f>'[2]Prix 3ME baseline'!D24</f>
        <v>1.0241439999999999</v>
      </c>
      <c r="E66" s="10">
        <f>'[2]Prix 3ME baseline'!E24</f>
        <v>1.048870932736</v>
      </c>
      <c r="F66" s="10">
        <f>'[2]Prix 3ME baseline'!F24</f>
        <v>1.0741948725359782</v>
      </c>
      <c r="G66" s="10">
        <f>'[2]Prix 3ME baseline'!G24</f>
        <v>1.1001302335384866</v>
      </c>
      <c r="H66" s="10">
        <f>'[2]Prix 3ME baseline'!H24</f>
        <v>1.1266917778970396</v>
      </c>
      <c r="I66" s="10">
        <f>'[2]Prix 3ME baseline'!I24</f>
        <v>1.2352297525011211</v>
      </c>
      <c r="J66" s="10">
        <f>'[2]Prix 3ME baseline'!J24</f>
        <v>1.3462103948796833</v>
      </c>
      <c r="K66" s="10">
        <f>'[2]Prix 3ME baseline'!K24</f>
        <v>1.4596766995909707</v>
      </c>
      <c r="L66" s="10">
        <f>'[2]Prix 3ME baseline'!L24</f>
        <v>1.5756723413184666</v>
      </c>
      <c r="M66" s="10">
        <f>'[2]Prix 3ME baseline'!M24</f>
        <v>1.6942416850026811</v>
      </c>
      <c r="N66" s="10">
        <f>'[2]Prix 3ME baseline'!N24</f>
        <v>1.8144712826746974</v>
      </c>
      <c r="O66" s="10">
        <f>'[2]Prix 3ME baseline'!O24</f>
        <v>1.9356459067048031</v>
      </c>
      <c r="P66" s="10">
        <f>'[2]Prix 3ME baseline'!P24</f>
        <v>2.0574294902902781</v>
      </c>
      <c r="Q66" s="10">
        <f>'[2]Prix 3ME baseline'!Q24</f>
        <v>2.1801123469066703</v>
      </c>
      <c r="R66" s="10">
        <f>'[2]Prix 3ME baseline'!R24</f>
        <v>2.3040186742927462</v>
      </c>
      <c r="S66" s="10">
        <f>'[2]Prix 3ME baseline'!S24</f>
        <v>2.3398201605393076</v>
      </c>
      <c r="T66" s="10">
        <f>'[2]Prix 3ME baseline'!T24</f>
        <v>2.375020320077847</v>
      </c>
      <c r="U66" s="10">
        <f>'[2]Prix 3ME baseline'!U24</f>
        <v>2.4101383834341763</v>
      </c>
      <c r="V66" s="10">
        <f>'[2]Prix 3ME baseline'!V24</f>
        <v>2.4457324482163409</v>
      </c>
      <c r="W66" s="10">
        <f>'[2]Prix 3ME baseline'!W24</f>
        <v>2.4822781698970453</v>
      </c>
      <c r="X66" s="10">
        <f>'[2]Prix 3ME baseline'!X24</f>
        <v>2.5200972999298696</v>
      </c>
      <c r="Y66" s="10">
        <f>'[2]Prix 3ME baseline'!Y24</f>
        <v>2.5595819235441404</v>
      </c>
      <c r="Z66" s="10">
        <f>'[2]Prix 3ME baseline'!Z24</f>
        <v>2.6011809826142462</v>
      </c>
      <c r="AA66" s="16">
        <f>'[2]Prix 3ME baseline'!AA24</f>
        <v>2.6456864841893353</v>
      </c>
      <c r="AB66" s="16">
        <f>'[2]Prix 3ME baseline'!AB24</f>
        <v>2.6934797739102221</v>
      </c>
      <c r="AC66" s="16">
        <f>'[2]Prix 3ME baseline'!AC24</f>
        <v>2.7449032852111657</v>
      </c>
      <c r="AD66" s="10">
        <f>'[2]Prix 3ME baseline'!AD24</f>
        <v>2.8000897738459556</v>
      </c>
      <c r="AE66" s="10">
        <f>'[2]Prix 3ME baseline'!AE24</f>
        <v>2.8591070616697731</v>
      </c>
      <c r="AF66" s="10">
        <f>'[2]Prix 3ME baseline'!AF24</f>
        <v>2.9213095850981086</v>
      </c>
      <c r="AG66" s="10">
        <f>'[2]Prix 3ME baseline'!AG24</f>
        <v>2.986508920005909</v>
      </c>
      <c r="AH66" s="10">
        <f>'[2]Prix 3ME baseline'!AH24</f>
        <v>3.0546043037833117</v>
      </c>
      <c r="AI66" s="10">
        <f>'[2]Prix 3ME baseline'!AI24</f>
        <v>3.1255242444636546</v>
      </c>
      <c r="AJ66" s="10">
        <f>'[2]Prix 3ME baseline'!AJ24</f>
        <v>3.1991966785055372</v>
      </c>
      <c r="AK66" s="10">
        <f>'[2]Prix 3ME baseline'!AK24</f>
        <v>3.2755179553425244</v>
      </c>
      <c r="AL66" s="10">
        <f>'[2]Prix 3ME baseline'!AL24</f>
        <v>3.354361561418632</v>
      </c>
    </row>
    <row r="67" spans="2:59" x14ac:dyDescent="0.35">
      <c r="X67">
        <f>'[2]Prix 3ME baseline'!C27</f>
        <v>1</v>
      </c>
      <c r="Y67" s="10">
        <f>'[2]Prix 3ME baseline'!D27</f>
        <v>1.0241439999999999</v>
      </c>
      <c r="Z67" s="10">
        <f>'[2]Prix 3ME baseline'!E27</f>
        <v>1.048870932736</v>
      </c>
      <c r="AA67" s="10">
        <f>'[2]Prix 3ME baseline'!F27</f>
        <v>1.0741948725359782</v>
      </c>
      <c r="AB67" s="10">
        <f>'[2]Prix 3ME baseline'!G27</f>
        <v>1.1001302335384866</v>
      </c>
      <c r="AC67" s="10">
        <f>'[2]Prix 3ME baseline'!H27</f>
        <v>1.1266917778970396</v>
      </c>
      <c r="AD67" s="10">
        <f>'[2]Prix 3ME baseline'!I27</f>
        <v>1.2352297525011211</v>
      </c>
      <c r="AE67" s="10">
        <f>'[2]Prix 3ME baseline'!J27</f>
        <v>1.3462103948796833</v>
      </c>
      <c r="AF67" s="10">
        <f>'[2]Prix 3ME baseline'!K27</f>
        <v>1.4596766995909707</v>
      </c>
      <c r="AG67" s="10">
        <f>'[2]Prix 3ME baseline'!L27</f>
        <v>1.5756723413184666</v>
      </c>
      <c r="AH67" s="10">
        <f>'[2]Prix 3ME baseline'!M27</f>
        <v>1.6942416850026811</v>
      </c>
      <c r="AI67" s="10">
        <f>'[2]Prix 3ME baseline'!N27</f>
        <v>1.8144712826746974</v>
      </c>
      <c r="AJ67" s="10">
        <f>'[2]Prix 3ME baseline'!O27</f>
        <v>1.9356459067048031</v>
      </c>
      <c r="AK67" s="10">
        <f>'[2]Prix 3ME baseline'!P27</f>
        <v>2.0574294902902781</v>
      </c>
      <c r="AL67" s="10">
        <f>'[2]Prix 3ME baseline'!Q27</f>
        <v>2.1801123469066703</v>
      </c>
      <c r="AM67" s="10">
        <f>'[2]Prix 3ME baseline'!R27</f>
        <v>2.3040186742927484</v>
      </c>
      <c r="AN67" s="10">
        <f>'[2]Prix 3ME baseline'!S27</f>
        <v>2.3322772199830895</v>
      </c>
      <c r="AO67" s="10">
        <f>'[2]Prix 3ME baseline'!T27</f>
        <v>2.3598153244307434</v>
      </c>
      <c r="AP67" s="10">
        <f>'[2]Prix 3ME baseline'!U27</f>
        <v>2.3871554999303557</v>
      </c>
      <c r="AQ67" s="10">
        <f>'[2]Prix 3ME baseline'!V27</f>
        <v>2.4148519880115917</v>
      </c>
      <c r="AR67" s="10">
        <f>'[2]Prix 3ME baseline'!W27</f>
        <v>2.4433709885506998</v>
      </c>
      <c r="AS67" s="10">
        <f>'[2]Prix 3ME baseline'!X27</f>
        <v>2.4730220079012946</v>
      </c>
      <c r="AT67" s="10">
        <f>'[2]Prix 3ME baseline'!Y27</f>
        <v>2.5041797174068243</v>
      </c>
      <c r="AU67" s="10">
        <f>'[2]Prix 3ME baseline'!Z27</f>
        <v>2.5372699019603369</v>
      </c>
      <c r="AV67" s="16">
        <f>'[2]Prix 3ME baseline'!AA27</f>
        <v>2.5730471359352078</v>
      </c>
      <c r="AW67" s="16">
        <f>'[2]Prix 3ME baseline'!AB27</f>
        <v>2.6118591747008248</v>
      </c>
      <c r="AX67" s="16">
        <f>'[2]Prix 3ME baseline'!AC27</f>
        <v>2.6540124479525211</v>
      </c>
      <c r="AY67" s="10">
        <f>'[2]Prix 3ME baseline'!AD27</f>
        <v>2.6996080833969414</v>
      </c>
      <c r="AZ67" s="10">
        <f>'[2]Prix 3ME baseline'!AE27</f>
        <v>2.7486840319558516</v>
      </c>
      <c r="BA67" s="10">
        <f>'[2]Prix 3ME baseline'!AF27</f>
        <v>2.80059431298662</v>
      </c>
      <c r="BB67" s="10">
        <f>'[2]Prix 3ME baseline'!AG27</f>
        <v>2.8551375598883495</v>
      </c>
      <c r="BC67" s="10">
        <f>'[2]Prix 3ME baseline'!AH27</f>
        <v>2.9121985087351412</v>
      </c>
      <c r="BD67" s="10">
        <f>'[2]Prix 3ME baseline'!AI27</f>
        <v>2.9716912619625511</v>
      </c>
      <c r="BE67" s="10">
        <f>'[2]Prix 3ME baseline'!AJ27</f>
        <v>3.033530567420673</v>
      </c>
      <c r="BF67" s="10">
        <f>'[2]Prix 3ME baseline'!AK27</f>
        <v>3.0976024574822976</v>
      </c>
      <c r="BG67" s="10">
        <f>'[2]Prix 3ME baseline'!AL27</f>
        <v>3.1637728363380289</v>
      </c>
    </row>
    <row r="68" spans="2:59" x14ac:dyDescent="0.35">
      <c r="AA68" s="19"/>
      <c r="AB68" s="19"/>
      <c r="AC68" s="19"/>
      <c r="AD68" s="10"/>
      <c r="AE68" s="10"/>
      <c r="AF68" s="10"/>
      <c r="AG68" s="10"/>
      <c r="AH68" s="10"/>
      <c r="AI68" s="10"/>
      <c r="AJ68" s="10"/>
      <c r="AK68" s="10"/>
      <c r="AL68" s="10"/>
    </row>
    <row r="69" spans="2:59" x14ac:dyDescent="0.35">
      <c r="AA69" s="19"/>
      <c r="AB69" s="19"/>
      <c r="AC69" s="19"/>
      <c r="AD69" s="10"/>
      <c r="AE69" s="10"/>
      <c r="AF69" s="10"/>
      <c r="AG69" s="10"/>
      <c r="AH69" s="10"/>
      <c r="AI69" s="10"/>
      <c r="AJ69" s="10"/>
      <c r="AK69" s="10"/>
      <c r="AL69" s="10"/>
    </row>
    <row r="70" spans="2:59" x14ac:dyDescent="0.35">
      <c r="C70" s="10">
        <v>1</v>
      </c>
      <c r="D70" s="10">
        <f t="shared" ref="D70:J70" si="13">C70*(1+D108)</f>
        <v>5.051546391752578</v>
      </c>
      <c r="E70" s="10">
        <f t="shared" si="13"/>
        <v>6.1855670103092795</v>
      </c>
      <c r="F70" s="10">
        <f t="shared" si="13"/>
        <v>4.7422680412371143</v>
      </c>
      <c r="G70" s="10">
        <f t="shared" si="13"/>
        <v>4.7422680412371143</v>
      </c>
      <c r="H70" s="10">
        <f t="shared" si="13"/>
        <v>4.63917525773196</v>
      </c>
      <c r="I70" s="10">
        <f t="shared" si="13"/>
        <v>4.7400268937696115</v>
      </c>
      <c r="J70" s="10">
        <f t="shared" si="13"/>
        <v>4.7537725704635383</v>
      </c>
      <c r="K70" s="10">
        <f t="shared" ref="K70:AL70" si="14">J70*(1+K111)</f>
        <v>4.8383437210377442</v>
      </c>
      <c r="L70" s="10">
        <f t="shared" si="14"/>
        <v>4.9260240723679178</v>
      </c>
      <c r="M70" s="10">
        <f t="shared" si="14"/>
        <v>5.0152933729707216</v>
      </c>
      <c r="N70" s="10">
        <f t="shared" si="14"/>
        <v>5.1061805482311602</v>
      </c>
      <c r="O70" s="10">
        <f t="shared" si="14"/>
        <v>5.1987146625985092</v>
      </c>
      <c r="P70" s="10">
        <f t="shared" si="14"/>
        <v>5.2929257539725851</v>
      </c>
      <c r="Q70" s="10">
        <f t="shared" si="14"/>
        <v>5.3888441383818737</v>
      </c>
      <c r="R70" s="10">
        <f t="shared" si="14"/>
        <v>5.4865008271766182</v>
      </c>
      <c r="S70" s="10">
        <f t="shared" si="14"/>
        <v>5.5859271098356986</v>
      </c>
      <c r="T70" s="10">
        <f t="shared" si="14"/>
        <v>5.6871551102242028</v>
      </c>
      <c r="U70" s="10">
        <f t="shared" si="14"/>
        <v>5.7902179256576431</v>
      </c>
      <c r="V70" s="10">
        <f t="shared" si="14"/>
        <v>5.8951480971940819</v>
      </c>
      <c r="W70" s="10">
        <f t="shared" si="14"/>
        <v>6.0019799737282105</v>
      </c>
      <c r="X70" s="10">
        <f t="shared" si="14"/>
        <v>6.1107477650902995</v>
      </c>
      <c r="Y70" s="10">
        <f t="shared" si="14"/>
        <v>6.2214866545611018</v>
      </c>
      <c r="Z70" s="10">
        <f t="shared" si="14"/>
        <v>6.3342323816788255</v>
      </c>
      <c r="AA70" s="10">
        <f t="shared" si="14"/>
        <v>6.4490212422390121</v>
      </c>
      <c r="AB70" s="10">
        <f t="shared" si="14"/>
        <v>6.5658903664233499</v>
      </c>
      <c r="AC70" s="10">
        <f t="shared" si="14"/>
        <v>6.6848773016065612</v>
      </c>
      <c r="AD70" s="10">
        <f t="shared" si="14"/>
        <v>6.8060207076781536</v>
      </c>
      <c r="AE70" s="10">
        <f t="shared" si="14"/>
        <v>6.9293592445276682</v>
      </c>
      <c r="AF70" s="10">
        <f t="shared" si="14"/>
        <v>7.0549332408168786</v>
      </c>
      <c r="AG70" s="10">
        <f t="shared" si="14"/>
        <v>7.1827826080144179</v>
      </c>
      <c r="AH70" s="10">
        <f t="shared" si="14"/>
        <v>7.3129490654256033</v>
      </c>
      <c r="AI70" s="10">
        <f t="shared" si="14"/>
        <v>7.4454741932912771</v>
      </c>
      <c r="AJ70" s="10">
        <f t="shared" si="14"/>
        <v>7.5804011015602448</v>
      </c>
      <c r="AK70" s="10">
        <f t="shared" si="14"/>
        <v>7.7177730392455848</v>
      </c>
      <c r="AL70" s="10">
        <f t="shared" si="14"/>
        <v>7.8576345069395579</v>
      </c>
    </row>
    <row r="71" spans="2:59" x14ac:dyDescent="0.35">
      <c r="C71" s="10">
        <v>1</v>
      </c>
      <c r="D71" s="10">
        <f t="shared" ref="D71:J71" si="15">C71*(1+D106)</f>
        <v>0.80392156862745101</v>
      </c>
      <c r="E71" s="10">
        <f t="shared" si="15"/>
        <v>1.0196078431372551</v>
      </c>
      <c r="F71" s="10">
        <f t="shared" si="15"/>
        <v>1.3333333333333335</v>
      </c>
      <c r="G71" s="10">
        <f t="shared" si="15"/>
        <v>1.2352941176470591</v>
      </c>
      <c r="H71" s="10">
        <f t="shared" si="15"/>
        <v>0.72549019607843157</v>
      </c>
      <c r="I71" s="10">
        <f t="shared" si="15"/>
        <v>1.0248988484282604</v>
      </c>
      <c r="J71" s="10">
        <f t="shared" si="15"/>
        <v>1.0278709683191813</v>
      </c>
      <c r="K71" s="10">
        <f t="shared" ref="K71:AL71" si="16">J71*(1+K109)</f>
        <v>1.0461571250807993</v>
      </c>
      <c r="L71" s="10">
        <f t="shared" si="16"/>
        <v>1.065115559942466</v>
      </c>
      <c r="M71" s="10">
        <f t="shared" si="16"/>
        <v>1.0844175608463151</v>
      </c>
      <c r="N71" s="10">
        <f t="shared" si="16"/>
        <v>1.1040693821015404</v>
      </c>
      <c r="O71" s="10">
        <f t="shared" si="16"/>
        <v>1.1240773080861126</v>
      </c>
      <c r="P71" s="10">
        <f t="shared" si="16"/>
        <v>1.1444478336595807</v>
      </c>
      <c r="Q71" s="10">
        <f t="shared" si="16"/>
        <v>1.1651875138190741</v>
      </c>
      <c r="R71" s="10">
        <f t="shared" si="16"/>
        <v>1.1863030539056945</v>
      </c>
      <c r="S71" s="10">
        <f t="shared" si="16"/>
        <v>1.2078012193981174</v>
      </c>
      <c r="T71" s="10">
        <f t="shared" si="16"/>
        <v>1.2296889561878057</v>
      </c>
      <c r="U71" s="10">
        <f t="shared" si="16"/>
        <v>1.2519734206477751</v>
      </c>
      <c r="V71" s="10">
        <f t="shared" si="16"/>
        <v>1.2746616488758538</v>
      </c>
      <c r="W71" s="10">
        <f t="shared" si="16"/>
        <v>1.2977610678642095</v>
      </c>
      <c r="X71" s="10">
        <f t="shared" si="16"/>
        <v>1.3212790745362006</v>
      </c>
      <c r="Y71" s="10">
        <f t="shared" si="16"/>
        <v>1.3452232762967502</v>
      </c>
      <c r="Z71" s="10">
        <f t="shared" si="16"/>
        <v>1.3696014008259689</v>
      </c>
      <c r="AA71" s="10">
        <f t="shared" si="16"/>
        <v>1.3944212960791298</v>
      </c>
      <c r="AB71" s="10">
        <f t="shared" si="16"/>
        <v>1.4196909904242794</v>
      </c>
      <c r="AC71" s="10">
        <f t="shared" si="16"/>
        <v>1.4454186024358429</v>
      </c>
      <c r="AD71" s="10">
        <f t="shared" si="16"/>
        <v>1.4716124912385944</v>
      </c>
      <c r="AE71" s="10">
        <f t="shared" si="16"/>
        <v>1.4982810159573146</v>
      </c>
      <c r="AF71" s="10">
        <f t="shared" si="16"/>
        <v>1.5254328965423198</v>
      </c>
      <c r="AG71" s="10">
        <f t="shared" si="16"/>
        <v>1.5530767627375248</v>
      </c>
      <c r="AH71" s="10">
        <f t="shared" si="16"/>
        <v>1.5812216351811945</v>
      </c>
      <c r="AI71" s="10">
        <f t="shared" si="16"/>
        <v>1.6098765044427736</v>
      </c>
      <c r="AJ71" s="10">
        <f t="shared" si="16"/>
        <v>1.6390506918484646</v>
      </c>
      <c r="AK71" s="10">
        <f t="shared" si="16"/>
        <v>1.6687535487932477</v>
      </c>
      <c r="AL71" s="10">
        <f t="shared" si="16"/>
        <v>1.6989946972912557</v>
      </c>
    </row>
    <row r="72" spans="2:59" x14ac:dyDescent="0.35">
      <c r="C72" s="10" t="e">
        <f>#REF!</f>
        <v>#REF!</v>
      </c>
      <c r="D72" s="10" t="e">
        <f>#REF!</f>
        <v>#REF!</v>
      </c>
      <c r="E72" s="10" t="e">
        <f>#REF!</f>
        <v>#REF!</v>
      </c>
      <c r="F72" s="10" t="e">
        <f>#REF!</f>
        <v>#REF!</v>
      </c>
      <c r="G72" s="10" t="e">
        <f>#REF!</f>
        <v>#REF!</v>
      </c>
      <c r="H72" s="10" t="e">
        <f>#REF!</f>
        <v>#REF!</v>
      </c>
      <c r="I72" s="10" t="e">
        <f>#REF!</f>
        <v>#REF!</v>
      </c>
      <c r="J72" s="10" t="e">
        <f>#REF!</f>
        <v>#REF!</v>
      </c>
      <c r="K72" s="10" t="e">
        <f>#REF!</f>
        <v>#REF!</v>
      </c>
      <c r="L72" s="10" t="e">
        <f>#REF!</f>
        <v>#REF!</v>
      </c>
      <c r="M72" s="10" t="e">
        <f>#REF!</f>
        <v>#REF!</v>
      </c>
      <c r="N72" s="10" t="e">
        <f>#REF!</f>
        <v>#REF!</v>
      </c>
      <c r="O72" s="10" t="e">
        <f>#REF!</f>
        <v>#REF!</v>
      </c>
      <c r="P72" s="10" t="e">
        <f>#REF!</f>
        <v>#REF!</v>
      </c>
      <c r="Q72" s="10" t="e">
        <f>#REF!</f>
        <v>#REF!</v>
      </c>
      <c r="R72" s="10" t="e">
        <f>#REF!</f>
        <v>#REF!</v>
      </c>
      <c r="S72" s="10" t="e">
        <f>#REF!</f>
        <v>#REF!</v>
      </c>
      <c r="T72" s="10" t="e">
        <f>#REF!</f>
        <v>#REF!</v>
      </c>
      <c r="U72" s="10" t="e">
        <f>#REF!</f>
        <v>#REF!</v>
      </c>
      <c r="V72" s="10" t="e">
        <f>#REF!</f>
        <v>#REF!</v>
      </c>
      <c r="W72" s="10" t="e">
        <f>#REF!</f>
        <v>#REF!</v>
      </c>
      <c r="X72" s="10" t="e">
        <f>#REF!</f>
        <v>#REF!</v>
      </c>
      <c r="Y72" s="10" t="e">
        <f>#REF!</f>
        <v>#REF!</v>
      </c>
      <c r="Z72" s="10" t="e">
        <f>#REF!</f>
        <v>#REF!</v>
      </c>
      <c r="AA72" s="10" t="e">
        <f>#REF!</f>
        <v>#REF!</v>
      </c>
      <c r="AB72" s="10" t="e">
        <f>#REF!</f>
        <v>#REF!</v>
      </c>
      <c r="AC72" s="10" t="e">
        <f>#REF!</f>
        <v>#REF!</v>
      </c>
      <c r="AD72" s="10" t="e">
        <f>#REF!</f>
        <v>#REF!</v>
      </c>
      <c r="AE72" s="10" t="e">
        <f>#REF!</f>
        <v>#REF!</v>
      </c>
      <c r="AF72" s="10" t="e">
        <f>#REF!</f>
        <v>#REF!</v>
      </c>
      <c r="AG72" s="10" t="e">
        <f>#REF!</f>
        <v>#REF!</v>
      </c>
      <c r="AH72" s="10" t="e">
        <f>#REF!</f>
        <v>#REF!</v>
      </c>
      <c r="AI72" s="10" t="e">
        <f>#REF!</f>
        <v>#REF!</v>
      </c>
      <c r="AJ72" s="10" t="e">
        <f>#REF!</f>
        <v>#REF!</v>
      </c>
      <c r="AK72" s="10" t="e">
        <f>#REF!</f>
        <v>#REF!</v>
      </c>
      <c r="AL72" s="10" t="e">
        <f>#REF!</f>
        <v>#REF!</v>
      </c>
    </row>
    <row r="73" spans="2:59" x14ac:dyDescent="0.35">
      <c r="C73" s="10" t="e">
        <f>#REF!</f>
        <v>#REF!</v>
      </c>
      <c r="D73" s="10" t="e">
        <f>#REF!</f>
        <v>#REF!</v>
      </c>
      <c r="E73" s="10" t="e">
        <f>#REF!</f>
        <v>#REF!</v>
      </c>
      <c r="F73" s="10" t="e">
        <f>#REF!</f>
        <v>#REF!</v>
      </c>
      <c r="G73" s="10" t="e">
        <f>#REF!</f>
        <v>#REF!</v>
      </c>
      <c r="H73" s="10" t="e">
        <f>#REF!</f>
        <v>#REF!</v>
      </c>
      <c r="I73" s="10" t="e">
        <f>#REF!</f>
        <v>#REF!</v>
      </c>
      <c r="J73" s="10" t="e">
        <f>#REF!</f>
        <v>#REF!</v>
      </c>
      <c r="K73" s="10" t="e">
        <f>#REF!</f>
        <v>#REF!</v>
      </c>
      <c r="L73" s="10" t="e">
        <f>#REF!</f>
        <v>#REF!</v>
      </c>
      <c r="M73" s="10" t="e">
        <f>#REF!</f>
        <v>#REF!</v>
      </c>
      <c r="N73" s="10" t="e">
        <f>#REF!</f>
        <v>#REF!</v>
      </c>
      <c r="O73" s="10" t="e">
        <f>#REF!</f>
        <v>#REF!</v>
      </c>
      <c r="P73" s="10" t="e">
        <f>#REF!</f>
        <v>#REF!</v>
      </c>
      <c r="Q73" s="10" t="e">
        <f>#REF!</f>
        <v>#REF!</v>
      </c>
      <c r="R73" s="10" t="e">
        <f>#REF!</f>
        <v>#REF!</v>
      </c>
      <c r="S73" s="10" t="e">
        <f>#REF!</f>
        <v>#REF!</v>
      </c>
      <c r="T73" s="10" t="e">
        <f>#REF!</f>
        <v>#REF!</v>
      </c>
      <c r="U73" s="10" t="e">
        <f>#REF!</f>
        <v>#REF!</v>
      </c>
      <c r="V73" s="10" t="e">
        <f>#REF!</f>
        <v>#REF!</v>
      </c>
      <c r="W73" s="10" t="e">
        <f>#REF!</f>
        <v>#REF!</v>
      </c>
      <c r="X73" s="10" t="e">
        <f>#REF!</f>
        <v>#REF!</v>
      </c>
      <c r="Y73" s="10" t="e">
        <f>#REF!</f>
        <v>#REF!</v>
      </c>
      <c r="Z73" s="10" t="e">
        <f>#REF!</f>
        <v>#REF!</v>
      </c>
      <c r="AA73" s="10" t="e">
        <f>#REF!</f>
        <v>#REF!</v>
      </c>
      <c r="AB73" s="10" t="e">
        <f>#REF!</f>
        <v>#REF!</v>
      </c>
      <c r="AC73" s="10" t="e">
        <f>#REF!</f>
        <v>#REF!</v>
      </c>
      <c r="AD73" s="10" t="e">
        <f>#REF!</f>
        <v>#REF!</v>
      </c>
      <c r="AE73" s="10" t="e">
        <f>#REF!</f>
        <v>#REF!</v>
      </c>
      <c r="AF73" s="10" t="e">
        <f>#REF!</f>
        <v>#REF!</v>
      </c>
      <c r="AG73" s="10" t="e">
        <f>#REF!</f>
        <v>#REF!</v>
      </c>
      <c r="AH73" s="10" t="e">
        <f>#REF!</f>
        <v>#REF!</v>
      </c>
      <c r="AI73" s="10" t="e">
        <f>#REF!</f>
        <v>#REF!</v>
      </c>
      <c r="AJ73" s="10" t="e">
        <f>#REF!</f>
        <v>#REF!</v>
      </c>
      <c r="AK73" s="10" t="e">
        <f>#REF!</f>
        <v>#REF!</v>
      </c>
      <c r="AL73" s="10" t="e">
        <f>#REF!</f>
        <v>#REF!</v>
      </c>
    </row>
    <row r="74" spans="2:59" x14ac:dyDescent="0.35">
      <c r="C74" s="10">
        <v>1</v>
      </c>
      <c r="D74" s="10">
        <f t="shared" ref="D74:J74" si="17">C74*(1+D107)</f>
        <v>0.96153846153846145</v>
      </c>
      <c r="E74" s="10">
        <f t="shared" si="17"/>
        <v>1.1538461538461537</v>
      </c>
      <c r="F74" s="10">
        <f t="shared" si="17"/>
        <v>1.2307692307692306</v>
      </c>
      <c r="G74" s="10">
        <f t="shared" si="17"/>
        <v>0.99999999999999989</v>
      </c>
      <c r="H74" s="10">
        <f t="shared" si="17"/>
        <v>0.8076923076923076</v>
      </c>
      <c r="I74" s="10">
        <f t="shared" si="17"/>
        <v>0.96301775147928981</v>
      </c>
      <c r="J74" s="10">
        <f t="shared" si="17"/>
        <v>0.96581041031366666</v>
      </c>
      <c r="K74" s="10">
        <f t="shared" ref="K74:AL74" si="18">J74*(1+K110)</f>
        <v>0.98299245829592674</v>
      </c>
      <c r="L74" s="10">
        <f t="shared" si="18"/>
        <v>1.0008062702874208</v>
      </c>
      <c r="M74" s="10">
        <f t="shared" si="18"/>
        <v>1.0189429004625077</v>
      </c>
      <c r="N74" s="10">
        <f t="shared" si="18"/>
        <v>1.0374081523426326</v>
      </c>
      <c r="O74" s="10">
        <f t="shared" si="18"/>
        <v>1.0562080667679616</v>
      </c>
      <c r="P74" s="10">
        <f t="shared" si="18"/>
        <v>1.0753486630042297</v>
      </c>
      <c r="Q74" s="10">
        <f t="shared" si="18"/>
        <v>1.094836111338181</v>
      </c>
      <c r="R74" s="10">
        <f t="shared" si="18"/>
        <v>1.1146767115031317</v>
      </c>
      <c r="S74" s="10">
        <f t="shared" si="18"/>
        <v>1.1348768711045418</v>
      </c>
      <c r="T74" s="10">
        <f t="shared" si="18"/>
        <v>1.1554431056200178</v>
      </c>
      <c r="U74" s="10">
        <f t="shared" si="18"/>
        <v>1.1763820599737462</v>
      </c>
      <c r="V74" s="10">
        <f t="shared" si="18"/>
        <v>1.1977004438131968</v>
      </c>
      <c r="W74" s="10">
        <f t="shared" si="18"/>
        <v>1.2194051393812704</v>
      </c>
      <c r="X74" s="10">
        <f t="shared" si="18"/>
        <v>1.2415032015163046</v>
      </c>
      <c r="Y74" s="10">
        <f t="shared" si="18"/>
        <v>1.2640017066310683</v>
      </c>
      <c r="Z74" s="10">
        <f t="shared" si="18"/>
        <v>1.2869079468826154</v>
      </c>
      <c r="AA74" s="10">
        <f t="shared" si="18"/>
        <v>1.3102292791512939</v>
      </c>
      <c r="AB74" s="10">
        <f t="shared" si="18"/>
        <v>1.3339732544873106</v>
      </c>
      <c r="AC74" s="10">
        <f t="shared" si="18"/>
        <v>1.3581474886641605</v>
      </c>
      <c r="AD74" s="10">
        <f t="shared" si="18"/>
        <v>1.3827598347740582</v>
      </c>
      <c r="AE74" s="10">
        <f t="shared" si="18"/>
        <v>1.4078181890580801</v>
      </c>
      <c r="AF74" s="10">
        <f t="shared" si="18"/>
        <v>1.4333306850760197</v>
      </c>
      <c r="AG74" s="10">
        <f t="shared" si="18"/>
        <v>1.4593054779621026</v>
      </c>
      <c r="AH74" s="10">
        <f t="shared" si="18"/>
        <v>1.4857509817437038</v>
      </c>
      <c r="AI74" s="10">
        <f t="shared" si="18"/>
        <v>1.5126757830436282</v>
      </c>
      <c r="AJ74" s="10">
        <f t="shared" si="18"/>
        <v>1.5400884253358267</v>
      </c>
      <c r="AK74" s="10">
        <f t="shared" si="18"/>
        <v>1.5679979698805491</v>
      </c>
      <c r="AL74" s="10">
        <f t="shared" si="18"/>
        <v>1.5964131327471773</v>
      </c>
    </row>
    <row r="76" spans="2:59" x14ac:dyDescent="0.35">
      <c r="C76">
        <v>1</v>
      </c>
      <c r="D76">
        <f>C76*(1+4%)</f>
        <v>1.04</v>
      </c>
      <c r="E76">
        <f t="shared" ref="E76:AL78" si="19">D76*(1+4%)</f>
        <v>1.0816000000000001</v>
      </c>
      <c r="F76">
        <f t="shared" si="19"/>
        <v>1.1248640000000001</v>
      </c>
      <c r="G76">
        <f t="shared" si="19"/>
        <v>1.1698585600000002</v>
      </c>
      <c r="H76">
        <f t="shared" si="19"/>
        <v>1.2166529024000003</v>
      </c>
      <c r="I76">
        <f t="shared" si="19"/>
        <v>1.2653190184960004</v>
      </c>
      <c r="J76">
        <f t="shared" si="19"/>
        <v>1.3159317792358405</v>
      </c>
      <c r="K76">
        <f t="shared" si="19"/>
        <v>1.3685690504052741</v>
      </c>
      <c r="L76">
        <f t="shared" si="19"/>
        <v>1.4233118124214852</v>
      </c>
      <c r="M76">
        <f t="shared" si="19"/>
        <v>1.4802442849183446</v>
      </c>
      <c r="N76">
        <f t="shared" si="19"/>
        <v>1.5394540563150785</v>
      </c>
      <c r="O76">
        <f t="shared" si="19"/>
        <v>1.6010322185676817</v>
      </c>
      <c r="P76">
        <f t="shared" si="19"/>
        <v>1.6650735073103891</v>
      </c>
      <c r="Q76">
        <f t="shared" si="19"/>
        <v>1.7316764476028046</v>
      </c>
      <c r="R76">
        <f t="shared" si="19"/>
        <v>1.8009435055069167</v>
      </c>
      <c r="S76">
        <f t="shared" si="19"/>
        <v>1.8729812457271935</v>
      </c>
      <c r="T76">
        <f t="shared" si="19"/>
        <v>1.9479004955562813</v>
      </c>
      <c r="U76">
        <f t="shared" si="19"/>
        <v>2.0258165153785326</v>
      </c>
      <c r="V76">
        <f t="shared" si="19"/>
        <v>2.1068491759936738</v>
      </c>
      <c r="W76">
        <f t="shared" si="19"/>
        <v>2.1911231430334208</v>
      </c>
      <c r="X76">
        <f t="shared" si="19"/>
        <v>2.2787680687547578</v>
      </c>
      <c r="Y76">
        <f t="shared" si="19"/>
        <v>2.369918791504948</v>
      </c>
      <c r="Z76">
        <f t="shared" si="19"/>
        <v>2.4647155431651462</v>
      </c>
      <c r="AA76">
        <f t="shared" si="19"/>
        <v>2.5633041648917523</v>
      </c>
      <c r="AB76">
        <f t="shared" si="19"/>
        <v>2.6658363314874225</v>
      </c>
      <c r="AC76">
        <f t="shared" si="19"/>
        <v>2.7724697847469195</v>
      </c>
      <c r="AD76">
        <f t="shared" si="19"/>
        <v>2.8833685761367964</v>
      </c>
      <c r="AE76">
        <f t="shared" si="19"/>
        <v>2.9987033191822685</v>
      </c>
      <c r="AF76">
        <f t="shared" si="19"/>
        <v>3.1186514519495594</v>
      </c>
      <c r="AG76">
        <f t="shared" si="19"/>
        <v>3.2433975100275418</v>
      </c>
      <c r="AH76">
        <f t="shared" si="19"/>
        <v>3.3731334104286437</v>
      </c>
      <c r="AI76">
        <f t="shared" si="19"/>
        <v>3.5080587468457893</v>
      </c>
      <c r="AJ76">
        <f t="shared" si="19"/>
        <v>3.6483810967196209</v>
      </c>
      <c r="AK76">
        <f t="shared" si="19"/>
        <v>3.7943163405884057</v>
      </c>
      <c r="AL76">
        <f t="shared" si="19"/>
        <v>3.9460889942119421</v>
      </c>
    </row>
    <row r="77" spans="2:59" x14ac:dyDescent="0.35">
      <c r="C77">
        <v>1</v>
      </c>
      <c r="D77">
        <f>C77*(1+4%)</f>
        <v>1.04</v>
      </c>
      <c r="E77">
        <f t="shared" si="19"/>
        <v>1.0816000000000001</v>
      </c>
      <c r="F77">
        <f t="shared" si="19"/>
        <v>1.1248640000000001</v>
      </c>
      <c r="G77">
        <f t="shared" si="19"/>
        <v>1.1698585600000002</v>
      </c>
      <c r="H77">
        <f t="shared" si="19"/>
        <v>1.2166529024000003</v>
      </c>
      <c r="I77">
        <f t="shared" si="19"/>
        <v>1.2653190184960004</v>
      </c>
      <c r="J77">
        <f t="shared" si="19"/>
        <v>1.3159317792358405</v>
      </c>
      <c r="K77">
        <f t="shared" si="19"/>
        <v>1.3685690504052741</v>
      </c>
      <c r="L77">
        <f t="shared" si="19"/>
        <v>1.4233118124214852</v>
      </c>
      <c r="M77">
        <f t="shared" si="19"/>
        <v>1.4802442849183446</v>
      </c>
      <c r="N77">
        <f t="shared" si="19"/>
        <v>1.5394540563150785</v>
      </c>
      <c r="O77">
        <f t="shared" si="19"/>
        <v>1.6010322185676817</v>
      </c>
      <c r="P77">
        <f t="shared" si="19"/>
        <v>1.6650735073103891</v>
      </c>
      <c r="Q77">
        <f t="shared" si="19"/>
        <v>1.7316764476028046</v>
      </c>
      <c r="R77">
        <f t="shared" si="19"/>
        <v>1.8009435055069167</v>
      </c>
      <c r="S77">
        <f t="shared" si="19"/>
        <v>1.8729812457271935</v>
      </c>
      <c r="T77">
        <f t="shared" si="19"/>
        <v>1.9479004955562813</v>
      </c>
      <c r="U77">
        <f t="shared" si="19"/>
        <v>2.0258165153785326</v>
      </c>
      <c r="V77">
        <f t="shared" si="19"/>
        <v>2.1068491759936738</v>
      </c>
      <c r="W77">
        <f t="shared" si="19"/>
        <v>2.1911231430334208</v>
      </c>
      <c r="X77">
        <f t="shared" si="19"/>
        <v>2.2787680687547578</v>
      </c>
      <c r="Y77">
        <f t="shared" si="19"/>
        <v>2.369918791504948</v>
      </c>
      <c r="Z77">
        <f t="shared" si="19"/>
        <v>2.4647155431651462</v>
      </c>
      <c r="AA77">
        <f t="shared" si="19"/>
        <v>2.5633041648917523</v>
      </c>
      <c r="AB77">
        <f t="shared" si="19"/>
        <v>2.6658363314874225</v>
      </c>
      <c r="AC77">
        <f t="shared" si="19"/>
        <v>2.7724697847469195</v>
      </c>
      <c r="AD77">
        <f t="shared" si="19"/>
        <v>2.8833685761367964</v>
      </c>
      <c r="AE77">
        <f t="shared" si="19"/>
        <v>2.9987033191822685</v>
      </c>
      <c r="AF77">
        <f t="shared" si="19"/>
        <v>3.1186514519495594</v>
      </c>
      <c r="AG77">
        <f t="shared" si="19"/>
        <v>3.2433975100275418</v>
      </c>
      <c r="AH77">
        <f t="shared" si="19"/>
        <v>3.3731334104286437</v>
      </c>
      <c r="AI77">
        <f t="shared" si="19"/>
        <v>3.5080587468457893</v>
      </c>
      <c r="AJ77">
        <f t="shared" si="19"/>
        <v>3.6483810967196209</v>
      </c>
      <c r="AK77">
        <f t="shared" si="19"/>
        <v>3.7943163405884057</v>
      </c>
      <c r="AL77">
        <f t="shared" si="19"/>
        <v>3.9460889942119421</v>
      </c>
    </row>
    <row r="78" spans="2:59" x14ac:dyDescent="0.35">
      <c r="C78">
        <v>1</v>
      </c>
      <c r="D78">
        <f>C78*(1+4%)</f>
        <v>1.04</v>
      </c>
      <c r="E78">
        <f t="shared" si="19"/>
        <v>1.0816000000000001</v>
      </c>
      <c r="F78">
        <f t="shared" si="19"/>
        <v>1.1248640000000001</v>
      </c>
      <c r="G78">
        <f t="shared" si="19"/>
        <v>1.1698585600000002</v>
      </c>
      <c r="H78">
        <f t="shared" si="19"/>
        <v>1.2166529024000003</v>
      </c>
      <c r="I78">
        <f t="shared" si="19"/>
        <v>1.2653190184960004</v>
      </c>
      <c r="J78">
        <f t="shared" si="19"/>
        <v>1.3159317792358405</v>
      </c>
      <c r="K78">
        <f t="shared" si="19"/>
        <v>1.3685690504052741</v>
      </c>
      <c r="L78">
        <f t="shared" si="19"/>
        <v>1.4233118124214852</v>
      </c>
      <c r="M78">
        <f t="shared" si="19"/>
        <v>1.4802442849183446</v>
      </c>
      <c r="N78">
        <f t="shared" si="19"/>
        <v>1.5394540563150785</v>
      </c>
      <c r="O78">
        <f t="shared" si="19"/>
        <v>1.6010322185676817</v>
      </c>
      <c r="P78">
        <f t="shared" si="19"/>
        <v>1.6650735073103891</v>
      </c>
      <c r="Q78">
        <f t="shared" si="19"/>
        <v>1.7316764476028046</v>
      </c>
      <c r="R78">
        <f t="shared" si="19"/>
        <v>1.8009435055069167</v>
      </c>
      <c r="S78">
        <f t="shared" si="19"/>
        <v>1.8729812457271935</v>
      </c>
      <c r="T78">
        <f t="shared" si="19"/>
        <v>1.9479004955562813</v>
      </c>
      <c r="U78">
        <f t="shared" si="19"/>
        <v>2.0258165153785326</v>
      </c>
      <c r="V78">
        <f t="shared" si="19"/>
        <v>2.1068491759936738</v>
      </c>
      <c r="W78">
        <f t="shared" si="19"/>
        <v>2.1911231430334208</v>
      </c>
      <c r="X78">
        <f t="shared" si="19"/>
        <v>2.2787680687547578</v>
      </c>
      <c r="Y78">
        <f t="shared" si="19"/>
        <v>2.369918791504948</v>
      </c>
      <c r="Z78">
        <f t="shared" si="19"/>
        <v>2.4647155431651462</v>
      </c>
      <c r="AA78">
        <f t="shared" si="19"/>
        <v>2.5633041648917523</v>
      </c>
      <c r="AB78">
        <f t="shared" si="19"/>
        <v>2.6658363314874225</v>
      </c>
      <c r="AC78">
        <f t="shared" si="19"/>
        <v>2.7724697847469195</v>
      </c>
      <c r="AD78">
        <f t="shared" si="19"/>
        <v>2.8833685761367964</v>
      </c>
      <c r="AE78">
        <f t="shared" si="19"/>
        <v>2.9987033191822685</v>
      </c>
      <c r="AF78">
        <f t="shared" si="19"/>
        <v>3.1186514519495594</v>
      </c>
      <c r="AG78">
        <f t="shared" si="19"/>
        <v>3.2433975100275418</v>
      </c>
      <c r="AH78">
        <f t="shared" si="19"/>
        <v>3.3731334104286437</v>
      </c>
      <c r="AI78">
        <f t="shared" si="19"/>
        <v>3.5080587468457893</v>
      </c>
      <c r="AJ78">
        <f t="shared" si="19"/>
        <v>3.6483810967196209</v>
      </c>
      <c r="AK78">
        <f t="shared" si="19"/>
        <v>3.7943163405884057</v>
      </c>
      <c r="AL78">
        <f t="shared" si="19"/>
        <v>3.9460889942119421</v>
      </c>
    </row>
    <row r="80" spans="2:59" x14ac:dyDescent="0.35">
      <c r="B80" t="s">
        <v>103</v>
      </c>
    </row>
    <row r="82" spans="3:38" x14ac:dyDescent="0.35">
      <c r="C82">
        <v>1</v>
      </c>
      <c r="D82">
        <v>1.018</v>
      </c>
      <c r="E82">
        <v>1.036324</v>
      </c>
      <c r="F82">
        <v>1.0549778320000001</v>
      </c>
      <c r="G82">
        <v>1.0739674329760001</v>
      </c>
      <c r="H82">
        <v>1.0932988467695681</v>
      </c>
      <c r="I82">
        <v>1.1129782260114203</v>
      </c>
      <c r="J82">
        <v>1.1330118340796258</v>
      </c>
      <c r="K82">
        <v>1.1531684808274447</v>
      </c>
      <c r="L82">
        <v>1.1740661729658086</v>
      </c>
      <c r="M82">
        <v>1.1953425744982291</v>
      </c>
      <c r="N82">
        <v>1.2170045794868491</v>
      </c>
      <c r="O82">
        <v>1.2390591151383223</v>
      </c>
      <c r="P82">
        <v>1.2615133406710295</v>
      </c>
      <c r="Q82">
        <v>1.2843744815924021</v>
      </c>
      <c r="R82">
        <v>1.3076499291325201</v>
      </c>
      <c r="S82">
        <v>1.3313471408105073</v>
      </c>
      <c r="T82">
        <v>1.3554737730126887</v>
      </c>
      <c r="U82">
        <v>1.3800377141370883</v>
      </c>
      <c r="V82">
        <v>1.4050467200036012</v>
      </c>
      <c r="W82">
        <v>1.430508977311022</v>
      </c>
      <c r="X82">
        <v>1.4564326396135991</v>
      </c>
      <c r="Y82">
        <v>1.482826092477294</v>
      </c>
      <c r="Z82">
        <v>1.5096978540461983</v>
      </c>
      <c r="AA82">
        <v>1.5370565750425047</v>
      </c>
      <c r="AB82">
        <v>1.5649111050555937</v>
      </c>
      <c r="AC82">
        <v>1.5932703931084293</v>
      </c>
      <c r="AD82">
        <v>1.6221436533802063</v>
      </c>
      <c r="AE82">
        <v>1.6515401000501275</v>
      </c>
      <c r="AF82">
        <v>1.6814693450317555</v>
      </c>
      <c r="AG82">
        <v>1.7119409008050428</v>
      </c>
      <c r="AH82">
        <v>1.7429647107288553</v>
      </c>
      <c r="AI82">
        <v>1.7745506850174997</v>
      </c>
      <c r="AJ82">
        <v>1.8067090984751315</v>
      </c>
      <c r="AK82">
        <v>1.839450259050418</v>
      </c>
      <c r="AL82">
        <v>1.8727847729927971</v>
      </c>
    </row>
    <row r="83" spans="3:38" x14ac:dyDescent="0.35">
      <c r="C83">
        <v>1</v>
      </c>
      <c r="D83">
        <v>1.018</v>
      </c>
      <c r="E83">
        <v>1.036324</v>
      </c>
      <c r="F83">
        <v>1.0549778320000001</v>
      </c>
      <c r="G83">
        <v>1.0739674329760001</v>
      </c>
      <c r="H83">
        <v>1.0932988467695681</v>
      </c>
      <c r="I83">
        <v>1.1129782260114203</v>
      </c>
      <c r="J83">
        <v>1.1330118340796258</v>
      </c>
      <c r="K83">
        <v>1.1531685091369561</v>
      </c>
      <c r="L83">
        <v>1.174066199722269</v>
      </c>
      <c r="M83">
        <v>1.1953426338708952</v>
      </c>
      <c r="N83">
        <v>1.2170046025050854</v>
      </c>
      <c r="O83">
        <v>1.2390591648813989</v>
      </c>
      <c r="P83">
        <v>1.2615134008975</v>
      </c>
      <c r="Q83">
        <v>1.2843745349387583</v>
      </c>
      <c r="R83">
        <v>1.3076499771604537</v>
      </c>
      <c r="S83">
        <v>1.3313471996411685</v>
      </c>
      <c r="T83">
        <v>1.3554738602293981</v>
      </c>
      <c r="U83">
        <v>1.3800377612613417</v>
      </c>
      <c r="V83">
        <v>1.4050467669964997</v>
      </c>
      <c r="W83">
        <v>1.4305090100286895</v>
      </c>
      <c r="X83">
        <v>1.4564327055161357</v>
      </c>
      <c r="Y83">
        <v>1.4828261511814602</v>
      </c>
      <c r="Z83">
        <v>1.5096978511582988</v>
      </c>
      <c r="AA83">
        <v>1.5370566398379064</v>
      </c>
      <c r="AB83">
        <v>1.5649111864827279</v>
      </c>
      <c r="AC83">
        <v>1.5932704906128208</v>
      </c>
      <c r="AD83">
        <v>1.6221436755948566</v>
      </c>
      <c r="AE83">
        <v>1.6515402363353204</v>
      </c>
      <c r="AF83">
        <v>1.6814693787652841</v>
      </c>
      <c r="AG83">
        <v>1.7119409693310526</v>
      </c>
      <c r="AH83">
        <v>1.7429647506323276</v>
      </c>
      <c r="AI83">
        <v>1.7745507542442212</v>
      </c>
      <c r="AJ83">
        <v>1.8067091355884559</v>
      </c>
      <c r="AK83">
        <v>1.8394503390621648</v>
      </c>
      <c r="AL83">
        <v>1.8727848090624857</v>
      </c>
    </row>
    <row r="84" spans="3:38" x14ac:dyDescent="0.35">
      <c r="C84">
        <v>1</v>
      </c>
      <c r="D84">
        <v>1.018</v>
      </c>
      <c r="E84">
        <v>1.036324</v>
      </c>
      <c r="F84">
        <v>1.0549778320000001</v>
      </c>
      <c r="G84">
        <v>1.0739674329760001</v>
      </c>
      <c r="H84">
        <v>1.0932988467695681</v>
      </c>
      <c r="I84">
        <v>1.1129782260114203</v>
      </c>
      <c r="J84">
        <v>1.1330118340796258</v>
      </c>
      <c r="K84">
        <v>1.1531684439998917</v>
      </c>
      <c r="L84">
        <v>1.1740661891276103</v>
      </c>
      <c r="M84">
        <v>1.1953426388316732</v>
      </c>
      <c r="N84">
        <v>1.2170046013411142</v>
      </c>
      <c r="O84">
        <v>1.2390591632883852</v>
      </c>
      <c r="P84">
        <v>1.2615133859965342</v>
      </c>
      <c r="Q84">
        <v>1.2843745079544258</v>
      </c>
      <c r="R84">
        <v>1.3076499195073314</v>
      </c>
      <c r="S84">
        <v>1.3313471375475281</v>
      </c>
      <c r="T84">
        <v>1.3554738055143016</v>
      </c>
      <c r="U84">
        <v>1.3800377187033535</v>
      </c>
      <c r="V84">
        <v>1.4050467483385849</v>
      </c>
      <c r="W84">
        <v>1.4305089681191072</v>
      </c>
      <c r="X84">
        <v>1.4564326542192489</v>
      </c>
      <c r="Y84">
        <v>1.4828261081227427</v>
      </c>
      <c r="Z84">
        <v>1.5096978844073297</v>
      </c>
      <c r="AA84">
        <v>1.5370566135789632</v>
      </c>
      <c r="AB84">
        <v>1.564911153928207</v>
      </c>
      <c r="AC84">
        <v>1.5932704396738302</v>
      </c>
      <c r="AD84">
        <v>1.6221436834380192</v>
      </c>
      <c r="AE84">
        <v>1.6515401484617664</v>
      </c>
      <c r="AF84">
        <v>1.6814693763894786</v>
      </c>
      <c r="AG84">
        <v>1.7119409341749672</v>
      </c>
      <c r="AH84">
        <v>1.7429646924848621</v>
      </c>
      <c r="AI84">
        <v>1.7745507244610026</v>
      </c>
      <c r="AJ84">
        <v>1.8067090526264296</v>
      </c>
      <c r="AK84">
        <v>1.8394503069298214</v>
      </c>
      <c r="AL84">
        <v>1.8727847123694292</v>
      </c>
    </row>
    <row r="105" spans="1:38" x14ac:dyDescent="0.35">
      <c r="C105" s="13"/>
      <c r="K105" s="3"/>
      <c r="L105" s="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1:38" x14ac:dyDescent="0.35">
      <c r="C106" s="13"/>
      <c r="D106" s="20">
        <v>-0.19607843137254899</v>
      </c>
      <c r="E106" s="21">
        <v>0.26829268292682928</v>
      </c>
      <c r="F106" s="21">
        <v>0.30769230769230771</v>
      </c>
      <c r="G106" s="21">
        <v>-7.3529411764705843E-2</v>
      </c>
      <c r="H106" s="21">
        <v>-0.41269841269841268</v>
      </c>
      <c r="I106" s="21">
        <v>0.41269841269841268</v>
      </c>
      <c r="J106" s="21">
        <v>2.8999153384539067E-3</v>
      </c>
      <c r="K106" s="3"/>
      <c r="L106" s="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1:38" x14ac:dyDescent="0.35">
      <c r="C107" s="13"/>
      <c r="D107" s="21">
        <v>-3.8461538461538547E-2</v>
      </c>
      <c r="E107" s="21">
        <v>0.19999999999999996</v>
      </c>
      <c r="F107" s="21">
        <v>6.6666666666666652E-2</v>
      </c>
      <c r="G107" s="21">
        <v>-0.1875</v>
      </c>
      <c r="H107" s="21">
        <v>-0.19230769230769229</v>
      </c>
      <c r="I107" s="21">
        <v>0.19230769230769229</v>
      </c>
      <c r="J107" s="21">
        <v>2.8999037972945452E-3</v>
      </c>
      <c r="K107" s="3"/>
      <c r="L107" s="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1:38" x14ac:dyDescent="0.35">
      <c r="D108" s="21">
        <v>4.051546391752578</v>
      </c>
      <c r="E108" s="21">
        <v>0.22448979591836737</v>
      </c>
      <c r="F108" s="21">
        <v>-0.23333333333333328</v>
      </c>
      <c r="G108" s="21">
        <v>0</v>
      </c>
      <c r="H108" s="21">
        <v>-2.1739130434782594E-2</v>
      </c>
      <c r="I108" s="21">
        <v>2.1739130434782594E-2</v>
      </c>
      <c r="J108" s="21">
        <v>2.8999153384539067E-3</v>
      </c>
    </row>
    <row r="109" spans="1:38" x14ac:dyDescent="0.35">
      <c r="A109" t="str">
        <f t="shared" ref="A109:A128" si="20">IF(B109="","",1)</f>
        <v/>
      </c>
      <c r="C109" t="s">
        <v>43</v>
      </c>
      <c r="D109" s="21">
        <v>1.7790323226581917E-2</v>
      </c>
      <c r="E109" s="21">
        <v>1.7790323226581917E-2</v>
      </c>
      <c r="F109" s="21">
        <v>1.7790323226581917E-2</v>
      </c>
      <c r="G109" s="21">
        <v>1.7790323226581917E-2</v>
      </c>
      <c r="H109" s="21">
        <v>1.7790323226581917E-2</v>
      </c>
      <c r="I109" s="21">
        <v>1.7790323226581917E-2</v>
      </c>
      <c r="J109" s="21">
        <v>1.7790323226581917E-2</v>
      </c>
      <c r="K109" s="21">
        <v>1.7790323226581917E-2</v>
      </c>
      <c r="L109" s="21">
        <v>1.8121976524513528E-2</v>
      </c>
      <c r="M109" s="21">
        <v>1.8121978149386653E-2</v>
      </c>
      <c r="N109" s="21">
        <v>1.8122005733555602E-2</v>
      </c>
      <c r="O109" s="21">
        <v>1.8121982466797748E-2</v>
      </c>
      <c r="P109" s="21">
        <v>1.8121996972033427E-2</v>
      </c>
      <c r="Q109" s="21">
        <v>1.8121996957410014E-2</v>
      </c>
      <c r="R109" s="21">
        <v>1.812201026546445E-2</v>
      </c>
      <c r="S109" s="21">
        <v>1.8121984447097228E-2</v>
      </c>
      <c r="T109" s="21">
        <v>1.8121969441789121E-2</v>
      </c>
      <c r="U109" s="21">
        <v>1.8122033501100976E-2</v>
      </c>
      <c r="V109" s="21">
        <v>1.8121972762281002E-2</v>
      </c>
      <c r="W109" s="21">
        <v>1.8122000460849774E-2</v>
      </c>
      <c r="X109" s="21">
        <v>1.8121985051297473E-2</v>
      </c>
      <c r="Y109" s="21">
        <v>1.8121986658234501E-2</v>
      </c>
      <c r="Z109" s="21">
        <v>1.81219913145787E-2</v>
      </c>
      <c r="AA109" s="21">
        <v>1.8121984424221971E-2</v>
      </c>
      <c r="AB109" s="21">
        <v>1.8121993988619911E-2</v>
      </c>
      <c r="AC109" s="21">
        <v>1.8121980195052734E-2</v>
      </c>
      <c r="AD109" s="21">
        <v>1.8122008917422994E-2</v>
      </c>
      <c r="AE109" s="21">
        <v>1.8121974961135656E-2</v>
      </c>
      <c r="AF109" s="21">
        <v>1.8122021367037666E-2</v>
      </c>
      <c r="AG109" s="21">
        <v>1.8121981149000321E-2</v>
      </c>
      <c r="AH109" s="21">
        <v>1.8122009883182022E-2</v>
      </c>
      <c r="AI109" s="21">
        <v>1.8121981526198594E-2</v>
      </c>
      <c r="AJ109" s="21">
        <v>1.8122003349436477E-2</v>
      </c>
      <c r="AK109" s="21">
        <v>1.8121987985182608E-2</v>
      </c>
      <c r="AL109" s="21">
        <v>1.8121998014552165E-2</v>
      </c>
    </row>
    <row r="110" spans="1:38" x14ac:dyDescent="0.35">
      <c r="A110" t="str">
        <f t="shared" si="20"/>
        <v/>
      </c>
      <c r="C110" s="12" t="s">
        <v>44</v>
      </c>
      <c r="D110" s="21">
        <v>1.7790290722461632E-2</v>
      </c>
      <c r="E110" s="21">
        <v>1.7790290722461632E-2</v>
      </c>
      <c r="F110" s="21">
        <v>1.7790290722461632E-2</v>
      </c>
      <c r="G110" s="21">
        <v>1.7790290722461632E-2</v>
      </c>
      <c r="H110" s="21">
        <v>1.7790290722461632E-2</v>
      </c>
      <c r="I110" s="21">
        <v>1.7790290722461632E-2</v>
      </c>
      <c r="J110" s="21">
        <v>1.7790290722461632E-2</v>
      </c>
      <c r="K110" s="21">
        <v>1.7790290722461632E-2</v>
      </c>
      <c r="L110" s="21">
        <v>1.8122023054353065E-2</v>
      </c>
      <c r="M110" s="21">
        <v>1.8122018929675798E-2</v>
      </c>
      <c r="N110" s="21">
        <v>1.8121969220987078E-2</v>
      </c>
      <c r="O110" s="21">
        <v>1.8122003748356708E-2</v>
      </c>
      <c r="P110" s="21">
        <v>1.8121993988210239E-2</v>
      </c>
      <c r="Q110" s="21">
        <v>1.8121981273969912E-2</v>
      </c>
      <c r="R110" s="21">
        <v>1.8121981874255289E-2</v>
      </c>
      <c r="S110" s="21">
        <v>1.8121989445863962E-2</v>
      </c>
      <c r="T110" s="21">
        <v>1.812199634966527E-2</v>
      </c>
      <c r="U110" s="21">
        <v>1.8122012457283621E-2</v>
      </c>
      <c r="V110" s="21">
        <v>1.8121989925557358E-2</v>
      </c>
      <c r="W110" s="21">
        <v>1.8121973386743484E-2</v>
      </c>
      <c r="X110" s="21">
        <v>1.8122001803475118E-2</v>
      </c>
      <c r="Y110" s="21">
        <v>1.8121987190435895E-2</v>
      </c>
      <c r="Z110" s="21">
        <v>1.812200104745032E-2</v>
      </c>
      <c r="AA110" s="21">
        <v>1.8121989474982891E-2</v>
      </c>
      <c r="AB110" s="21">
        <v>1.8122000258914195E-2</v>
      </c>
      <c r="AC110" s="21">
        <v>1.8121978154757468E-2</v>
      </c>
      <c r="AD110" s="21">
        <v>1.8121998026963793E-2</v>
      </c>
      <c r="AE110" s="21">
        <v>1.8121985939891339E-2</v>
      </c>
      <c r="AF110" s="21">
        <v>1.8122010509758368E-2</v>
      </c>
      <c r="AG110" s="21">
        <v>1.8121982007735626E-2</v>
      </c>
      <c r="AH110" s="21">
        <v>1.8121979380583131E-2</v>
      </c>
      <c r="AI110" s="21">
        <v>1.8122014813225951E-2</v>
      </c>
      <c r="AJ110" s="21">
        <v>1.8121954882520885E-2</v>
      </c>
      <c r="AK110" s="21">
        <v>1.8122040322870792E-2</v>
      </c>
      <c r="AL110" s="21">
        <v>1.8121938556331818E-2</v>
      </c>
    </row>
    <row r="111" spans="1:38" x14ac:dyDescent="0.35">
      <c r="A111" t="str">
        <f t="shared" si="20"/>
        <v/>
      </c>
      <c r="C111" t="s">
        <v>45</v>
      </c>
      <c r="D111" s="21">
        <v>1.7790323226581917E-2</v>
      </c>
      <c r="E111" s="21">
        <v>1.7790323226581917E-2</v>
      </c>
      <c r="F111" s="21">
        <v>1.7790323226581917E-2</v>
      </c>
      <c r="G111" s="21">
        <v>1.7790323226581917E-2</v>
      </c>
      <c r="H111" s="21">
        <v>1.7790323226581917E-2</v>
      </c>
      <c r="I111" s="21">
        <v>1.7790323226581917E-2</v>
      </c>
      <c r="J111" s="21">
        <v>1.7790323226581917E-2</v>
      </c>
      <c r="K111" s="21">
        <v>1.7790323226581917E-2</v>
      </c>
      <c r="L111" s="21">
        <v>1.8121976524513528E-2</v>
      </c>
      <c r="M111" s="21">
        <v>1.8121978149386653E-2</v>
      </c>
      <c r="N111" s="21">
        <v>1.8122005733555602E-2</v>
      </c>
      <c r="O111" s="21">
        <v>1.8121982466797748E-2</v>
      </c>
      <c r="P111" s="21">
        <v>1.8121996972033427E-2</v>
      </c>
      <c r="Q111" s="21">
        <v>1.8121996957410014E-2</v>
      </c>
      <c r="R111" s="21">
        <v>1.812201026546445E-2</v>
      </c>
      <c r="S111" s="21">
        <v>1.8121984447097228E-2</v>
      </c>
      <c r="T111" s="21">
        <v>1.8121969441789121E-2</v>
      </c>
      <c r="U111" s="21">
        <v>1.8122033501100976E-2</v>
      </c>
      <c r="V111" s="21">
        <v>1.8121972762281002E-2</v>
      </c>
      <c r="W111" s="21">
        <v>1.8122000460849774E-2</v>
      </c>
      <c r="X111" s="21">
        <v>1.8121985051297473E-2</v>
      </c>
      <c r="Y111" s="21">
        <v>1.8121986658234501E-2</v>
      </c>
      <c r="Z111" s="21">
        <v>1.81219913145787E-2</v>
      </c>
      <c r="AA111" s="21">
        <v>1.8121984424221971E-2</v>
      </c>
      <c r="AB111" s="21">
        <v>1.8121993988619911E-2</v>
      </c>
      <c r="AC111" s="21">
        <v>1.8121980195052734E-2</v>
      </c>
      <c r="AD111" s="21">
        <v>1.8122008917422994E-2</v>
      </c>
      <c r="AE111" s="21">
        <v>1.8121974961135656E-2</v>
      </c>
      <c r="AF111" s="21">
        <v>1.8122021367037666E-2</v>
      </c>
      <c r="AG111" s="21">
        <v>1.8121981149000321E-2</v>
      </c>
      <c r="AH111" s="21">
        <v>1.8122009883182022E-2</v>
      </c>
      <c r="AI111" s="21">
        <v>1.8121981526198594E-2</v>
      </c>
      <c r="AJ111" s="21">
        <v>1.8122003349436477E-2</v>
      </c>
      <c r="AK111" s="21">
        <v>1.8121987985182608E-2</v>
      </c>
      <c r="AL111" s="21">
        <v>1.8121998014552165E-2</v>
      </c>
    </row>
    <row r="112" spans="1:38" x14ac:dyDescent="0.35">
      <c r="A112" t="str">
        <f t="shared" si="20"/>
        <v/>
      </c>
    </row>
    <row r="114" spans="1:38" x14ac:dyDescent="0.35"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</row>
    <row r="117" spans="1:38" x14ac:dyDescent="0.35">
      <c r="A117" t="str">
        <f t="shared" si="20"/>
        <v/>
      </c>
    </row>
    <row r="118" spans="1:38" x14ac:dyDescent="0.35">
      <c r="A118" t="str">
        <f t="shared" si="20"/>
        <v/>
      </c>
    </row>
    <row r="119" spans="1:38" x14ac:dyDescent="0.35">
      <c r="A119" t="str">
        <f t="shared" si="20"/>
        <v/>
      </c>
    </row>
    <row r="120" spans="1:38" x14ac:dyDescent="0.35">
      <c r="A120" t="str">
        <f t="shared" si="20"/>
        <v/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35">
      <c r="A121" t="str">
        <f t="shared" si="20"/>
        <v/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35">
      <c r="A122" t="str">
        <f t="shared" si="20"/>
        <v/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35">
      <c r="A123" t="str">
        <f t="shared" si="20"/>
        <v/>
      </c>
    </row>
    <row r="124" spans="1:38" x14ac:dyDescent="0.35">
      <c r="A124" t="str">
        <f t="shared" si="20"/>
        <v/>
      </c>
    </row>
    <row r="125" spans="1:38" x14ac:dyDescent="0.35">
      <c r="A125" t="str">
        <f t="shared" si="20"/>
        <v/>
      </c>
    </row>
    <row r="126" spans="1:38" x14ac:dyDescent="0.35">
      <c r="A126" t="str">
        <f t="shared" si="20"/>
        <v/>
      </c>
    </row>
    <row r="127" spans="1:38" x14ac:dyDescent="0.35">
      <c r="A127" t="str">
        <f t="shared" si="20"/>
        <v/>
      </c>
    </row>
    <row r="128" spans="1:38" x14ac:dyDescent="0.35">
      <c r="A128" t="str">
        <f t="shared" si="20"/>
        <v/>
      </c>
    </row>
    <row r="201" spans="4:143" x14ac:dyDescent="0.35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39"/>
  <sheetViews>
    <sheetView tabSelected="1" workbookViewId="0">
      <pane xSplit="2" ySplit="1" topLeftCell="AA50" activePane="bottomRight" state="frozen"/>
      <selection pane="topRight" activeCell="C1" sqref="C1"/>
      <selection pane="bottomLeft" activeCell="A2" sqref="A2"/>
      <selection pane="bottomRight" activeCell="C53" sqref="C53:AL61"/>
    </sheetView>
  </sheetViews>
  <sheetFormatPr baseColWidth="10" defaultColWidth="8.81640625" defaultRowHeight="14.5" x14ac:dyDescent="0.35"/>
  <cols>
    <col min="1" max="1" width="28.26953125" customWidth="1"/>
    <col min="2" max="2" width="31.7265625" customWidth="1"/>
    <col min="3" max="3" width="9.7265625" bestFit="1" customWidth="1"/>
    <col min="4" max="4" width="10.81640625" customWidth="1"/>
    <col min="5" max="5" width="12.26953125" customWidth="1"/>
    <col min="6" max="6" width="7.453125" customWidth="1"/>
  </cols>
  <sheetData>
    <row r="1" spans="1:38" x14ac:dyDescent="0.35">
      <c r="A1">
        <f>SUM(A2:A100)</f>
        <v>60</v>
      </c>
      <c r="B1" s="4"/>
      <c r="C1" s="3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5">
      <c r="A2">
        <v>1</v>
      </c>
      <c r="B2" t="s">
        <v>20</v>
      </c>
      <c r="C2" s="3">
        <v>14.5</v>
      </c>
      <c r="D2" s="3">
        <v>22</v>
      </c>
      <c r="E2">
        <v>30.5</v>
      </c>
      <c r="F2">
        <v>44.6</v>
      </c>
      <c r="G2">
        <v>44.6</v>
      </c>
      <c r="H2" s="3">
        <v>44.6</v>
      </c>
      <c r="I2" s="3">
        <v>44.6</v>
      </c>
      <c r="J2" s="13">
        <f t="shared" ref="J2:AL2" si="0">I2*(1+J104)</f>
        <v>66.610166251100821</v>
      </c>
      <c r="K2" s="13">
        <f t="shared" si="0"/>
        <v>99.48238224213658</v>
      </c>
      <c r="L2" s="13">
        <f t="shared" si="0"/>
        <v>148.57708565480442</v>
      </c>
      <c r="M2" s="13">
        <f t="shared" si="0"/>
        <v>221.90009812938501</v>
      </c>
      <c r="N2" s="13">
        <f t="shared" si="0"/>
        <v>235.04406377424934</v>
      </c>
      <c r="O2" s="13">
        <f t="shared" si="0"/>
        <v>248.96659524368866</v>
      </c>
      <c r="P2" s="13">
        <f t="shared" si="0"/>
        <v>263.71380987850966</v>
      </c>
      <c r="Q2" s="13">
        <f t="shared" si="0"/>
        <v>279.33455672062382</v>
      </c>
      <c r="R2" s="13">
        <f t="shared" si="0"/>
        <v>295.8805783218333</v>
      </c>
      <c r="S2" s="13">
        <f t="shared" si="0"/>
        <v>320.32508428464791</v>
      </c>
      <c r="T2" s="13">
        <f t="shared" si="0"/>
        <v>346.78910053487363</v>
      </c>
      <c r="U2" s="13">
        <f t="shared" si="0"/>
        <v>375.43947118084145</v>
      </c>
      <c r="V2" s="13">
        <f t="shared" si="0"/>
        <v>406.45682434409514</v>
      </c>
      <c r="W2" s="13">
        <f t="shared" si="0"/>
        <v>440.03671094110854</v>
      </c>
      <c r="X2" s="13">
        <f t="shared" si="0"/>
        <v>465.69535761599326</v>
      </c>
      <c r="Y2" s="13">
        <f t="shared" si="0"/>
        <v>492.8501661628693</v>
      </c>
      <c r="Z2" s="13">
        <f t="shared" si="0"/>
        <v>521.58837814110518</v>
      </c>
      <c r="AA2" s="13">
        <f t="shared" si="0"/>
        <v>552.0023221864235</v>
      </c>
      <c r="AB2" s="13">
        <f t="shared" si="0"/>
        <v>584.18971063954962</v>
      </c>
      <c r="AC2" s="13">
        <f t="shared" si="0"/>
        <v>610.53430390392043</v>
      </c>
      <c r="AD2" s="13">
        <f t="shared" si="0"/>
        <v>638.06693177695513</v>
      </c>
      <c r="AE2" s="13">
        <f t="shared" si="0"/>
        <v>666.84116981464047</v>
      </c>
      <c r="AF2" s="13">
        <f t="shared" si="0"/>
        <v>696.91300961385821</v>
      </c>
      <c r="AG2" s="13">
        <f t="shared" si="0"/>
        <v>728.3409677660585</v>
      </c>
      <c r="AH2" s="13">
        <f t="shared" si="0"/>
        <v>755.12754204128692</v>
      </c>
      <c r="AI2" s="13">
        <f t="shared" si="0"/>
        <v>782.89926007906251</v>
      </c>
      <c r="AJ2" s="13">
        <f t="shared" si="0"/>
        <v>811.69235302349932</v>
      </c>
      <c r="AK2" s="13">
        <f t="shared" si="0"/>
        <v>841.54438451032695</v>
      </c>
      <c r="AL2" s="13">
        <f t="shared" si="0"/>
        <v>872.49429967262745</v>
      </c>
    </row>
    <row r="3" spans="1:38" x14ac:dyDescent="0.35">
      <c r="A3">
        <v>1</v>
      </c>
      <c r="B3" t="s">
        <v>94</v>
      </c>
      <c r="C3" s="10">
        <v>0.16928003687172899</v>
      </c>
      <c r="D3" s="10">
        <v>0.16928003687172899</v>
      </c>
      <c r="E3" s="10">
        <v>0.16928003687172899</v>
      </c>
      <c r="F3" s="10">
        <v>0.16928003687172899</v>
      </c>
      <c r="G3" s="10">
        <v>0.16928003687172899</v>
      </c>
      <c r="H3" s="10">
        <v>0.16928003687172899</v>
      </c>
      <c r="I3" s="10">
        <v>0.16928003687172899</v>
      </c>
      <c r="J3" s="10">
        <v>0.16928003687172899</v>
      </c>
      <c r="K3" s="10">
        <v>0.16928003687172899</v>
      </c>
      <c r="L3" s="10">
        <v>0.16928003687172899</v>
      </c>
      <c r="M3" s="10">
        <v>0.17923128199064406</v>
      </c>
      <c r="N3" s="10">
        <v>0.18958784629214595</v>
      </c>
      <c r="O3" s="10">
        <v>0.20028804409038761</v>
      </c>
      <c r="P3" s="10">
        <v>0.21128569176978435</v>
      </c>
      <c r="Q3" s="10">
        <v>0.22252028917200936</v>
      </c>
      <c r="R3" s="10">
        <v>0.23391521017055647</v>
      </c>
      <c r="S3" s="10">
        <v>0.26692447948935999</v>
      </c>
      <c r="T3" s="10">
        <v>0.30276565562826541</v>
      </c>
      <c r="U3" s="10">
        <v>0.34098940648714027</v>
      </c>
      <c r="V3" s="10">
        <v>0.38087737046256809</v>
      </c>
      <c r="W3" s="10">
        <v>0.42142368308865252</v>
      </c>
      <c r="X3" s="10">
        <v>0.46135410289542916</v>
      </c>
      <c r="Y3" s="10">
        <v>0.49919462588872227</v>
      </c>
      <c r="Z3" s="10">
        <v>0.53339188851179931</v>
      </c>
      <c r="AA3" s="10">
        <v>0.56247265579582517</v>
      </c>
      <c r="AB3" s="10">
        <v>0.5852141131736267</v>
      </c>
      <c r="AC3" s="10">
        <v>0.60078787050711735</v>
      </c>
      <c r="AD3" s="10">
        <v>0.60884433419255146</v>
      </c>
      <c r="AE3" s="10">
        <v>0.609520325155265</v>
      </c>
      <c r="AF3" s="10">
        <v>0.60337473820502396</v>
      </c>
      <c r="AG3" s="10">
        <v>0.59127511986673253</v>
      </c>
      <c r="AH3" s="10">
        <v>0.57426572990229696</v>
      </c>
      <c r="AI3" s="10">
        <v>0.5534444259814072</v>
      </c>
      <c r="AJ3" s="10">
        <v>0.52986583022709</v>
      </c>
      <c r="AK3" s="10">
        <v>0.50447717261665681</v>
      </c>
      <c r="AL3" s="10">
        <v>0.4780847574246469</v>
      </c>
    </row>
    <row r="4" spans="1:38" x14ac:dyDescent="0.35">
      <c r="A4">
        <f t="shared" ref="A4:A61" si="1">A3</f>
        <v>1</v>
      </c>
      <c r="B4" t="s">
        <v>95</v>
      </c>
      <c r="C4" s="10">
        <v>0.12058367283185263</v>
      </c>
      <c r="D4" s="10">
        <v>0.12058367283185263</v>
      </c>
      <c r="E4" s="10">
        <v>0.12058367283185263</v>
      </c>
      <c r="F4" s="10">
        <v>0.12058367283185263</v>
      </c>
      <c r="G4" s="10">
        <v>0.12058367283185263</v>
      </c>
      <c r="H4" s="10">
        <v>0.12058367283185263</v>
      </c>
      <c r="I4" s="10">
        <v>0.12058367283185263</v>
      </c>
      <c r="J4" s="10">
        <v>0.12058367283185263</v>
      </c>
      <c r="K4" s="10">
        <v>0.12058367283185263</v>
      </c>
      <c r="L4" s="10">
        <v>0.12058367283185263</v>
      </c>
      <c r="M4" s="10">
        <v>0.11913919365842562</v>
      </c>
      <c r="N4" s="10">
        <v>0.11763588012700214</v>
      </c>
      <c r="O4" s="10">
        <v>0.11608268626167059</v>
      </c>
      <c r="P4" s="10">
        <v>0.11448631587387051</v>
      </c>
      <c r="Q4" s="10">
        <v>0.11285555090170585</v>
      </c>
      <c r="R4" s="10">
        <v>0.11120151405821972</v>
      </c>
      <c r="S4" s="10">
        <v>0.10641003304340453</v>
      </c>
      <c r="T4" s="10">
        <v>0.10120748483309357</v>
      </c>
      <c r="U4" s="10">
        <v>9.5659092507699148E-2</v>
      </c>
      <c r="V4" s="10">
        <v>8.986913029247906E-2</v>
      </c>
      <c r="W4" s="10">
        <v>8.3983605069478204E-2</v>
      </c>
      <c r="X4" s="10">
        <v>7.8187480151657496E-2</v>
      </c>
      <c r="Y4" s="10">
        <v>7.2694715505402199E-2</v>
      </c>
      <c r="Z4" s="10">
        <v>6.7730790583750436E-2</v>
      </c>
      <c r="AA4" s="10">
        <v>6.3509553724735934E-2</v>
      </c>
      <c r="AB4" s="10">
        <v>6.0208503337265087E-2</v>
      </c>
      <c r="AC4" s="10">
        <v>5.7947884906967034E-2</v>
      </c>
      <c r="AD4" s="10">
        <v>5.6778443910788526E-2</v>
      </c>
      <c r="AE4" s="10">
        <v>5.6680320022230259E-2</v>
      </c>
      <c r="AF4" s="10">
        <v>5.7572386517631351E-2</v>
      </c>
      <c r="AG4" s="10">
        <v>5.9328714141684766E-2</v>
      </c>
      <c r="AH4" s="10">
        <v>6.1797722719277116E-2</v>
      </c>
      <c r="AI4" s="10">
        <v>6.4820052037660753E-2</v>
      </c>
      <c r="AJ4" s="10">
        <v>6.8242617766749974E-2</v>
      </c>
      <c r="AK4" s="10">
        <v>7.1927924150152367E-2</v>
      </c>
      <c r="AL4" s="10">
        <v>7.5758931589496065E-2</v>
      </c>
    </row>
    <row r="5" spans="1:38" x14ac:dyDescent="0.35">
      <c r="A5">
        <f t="shared" si="1"/>
        <v>1</v>
      </c>
      <c r="B5" t="s">
        <v>96</v>
      </c>
      <c r="C5" s="10">
        <v>7.5782734834024049E-2</v>
      </c>
      <c r="D5" s="10">
        <v>7.5782734834024049E-2</v>
      </c>
      <c r="E5" s="10">
        <v>7.5782734834024049E-2</v>
      </c>
      <c r="F5" s="10">
        <v>7.5782734834024049E-2</v>
      </c>
      <c r="G5" s="10">
        <v>7.5782734834024049E-2</v>
      </c>
      <c r="H5" s="10">
        <v>7.5782734834024049E-2</v>
      </c>
      <c r="I5" s="10">
        <v>7.5782734834024049E-2</v>
      </c>
      <c r="J5" s="10">
        <v>7.5782734834024049E-2</v>
      </c>
      <c r="K5" s="10">
        <v>7.5782734834024049E-2</v>
      </c>
      <c r="L5" s="10">
        <v>7.5782734834024049E-2</v>
      </c>
      <c r="M5" s="10">
        <v>7.4874928830090726E-2</v>
      </c>
      <c r="N5" s="10">
        <v>7.3930147434328061E-2</v>
      </c>
      <c r="O5" s="10">
        <v>7.2954017946164379E-2</v>
      </c>
      <c r="P5" s="10">
        <v>7.1950753482954335E-2</v>
      </c>
      <c r="Q5" s="10">
        <v>7.0925873193941252E-2</v>
      </c>
      <c r="R5" s="10">
        <v>6.9886367325759535E-2</v>
      </c>
      <c r="S5" s="10">
        <v>6.6875084565162737E-2</v>
      </c>
      <c r="T5" s="10">
        <v>6.3605460061080824E-2</v>
      </c>
      <c r="U5" s="10">
        <v>6.0118484299969084E-2</v>
      </c>
      <c r="V5" s="10">
        <v>5.6479690083882331E-2</v>
      </c>
      <c r="W5" s="10">
        <v>5.278083776947666E-2</v>
      </c>
      <c r="X5" s="10">
        <v>4.91381705045262E-2</v>
      </c>
      <c r="Y5" s="10">
        <v>4.5686154846707301E-2</v>
      </c>
      <c r="Z5" s="10">
        <v>4.2566496959042008E-2</v>
      </c>
      <c r="AA5" s="10">
        <v>3.991359324458655E-2</v>
      </c>
      <c r="AB5" s="10">
        <v>3.7838995412952305E-2</v>
      </c>
      <c r="AC5" s="10">
        <v>3.6418273659825105E-2</v>
      </c>
      <c r="AD5" s="10">
        <v>3.5683319790564445E-2</v>
      </c>
      <c r="AE5" s="10">
        <v>3.5621652265825303E-2</v>
      </c>
      <c r="AF5" s="10">
        <v>3.618228570058199E-2</v>
      </c>
      <c r="AG5" s="10">
        <v>3.7286077843328463E-2</v>
      </c>
      <c r="AH5" s="10">
        <v>3.8837765712377896E-2</v>
      </c>
      <c r="AI5" s="10">
        <v>4.0737196837150054E-2</v>
      </c>
      <c r="AJ5" s="10">
        <v>4.288816292574537E-2</v>
      </c>
      <c r="AK5" s="10">
        <v>4.5204252574341193E-2</v>
      </c>
      <c r="AL5" s="10">
        <v>4.7611910378294466E-2</v>
      </c>
    </row>
    <row r="6" spans="1:38" x14ac:dyDescent="0.35">
      <c r="A6">
        <f t="shared" si="1"/>
        <v>1</v>
      </c>
      <c r="B6" t="s">
        <v>97</v>
      </c>
      <c r="C6" s="10">
        <v>0.63435355546239436</v>
      </c>
      <c r="D6" s="10">
        <v>0.63435355546239436</v>
      </c>
      <c r="E6" s="10">
        <v>0.63435355546239436</v>
      </c>
      <c r="F6" s="10">
        <v>0.63435355546239436</v>
      </c>
      <c r="G6" s="10">
        <v>0.63435355546239436</v>
      </c>
      <c r="H6" s="10">
        <v>0.63435355546239436</v>
      </c>
      <c r="I6" s="10">
        <v>0.63435355546239436</v>
      </c>
      <c r="J6" s="10">
        <v>0.63435355546239436</v>
      </c>
      <c r="K6" s="10">
        <v>0.63435355546239436</v>
      </c>
      <c r="L6" s="10">
        <v>0.63435355546239436</v>
      </c>
      <c r="M6" s="10">
        <v>0.62675459552083956</v>
      </c>
      <c r="N6" s="10">
        <v>0.6188461261465239</v>
      </c>
      <c r="O6" s="10">
        <v>0.61067525170177739</v>
      </c>
      <c r="P6" s="10">
        <v>0.60227723887339091</v>
      </c>
      <c r="Q6" s="10">
        <v>0.59369828673234348</v>
      </c>
      <c r="R6" s="10">
        <v>0.58499690844546426</v>
      </c>
      <c r="S6" s="10">
        <v>0.55979040290207283</v>
      </c>
      <c r="T6" s="10">
        <v>0.53242139947756029</v>
      </c>
      <c r="U6" s="10">
        <v>0.50323301670519149</v>
      </c>
      <c r="V6" s="10">
        <v>0.47277380916107054</v>
      </c>
      <c r="W6" s="10">
        <v>0.44181187407239264</v>
      </c>
      <c r="X6" s="10">
        <v>0.41132024644838722</v>
      </c>
      <c r="Y6" s="10">
        <v>0.3824245037591682</v>
      </c>
      <c r="Z6" s="10">
        <v>0.35631082394540825</v>
      </c>
      <c r="AA6" s="10">
        <v>0.33410419723485235</v>
      </c>
      <c r="AB6" s="10">
        <v>0.31673838807615584</v>
      </c>
      <c r="AC6" s="10">
        <v>0.3048459709260905</v>
      </c>
      <c r="AD6" s="10">
        <v>0.29869390210609553</v>
      </c>
      <c r="AE6" s="10">
        <v>0.29817770255667947</v>
      </c>
      <c r="AF6" s="10">
        <v>0.30287058957676272</v>
      </c>
      <c r="AG6" s="10">
        <v>0.31211008814825425</v>
      </c>
      <c r="AH6" s="10">
        <v>0.325098781666048</v>
      </c>
      <c r="AI6" s="10">
        <v>0.34099832514378198</v>
      </c>
      <c r="AJ6" s="10">
        <v>0.35900338908041463</v>
      </c>
      <c r="AK6" s="10">
        <v>0.37839065065884969</v>
      </c>
      <c r="AL6" s="10">
        <v>0.39854440060756258</v>
      </c>
    </row>
    <row r="7" spans="1:38" x14ac:dyDescent="0.35">
      <c r="A7">
        <f t="shared" si="1"/>
        <v>1</v>
      </c>
      <c r="B7" t="s">
        <v>98</v>
      </c>
      <c r="C7" s="10">
        <v>0.136783240033547</v>
      </c>
      <c r="D7" s="10">
        <v>0.136783240033547</v>
      </c>
      <c r="E7" s="10">
        <v>0.136783240033547</v>
      </c>
      <c r="F7" s="10">
        <v>0.136783240033547</v>
      </c>
      <c r="G7" s="10">
        <v>0.136783240033547</v>
      </c>
      <c r="H7" s="10">
        <v>0.136783240033547</v>
      </c>
      <c r="I7" s="10">
        <v>0.136783240033547</v>
      </c>
      <c r="J7" s="10">
        <v>0.136783240033547</v>
      </c>
      <c r="K7" s="10">
        <v>0.136783240033547</v>
      </c>
      <c r="L7" s="10">
        <v>0.136783240033547</v>
      </c>
      <c r="M7" s="10">
        <v>0.136783240033547</v>
      </c>
      <c r="N7" s="10">
        <v>0.136783240033547</v>
      </c>
      <c r="O7" s="10">
        <v>0.136783240033547</v>
      </c>
      <c r="P7" s="10">
        <v>0.136783240033547</v>
      </c>
      <c r="Q7" s="10">
        <v>0.136783240033547</v>
      </c>
      <c r="R7" s="10">
        <v>0.136783240033547</v>
      </c>
      <c r="S7" s="10">
        <v>0.136783240033547</v>
      </c>
      <c r="T7" s="10">
        <v>0.136783240033547</v>
      </c>
      <c r="U7" s="10">
        <v>0.14304427968681521</v>
      </c>
      <c r="V7" s="10">
        <v>0.16685539343078801</v>
      </c>
      <c r="W7" s="10">
        <v>0.19373404026611613</v>
      </c>
      <c r="X7" s="10">
        <v>0.22377956777185681</v>
      </c>
      <c r="Y7" s="10">
        <v>0.25699947231234882</v>
      </c>
      <c r="Z7" s="10">
        <v>0.2932875371638542</v>
      </c>
      <c r="AA7" s="10">
        <v>0.33240711295527126</v>
      </c>
      <c r="AB7" s="10">
        <v>0.37398333562787484</v>
      </c>
      <c r="AC7" s="10">
        <v>0.41750759084690348</v>
      </c>
      <c r="AD7" s="10">
        <v>0.46235609190647176</v>
      </c>
      <c r="AE7" s="10">
        <v>0.50782216664872082</v>
      </c>
      <c r="AF7" s="10">
        <v>0.55315921929269296</v>
      </c>
      <c r="AG7" s="10">
        <v>0.59762906148281425</v>
      </c>
      <c r="AH7" s="10">
        <v>0.64054910068398874</v>
      </c>
      <c r="AI7" s="10">
        <v>0.68133213408257109</v>
      </c>
      <c r="AJ7" s="10">
        <v>0.71951413467879233</v>
      </c>
      <c r="AK7" s="10">
        <v>0.7547678975322496</v>
      </c>
      <c r="AL7" s="10">
        <v>0.78690299318451218</v>
      </c>
    </row>
    <row r="8" spans="1:38" x14ac:dyDescent="0.35">
      <c r="A8">
        <f t="shared" si="1"/>
        <v>1</v>
      </c>
      <c r="B8" t="s">
        <v>99</v>
      </c>
      <c r="C8" s="10">
        <v>0.863216757042647</v>
      </c>
      <c r="D8" s="10">
        <v>0.863216757042647</v>
      </c>
      <c r="E8" s="10">
        <v>0.863216757042647</v>
      </c>
      <c r="F8" s="10">
        <v>0.863216757042647</v>
      </c>
      <c r="G8" s="10">
        <v>0.863216757042647</v>
      </c>
      <c r="H8" s="10">
        <v>0.863216757042647</v>
      </c>
      <c r="I8" s="10">
        <v>0.863216757042647</v>
      </c>
      <c r="J8" s="10">
        <v>0.863216757042647</v>
      </c>
      <c r="K8" s="10">
        <v>0.863216757042647</v>
      </c>
      <c r="L8" s="10">
        <v>0.863216757042647</v>
      </c>
      <c r="M8" s="10">
        <v>0.863216757042647</v>
      </c>
      <c r="N8" s="10">
        <v>0.863216757042647</v>
      </c>
      <c r="O8" s="10">
        <v>0.863216757042647</v>
      </c>
      <c r="P8" s="10">
        <v>0.863216757042647</v>
      </c>
      <c r="Q8" s="10">
        <v>0.863216757042647</v>
      </c>
      <c r="R8" s="10">
        <v>0.863216757042647</v>
      </c>
      <c r="S8" s="10">
        <v>0.863216757042647</v>
      </c>
      <c r="T8" s="10">
        <v>0.863216757042647</v>
      </c>
      <c r="U8" s="10">
        <v>0.8569557203131849</v>
      </c>
      <c r="V8" s="10">
        <v>0.83314460656921208</v>
      </c>
      <c r="W8" s="10">
        <v>0.80626595973388382</v>
      </c>
      <c r="X8" s="10">
        <v>0.77622043222814319</v>
      </c>
      <c r="Y8" s="10">
        <v>0.74300052768765124</v>
      </c>
      <c r="Z8" s="10">
        <v>0.70671246283614586</v>
      </c>
      <c r="AA8" s="10">
        <v>0.66759288704472886</v>
      </c>
      <c r="AB8" s="10">
        <v>0.62601666437212522</v>
      </c>
      <c r="AC8" s="10">
        <v>0.58249240915309652</v>
      </c>
      <c r="AD8" s="10">
        <v>0.53764390809352813</v>
      </c>
      <c r="AE8" s="10">
        <v>0.49217783335127913</v>
      </c>
      <c r="AF8" s="10">
        <v>0.44684078070730698</v>
      </c>
      <c r="AG8" s="10">
        <v>0.40237093851718575</v>
      </c>
      <c r="AH8" s="10">
        <v>0.35945089931601137</v>
      </c>
      <c r="AI8" s="10">
        <v>0.31866786591742896</v>
      </c>
      <c r="AJ8" s="10">
        <v>0.28048586532120767</v>
      </c>
      <c r="AK8" s="10">
        <v>0.2452321024677504</v>
      </c>
      <c r="AL8" s="10">
        <v>0.21309700681548779</v>
      </c>
    </row>
    <row r="9" spans="1:38" x14ac:dyDescent="0.35">
      <c r="A9">
        <f t="shared" si="1"/>
        <v>1</v>
      </c>
      <c r="B9" t="s">
        <v>102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1.3004025426074111E-2</v>
      </c>
      <c r="L9" s="10">
        <v>2.6008050852148221E-2</v>
      </c>
      <c r="M9" s="10">
        <v>3.9012076278222334E-2</v>
      </c>
      <c r="N9" s="10">
        <v>5.2016101704296443E-2</v>
      </c>
      <c r="O9" s="10">
        <v>6.5020127130370559E-2</v>
      </c>
      <c r="P9" s="10">
        <v>7.8024152556444668E-2</v>
      </c>
      <c r="Q9" s="10">
        <v>9.1028177982518776E-2</v>
      </c>
      <c r="R9" s="10">
        <v>0.10403220340859289</v>
      </c>
      <c r="S9" s="10">
        <v>0.11703622883466699</v>
      </c>
      <c r="T9" s="10">
        <v>0.13004025426074112</v>
      </c>
      <c r="U9" s="10">
        <v>0.14304427968681521</v>
      </c>
      <c r="V9" s="10">
        <v>0.16685539343078801</v>
      </c>
      <c r="W9" s="10">
        <v>0.19373404026611613</v>
      </c>
      <c r="X9" s="10">
        <v>0.22377956777185681</v>
      </c>
      <c r="Y9" s="10">
        <v>0.25699947231234882</v>
      </c>
      <c r="Z9" s="10">
        <v>0.2932875371638542</v>
      </c>
      <c r="AA9" s="10">
        <v>0.33240711295527126</v>
      </c>
      <c r="AB9" s="10">
        <v>0.37398333562787484</v>
      </c>
      <c r="AC9" s="10">
        <v>0.41750759084690348</v>
      </c>
      <c r="AD9" s="10">
        <v>0.46235609190647176</v>
      </c>
      <c r="AE9" s="10">
        <v>0.50782216664872082</v>
      </c>
      <c r="AF9" s="10">
        <v>0.55315921929269296</v>
      </c>
      <c r="AG9" s="10">
        <v>0.59762906148281425</v>
      </c>
      <c r="AH9" s="10">
        <v>0.64054910068398874</v>
      </c>
      <c r="AI9" s="10">
        <v>0.68133213408257109</v>
      </c>
      <c r="AJ9" s="10">
        <v>0.71951413467879233</v>
      </c>
      <c r="AK9" s="10">
        <v>0.7547678975322496</v>
      </c>
      <c r="AL9" s="10">
        <v>0.78690299318451218</v>
      </c>
    </row>
    <row r="10" spans="1:38" x14ac:dyDescent="0.35">
      <c r="A10">
        <f t="shared" si="1"/>
        <v>1</v>
      </c>
      <c r="B10" t="s">
        <v>101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0.98699597457392585</v>
      </c>
      <c r="L10" s="10">
        <v>0.9739919491478517</v>
      </c>
      <c r="M10" s="10">
        <v>0.96098792372177755</v>
      </c>
      <c r="N10" s="10">
        <v>0.9479838982957034</v>
      </c>
      <c r="O10" s="10">
        <v>0.93497987286962925</v>
      </c>
      <c r="P10" s="10">
        <v>0.9219758474435551</v>
      </c>
      <c r="Q10" s="10">
        <v>0.90897182201748095</v>
      </c>
      <c r="R10" s="10">
        <v>0.8959677965914068</v>
      </c>
      <c r="S10" s="10">
        <v>0.88296377116533264</v>
      </c>
      <c r="T10" s="10">
        <v>0.86995974573925849</v>
      </c>
      <c r="U10" s="10">
        <v>0.8569557203131849</v>
      </c>
      <c r="V10" s="10">
        <v>0.83314460656921208</v>
      </c>
      <c r="W10" s="10">
        <v>0.80626595973388382</v>
      </c>
      <c r="X10" s="10">
        <v>0.77622043222814319</v>
      </c>
      <c r="Y10" s="10">
        <v>0.74300052768765124</v>
      </c>
      <c r="Z10" s="10">
        <v>0.70671246283614586</v>
      </c>
      <c r="AA10" s="10">
        <v>0.66759288704472886</v>
      </c>
      <c r="AB10" s="10">
        <v>0.62601666437212522</v>
      </c>
      <c r="AC10" s="10">
        <v>0.58249240915309652</v>
      </c>
      <c r="AD10" s="10">
        <v>0.53764390809352813</v>
      </c>
      <c r="AE10" s="10">
        <v>0.49217783335127913</v>
      </c>
      <c r="AF10" s="10">
        <v>0.44684078070730698</v>
      </c>
      <c r="AG10" s="10">
        <v>0.40237093851718575</v>
      </c>
      <c r="AH10" s="10">
        <v>0.35945089931601137</v>
      </c>
      <c r="AI10" s="10">
        <v>0.31866786591742896</v>
      </c>
      <c r="AJ10" s="10">
        <v>0.28048586532120767</v>
      </c>
      <c r="AK10" s="10">
        <v>0.2452321024677504</v>
      </c>
      <c r="AL10" s="10">
        <v>0.21309700681548779</v>
      </c>
    </row>
    <row r="11" spans="1:38" s="23" customFormat="1" x14ac:dyDescent="0.35">
      <c r="A11">
        <v>1</v>
      </c>
      <c r="B11" s="23" t="s">
        <v>70</v>
      </c>
      <c r="C11" s="24">
        <f>'[2]WD 3ME'!B6</f>
        <v>1</v>
      </c>
      <c r="D11" s="24">
        <f>'[2]WD 3ME'!C6</f>
        <v>1.04</v>
      </c>
      <c r="E11" s="24">
        <f>'[2]WD 3ME'!D6</f>
        <v>1.0816000000000001</v>
      </c>
      <c r="F11" s="24">
        <f>'[2]WD 3ME'!E6</f>
        <v>1.1248640000000001</v>
      </c>
      <c r="G11" s="24">
        <f>'[2]WD 3ME'!F6</f>
        <v>1.1698585600000002</v>
      </c>
      <c r="H11" s="24">
        <f>'[2]WD 3ME'!G6</f>
        <v>1.2166529024000003</v>
      </c>
      <c r="I11" s="24">
        <f>'[2]WD 3ME'!H6</f>
        <v>1.2653190184960004</v>
      </c>
      <c r="J11" s="24">
        <f>'[2]WD 3ME'!I6</f>
        <v>1.3009339765543628</v>
      </c>
      <c r="K11" s="24">
        <f>'[2]WD 3ME'!J6</f>
        <v>1.3393922601214319</v>
      </c>
      <c r="L11" s="24">
        <f>'[2]WD 3ME'!K6</f>
        <v>1.3965881961494411</v>
      </c>
      <c r="M11" s="24">
        <f>'[2]WD 3ME'!L6</f>
        <v>1.4511526080227808</v>
      </c>
      <c r="N11" s="24">
        <f>'[2]WD 3ME'!M6</f>
        <v>1.4928654935479724</v>
      </c>
      <c r="O11" s="24">
        <f>'[2]WD 3ME'!N6</f>
        <v>1.5262184482240211</v>
      </c>
      <c r="P11" s="24">
        <f>'[2]WD 3ME'!O6</f>
        <v>1.5552235250700415</v>
      </c>
      <c r="Q11" s="24">
        <f>'[2]WD 3ME'!P6</f>
        <v>1.5838552971562136</v>
      </c>
      <c r="R11" s="24">
        <f>'[2]WD 3ME'!Q6</f>
        <v>1.6138471662377514</v>
      </c>
      <c r="S11" s="24">
        <f>'[2]WD 3ME'!R6</f>
        <v>1.646166577501045</v>
      </c>
      <c r="T11" s="24">
        <f>'[2]WD 3ME'!S6</f>
        <v>1.6810116776394652</v>
      </c>
      <c r="U11" s="24">
        <f>'[2]WD 3ME'!T6</f>
        <v>1.7191615437314529</v>
      </c>
      <c r="V11" s="24">
        <f>'[2]WD 3ME'!U6</f>
        <v>1.7608611233849207</v>
      </c>
      <c r="W11" s="24">
        <f>'[2]WD 3ME'!V6</f>
        <v>1.8064810229097137</v>
      </c>
      <c r="X11" s="24">
        <f>'[2]WD 3ME'!W6</f>
        <v>1.8562881946633913</v>
      </c>
      <c r="Y11" s="24">
        <f>'[2]WD 3ME'!X6</f>
        <v>1.9109196182409991</v>
      </c>
      <c r="Z11" s="24">
        <f>'[2]WD 3ME'!Y6</f>
        <v>1.9706457204342525</v>
      </c>
      <c r="AA11" s="24">
        <f>'[2]WD 3ME'!Z6</f>
        <v>2.0352441374572434</v>
      </c>
      <c r="AB11" s="24">
        <f>'[2]WD 3ME'!AA6</f>
        <v>2.1047820417036323</v>
      </c>
      <c r="AC11" s="24">
        <f>'[2]WD 3ME'!AB6</f>
        <v>2.1785950085347832</v>
      </c>
      <c r="AD11" s="24">
        <f>'[2]WD 3ME'!AC6</f>
        <v>2.258296379900008</v>
      </c>
      <c r="AE11" s="24">
        <f>'[2]WD 3ME'!AD6</f>
        <v>2.344026859783316</v>
      </c>
      <c r="AF11" s="24">
        <f>'[2]WD 3ME'!AE6</f>
        <v>2.4347157251844367</v>
      </c>
      <c r="AG11" s="24">
        <f>'[2]WD 3ME'!AF6</f>
        <v>2.5289650877419056</v>
      </c>
      <c r="AH11" s="24">
        <f>'[2]WD 3ME'!AG6</f>
        <v>2.6258523640158535</v>
      </c>
      <c r="AI11" s="24">
        <f>'[2]WD 3ME'!AH6</f>
        <v>2.7248685030072193</v>
      </c>
      <c r="AJ11" s="24">
        <f>'[2]WD 3ME'!AI6</f>
        <v>2.8255788094808509</v>
      </c>
      <c r="AK11" s="24">
        <f>'[2]WD 3ME'!AJ6</f>
        <v>2.9275205617982762</v>
      </c>
      <c r="AL11" s="24">
        <f>'[2]WD 3ME'!AK6</f>
        <v>3.0301555386222869</v>
      </c>
    </row>
    <row r="12" spans="1:38" x14ac:dyDescent="0.35">
      <c r="A12">
        <f t="shared" si="1"/>
        <v>1</v>
      </c>
      <c r="B12" t="s">
        <v>71</v>
      </c>
      <c r="C12" s="13">
        <f>'[2]WD 3ME'!B7</f>
        <v>1</v>
      </c>
      <c r="D12" s="13">
        <f>'[2]WD 3ME'!C7</f>
        <v>1.04</v>
      </c>
      <c r="E12" s="10">
        <f>'[2]WD 3ME'!D7</f>
        <v>1.0816000000000001</v>
      </c>
      <c r="F12" s="10">
        <f>'[2]WD 3ME'!E7</f>
        <v>1.1248640000000001</v>
      </c>
      <c r="G12" s="10">
        <f>'[2]WD 3ME'!F7</f>
        <v>1.1698585600000002</v>
      </c>
      <c r="H12" s="13">
        <f>'[2]WD 3ME'!G7</f>
        <v>1.2166529024000003</v>
      </c>
      <c r="I12" s="13">
        <f>'[2]WD 3ME'!H7</f>
        <v>1.2653190184960004</v>
      </c>
      <c r="J12" s="13">
        <f>'[2]WD 3ME'!I7</f>
        <v>1.3009886746492134</v>
      </c>
      <c r="K12" s="13">
        <f>'[2]WD 3ME'!J7</f>
        <v>1.3395060231417248</v>
      </c>
      <c r="L12" s="13">
        <f>'[2]WD 3ME'!K7</f>
        <v>1.3967898017197327</v>
      </c>
      <c r="M12" s="13">
        <f>'[2]WD 3ME'!L7</f>
        <v>1.4514380146008183</v>
      </c>
      <c r="N12" s="13">
        <f>'[2]WD 3ME'!M7</f>
        <v>1.4932149635278316</v>
      </c>
      <c r="O12" s="13">
        <f>'[2]WD 3ME'!N7</f>
        <v>1.5266191422731443</v>
      </c>
      <c r="P12" s="13">
        <f>'[2]WD 3ME'!O7</f>
        <v>1.5556687656392496</v>
      </c>
      <c r="Q12" s="13">
        <f>'[2]WD 3ME'!P7</f>
        <v>1.5843445109173246</v>
      </c>
      <c r="R12" s="13">
        <f>'[2]WD 3ME'!Q7</f>
        <v>1.6143824420522581</v>
      </c>
      <c r="S12" s="13">
        <f>'[2]WD 3ME'!R7</f>
        <v>1.64671133909126</v>
      </c>
      <c r="T12" s="13">
        <f>'[2]WD 3ME'!S7</f>
        <v>1.6815666662973008</v>
      </c>
      <c r="U12" s="13">
        <f>'[2]WD 3ME'!T7</f>
        <v>1.7197277294086308</v>
      </c>
      <c r="V12" s="13">
        <f>'[2]WD 3ME'!U7</f>
        <v>1.7614395479255018</v>
      </c>
      <c r="W12" s="13">
        <f>'[2]WD 3ME'!V7</f>
        <v>1.8070728369310374</v>
      </c>
      <c r="X12" s="13">
        <f>'[2]WD 3ME'!W7</f>
        <v>1.8568946271335496</v>
      </c>
      <c r="Y12" s="13">
        <f>'[2]WD 3ME'!X7</f>
        <v>1.9115420850821567</v>
      </c>
      <c r="Z12" s="13">
        <f>'[2]WD 3ME'!Y7</f>
        <v>1.9712857169390761</v>
      </c>
      <c r="AA12" s="13">
        <f>'[2]WD 3ME'!Z7</f>
        <v>2.0359030936544324</v>
      </c>
      <c r="AB12" s="13">
        <f>'[2]WD 3ME'!AA7</f>
        <v>2.1054614073370432</v>
      </c>
      <c r="AC12" s="13">
        <f>'[2]WD 3ME'!AB7</f>
        <v>2.1792725336893874</v>
      </c>
      <c r="AD12" s="13">
        <f>'[2]WD 3ME'!AC7</f>
        <v>2.2589719177522292</v>
      </c>
      <c r="AE12" s="13">
        <f>'[2]WD 3ME'!AD7</f>
        <v>2.3447002600012152</v>
      </c>
      <c r="AF12" s="13">
        <f>'[2]WD 3ME'!AE7</f>
        <v>2.435386864133863</v>
      </c>
      <c r="AG12" s="13">
        <f>'[2]WD 3ME'!AF7</f>
        <v>2.5296338766441546</v>
      </c>
      <c r="AH12" s="13">
        <f>'[2]WD 3ME'!AG7</f>
        <v>2.6265187370962453</v>
      </c>
      <c r="AI12" s="13">
        <f>'[2]WD 3ME'!AH7</f>
        <v>2.7255324071839326</v>
      </c>
      <c r="AJ12" s="13">
        <f>'[2]WD 3ME'!AI7</f>
        <v>2.8262402025109106</v>
      </c>
      <c r="AK12" s="13">
        <f>'[2]WD 3ME'!AJ7</f>
        <v>2.9281794129763727</v>
      </c>
      <c r="AL12" s="13">
        <f>'[2]WD 3ME'!AK7</f>
        <v>3.0308118306633141</v>
      </c>
    </row>
    <row r="13" spans="1:38" s="23" customFormat="1" x14ac:dyDescent="0.35">
      <c r="A13">
        <f t="shared" si="1"/>
        <v>1</v>
      </c>
      <c r="B13" s="23" t="s">
        <v>72</v>
      </c>
      <c r="C13" s="24">
        <f>'[2]WD 3ME'!B8</f>
        <v>1</v>
      </c>
      <c r="D13" s="24">
        <f>'[2]WD 3ME'!C8</f>
        <v>1.04</v>
      </c>
      <c r="E13" s="24">
        <f>'[2]WD 3ME'!D8</f>
        <v>1.0816000000000001</v>
      </c>
      <c r="F13" s="24">
        <f>'[2]WD 3ME'!E8</f>
        <v>1.1248640000000001</v>
      </c>
      <c r="G13" s="24">
        <f>'[2]WD 3ME'!F8</f>
        <v>1.1698585600000002</v>
      </c>
      <c r="H13" s="24">
        <f>'[2]WD 3ME'!G8</f>
        <v>1.2166529024000003</v>
      </c>
      <c r="I13" s="24">
        <f>'[2]WD 3ME'!H8</f>
        <v>1.2653190184960004</v>
      </c>
      <c r="J13" s="24">
        <f>'[2]WD 3ME'!I8</f>
        <v>1.2986696710704346</v>
      </c>
      <c r="K13" s="24">
        <f>'[2]WD 3ME'!J8</f>
        <v>1.3346828779862641</v>
      </c>
      <c r="L13" s="24">
        <f>'[2]WD 3ME'!K8</f>
        <v>1.3882424466375549</v>
      </c>
      <c r="M13" s="24">
        <f>'[2]WD 3ME'!L8</f>
        <v>1.4393377965277343</v>
      </c>
      <c r="N13" s="24">
        <f>'[2]WD 3ME'!M8</f>
        <v>1.4783986863580163</v>
      </c>
      <c r="O13" s="24">
        <f>'[2]WD 3ME'!N8</f>
        <v>1.5096311477836046</v>
      </c>
      <c r="P13" s="24">
        <f>'[2]WD 3ME'!O8</f>
        <v>1.5367921580310746</v>
      </c>
      <c r="Q13" s="24">
        <f>'[2]WD 3ME'!P8</f>
        <v>1.5636035972547719</v>
      </c>
      <c r="R13" s="24">
        <f>'[2]WD 3ME'!Q8</f>
        <v>1.5916886620794217</v>
      </c>
      <c r="S13" s="24">
        <f>'[2]WD 3ME'!R8</f>
        <v>1.6215483753036037</v>
      </c>
      <c r="T13" s="24">
        <f>'[2]WD 3ME'!S8</f>
        <v>1.6537415575656467</v>
      </c>
      <c r="U13" s="24">
        <f>'[2]WD 3ME'!T8</f>
        <v>1.6889879935779717</v>
      </c>
      <c r="V13" s="24">
        <f>'[2]WD 3ME'!U8</f>
        <v>1.7275139889891455</v>
      </c>
      <c r="W13" s="24">
        <f>'[2]WD 3ME'!V8</f>
        <v>1.7696619447804509</v>
      </c>
      <c r="X13" s="24">
        <f>'[2]WD 3ME'!W8</f>
        <v>1.8156784966587178</v>
      </c>
      <c r="Y13" s="24">
        <f>'[2]WD 3ME'!X8</f>
        <v>1.8661521463105259</v>
      </c>
      <c r="Z13" s="24">
        <f>'[2]WD 3ME'!Y8</f>
        <v>1.9213327394519057</v>
      </c>
      <c r="AA13" s="24">
        <f>'[2]WD 3ME'!Z8</f>
        <v>1.9810148354940864</v>
      </c>
      <c r="AB13" s="24">
        <f>'[2]WD 3ME'!AA8</f>
        <v>2.0452604946149266</v>
      </c>
      <c r="AC13" s="24">
        <f>'[2]WD 3ME'!AB8</f>
        <v>2.112039236544208</v>
      </c>
      <c r="AD13" s="24">
        <f>'[2]WD 3ME'!AC8</f>
        <v>2.1841452300884474</v>
      </c>
      <c r="AE13" s="24">
        <f>'[2]WD 3ME'!AD8</f>
        <v>2.2617057704295083</v>
      </c>
      <c r="AF13" s="24">
        <f>'[2]WD 3ME'!AE8</f>
        <v>2.3437521722810177</v>
      </c>
      <c r="AG13" s="24">
        <f>'[2]WD 3ME'!AF8</f>
        <v>2.4290197631857677</v>
      </c>
      <c r="AH13" s="24">
        <f>'[2]WD 3ME'!AG8</f>
        <v>2.5166738800204049</v>
      </c>
      <c r="AI13" s="24">
        <f>'[2]WD 3ME'!AH8</f>
        <v>2.6062539833058311</v>
      </c>
      <c r="AJ13" s="24">
        <f>'[2]WD 3ME'!AI8</f>
        <v>2.6973668033745026</v>
      </c>
      <c r="AK13" s="24">
        <f>'[2]WD 3ME'!AJ8</f>
        <v>2.7895937150145196</v>
      </c>
      <c r="AL13" s="24">
        <f>'[2]WD 3ME'!AK8</f>
        <v>2.8824477882822519</v>
      </c>
    </row>
    <row r="14" spans="1:38" s="23" customFormat="1" x14ac:dyDescent="0.35">
      <c r="A14">
        <f t="shared" si="1"/>
        <v>1</v>
      </c>
      <c r="B14" s="23" t="s">
        <v>73</v>
      </c>
      <c r="C14" s="24">
        <f>'[2]WD 3ME'!B9</f>
        <v>1</v>
      </c>
      <c r="D14" s="24">
        <f>'[2]WD 3ME'!C9</f>
        <v>1.04</v>
      </c>
      <c r="E14" s="24">
        <f>'[2]WD 3ME'!D9</f>
        <v>1.0816000000000001</v>
      </c>
      <c r="F14" s="24">
        <f>'[2]WD 3ME'!E9</f>
        <v>1.1248640000000001</v>
      </c>
      <c r="G14" s="24">
        <f>'[2]WD 3ME'!F9</f>
        <v>1.1698585600000002</v>
      </c>
      <c r="H14" s="24">
        <f>'[2]WD 3ME'!G9</f>
        <v>1.2166529024000003</v>
      </c>
      <c r="I14" s="24">
        <f>'[2]WD 3ME'!H9</f>
        <v>1.2653190184960004</v>
      </c>
      <c r="J14" s="24">
        <f>'[2]WD 3ME'!I9</f>
        <v>1.3044244681222976</v>
      </c>
      <c r="K14" s="24">
        <f>'[2]WD 3ME'!J9</f>
        <v>1.3466519071742087</v>
      </c>
      <c r="L14" s="24">
        <f>'[2]WD 3ME'!K9</f>
        <v>1.4094534073614891</v>
      </c>
      <c r="M14" s="24">
        <f>'[2]WD 3ME'!L9</f>
        <v>1.4693654773519915</v>
      </c>
      <c r="N14" s="24">
        <f>'[2]WD 3ME'!M9</f>
        <v>1.5151664899770751</v>
      </c>
      <c r="O14" s="24">
        <f>'[2]WD 3ME'!N9</f>
        <v>1.5517882455561511</v>
      </c>
      <c r="P14" s="24">
        <f>'[2]WD 3ME'!O9</f>
        <v>1.5836360037270358</v>
      </c>
      <c r="Q14" s="24">
        <f>'[2]WD 3ME'!P9</f>
        <v>1.6150738709061192</v>
      </c>
      <c r="R14" s="24">
        <f>'[2]WD 3ME'!Q9</f>
        <v>1.6480051332045229</v>
      </c>
      <c r="S14" s="24">
        <f>'[2]WD 3ME'!R9</f>
        <v>1.6804849668700637</v>
      </c>
      <c r="T14" s="24">
        <f>'[2]WD 3ME'!S9</f>
        <v>1.7155030260585487</v>
      </c>
      <c r="U14" s="24">
        <f>'[2]WD 3ME'!T9</f>
        <v>1.7538422549181323</v>
      </c>
      <c r="V14" s="24">
        <f>'[2]WD 3ME'!U9</f>
        <v>1.7957488168921076</v>
      </c>
      <c r="W14" s="24">
        <f>'[2]WD 3ME'!V9</f>
        <v>1.8415951578521241</v>
      </c>
      <c r="X14" s="24">
        <f>'[2]WD 3ME'!W9</f>
        <v>1.8916495552151043</v>
      </c>
      <c r="Y14" s="24">
        <f>'[2]WD 3ME'!X9</f>
        <v>1.946552150322945</v>
      </c>
      <c r="Z14" s="24">
        <f>'[2]WD 3ME'!Y9</f>
        <v>2.006574712272617</v>
      </c>
      <c r="AA14" s="24">
        <f>'[2]WD 3ME'!Z9</f>
        <v>2.0714937735411287</v>
      </c>
      <c r="AB14" s="24">
        <f>'[2]WD 3ME'!AA9</f>
        <v>2.1413768399427178</v>
      </c>
      <c r="AC14" s="24">
        <f>'[2]WD 3ME'!AB9</f>
        <v>2.2183540290249102</v>
      </c>
      <c r="AD14" s="24">
        <f>'[2]WD 3ME'!AC9</f>
        <v>2.3014720474040566</v>
      </c>
      <c r="AE14" s="24">
        <f>'[2]WD 3ME'!AD9</f>
        <v>2.3908776307777826</v>
      </c>
      <c r="AF14" s="24">
        <f>'[2]WD 3ME'!AE9</f>
        <v>2.4854541562763544</v>
      </c>
      <c r="AG14" s="24">
        <f>'[2]WD 3ME'!AF9</f>
        <v>2.5837438107087323</v>
      </c>
      <c r="AH14" s="24">
        <f>'[2]WD 3ME'!AG9</f>
        <v>2.6847844612282938</v>
      </c>
      <c r="AI14" s="24">
        <f>'[2]WD 3ME'!AH9</f>
        <v>2.7880452347826545</v>
      </c>
      <c r="AJ14" s="24">
        <f>'[2]WD 3ME'!AI9</f>
        <v>2.8930728015742742</v>
      </c>
      <c r="AK14" s="24">
        <f>'[2]WD 3ME'!AJ9</f>
        <v>2.9993846039634011</v>
      </c>
      <c r="AL14" s="24">
        <f>'[2]WD 3ME'!AK9</f>
        <v>3.1064193480822913</v>
      </c>
    </row>
    <row r="15" spans="1:38" x14ac:dyDescent="0.35">
      <c r="A15">
        <f t="shared" si="1"/>
        <v>1</v>
      </c>
      <c r="B15" t="s">
        <v>74</v>
      </c>
      <c r="C15" s="13">
        <f>'[2]WD 3ME'!B10</f>
        <v>1</v>
      </c>
      <c r="D15" s="13">
        <f>'[2]WD 3ME'!C10</f>
        <v>1.04</v>
      </c>
      <c r="E15" s="10">
        <f>'[2]WD 3ME'!D10</f>
        <v>1.0816000000000001</v>
      </c>
      <c r="F15" s="10">
        <f>'[2]WD 3ME'!E10</f>
        <v>1.1248640000000001</v>
      </c>
      <c r="G15" s="10">
        <f>'[2]WD 3ME'!F10</f>
        <v>1.1698585600000002</v>
      </c>
      <c r="H15" s="13">
        <f>'[2]WD 3ME'!G10</f>
        <v>1.2166529024000003</v>
      </c>
      <c r="I15" s="13">
        <f>'[2]WD 3ME'!H10</f>
        <v>1.2653190184960004</v>
      </c>
      <c r="J15" s="13">
        <f>'[2]WD 3ME'!I10</f>
        <v>1.2947940968007845</v>
      </c>
      <c r="K15" s="13">
        <f>'[2]WD 3ME'!J10</f>
        <v>1.3266223223949121</v>
      </c>
      <c r="L15" s="13">
        <f>'[2]WD 3ME'!K10</f>
        <v>1.3739579023042967</v>
      </c>
      <c r="M15" s="13">
        <f>'[2]WD 3ME'!L10</f>
        <v>1.4191156225516621</v>
      </c>
      <c r="N15" s="13">
        <f>'[2]WD 3ME'!M10</f>
        <v>1.4536373694300031</v>
      </c>
      <c r="O15" s="13">
        <f>'[2]WD 3ME'!N10</f>
        <v>1.4812404049063181</v>
      </c>
      <c r="P15" s="13">
        <f>'[2]WD 3ME'!O10</f>
        <v>1.5052451197194525</v>
      </c>
      <c r="Q15" s="13">
        <f>'[2]WD 3ME'!P10</f>
        <v>1.5289408860562179</v>
      </c>
      <c r="R15" s="13">
        <f>'[2]WD 3ME'!Q10</f>
        <v>1.5537622739752077</v>
      </c>
      <c r="S15" s="13">
        <f>'[2]WD 3ME'!R10</f>
        <v>1.5830770906168194</v>
      </c>
      <c r="T15" s="13">
        <f>'[2]WD 3ME'!S10</f>
        <v>1.6146827938610653</v>
      </c>
      <c r="U15" s="13">
        <f>'[2]WD 3ME'!T10</f>
        <v>1.649286033390333</v>
      </c>
      <c r="V15" s="13">
        <f>'[2]WD 3ME'!U10</f>
        <v>1.687108985102391</v>
      </c>
      <c r="W15" s="13">
        <f>'[2]WD 3ME'!V10</f>
        <v>1.7284878016558016</v>
      </c>
      <c r="X15" s="13">
        <f>'[2]WD 3ME'!W10</f>
        <v>1.7736646180124351</v>
      </c>
      <c r="Y15" s="13">
        <f>'[2]WD 3ME'!X10</f>
        <v>1.823217196554195</v>
      </c>
      <c r="Z15" s="13">
        <f>'[2]WD 3ME'!Y10</f>
        <v>1.8773908236741268</v>
      </c>
      <c r="AA15" s="13">
        <f>'[2]WD 3ME'!Z10</f>
        <v>1.9359838077770919</v>
      </c>
      <c r="AB15" s="13">
        <f>'[2]WD 3ME'!AA10</f>
        <v>1.9990570765324558</v>
      </c>
      <c r="AC15" s="13">
        <f>'[2]WD 3ME'!AB10</f>
        <v>2.0639283205383796</v>
      </c>
      <c r="AD15" s="13">
        <f>'[2]WD 3ME'!AC10</f>
        <v>2.1339746461557674</v>
      </c>
      <c r="AE15" s="13">
        <f>'[2]WD 3ME'!AD10</f>
        <v>2.2093197124498367</v>
      </c>
      <c r="AF15" s="13">
        <f>'[2]WD 3ME'!AE10</f>
        <v>2.2890225040950254</v>
      </c>
      <c r="AG15" s="13">
        <f>'[2]WD 3ME'!AF10</f>
        <v>2.3718544733051838</v>
      </c>
      <c r="AH15" s="13">
        <f>'[2]WD 3ME'!AG10</f>
        <v>2.4570047986486179</v>
      </c>
      <c r="AI15" s="13">
        <f>'[2]WD 3ME'!AH10</f>
        <v>2.5440260957023835</v>
      </c>
      <c r="AJ15" s="13">
        <f>'[2]WD 3ME'!AI10</f>
        <v>2.6325363283300356</v>
      </c>
      <c r="AK15" s="13">
        <f>'[2]WD 3ME'!AJ10</f>
        <v>2.7221288291179087</v>
      </c>
      <c r="AL15" s="13">
        <f>'[2]WD 3ME'!AK10</f>
        <v>2.8123305770075877</v>
      </c>
    </row>
    <row r="16" spans="1:38" x14ac:dyDescent="0.35">
      <c r="A16">
        <f t="shared" si="1"/>
        <v>1</v>
      </c>
      <c r="B16" t="s">
        <v>75</v>
      </c>
      <c r="C16" s="13">
        <f>'[2]WD 3ME'!B11</f>
        <v>1</v>
      </c>
      <c r="D16" s="13">
        <f>'[2]WD 3ME'!C11</f>
        <v>1.04</v>
      </c>
      <c r="E16" s="10">
        <f>'[2]WD 3ME'!D11</f>
        <v>1.0816000000000001</v>
      </c>
      <c r="F16" s="10">
        <f>'[2]WD 3ME'!E11</f>
        <v>1.1248640000000001</v>
      </c>
      <c r="G16" s="10">
        <f>'[2]WD 3ME'!F11</f>
        <v>1.1698585600000002</v>
      </c>
      <c r="H16" s="13">
        <f>'[2]WD 3ME'!G11</f>
        <v>1.2166529024000003</v>
      </c>
      <c r="I16" s="13">
        <f>'[2]WD 3ME'!H11</f>
        <v>1.2653190184960004</v>
      </c>
      <c r="J16" s="13">
        <f>'[2]WD 3ME'!I11</f>
        <v>1.3031129309909182</v>
      </c>
      <c r="K16" s="13">
        <f>'[2]WD 3ME'!J11</f>
        <v>1.3439241261482087</v>
      </c>
      <c r="L16" s="13">
        <f>'[2]WD 3ME'!K11</f>
        <v>1.404619359812816</v>
      </c>
      <c r="M16" s="13">
        <f>'[2]WD 3ME'!L11</f>
        <v>1.4625220703620834</v>
      </c>
      <c r="N16" s="13">
        <f>'[2]WD 3ME'!M11</f>
        <v>1.5067869868858148</v>
      </c>
      <c r="O16" s="13">
        <f>'[2]WD 3ME'!N11</f>
        <v>1.5421805046433787</v>
      </c>
      <c r="P16" s="13">
        <f>'[2]WD 3ME'!O11</f>
        <v>1.5729601375838551</v>
      </c>
      <c r="Q16" s="13">
        <f>'[2]WD 3ME'!P11</f>
        <v>1.6033436266511725</v>
      </c>
      <c r="R16" s="13">
        <f>'[2]WD 3ME'!Q11</f>
        <v>1.6351704246434426</v>
      </c>
      <c r="S16" s="13">
        <f>'[2]WD 3ME'!R11</f>
        <v>1.6674141448417679</v>
      </c>
      <c r="T16" s="13">
        <f>'[2]WD 3ME'!S11</f>
        <v>1.7021776388297258</v>
      </c>
      <c r="U16" s="13">
        <f>'[2]WD 3ME'!T11</f>
        <v>1.7402381591112537</v>
      </c>
      <c r="V16" s="13">
        <f>'[2]WD 3ME'!U11</f>
        <v>1.7818400796345168</v>
      </c>
      <c r="W16" s="13">
        <f>'[2]WD 3ME'!V11</f>
        <v>1.827353138760806</v>
      </c>
      <c r="X16" s="13">
        <f>'[2]WD 3ME'!W11</f>
        <v>1.877043663653488</v>
      </c>
      <c r="Y16" s="13">
        <f>'[2]WD 3ME'!X11</f>
        <v>1.9315471421210304</v>
      </c>
      <c r="Z16" s="13">
        <f>'[2]WD 3ME'!Y11</f>
        <v>1.9911333676239387</v>
      </c>
      <c r="AA16" s="18">
        <f>'[2]WD 3ME'!Z11</f>
        <v>2.0555804971454368</v>
      </c>
      <c r="AB16" s="18">
        <f>'[2]WD 3ME'!AA11</f>
        <v>2.1249555457635108</v>
      </c>
      <c r="AC16" s="18">
        <f>'[2]WD 3ME'!AB11</f>
        <v>2.1996101999266133</v>
      </c>
      <c r="AD16" s="13">
        <f>'[2]WD 3ME'!AC11</f>
        <v>2.2802204039468204</v>
      </c>
      <c r="AE16" s="13">
        <f>'[2]WD 3ME'!AD11</f>
        <v>2.3669284662519945</v>
      </c>
      <c r="AF16" s="13">
        <f>'[2]WD 3ME'!AE11</f>
        <v>2.4586514544154721</v>
      </c>
      <c r="AG16" s="13">
        <f>'[2]WD 3ME'!AF11</f>
        <v>2.5539755399913315</v>
      </c>
      <c r="AH16" s="13">
        <f>'[2]WD 3ME'!AG11</f>
        <v>2.6519676193448469</v>
      </c>
      <c r="AI16" s="13">
        <f>'[2]WD 3ME'!AH11</f>
        <v>2.7521128367817176</v>
      </c>
      <c r="AJ16" s="13">
        <f>'[2]WD 3ME'!AI11</f>
        <v>2.8539715402483838</v>
      </c>
      <c r="AK16" s="13">
        <f>'[2]WD 3ME'!AJ11</f>
        <v>2.9570757317036209</v>
      </c>
      <c r="AL16" s="13">
        <f>'[2]WD 3ME'!AK11</f>
        <v>3.0608810524863781</v>
      </c>
    </row>
    <row r="17" spans="1:38" x14ac:dyDescent="0.35">
      <c r="A17">
        <f t="shared" si="1"/>
        <v>1</v>
      </c>
      <c r="B17" t="s">
        <v>76</v>
      </c>
      <c r="C17" s="13">
        <f>'[2]WD 3ME'!B12</f>
        <v>1</v>
      </c>
      <c r="D17" s="13">
        <f>'[2]WD 3ME'!C12</f>
        <v>1.04</v>
      </c>
      <c r="E17" s="10">
        <f>'[2]WD 3ME'!D12</f>
        <v>1.0816000000000001</v>
      </c>
      <c r="F17" s="10">
        <f>'[2]WD 3ME'!E12</f>
        <v>1.1248640000000001</v>
      </c>
      <c r="G17" s="10">
        <f>'[2]WD 3ME'!F12</f>
        <v>1.1698585600000002</v>
      </c>
      <c r="H17" s="13">
        <f>'[2]WD 3ME'!G12</f>
        <v>1.2166529024000003</v>
      </c>
      <c r="I17" s="13">
        <f>'[2]WD 3ME'!H12</f>
        <v>1.2653190184960004</v>
      </c>
      <c r="J17" s="13">
        <f>'[2]WD 3ME'!I12</f>
        <v>1.2996944945229791</v>
      </c>
      <c r="K17" s="13">
        <f>'[2]WD 3ME'!J12</f>
        <v>1.3368143418251193</v>
      </c>
      <c r="L17" s="13">
        <f>'[2]WD 3ME'!K12</f>
        <v>1.3920197284087432</v>
      </c>
      <c r="M17" s="13">
        <f>'[2]WD 3ME'!L12</f>
        <v>1.4446851738994975</v>
      </c>
      <c r="N17" s="13">
        <f>'[2]WD 3ME'!M12</f>
        <v>1.4849463555647291</v>
      </c>
      <c r="O17" s="13">
        <f>'[2]WD 3ME'!N12</f>
        <v>1.5171385511028119</v>
      </c>
      <c r="P17" s="13">
        <f>'[2]WD 3ME'!O12</f>
        <v>1.5451341849077755</v>
      </c>
      <c r="Q17" s="13">
        <f>'[2]WD 3ME'!P12</f>
        <v>1.572769505812696</v>
      </c>
      <c r="R17" s="13">
        <f>'[2]WD 3ME'!Q12</f>
        <v>1.6017175892254918</v>
      </c>
      <c r="S17" s="13">
        <f>'[2]WD 3ME'!R12</f>
        <v>1.633555591631372</v>
      </c>
      <c r="T17" s="13">
        <f>'[2]WD 3ME'!S12</f>
        <v>1.6678816618992469</v>
      </c>
      <c r="U17" s="13">
        <f>'[2]WD 3ME'!T12</f>
        <v>1.7054632724838492</v>
      </c>
      <c r="V17" s="13">
        <f>'[2]WD 3ME'!U12</f>
        <v>1.7465417224133857</v>
      </c>
      <c r="W17" s="13">
        <f>'[2]WD 3ME'!V12</f>
        <v>1.7914820976879802</v>
      </c>
      <c r="X17" s="13">
        <f>'[2]WD 3ME'!W12</f>
        <v>1.8405473743170966</v>
      </c>
      <c r="Y17" s="13">
        <f>'[2]WD 3ME'!X12</f>
        <v>1.8943650438634472</v>
      </c>
      <c r="Z17" s="13">
        <f>'[2]WD 3ME'!Y12</f>
        <v>1.953201505017748</v>
      </c>
      <c r="AA17" s="13">
        <f>'[2]WD 3ME'!Z12</f>
        <v>2.0168377061799236</v>
      </c>
      <c r="AB17" s="13">
        <f>'[2]WD 3ME'!AA12</f>
        <v>2.0853398191874977</v>
      </c>
      <c r="AC17" s="13">
        <f>'[2]WD 3ME'!AB12</f>
        <v>2.1583543521294168</v>
      </c>
      <c r="AD17" s="13">
        <f>'[2]WD 3ME'!AC12</f>
        <v>2.2371935948111838</v>
      </c>
      <c r="AE17" s="13">
        <f>'[2]WD 3ME'!AD12</f>
        <v>2.3219967292236685</v>
      </c>
      <c r="AF17" s="13">
        <f>'[2]WD 3ME'!AE12</f>
        <v>2.4117046143631793</v>
      </c>
      <c r="AG17" s="13">
        <f>'[2]WD 3ME'!AF12</f>
        <v>2.5049344828082316</v>
      </c>
      <c r="AH17" s="13">
        <f>'[2]WD 3ME'!AG12</f>
        <v>2.6007737306918637</v>
      </c>
      <c r="AI17" s="13">
        <f>'[2]WD 3ME'!AH12</f>
        <v>2.6987188134129618</v>
      </c>
      <c r="AJ17" s="13">
        <f>'[2]WD 3ME'!AI12</f>
        <v>2.7983397378290022</v>
      </c>
      <c r="AK17" s="13">
        <f>'[2]WD 3ME'!AJ12</f>
        <v>2.8991787875553765</v>
      </c>
      <c r="AL17" s="13">
        <f>'[2]WD 3ME'!AK12</f>
        <v>3.0007035631879861</v>
      </c>
    </row>
    <row r="18" spans="1:38" x14ac:dyDescent="0.35">
      <c r="A18">
        <f t="shared" si="1"/>
        <v>1</v>
      </c>
      <c r="B18" t="s">
        <v>77</v>
      </c>
      <c r="C18" s="13">
        <f>'[2]WD 3ME'!B13</f>
        <v>1</v>
      </c>
      <c r="D18" s="13">
        <f>'[2]WD 3ME'!C13</f>
        <v>1.04</v>
      </c>
      <c r="E18" s="10">
        <f>'[2]WD 3ME'!D13</f>
        <v>1.0816000000000001</v>
      </c>
      <c r="F18" s="10">
        <f>'[2]WD 3ME'!E13</f>
        <v>1.1248640000000001</v>
      </c>
      <c r="G18" s="10">
        <f>'[2]WD 3ME'!F13</f>
        <v>1.1698585600000002</v>
      </c>
      <c r="H18" s="13">
        <f>'[2]WD 3ME'!G13</f>
        <v>1.2166529024000003</v>
      </c>
      <c r="I18" s="13">
        <f>'[2]WD 3ME'!H13</f>
        <v>1.2653190184960004</v>
      </c>
      <c r="J18" s="13">
        <f>'[2]WD 3ME'!I13</f>
        <v>1.3025059495675975</v>
      </c>
      <c r="K18" s="13">
        <f>'[2]WD 3ME'!J13</f>
        <v>1.3426617048487617</v>
      </c>
      <c r="L18" s="13">
        <f>'[2]WD 3ME'!K13</f>
        <v>1.4023821550922697</v>
      </c>
      <c r="M18" s="13">
        <f>'[2]WD 3ME'!L13</f>
        <v>1.4593549309683791</v>
      </c>
      <c r="N18" s="13">
        <f>'[2]WD 3ME'!M13</f>
        <v>1.5029089398283868</v>
      </c>
      <c r="O18" s="13">
        <f>'[2]WD 3ME'!N13</f>
        <v>1.5377340272127338</v>
      </c>
      <c r="P18" s="13">
        <f>'[2]WD 3ME'!O13</f>
        <v>1.5680193301360676</v>
      </c>
      <c r="Q18" s="13">
        <f>'[2]WD 3ME'!P13</f>
        <v>1.5979148513741213</v>
      </c>
      <c r="R18" s="13">
        <f>'[2]WD 3ME'!Q13</f>
        <v>1.62923050156851</v>
      </c>
      <c r="S18" s="13">
        <f>'[2]WD 3ME'!R13</f>
        <v>1.6612690573995064</v>
      </c>
      <c r="T18" s="13">
        <f>'[2]WD 3ME'!S13</f>
        <v>1.6958113538889652</v>
      </c>
      <c r="U18" s="13">
        <f>'[2]WD 3ME'!T13</f>
        <v>1.7336296979415797</v>
      </c>
      <c r="V18" s="13">
        <f>'[2]WD 3ME'!U13</f>
        <v>1.7749669085724571</v>
      </c>
      <c r="W18" s="13">
        <f>'[2]WD 3ME'!V13</f>
        <v>1.8201903715254941</v>
      </c>
      <c r="X18" s="13">
        <f>'[2]WD 3ME'!W13</f>
        <v>1.8695647193443414</v>
      </c>
      <c r="Y18" s="13">
        <f>'[2]WD 3ME'!X13</f>
        <v>1.9237213962763218</v>
      </c>
      <c r="Z18" s="13">
        <f>'[2]WD 3ME'!Y13</f>
        <v>1.9829284791064359</v>
      </c>
      <c r="AA18" s="13">
        <f>'[2]WD 3ME'!Z13</f>
        <v>2.0469655363883441</v>
      </c>
      <c r="AB18" s="13">
        <f>'[2]WD 3ME'!AA13</f>
        <v>2.1158991567881289</v>
      </c>
      <c r="AC18" s="13">
        <f>'[2]WD 3ME'!AB13</f>
        <v>2.1899185034252722</v>
      </c>
      <c r="AD18" s="13">
        <f>'[2]WD 3ME'!AC13</f>
        <v>2.2698427184759065</v>
      </c>
      <c r="AE18" s="13">
        <f>'[2]WD 3ME'!AD13</f>
        <v>2.3558128993299996</v>
      </c>
      <c r="AF18" s="13">
        <f>'[2]WD 3ME'!AE13</f>
        <v>2.4467553292638935</v>
      </c>
      <c r="AG18" s="13">
        <f>'[2]WD 3ME'!AF13</f>
        <v>2.5412682114439242</v>
      </c>
      <c r="AH18" s="13">
        <f>'[2]WD 3ME'!AG13</f>
        <v>2.6384263829025389</v>
      </c>
      <c r="AI18" s="13">
        <f>'[2]WD 3ME'!AH13</f>
        <v>2.7377193693426989</v>
      </c>
      <c r="AJ18" s="13">
        <f>'[2]WD 3ME'!AI13</f>
        <v>2.8387112601287319</v>
      </c>
      <c r="AK18" s="13">
        <f>'[2]WD 3ME'!AJ13</f>
        <v>2.940938039860296</v>
      </c>
      <c r="AL18" s="13">
        <f>'[2]WD 3ME'!AK13</f>
        <v>3.043859982342433</v>
      </c>
    </row>
    <row r="19" spans="1:38" s="23" customFormat="1" x14ac:dyDescent="0.35">
      <c r="A19">
        <f t="shared" si="1"/>
        <v>1</v>
      </c>
      <c r="B19" s="23" t="s">
        <v>78</v>
      </c>
      <c r="C19" s="24">
        <f>'[2]WD 3ME'!B14</f>
        <v>1</v>
      </c>
      <c r="D19" s="24">
        <f>'[2]WD 3ME'!C14</f>
        <v>1.04</v>
      </c>
      <c r="E19" s="24">
        <f>'[2]WD 3ME'!D14</f>
        <v>1.0816000000000001</v>
      </c>
      <c r="F19" s="24">
        <f>'[2]WD 3ME'!E14</f>
        <v>1.1248640000000001</v>
      </c>
      <c r="G19" s="24">
        <f>'[2]WD 3ME'!F14</f>
        <v>1.1698585600000002</v>
      </c>
      <c r="H19" s="24">
        <f>'[2]WD 3ME'!G14</f>
        <v>1.2166529024000003</v>
      </c>
      <c r="I19" s="24">
        <f>'[2]WD 3ME'!H14</f>
        <v>1.2653190184960004</v>
      </c>
      <c r="J19" s="24">
        <f>'[2]WD 3ME'!I14</f>
        <v>1.2999471878098428</v>
      </c>
      <c r="K19" s="24">
        <f>'[2]WD 3ME'!J14</f>
        <v>1.3373399022052352</v>
      </c>
      <c r="L19" s="24">
        <f>'[2]WD 3ME'!K14</f>
        <v>1.3929511022407932</v>
      </c>
      <c r="M19" s="24">
        <f>'[2]WD 3ME'!L14</f>
        <v>1.4460036901383826</v>
      </c>
      <c r="N19" s="24">
        <f>'[2]WD 3ME'!M14</f>
        <v>1.4865608307692446</v>
      </c>
      <c r="O19" s="24">
        <f>'[2]WD 3ME'!N14</f>
        <v>1.5189896703525034</v>
      </c>
      <c r="P19" s="24">
        <f>'[2]WD 3ME'!O14</f>
        <v>1.5471910993795739</v>
      </c>
      <c r="Q19" s="24">
        <f>'[2]WD 3ME'!P14</f>
        <v>1.5750295668552505</v>
      </c>
      <c r="R19" s="24">
        <f>'[2]WD 3ME'!Q14</f>
        <v>1.6041904469240178</v>
      </c>
      <c r="S19" s="24">
        <f>'[2]WD 3ME'!R14</f>
        <v>1.6353223463924988</v>
      </c>
      <c r="T19" s="24">
        <f>'[2]WD 3ME'!S14</f>
        <v>1.6688871333758095</v>
      </c>
      <c r="U19" s="24">
        <f>'[2]WD 3ME'!T14</f>
        <v>1.70563525933133</v>
      </c>
      <c r="V19" s="24">
        <f>'[2]WD 3ME'!U14</f>
        <v>1.7458026717595412</v>
      </c>
      <c r="W19" s="24">
        <f>'[2]WD 3ME'!V14</f>
        <v>1.7897463597864662</v>
      </c>
      <c r="X19" s="24">
        <f>'[2]WD 3ME'!W14</f>
        <v>1.8377234671419438</v>
      </c>
      <c r="Y19" s="24">
        <f>'[2]WD 3ME'!X14</f>
        <v>1.8903475688863258</v>
      </c>
      <c r="Z19" s="24">
        <f>'[2]WD 3ME'!Y14</f>
        <v>1.9478791555225086</v>
      </c>
      <c r="AA19" s="24">
        <f>'[2]WD 3ME'!Z14</f>
        <v>2.0101040335748768</v>
      </c>
      <c r="AB19" s="24">
        <f>'[2]WD 3ME'!AA14</f>
        <v>2.0770869073225229</v>
      </c>
      <c r="AC19" s="24">
        <f>'[2]WD 3ME'!AB14</f>
        <v>2.1483031050958741</v>
      </c>
      <c r="AD19" s="24">
        <f>'[2]WD 3ME'!AC14</f>
        <v>2.2252005510275246</v>
      </c>
      <c r="AE19" s="24">
        <f>'[2]WD 3ME'!AD14</f>
        <v>2.3079149990802663</v>
      </c>
      <c r="AF19" s="24">
        <f>'[2]WD 3ME'!AE14</f>
        <v>2.3954133947079757</v>
      </c>
      <c r="AG19" s="24">
        <f>'[2]WD 3ME'!AF14</f>
        <v>2.4863470278087698</v>
      </c>
      <c r="AH19" s="24">
        <f>'[2]WD 3ME'!AG14</f>
        <v>2.5798257717892219</v>
      </c>
      <c r="AI19" s="24">
        <f>'[2]WD 3ME'!AH14</f>
        <v>2.6753584842636213</v>
      </c>
      <c r="AJ19" s="24">
        <f>'[2]WD 3ME'!AI14</f>
        <v>2.7725257627452948</v>
      </c>
      <c r="AK19" s="24">
        <f>'[2]WD 3ME'!AJ14</f>
        <v>2.8708811643240848</v>
      </c>
      <c r="AL19" s="24">
        <f>'[2]WD 3ME'!AK14</f>
        <v>2.9699054025000446</v>
      </c>
    </row>
    <row r="20" spans="1:38" s="23" customFormat="1" x14ac:dyDescent="0.35">
      <c r="A20">
        <f t="shared" si="1"/>
        <v>1</v>
      </c>
      <c r="B20" s="23" t="s">
        <v>79</v>
      </c>
      <c r="C20" s="24">
        <f>'[2]WD 3ME'!B15</f>
        <v>1</v>
      </c>
      <c r="D20" s="24">
        <f>'[2]WD 3ME'!C15</f>
        <v>1.04</v>
      </c>
      <c r="E20" s="24">
        <f>'[2]WD 3ME'!D15</f>
        <v>1.0816000000000001</v>
      </c>
      <c r="F20" s="24">
        <f>'[2]WD 3ME'!E15</f>
        <v>1.1248640000000001</v>
      </c>
      <c r="G20" s="24">
        <f>'[2]WD 3ME'!F15</f>
        <v>1.1698585600000002</v>
      </c>
      <c r="H20" s="24">
        <f>'[2]WD 3ME'!G15</f>
        <v>1.2166529024000003</v>
      </c>
      <c r="I20" s="24">
        <f>'[2]WD 3ME'!H15</f>
        <v>1.2653190184960004</v>
      </c>
      <c r="J20" s="24">
        <f>'[2]WD 3ME'!I15</f>
        <v>1.3008243508024289</v>
      </c>
      <c r="K20" s="24">
        <f>'[2]WD 3ME'!J15</f>
        <v>1.3391642566292457</v>
      </c>
      <c r="L20" s="24">
        <f>'[2]WD 3ME'!K15</f>
        <v>1.396184138891184</v>
      </c>
      <c r="M20" s="24">
        <f>'[2]WD 3ME'!L15</f>
        <v>1.4505805970448915</v>
      </c>
      <c r="N20" s="24">
        <f>'[2]WD 3ME'!M15</f>
        <v>1.4921650868989851</v>
      </c>
      <c r="O20" s="24">
        <f>'[2]WD 3ME'!N15</f>
        <v>1.5254153784543982</v>
      </c>
      <c r="P20" s="24">
        <f>'[2]WD 3ME'!O15</f>
        <v>1.5543311753031226</v>
      </c>
      <c r="Q20" s="24">
        <f>'[2]WD 3ME'!P15</f>
        <v>1.5828748164545621</v>
      </c>
      <c r="R20" s="24">
        <f>'[2]WD 3ME'!Q15</f>
        <v>1.6127743681116464</v>
      </c>
      <c r="S20" s="24">
        <f>'[2]WD 3ME'!R15</f>
        <v>1.6437346672235129</v>
      </c>
      <c r="T20" s="24">
        <f>'[2]WD 3ME'!S15</f>
        <v>1.6771144436705452</v>
      </c>
      <c r="U20" s="24">
        <f>'[2]WD 3ME'!T15</f>
        <v>1.7136600123897083</v>
      </c>
      <c r="V20" s="24">
        <f>'[2]WD 3ME'!U15</f>
        <v>1.7536060203288053</v>
      </c>
      <c r="W20" s="24">
        <f>'[2]WD 3ME'!V15</f>
        <v>1.7973074888745832</v>
      </c>
      <c r="X20" s="24">
        <f>'[2]WD 3ME'!W15</f>
        <v>1.8450201443696828</v>
      </c>
      <c r="Y20" s="24">
        <f>'[2]WD 3ME'!X15</f>
        <v>1.8973541798225748</v>
      </c>
      <c r="Z20" s="24">
        <f>'[2]WD 3ME'!Y15</f>
        <v>1.9545686499014021</v>
      </c>
      <c r="AA20" s="24">
        <f>'[2]WD 3ME'!Z15</f>
        <v>2.0164505417741156</v>
      </c>
      <c r="AB20" s="24">
        <f>'[2]WD 3ME'!AA15</f>
        <v>2.0830642030670639</v>
      </c>
      <c r="AC20" s="24">
        <f>'[2]WD 3ME'!AB15</f>
        <v>2.1537332749966964</v>
      </c>
      <c r="AD20" s="24">
        <f>'[2]WD 3ME'!AC15</f>
        <v>2.2300399483049751</v>
      </c>
      <c r="AE20" s="24">
        <f>'[2]WD 3ME'!AD15</f>
        <v>2.3121189340107575</v>
      </c>
      <c r="AF20" s="24">
        <f>'[2]WD 3ME'!AE15</f>
        <v>2.3989451141168776</v>
      </c>
      <c r="AG20" s="24">
        <f>'[2]WD 3ME'!AF15</f>
        <v>2.489180140127035</v>
      </c>
      <c r="AH20" s="24">
        <f>'[2]WD 3ME'!AG15</f>
        <v>2.5819407239379033</v>
      </c>
      <c r="AI20" s="24">
        <f>'[2]WD 3ME'!AH15</f>
        <v>2.6767394964162134</v>
      </c>
      <c r="AJ20" s="24">
        <f>'[2]WD 3ME'!AI15</f>
        <v>2.7731602771785013</v>
      </c>
      <c r="AK20" s="24">
        <f>'[2]WD 3ME'!AJ15</f>
        <v>2.8707600531586834</v>
      </c>
      <c r="AL20" s="24">
        <f>'[2]WD 3ME'!AK15</f>
        <v>2.9690235273293388</v>
      </c>
    </row>
    <row r="21" spans="1:38" s="23" customFormat="1" x14ac:dyDescent="0.35">
      <c r="A21">
        <f t="shared" si="1"/>
        <v>1</v>
      </c>
      <c r="B21" s="23" t="s">
        <v>80</v>
      </c>
      <c r="C21" s="24">
        <f>'[2]WD 3ME'!B16</f>
        <v>1</v>
      </c>
      <c r="D21" s="24">
        <f>'[2]WD 3ME'!C16</f>
        <v>1.04</v>
      </c>
      <c r="E21" s="24">
        <f>'[2]WD 3ME'!D16</f>
        <v>1.0816000000000001</v>
      </c>
      <c r="F21" s="24">
        <f>'[2]WD 3ME'!E16</f>
        <v>1.1248640000000001</v>
      </c>
      <c r="G21" s="24">
        <f>'[2]WD 3ME'!F16</f>
        <v>1.1698585600000002</v>
      </c>
      <c r="H21" s="24">
        <f>'[2]WD 3ME'!G16</f>
        <v>1.2166529024000003</v>
      </c>
      <c r="I21" s="24">
        <f>'[2]WD 3ME'!H16</f>
        <v>1.2653190184960004</v>
      </c>
      <c r="J21" s="24">
        <f>'[2]WD 3ME'!I16</f>
        <v>1.3047289860513591</v>
      </c>
      <c r="K21" s="24">
        <f>'[2]WD 3ME'!J16</f>
        <v>1.3472852542667895</v>
      </c>
      <c r="L21" s="24">
        <f>'[2]WD 3ME'!K16</f>
        <v>1.4105757958271201</v>
      </c>
      <c r="M21" s="24">
        <f>'[2]WD 3ME'!L16</f>
        <v>1.4709544069174856</v>
      </c>
      <c r="N21" s="24">
        <f>'[2]WD 3ME'!M16</f>
        <v>1.517112076470102</v>
      </c>
      <c r="O21" s="24">
        <f>'[2]WD 3ME'!N16</f>
        <v>1.5540190092118014</v>
      </c>
      <c r="P21" s="24">
        <f>'[2]WD 3ME'!O16</f>
        <v>1.5861147689644637</v>
      </c>
      <c r="Q21" s="24">
        <f>'[2]WD 3ME'!P16</f>
        <v>1.6177974458644164</v>
      </c>
      <c r="R21" s="24">
        <f>'[2]WD 3ME'!Q16</f>
        <v>1.6509851470963277</v>
      </c>
      <c r="S21" s="24">
        <f>'[2]WD 3ME'!R16</f>
        <v>1.6832301284319695</v>
      </c>
      <c r="T21" s="24">
        <f>'[2]WD 3ME'!S16</f>
        <v>1.7179949821122724</v>
      </c>
      <c r="U21" s="24">
        <f>'[2]WD 3ME'!T16</f>
        <v>1.756056991041578</v>
      </c>
      <c r="V21" s="24">
        <f>'[2]WD 3ME'!U16</f>
        <v>1.7976605387261642</v>
      </c>
      <c r="W21" s="24">
        <f>'[2]WD 3ME'!V16</f>
        <v>1.8431753779887683</v>
      </c>
      <c r="X21" s="24">
        <f>'[2]WD 3ME'!W16</f>
        <v>1.8928678464095181</v>
      </c>
      <c r="Y21" s="24">
        <f>'[2]WD 3ME'!X16</f>
        <v>1.9473734566524934</v>
      </c>
      <c r="Z21" s="24">
        <f>'[2]WD 3ME'!Y16</f>
        <v>2.0069620127305359</v>
      </c>
      <c r="AA21" s="24">
        <f>'[2]WD 3ME'!Z16</f>
        <v>2.0714116629500023</v>
      </c>
      <c r="AB21" s="24">
        <f>'[2]WD 3ME'!AA16</f>
        <v>2.1407894250100146</v>
      </c>
      <c r="AC21" s="24">
        <f>'[2]WD 3ME'!AB16</f>
        <v>2.2170004789461326</v>
      </c>
      <c r="AD21" s="24">
        <f>'[2]WD 3ME'!AC16</f>
        <v>2.2992912440063207</v>
      </c>
      <c r="AE21" s="24">
        <f>'[2]WD 3ME'!AD16</f>
        <v>2.3878069954636745</v>
      </c>
      <c r="AF21" s="24">
        <f>'[2]WD 3ME'!AE16</f>
        <v>2.4814422239229281</v>
      </c>
      <c r="AG21" s="24">
        <f>'[2]WD 3ME'!AF16</f>
        <v>2.5787536254513741</v>
      </c>
      <c r="AH21" s="24">
        <f>'[2]WD 3ME'!AG16</f>
        <v>2.6787886430754213</v>
      </c>
      <c r="AI21" s="24">
        <f>'[2]WD 3ME'!AH16</f>
        <v>2.7810216873924052</v>
      </c>
      <c r="AJ21" s="24">
        <f>'[2]WD 3ME'!AI16</f>
        <v>2.8850039404854453</v>
      </c>
      <c r="AK21" s="24">
        <f>'[2]WD 3ME'!AJ16</f>
        <v>2.9902576474930185</v>
      </c>
      <c r="AL21" s="24">
        <f>'[2]WD 3ME'!AK16</f>
        <v>3.0962271009680395</v>
      </c>
    </row>
    <row r="22" spans="1:38" x14ac:dyDescent="0.35">
      <c r="A22">
        <f t="shared" si="1"/>
        <v>1</v>
      </c>
      <c r="B22" t="s">
        <v>81</v>
      </c>
      <c r="C22" s="13">
        <f>'[2]WD 3ME'!B17</f>
        <v>1</v>
      </c>
      <c r="D22" s="13">
        <f>'[2]WD 3ME'!C17</f>
        <v>1.04</v>
      </c>
      <c r="E22" s="10">
        <f>'[2]WD 3ME'!D17</f>
        <v>1.0816000000000001</v>
      </c>
      <c r="F22" s="10">
        <f>'[2]WD 3ME'!E17</f>
        <v>1.1248640000000001</v>
      </c>
      <c r="G22" s="10">
        <f>'[2]WD 3ME'!F17</f>
        <v>1.1698585600000002</v>
      </c>
      <c r="H22" s="13">
        <f>'[2]WD 3ME'!G17</f>
        <v>1.2166529024000003</v>
      </c>
      <c r="I22" s="13">
        <f>'[2]WD 3ME'!H17</f>
        <v>1.2653190184960004</v>
      </c>
      <c r="J22" s="13">
        <f>'[2]WD 3ME'!I17</f>
        <v>1.302705265118121</v>
      </c>
      <c r="K22" s="13">
        <f>'[2]WD 3ME'!J17</f>
        <v>1.3430762483366254</v>
      </c>
      <c r="L22" s="13">
        <f>'[2]WD 3ME'!K17</f>
        <v>1.4031167899153092</v>
      </c>
      <c r="M22" s="13">
        <f>'[2]WD 3ME'!L17</f>
        <v>1.4603949300648709</v>
      </c>
      <c r="N22" s="13">
        <f>'[2]WD 3ME'!M17</f>
        <v>1.5041823809165482</v>
      </c>
      <c r="O22" s="13">
        <f>'[2]WD 3ME'!N17</f>
        <v>1.5391941247757379</v>
      </c>
      <c r="P22" s="13">
        <f>'[2]WD 3ME'!O17</f>
        <v>1.5696417517105186</v>
      </c>
      <c r="Q22" s="13">
        <f>'[2]WD 3ME'!P17</f>
        <v>1.5996975077972686</v>
      </c>
      <c r="R22" s="13">
        <f>'[2]WD 3ME'!Q17</f>
        <v>1.6311810044871502</v>
      </c>
      <c r="S22" s="13">
        <f>'[2]WD 3ME'!R17</f>
        <v>1.6627480197921438</v>
      </c>
      <c r="T22" s="13">
        <f>'[2]WD 3ME'!S17</f>
        <v>1.6967819259302428</v>
      </c>
      <c r="U22" s="13">
        <f>'[2]WD 3ME'!T17</f>
        <v>1.7340436630639566</v>
      </c>
      <c r="V22" s="13">
        <f>'[2]WD 3ME'!U17</f>
        <v>1.7747724764204003</v>
      </c>
      <c r="W22" s="13">
        <f>'[2]WD 3ME'!V17</f>
        <v>1.8193303445937903</v>
      </c>
      <c r="X22" s="13">
        <f>'[2]WD 3ME'!W17</f>
        <v>1.8679780052902732</v>
      </c>
      <c r="Y22" s="13">
        <f>'[2]WD 3ME'!X17</f>
        <v>1.9213376092186585</v>
      </c>
      <c r="Z22" s="13">
        <f>'[2]WD 3ME'!Y17</f>
        <v>1.9796732876344141</v>
      </c>
      <c r="AA22" s="13">
        <f>'[2]WD 3ME'!Z17</f>
        <v>2.042767853381009</v>
      </c>
      <c r="AB22" s="13">
        <f>'[2]WD 3ME'!AA17</f>
        <v>2.1106869150786465</v>
      </c>
      <c r="AC22" s="13">
        <f>'[2]WD 3ME'!AB17</f>
        <v>2.184779466023127</v>
      </c>
      <c r="AD22" s="13">
        <f>'[2]WD 3ME'!AC17</f>
        <v>2.2647827252300265</v>
      </c>
      <c r="AE22" s="13">
        <f>'[2]WD 3ME'!AD17</f>
        <v>2.3508379296330566</v>
      </c>
      <c r="AF22" s="13">
        <f>'[2]WD 3ME'!AE17</f>
        <v>2.441870300614708</v>
      </c>
      <c r="AG22" s="13">
        <f>'[2]WD 3ME'!AF17</f>
        <v>2.5364766549799005</v>
      </c>
      <c r="AH22" s="13">
        <f>'[2]WD 3ME'!AG17</f>
        <v>2.6337309147852368</v>
      </c>
      <c r="AI22" s="13">
        <f>'[2]WD 3ME'!AH17</f>
        <v>2.7331221008802982</v>
      </c>
      <c r="AJ22" s="13">
        <f>'[2]WD 3ME'!AI17</f>
        <v>2.8342138715186613</v>
      </c>
      <c r="AK22" s="13">
        <f>'[2]WD 3ME'!AJ17</f>
        <v>2.9365417523939339</v>
      </c>
      <c r="AL22" s="13">
        <f>'[2]WD 3ME'!AK17</f>
        <v>3.0395654835279782</v>
      </c>
    </row>
    <row r="23" spans="1:38" x14ac:dyDescent="0.35">
      <c r="A23">
        <f t="shared" si="1"/>
        <v>1</v>
      </c>
      <c r="B23" t="s">
        <v>82</v>
      </c>
      <c r="C23" s="13">
        <f>'[2]WD 3ME'!B18</f>
        <v>1</v>
      </c>
      <c r="D23" s="13">
        <f>'[2]WD 3ME'!C18</f>
        <v>1.04</v>
      </c>
      <c r="E23" s="10">
        <f>'[2]WD 3ME'!D18</f>
        <v>1.0816000000000001</v>
      </c>
      <c r="F23" s="10">
        <f>'[2]WD 3ME'!E18</f>
        <v>1.1248640000000001</v>
      </c>
      <c r="G23" s="10">
        <f>'[2]WD 3ME'!F18</f>
        <v>1.1698585600000002</v>
      </c>
      <c r="H23" s="13">
        <f>'[2]WD 3ME'!G18</f>
        <v>1.2166529024000003</v>
      </c>
      <c r="I23" s="13">
        <f>'[2]WD 3ME'!H18</f>
        <v>1.2653190184960004</v>
      </c>
      <c r="J23" s="13">
        <f>'[2]WD 3ME'!I18</f>
        <v>1.3003413488669102</v>
      </c>
      <c r="K23" s="13">
        <f>'[2]WD 3ME'!J18</f>
        <v>1.3381596922263732</v>
      </c>
      <c r="L23" s="13">
        <f>'[2]WD 3ME'!K18</f>
        <v>1.3944038962533387</v>
      </c>
      <c r="M23" s="13">
        <f>'[2]WD 3ME'!L18</f>
        <v>1.4480603643022683</v>
      </c>
      <c r="N23" s="13">
        <f>'[2]WD 3ME'!M18</f>
        <v>1.4890791535197998</v>
      </c>
      <c r="O23" s="13">
        <f>'[2]WD 3ME'!N18</f>
        <v>1.5218771199134815</v>
      </c>
      <c r="P23" s="13">
        <f>'[2]WD 3ME'!O18</f>
        <v>1.550399556527623</v>
      </c>
      <c r="Q23" s="13">
        <f>'[2]WD 3ME'!P18</f>
        <v>1.5785549001184618</v>
      </c>
      <c r="R23" s="13">
        <f>'[2]WD 3ME'!Q18</f>
        <v>1.6080477088898051</v>
      </c>
      <c r="S23" s="13">
        <f>'[2]WD 3ME'!R18</f>
        <v>1.6398818576375864</v>
      </c>
      <c r="T23" s="13">
        <f>'[2]WD 3ME'!S18</f>
        <v>1.6742037730927</v>
      </c>
      <c r="U23" s="13">
        <f>'[2]WD 3ME'!T18</f>
        <v>1.7117808348153432</v>
      </c>
      <c r="V23" s="13">
        <f>'[2]WD 3ME'!U18</f>
        <v>1.7528543126269922</v>
      </c>
      <c r="W23" s="13">
        <f>'[2]WD 3ME'!V18</f>
        <v>1.7977892483379188</v>
      </c>
      <c r="X23" s="13">
        <f>'[2]WD 3ME'!W18</f>
        <v>1.8468485861270838</v>
      </c>
      <c r="Y23" s="13">
        <f>'[2]WD 3ME'!X18</f>
        <v>1.9006597416058912</v>
      </c>
      <c r="Z23" s="13">
        <f>'[2]WD 3ME'!Y18</f>
        <v>1.9594890812202743</v>
      </c>
      <c r="AA23" s="13">
        <f>'[2]WD 3ME'!Z18</f>
        <v>2.0231175798840688</v>
      </c>
      <c r="AB23" s="13">
        <f>'[2]WD 3ME'!AA18</f>
        <v>2.0916114014253875</v>
      </c>
      <c r="AC23" s="13">
        <f>'[2]WD 3ME'!AB18</f>
        <v>2.1652551524601535</v>
      </c>
      <c r="AD23" s="13">
        <f>'[2]WD 3ME'!AC18</f>
        <v>2.2447738088959079</v>
      </c>
      <c r="AE23" s="13">
        <f>'[2]WD 3ME'!AD18</f>
        <v>2.3303077521535971</v>
      </c>
      <c r="AF23" s="13">
        <f>'[2]WD 3ME'!AE18</f>
        <v>2.4207887138591895</v>
      </c>
      <c r="AG23" s="13">
        <f>'[2]WD 3ME'!AF18</f>
        <v>2.5148220103021446</v>
      </c>
      <c r="AH23" s="13">
        <f>'[2]WD 3ME'!AG18</f>
        <v>2.6114871730597535</v>
      </c>
      <c r="AI23" s="13">
        <f>'[2]WD 3ME'!AH18</f>
        <v>2.7102763181294049</v>
      </c>
      <c r="AJ23" s="13">
        <f>'[2]WD 3ME'!AI18</f>
        <v>2.8107557468122404</v>
      </c>
      <c r="AK23" s="13">
        <f>'[2]WD 3ME'!AJ18</f>
        <v>2.9124637982564474</v>
      </c>
      <c r="AL23" s="13">
        <f>'[2]WD 3ME'!AK18</f>
        <v>3.0148634849940983</v>
      </c>
    </row>
    <row r="24" spans="1:38" x14ac:dyDescent="0.35">
      <c r="A24">
        <f t="shared" si="1"/>
        <v>1</v>
      </c>
      <c r="B24" t="s">
        <v>83</v>
      </c>
      <c r="C24" s="13">
        <f>'[2]WD 3ME'!B19</f>
        <v>1</v>
      </c>
      <c r="D24" s="13">
        <f>'[2]WD 3ME'!C19</f>
        <v>1.04</v>
      </c>
      <c r="E24" s="10">
        <f>'[2]WD 3ME'!D19</f>
        <v>1.0816000000000001</v>
      </c>
      <c r="F24" s="10">
        <f>'[2]WD 3ME'!E19</f>
        <v>1.1248640000000001</v>
      </c>
      <c r="G24" s="10">
        <f>'[2]WD 3ME'!F19</f>
        <v>1.1698585600000002</v>
      </c>
      <c r="H24" s="13">
        <f>'[2]WD 3ME'!G19</f>
        <v>1.2166529024000003</v>
      </c>
      <c r="I24" s="13">
        <f>'[2]WD 3ME'!H19</f>
        <v>1.2653190184960004</v>
      </c>
      <c r="J24" s="13">
        <f>'[2]WD 3ME'!I19</f>
        <v>1.3003413488669102</v>
      </c>
      <c r="K24" s="13">
        <f>'[2]WD 3ME'!J19</f>
        <v>1.3381596922263732</v>
      </c>
      <c r="L24" s="13">
        <f>'[2]WD 3ME'!K19</f>
        <v>1.3944038962533387</v>
      </c>
      <c r="M24" s="13">
        <f>'[2]WD 3ME'!L19</f>
        <v>1.4480603643022683</v>
      </c>
      <c r="N24" s="13">
        <f>'[2]WD 3ME'!M19</f>
        <v>1.4890791535197998</v>
      </c>
      <c r="O24" s="13">
        <f>'[2]WD 3ME'!N19</f>
        <v>1.5218771199134815</v>
      </c>
      <c r="P24" s="13">
        <f>'[2]WD 3ME'!O19</f>
        <v>1.550399556527623</v>
      </c>
      <c r="Q24" s="13">
        <f>'[2]WD 3ME'!P19</f>
        <v>1.5785549001184618</v>
      </c>
      <c r="R24" s="13">
        <f>'[2]WD 3ME'!Q19</f>
        <v>1.6080477088898051</v>
      </c>
      <c r="S24" s="13">
        <f>'[2]WD 3ME'!R19</f>
        <v>1.6398818576375864</v>
      </c>
      <c r="T24" s="13">
        <f>'[2]WD 3ME'!S19</f>
        <v>1.6742037730927</v>
      </c>
      <c r="U24" s="13">
        <f>'[2]WD 3ME'!T19</f>
        <v>1.7117808348153432</v>
      </c>
      <c r="V24" s="13">
        <f>'[2]WD 3ME'!U19</f>
        <v>1.7528543126269922</v>
      </c>
      <c r="W24" s="13">
        <f>'[2]WD 3ME'!V19</f>
        <v>1.7977892483379188</v>
      </c>
      <c r="X24" s="13">
        <f>'[2]WD 3ME'!W19</f>
        <v>1.8468485861270838</v>
      </c>
      <c r="Y24" s="13">
        <f>'[2]WD 3ME'!X19</f>
        <v>1.9006597416058912</v>
      </c>
      <c r="Z24" s="13">
        <f>'[2]WD 3ME'!Y19</f>
        <v>1.9594890812202743</v>
      </c>
      <c r="AA24" s="13">
        <f>'[2]WD 3ME'!Z19</f>
        <v>2.0231175798840688</v>
      </c>
      <c r="AB24" s="13">
        <f>'[2]WD 3ME'!AA19</f>
        <v>2.0916114014253875</v>
      </c>
      <c r="AC24" s="13">
        <f>'[2]WD 3ME'!AB19</f>
        <v>2.1652551524601535</v>
      </c>
      <c r="AD24" s="13">
        <f>'[2]WD 3ME'!AC19</f>
        <v>2.2447738088959079</v>
      </c>
      <c r="AE24" s="13">
        <f>'[2]WD 3ME'!AD19</f>
        <v>2.3303077521535971</v>
      </c>
      <c r="AF24" s="13">
        <f>'[2]WD 3ME'!AE19</f>
        <v>2.4207887138591895</v>
      </c>
      <c r="AG24" s="13">
        <f>'[2]WD 3ME'!AF19</f>
        <v>2.5148220103021446</v>
      </c>
      <c r="AH24" s="13">
        <f>'[2]WD 3ME'!AG19</f>
        <v>2.6114871730597535</v>
      </c>
      <c r="AI24" s="13">
        <f>'[2]WD 3ME'!AH19</f>
        <v>2.7102763181294049</v>
      </c>
      <c r="AJ24" s="13">
        <f>'[2]WD 3ME'!AI19</f>
        <v>2.8107557468122404</v>
      </c>
      <c r="AK24" s="13">
        <f>'[2]WD 3ME'!AJ19</f>
        <v>2.9124637982564474</v>
      </c>
      <c r="AL24" s="13">
        <f>'[2]WD 3ME'!AK19</f>
        <v>3.0148634849940983</v>
      </c>
    </row>
    <row r="25" spans="1:38" x14ac:dyDescent="0.35">
      <c r="A25">
        <f t="shared" si="1"/>
        <v>1</v>
      </c>
      <c r="B25" t="s">
        <v>84</v>
      </c>
      <c r="C25" s="13">
        <f>'[2]WD 3ME'!B20</f>
        <v>1</v>
      </c>
      <c r="D25" s="13">
        <f>'[2]WD 3ME'!C20</f>
        <v>1.04</v>
      </c>
      <c r="E25" s="10">
        <f>'[2]WD 3ME'!D20</f>
        <v>1.0816000000000001</v>
      </c>
      <c r="F25" s="10">
        <f>'[2]WD 3ME'!E20</f>
        <v>1.1248640000000001</v>
      </c>
      <c r="G25" s="10">
        <f>'[2]WD 3ME'!F20</f>
        <v>1.1698585600000002</v>
      </c>
      <c r="H25" s="13">
        <f>'[2]WD 3ME'!G20</f>
        <v>1.2166529024000003</v>
      </c>
      <c r="I25" s="13">
        <f>'[2]WD 3ME'!H20</f>
        <v>1.2653190184960004</v>
      </c>
      <c r="J25" s="13">
        <f>'[2]WD 3ME'!I20</f>
        <v>1.2996908753314855</v>
      </c>
      <c r="K25" s="13">
        <f>'[2]WD 3ME'!J20</f>
        <v>1.3368068145034371</v>
      </c>
      <c r="L25" s="13">
        <f>'[2]WD 3ME'!K20</f>
        <v>1.3920063888369156</v>
      </c>
      <c r="M25" s="13">
        <f>'[2]WD 3ME'!L20</f>
        <v>1.4446662894929689</v>
      </c>
      <c r="N25" s="13">
        <f>'[2]WD 3ME'!M20</f>
        <v>1.4849232322954107</v>
      </c>
      <c r="O25" s="13">
        <f>'[2]WD 3ME'!N20</f>
        <v>1.5171120385067489</v>
      </c>
      <c r="P25" s="13">
        <f>'[2]WD 3ME'!O20</f>
        <v>1.5451047248162466</v>
      </c>
      <c r="Q25" s="13">
        <f>'[2]WD 3ME'!P20</f>
        <v>1.5727371361609253</v>
      </c>
      <c r="R25" s="13">
        <f>'[2]WD 3ME'!Q20</f>
        <v>1.601682171800443</v>
      </c>
      <c r="S25" s="13">
        <f>'[2]WD 3ME'!R20</f>
        <v>1.6334933489594441</v>
      </c>
      <c r="T25" s="13">
        <f>'[2]WD 3ME'!S20</f>
        <v>1.667790497648082</v>
      </c>
      <c r="U25" s="13">
        <f>'[2]WD 3ME'!T20</f>
        <v>1.7053404436838475</v>
      </c>
      <c r="V25" s="13">
        <f>'[2]WD 3ME'!U20</f>
        <v>1.7463842827874054</v>
      </c>
      <c r="W25" s="13">
        <f>'[2]WD 3ME'!V20</f>
        <v>1.7912867933540884</v>
      </c>
      <c r="X25" s="13">
        <f>'[2]WD 3ME'!W20</f>
        <v>1.840310729821784</v>
      </c>
      <c r="Y25" s="13">
        <f>'[2]WD 3ME'!X20</f>
        <v>1.8940830550574697</v>
      </c>
      <c r="Z25" s="13">
        <f>'[2]WD 3ME'!Y20</f>
        <v>1.9528699432964902</v>
      </c>
      <c r="AA25" s="13">
        <f>'[2]WD 3ME'!Z20</f>
        <v>2.0164525275016452</v>
      </c>
      <c r="AB25" s="13">
        <f>'[2]WD 3ME'!AA20</f>
        <v>2.0848969237570891</v>
      </c>
      <c r="AC25" s="13">
        <f>'[2]WD 3ME'!AB20</f>
        <v>2.1583772593762909</v>
      </c>
      <c r="AD25" s="13">
        <f>'[2]WD 3ME'!AC20</f>
        <v>2.2377194639868194</v>
      </c>
      <c r="AE25" s="13">
        <f>'[2]WD 3ME'!AD20</f>
        <v>2.3230636075033777</v>
      </c>
      <c r="AF25" s="13">
        <f>'[2]WD 3ME'!AE20</f>
        <v>2.4133437920384697</v>
      </c>
      <c r="AG25" s="13">
        <f>'[2]WD 3ME'!AF20</f>
        <v>2.5071684286834217</v>
      </c>
      <c r="AH25" s="13">
        <f>'[2]WD 3ME'!AG20</f>
        <v>2.6036190915341049</v>
      </c>
      <c r="AI25" s="13">
        <f>'[2]WD 3ME'!AH20</f>
        <v>2.7021890235820405</v>
      </c>
      <c r="AJ25" s="13">
        <f>'[2]WD 3ME'!AI20</f>
        <v>2.8024454885053829</v>
      </c>
      <c r="AK25" s="13">
        <f>'[2]WD 3ME'!AJ20</f>
        <v>2.9039278498773236</v>
      </c>
      <c r="AL25" s="13">
        <f>'[2]WD 3ME'!AK20</f>
        <v>3.0061003118046292</v>
      </c>
    </row>
    <row r="26" spans="1:38" x14ac:dyDescent="0.35">
      <c r="A26">
        <f t="shared" si="1"/>
        <v>1</v>
      </c>
      <c r="B26" t="s">
        <v>85</v>
      </c>
      <c r="C26" s="13">
        <f>'[2]WD 3ME'!B21</f>
        <v>1</v>
      </c>
      <c r="D26" s="13">
        <f>'[2]WD 3ME'!C21</f>
        <v>1.04</v>
      </c>
      <c r="E26" s="10">
        <f>'[2]WD 3ME'!D21</f>
        <v>1.0816000000000001</v>
      </c>
      <c r="F26" s="10">
        <f>'[2]WD 3ME'!E21</f>
        <v>1.1248640000000001</v>
      </c>
      <c r="G26" s="10">
        <f>'[2]WD 3ME'!F21</f>
        <v>1.1698585600000002</v>
      </c>
      <c r="H26" s="13">
        <f>'[2]WD 3ME'!G21</f>
        <v>1.2166529024000003</v>
      </c>
      <c r="I26" s="13">
        <f>'[2]WD 3ME'!H21</f>
        <v>1.2653190184960004</v>
      </c>
      <c r="J26" s="13">
        <f>'[2]WD 3ME'!I21</f>
        <v>1.3020124701423788</v>
      </c>
      <c r="K26" s="13">
        <f>'[2]WD 3ME'!J21</f>
        <v>1.3416353489945305</v>
      </c>
      <c r="L26" s="13">
        <f>'[2]WD 3ME'!K21</f>
        <v>1.4005632946507891</v>
      </c>
      <c r="M26" s="13">
        <f>'[2]WD 3ME'!L21</f>
        <v>1.4567800282324073</v>
      </c>
      <c r="N26" s="13">
        <f>'[2]WD 3ME'!M21</f>
        <v>1.4997560650296806</v>
      </c>
      <c r="O26" s="13">
        <f>'[2]WD 3ME'!N21</f>
        <v>1.53411901521662</v>
      </c>
      <c r="P26" s="13">
        <f>'[2]WD 3ME'!O21</f>
        <v>1.5640024249627404</v>
      </c>
      <c r="Q26" s="13">
        <f>'[2]WD 3ME'!P21</f>
        <v>1.5935012255193062</v>
      </c>
      <c r="R26" s="13">
        <f>'[2]WD 3ME'!Q21</f>
        <v>1.6244013095829888</v>
      </c>
      <c r="S26" s="13">
        <f>'[2]WD 3ME'!R21</f>
        <v>1.6564717505028717</v>
      </c>
      <c r="T26" s="13">
        <f>'[2]WD 3ME'!S21</f>
        <v>1.6910484238287808</v>
      </c>
      <c r="U26" s="13">
        <f>'[2]WD 3ME'!T21</f>
        <v>1.7289044050729099</v>
      </c>
      <c r="V26" s="13">
        <f>'[2]WD 3ME'!U21</f>
        <v>1.7702827549062605</v>
      </c>
      <c r="W26" s="13">
        <f>'[2]WD 3ME'!V21</f>
        <v>1.81555122469867</v>
      </c>
      <c r="X26" s="13">
        <f>'[2]WD 3ME'!W21</f>
        <v>1.8649747103587242</v>
      </c>
      <c r="Y26" s="13">
        <f>'[2]WD 3ME'!X21</f>
        <v>1.9191852845533304</v>
      </c>
      <c r="Z26" s="13">
        <f>'[2]WD 3ME'!Y21</f>
        <v>1.9784512908601675</v>
      </c>
      <c r="AA26" s="13">
        <f>'[2]WD 3ME'!Z21</f>
        <v>2.0425520784573319</v>
      </c>
      <c r="AB26" s="13">
        <f>'[2]WD 3ME'!AA21</f>
        <v>2.1115543022806085</v>
      </c>
      <c r="AC26" s="13">
        <f>'[2]WD 3ME'!AB21</f>
        <v>2.1860844671994863</v>
      </c>
      <c r="AD26" s="13">
        <f>'[2]WD 3ME'!AC21</f>
        <v>2.2665602508879972</v>
      </c>
      <c r="AE26" s="13">
        <f>'[2]WD 3ME'!AD21</f>
        <v>2.3531237244697278</v>
      </c>
      <c r="AF26" s="13">
        <f>'[2]WD 3ME'!AE21</f>
        <v>2.4446937613456736</v>
      </c>
      <c r="AG26" s="13">
        <f>'[2]WD 3ME'!AF21</f>
        <v>2.5398588906782451</v>
      </c>
      <c r="AH26" s="13">
        <f>'[2]WD 3ME'!AG21</f>
        <v>2.6376875648156295</v>
      </c>
      <c r="AI26" s="13">
        <f>'[2]WD 3ME'!AH21</f>
        <v>2.7376657866033849</v>
      </c>
      <c r="AJ26" s="13">
        <f>'[2]WD 3ME'!AI21</f>
        <v>2.8393546371231126</v>
      </c>
      <c r="AK26" s="13">
        <f>'[2]WD 3ME'!AJ21</f>
        <v>2.9422868987366737</v>
      </c>
      <c r="AL26" s="13">
        <f>'[2]WD 3ME'!AK21</f>
        <v>3.0459191205201024</v>
      </c>
    </row>
    <row r="27" spans="1:38" s="23" customFormat="1" x14ac:dyDescent="0.35">
      <c r="A27">
        <f t="shared" si="1"/>
        <v>1</v>
      </c>
      <c r="B27" s="23" t="s">
        <v>86</v>
      </c>
      <c r="C27" s="24">
        <f>'[2]WD 3ME'!B22</f>
        <v>1</v>
      </c>
      <c r="D27" s="24">
        <f>'[2]WD 3ME'!C22</f>
        <v>1.04</v>
      </c>
      <c r="E27" s="24">
        <f>'[2]WD 3ME'!D22</f>
        <v>1.0816000000000001</v>
      </c>
      <c r="F27" s="24">
        <f>'[2]WD 3ME'!E22</f>
        <v>1.1248640000000001</v>
      </c>
      <c r="G27" s="24">
        <f>'[2]WD 3ME'!F22</f>
        <v>1.1698585600000002</v>
      </c>
      <c r="H27" s="24">
        <f>'[2]WD 3ME'!G22</f>
        <v>1.2166529024000003</v>
      </c>
      <c r="I27" s="24">
        <f>'[2]WD 3ME'!H22</f>
        <v>1.2653190184960004</v>
      </c>
      <c r="J27" s="24">
        <f>'[2]WD 3ME'!I22</f>
        <v>1.3042979864932911</v>
      </c>
      <c r="K27" s="24">
        <f>'[2]WD 3ME'!J22</f>
        <v>1.3463888462364078</v>
      </c>
      <c r="L27" s="24">
        <f>'[2]WD 3ME'!K22</f>
        <v>1.4089872229172804</v>
      </c>
      <c r="M27" s="24">
        <f>'[2]WD 3ME'!L22</f>
        <v>1.4687055148977619</v>
      </c>
      <c r="N27" s="24">
        <f>'[2]WD 3ME'!M22</f>
        <v>1.5143583899424742</v>
      </c>
      <c r="O27" s="24">
        <f>'[2]WD 3ME'!N22</f>
        <v>1.5508616970866904</v>
      </c>
      <c r="P27" s="24">
        <f>'[2]WD 3ME'!O22</f>
        <v>1.5826064477133031</v>
      </c>
      <c r="Q27" s="24">
        <f>'[2]WD 3ME'!P22</f>
        <v>1.6139426330886659</v>
      </c>
      <c r="R27" s="24">
        <f>'[2]WD 3ME'!Q22</f>
        <v>1.646767383385787</v>
      </c>
      <c r="S27" s="24">
        <f>'[2]WD 3ME'!R22</f>
        <v>1.6791726604754664</v>
      </c>
      <c r="T27" s="24">
        <f>'[2]WD 3ME'!S22</f>
        <v>1.7141103366603534</v>
      </c>
      <c r="U27" s="24">
        <f>'[2]WD 3ME'!T22</f>
        <v>1.7523615588615788</v>
      </c>
      <c r="V27" s="24">
        <f>'[2]WD 3ME'!U22</f>
        <v>1.794171925460939</v>
      </c>
      <c r="W27" s="24">
        <f>'[2]WD 3ME'!V22</f>
        <v>1.8399130273907023</v>
      </c>
      <c r="X27" s="24">
        <f>'[2]WD 3ME'!W22</f>
        <v>1.8898525262442685</v>
      </c>
      <c r="Y27" s="24">
        <f>'[2]WD 3ME'!X22</f>
        <v>1.9446290939364739</v>
      </c>
      <c r="Z27" s="24">
        <f>'[2]WD 3ME'!Y22</f>
        <v>2.004513875725709</v>
      </c>
      <c r="AA27" s="24">
        <f>'[2]WD 3ME'!Z22</f>
        <v>2.0692839170526116</v>
      </c>
      <c r="AB27" s="24">
        <f>'[2]WD 3ME'!AA22</f>
        <v>2.1390065687736564</v>
      </c>
      <c r="AC27" s="24">
        <f>'[2]WD 3ME'!AB22</f>
        <v>2.214641046445641</v>
      </c>
      <c r="AD27" s="24">
        <f>'[2]WD 3ME'!AC22</f>
        <v>2.2963092390646866</v>
      </c>
      <c r="AE27" s="24">
        <f>'[2]WD 3ME'!AD22</f>
        <v>2.3841553228208827</v>
      </c>
      <c r="AF27" s="24">
        <f>'[2]WD 3ME'!AE22</f>
        <v>2.4770821520725681</v>
      </c>
      <c r="AG27" s="24">
        <f>'[2]WD 3ME'!AF22</f>
        <v>2.5736573422320195</v>
      </c>
      <c r="AH27" s="24">
        <f>'[2]WD 3ME'!AG22</f>
        <v>2.6729355429146224</v>
      </c>
      <c r="AI27" s="24">
        <f>'[2]WD 3ME'!AH22</f>
        <v>2.7743951410749288</v>
      </c>
      <c r="AJ27" s="24">
        <f>'[2]WD 3ME'!AI22</f>
        <v>2.8775907143370514</v>
      </c>
      <c r="AK27" s="24">
        <f>'[2]WD 3ME'!AJ22</f>
        <v>2.9820481223034978</v>
      </c>
      <c r="AL27" s="24">
        <f>'[2]WD 3ME'!AK22</f>
        <v>3.0872158617430716</v>
      </c>
    </row>
    <row r="28" spans="1:38" x14ac:dyDescent="0.35">
      <c r="A28">
        <f t="shared" si="1"/>
        <v>1</v>
      </c>
      <c r="B28" t="s">
        <v>87</v>
      </c>
      <c r="C28" s="13">
        <f>'[2]WD 3ME'!B23</f>
        <v>1</v>
      </c>
      <c r="D28" s="13">
        <f>'[2]WD 3ME'!C23</f>
        <v>1.04</v>
      </c>
      <c r="E28" s="10">
        <f>'[2]WD 3ME'!D23</f>
        <v>1.0816000000000001</v>
      </c>
      <c r="F28" s="10">
        <f>'[2]WD 3ME'!E23</f>
        <v>1.1248640000000001</v>
      </c>
      <c r="G28" s="10">
        <f>'[2]WD 3ME'!F23</f>
        <v>1.1698585600000002</v>
      </c>
      <c r="H28" s="13">
        <f>'[2]WD 3ME'!G23</f>
        <v>1.2166529024000003</v>
      </c>
      <c r="I28" s="13">
        <f>'[2]WD 3ME'!H23</f>
        <v>1.2653190184960004</v>
      </c>
      <c r="J28" s="13">
        <f>'[2]WD 3ME'!I23</f>
        <v>1.3031891166911456</v>
      </c>
      <c r="K28" s="13">
        <f>'[2]WD 3ME'!J23</f>
        <v>1.3440825798454472</v>
      </c>
      <c r="L28" s="13">
        <f>'[2]WD 3ME'!K23</f>
        <v>1.4049001641367016</v>
      </c>
      <c r="M28" s="13">
        <f>'[2]WD 3ME'!L23</f>
        <v>1.4629195960904768</v>
      </c>
      <c r="N28" s="13">
        <f>'[2]WD 3ME'!M23</f>
        <v>1.5072737426895895</v>
      </c>
      <c r="O28" s="13">
        <f>'[2]WD 3ME'!N23</f>
        <v>1.5427386073852147</v>
      </c>
      <c r="P28" s="13">
        <f>'[2]WD 3ME'!O23</f>
        <v>1.5735802865054462</v>
      </c>
      <c r="Q28" s="13">
        <f>'[2]WD 3ME'!P23</f>
        <v>1.6040250231980326</v>
      </c>
      <c r="R28" s="13">
        <f>'[2]WD 3ME'!Q23</f>
        <v>1.635915978265635</v>
      </c>
      <c r="S28" s="13">
        <f>'[2]WD 3ME'!R23</f>
        <v>1.668021323536738</v>
      </c>
      <c r="T28" s="13">
        <f>'[2]WD 3ME'!S23</f>
        <v>1.7026356289099522</v>
      </c>
      <c r="U28" s="13">
        <f>'[2]WD 3ME'!T23</f>
        <v>1.7405328112859406</v>
      </c>
      <c r="V28" s="13">
        <f>'[2]WD 3ME'!U23</f>
        <v>1.7819561958744758</v>
      </c>
      <c r="W28" s="13">
        <f>'[2]WD 3ME'!V23</f>
        <v>1.8272739342931814</v>
      </c>
      <c r="X28" s="13">
        <f>'[2]WD 3ME'!W23</f>
        <v>1.8767512107541262</v>
      </c>
      <c r="Y28" s="13">
        <f>'[2]WD 3ME'!X23</f>
        <v>1.9310207858501001</v>
      </c>
      <c r="Z28" s="13">
        <f>'[2]WD 3ME'!Y23</f>
        <v>1.9903512952145881</v>
      </c>
      <c r="AA28" s="13">
        <f>'[2]WD 3ME'!Z23</f>
        <v>2.0545218478770151</v>
      </c>
      <c r="AB28" s="13">
        <f>'[2]WD 3ME'!AA23</f>
        <v>2.1235991713180766</v>
      </c>
      <c r="AC28" s="13">
        <f>'[2]WD 3ME'!AB23</f>
        <v>2.1982117518249789</v>
      </c>
      <c r="AD28" s="13">
        <f>'[2]WD 3ME'!AC23</f>
        <v>2.2787765257772525</v>
      </c>
      <c r="AE28" s="13">
        <f>'[2]WD 3ME'!AD23</f>
        <v>2.365435721400984</v>
      </c>
      <c r="AF28" s="13">
        <f>'[2]WD 3ME'!AE23</f>
        <v>2.4571070165854652</v>
      </c>
      <c r="AG28" s="13">
        <f>'[2]WD 3ME'!AF23</f>
        <v>2.5523773796861611</v>
      </c>
      <c r="AH28" s="13">
        <f>'[2]WD 3ME'!AG23</f>
        <v>2.6503142329442202</v>
      </c>
      <c r="AI28" s="13">
        <f>'[2]WD 3ME'!AH23</f>
        <v>2.7504030108262394</v>
      </c>
      <c r="AJ28" s="13">
        <f>'[2]WD 3ME'!AI23</f>
        <v>2.8522043090565048</v>
      </c>
      <c r="AK28" s="13">
        <f>'[2]WD 3ME'!AJ23</f>
        <v>2.9552503933467871</v>
      </c>
      <c r="AL28" s="13">
        <f>'[2]WD 3ME'!AK23</f>
        <v>3.0589972118241304</v>
      </c>
    </row>
    <row r="29" spans="1:38" x14ac:dyDescent="0.35">
      <c r="A29">
        <f t="shared" si="1"/>
        <v>1</v>
      </c>
      <c r="B29" t="s">
        <v>88</v>
      </c>
      <c r="C29" s="13">
        <f>'[2]WD 3ME'!B24</f>
        <v>1</v>
      </c>
      <c r="D29" s="13">
        <f>'[2]WD 3ME'!C24</f>
        <v>1.04</v>
      </c>
      <c r="E29" s="10">
        <f>'[2]WD 3ME'!D24</f>
        <v>1.0816000000000001</v>
      </c>
      <c r="F29" s="10">
        <f>'[2]WD 3ME'!E24</f>
        <v>1.1248640000000001</v>
      </c>
      <c r="G29" s="10">
        <f>'[2]WD 3ME'!F24</f>
        <v>1.1698585600000002</v>
      </c>
      <c r="H29" s="13">
        <f>'[2]WD 3ME'!G24</f>
        <v>1.2166529024000003</v>
      </c>
      <c r="I29" s="13">
        <f>'[2]WD 3ME'!H24</f>
        <v>1.2653190184960004</v>
      </c>
      <c r="J29" s="13">
        <f>'[2]WD 3ME'!I24</f>
        <v>1.2805414642218493</v>
      </c>
      <c r="K29" s="13">
        <f>'[2]WD 3ME'!J24</f>
        <v>1.29697919618126</v>
      </c>
      <c r="L29" s="13">
        <f>'[2]WD 3ME'!K24</f>
        <v>1.3214257231292557</v>
      </c>
      <c r="M29" s="13">
        <f>'[2]WD 3ME'!L24</f>
        <v>1.3447474913858311</v>
      </c>
      <c r="N29" s="13">
        <f>'[2]WD 3ME'!M24</f>
        <v>1.3625762962080983</v>
      </c>
      <c r="O29" s="13">
        <f>'[2]WD 3ME'!N24</f>
        <v>1.376831922777161</v>
      </c>
      <c r="P29" s="13">
        <f>'[2]WD 3ME'!O24</f>
        <v>1.3892291915690851</v>
      </c>
      <c r="Q29" s="13">
        <f>'[2]WD 3ME'!P24</f>
        <v>1.401466903485028</v>
      </c>
      <c r="R29" s="13">
        <f>'[2]WD 3ME'!Q24</f>
        <v>1.4142859442533007</v>
      </c>
      <c r="S29" s="13">
        <f>'[2]WD 3ME'!R24</f>
        <v>1.4470427369068191</v>
      </c>
      <c r="T29" s="13">
        <f>'[2]WD 3ME'!S24</f>
        <v>1.4823593988016373</v>
      </c>
      <c r="U29" s="13">
        <f>'[2]WD 3ME'!T24</f>
        <v>1.5210255503337362</v>
      </c>
      <c r="V29" s="13">
        <f>'[2]WD 3ME'!U24</f>
        <v>1.5632894540082094</v>
      </c>
      <c r="W29" s="13">
        <f>'[2]WD 3ME'!V24</f>
        <v>1.6095267315821729</v>
      </c>
      <c r="X29" s="13">
        <f>'[2]WD 3ME'!W24</f>
        <v>1.6600079481025487</v>
      </c>
      <c r="Y29" s="13">
        <f>'[2]WD 3ME'!X24</f>
        <v>1.7153787034643797</v>
      </c>
      <c r="Z29" s="13">
        <f>'[2]WD 3ME'!Y24</f>
        <v>1.775913084168562</v>
      </c>
      <c r="AA29" s="13">
        <f>'[2]WD 3ME'!Z24</f>
        <v>1.841385717160825</v>
      </c>
      <c r="AB29" s="13">
        <f>'[2]WD 3ME'!AA24</f>
        <v>1.9118646838846469</v>
      </c>
      <c r="AC29" s="13">
        <f>'[2]WD 3ME'!AB24</f>
        <v>1.9804089945435979</v>
      </c>
      <c r="AD29" s="13">
        <f>'[2]WD 3ME'!AC24</f>
        <v>2.0544214044674436</v>
      </c>
      <c r="AE29" s="13">
        <f>'[2]WD 3ME'!AD24</f>
        <v>2.1340325744059814</v>
      </c>
      <c r="AF29" s="13">
        <f>'[2]WD 3ME'!AE24</f>
        <v>2.2182482079217283</v>
      </c>
      <c r="AG29" s="13">
        <f>'[2]WD 3ME'!AF24</f>
        <v>2.3057701957768604</v>
      </c>
      <c r="AH29" s="13">
        <f>'[2]WD 3ME'!AG24</f>
        <v>2.3957418071200638</v>
      </c>
      <c r="AI29" s="13">
        <f>'[2]WD 3ME'!AH24</f>
        <v>2.4876903262305268</v>
      </c>
      <c r="AJ29" s="13">
        <f>'[2]WD 3ME'!AI24</f>
        <v>2.5812120857511522</v>
      </c>
      <c r="AK29" s="13">
        <f>'[2]WD 3ME'!AJ24</f>
        <v>2.6758773924031338</v>
      </c>
      <c r="AL29" s="13">
        <f>'[2]WD 3ME'!AK24</f>
        <v>2.7711864422614347</v>
      </c>
    </row>
    <row r="30" spans="1:38" x14ac:dyDescent="0.35">
      <c r="A30">
        <f t="shared" si="1"/>
        <v>1</v>
      </c>
      <c r="B30" t="s">
        <v>89</v>
      </c>
      <c r="C30" s="13">
        <f>'[2]WD 3ME'!B30</f>
        <v>1</v>
      </c>
      <c r="D30" s="13">
        <f>'[2]WD 3ME'!C30</f>
        <v>1.04</v>
      </c>
      <c r="E30" s="10">
        <f>'[2]WD 3ME'!D30</f>
        <v>1.0816000000000001</v>
      </c>
      <c r="F30" s="10">
        <f>'[2]WD 3ME'!E30</f>
        <v>1.1248640000000001</v>
      </c>
      <c r="G30" s="10">
        <f>'[2]WD 3ME'!F30</f>
        <v>1.1698585600000002</v>
      </c>
      <c r="H30" s="13">
        <f>'[2]WD 3ME'!G30</f>
        <v>1.2166529024000003</v>
      </c>
      <c r="I30" s="13">
        <f>'[2]WD 3ME'!H30</f>
        <v>1.2653190184960004</v>
      </c>
      <c r="J30" s="13">
        <f>'[2]WD 3ME'!I30</f>
        <v>1.3204049064110617</v>
      </c>
      <c r="K30" s="13">
        <f>'[2]WD 3ME'!J30</f>
        <v>1.3798885844350424</v>
      </c>
      <c r="L30" s="13">
        <f>'[2]WD 3ME'!K30</f>
        <v>1.4683539117301885</v>
      </c>
      <c r="M30" s="13">
        <f>'[2]WD 3ME'!L30</f>
        <v>1.552749043452105</v>
      </c>
      <c r="N30" s="13">
        <f>'[2]WD 3ME'!M30</f>
        <v>1.6172666355517245</v>
      </c>
      <c r="O30" s="13">
        <f>'[2]WD 3ME'!N30</f>
        <v>1.6688538680822298</v>
      </c>
      <c r="P30" s="13">
        <f>'[2]WD 3ME'!O30</f>
        <v>1.7137162096155074</v>
      </c>
      <c r="Q30" s="13">
        <f>'[2]WD 3ME'!P30</f>
        <v>1.7580011582419772</v>
      </c>
      <c r="R30" s="13">
        <f>'[2]WD 3ME'!Q30</f>
        <v>1.8043897777619393</v>
      </c>
      <c r="S30" s="13">
        <f>'[2]WD 3ME'!R30</f>
        <v>1.8355204416082971</v>
      </c>
      <c r="T30" s="13">
        <f>'[2]WD 3ME'!S30</f>
        <v>1.8690838964084109</v>
      </c>
      <c r="U30" s="13">
        <f>'[2]WD 3ME'!T30</f>
        <v>1.9058305638343138</v>
      </c>
      <c r="V30" s="13">
        <f>'[2]WD 3ME'!U30</f>
        <v>1.9459963820217532</v>
      </c>
      <c r="W30" s="13">
        <f>'[2]WD 3ME'!V30</f>
        <v>1.989938325927888</v>
      </c>
      <c r="X30" s="13">
        <f>'[2]WD 3ME'!W30</f>
        <v>2.0379135290765467</v>
      </c>
      <c r="Y30" s="13">
        <f>'[2]WD 3ME'!X30</f>
        <v>2.0905355421753451</v>
      </c>
      <c r="Z30" s="13">
        <f>'[2]WD 3ME'!Y30</f>
        <v>2.1480648453883364</v>
      </c>
      <c r="AA30" s="13">
        <f>'[2]WD 3ME'!Z30</f>
        <v>2.2102872537412241</v>
      </c>
      <c r="AB30" s="13">
        <f>'[2]WD 3ME'!AA30</f>
        <v>2.2772674689449941</v>
      </c>
      <c r="AC30" s="13">
        <f>'[2]WD 3ME'!AB30</f>
        <v>2.3561375716923605</v>
      </c>
      <c r="AD30" s="13">
        <f>'[2]WD 3ME'!AC30</f>
        <v>2.4412995102858974</v>
      </c>
      <c r="AE30" s="13">
        <f>'[2]WD 3ME'!AD30</f>
        <v>2.532903628739025</v>
      </c>
      <c r="AF30" s="13">
        <f>'[2]WD 3ME'!AE30</f>
        <v>2.6298058457788884</v>
      </c>
      <c r="AG30" s="13">
        <f>'[2]WD 3ME'!AF30</f>
        <v>2.7305124997437069</v>
      </c>
      <c r="AH30" s="13">
        <f>'[2]WD 3ME'!AG30</f>
        <v>2.8340377983828859</v>
      </c>
      <c r="AI30" s="13">
        <f>'[2]WD 3ME'!AH30</f>
        <v>2.9398378141681984</v>
      </c>
      <c r="AJ30" s="13">
        <f>'[2]WD 3ME'!AI30</f>
        <v>3.047448069659811</v>
      </c>
      <c r="AK30" s="13">
        <f>'[2]WD 3ME'!AJ30</f>
        <v>3.1563741408461103</v>
      </c>
      <c r="AL30" s="13">
        <f>'[2]WD 3ME'!AK30</f>
        <v>3.2660409313180399</v>
      </c>
    </row>
    <row r="31" spans="1:38" x14ac:dyDescent="0.35">
      <c r="A31">
        <f t="shared" si="1"/>
        <v>1</v>
      </c>
      <c r="B31" t="s">
        <v>90</v>
      </c>
      <c r="C31" s="13">
        <f>'[2]WD 3ME'!B31</f>
        <v>1</v>
      </c>
      <c r="D31" s="13">
        <f>'[2]WD 3ME'!C31</f>
        <v>1.04</v>
      </c>
      <c r="E31" s="10">
        <f>'[2]WD 3ME'!D31</f>
        <v>1.0816000000000001</v>
      </c>
      <c r="F31" s="10">
        <f>'[2]WD 3ME'!E31</f>
        <v>1.1248640000000001</v>
      </c>
      <c r="G31" s="10">
        <f>'[2]WD 3ME'!F31</f>
        <v>1.1698585600000002</v>
      </c>
      <c r="H31" s="13">
        <f>'[2]WD 3ME'!G31</f>
        <v>1.2166529024000003</v>
      </c>
      <c r="I31" s="13">
        <f>'[2]WD 3ME'!H31</f>
        <v>1.2653190184960004</v>
      </c>
      <c r="J31" s="13">
        <f>'[2]WD 3ME'!I31</f>
        <v>1.3204049064110617</v>
      </c>
      <c r="K31" s="13">
        <f>'[2]WD 3ME'!J31</f>
        <v>1.3798885844350424</v>
      </c>
      <c r="L31" s="13">
        <f>'[2]WD 3ME'!K31</f>
        <v>1.4683539117301885</v>
      </c>
      <c r="M31" s="13">
        <f>'[2]WD 3ME'!L31</f>
        <v>1.552749043452105</v>
      </c>
      <c r="N31" s="13">
        <f>'[2]WD 3ME'!M31</f>
        <v>1.6172666355517245</v>
      </c>
      <c r="O31" s="13">
        <f>'[2]WD 3ME'!N31</f>
        <v>1.6688538680822298</v>
      </c>
      <c r="P31" s="13">
        <f>'[2]WD 3ME'!O31</f>
        <v>1.7137162096155074</v>
      </c>
      <c r="Q31" s="13">
        <f>'[2]WD 3ME'!P31</f>
        <v>1.7580011582419772</v>
      </c>
      <c r="R31" s="13">
        <f>'[2]WD 3ME'!Q31</f>
        <v>1.8043897777619393</v>
      </c>
      <c r="S31" s="13">
        <f>'[2]WD 3ME'!R31</f>
        <v>1.8355204416082971</v>
      </c>
      <c r="T31" s="13">
        <f>'[2]WD 3ME'!S31</f>
        <v>1.8690838964084109</v>
      </c>
      <c r="U31" s="13">
        <f>'[2]WD 3ME'!T31</f>
        <v>1.9058305638343138</v>
      </c>
      <c r="V31" s="13">
        <f>'[2]WD 3ME'!U31</f>
        <v>1.9459963820217532</v>
      </c>
      <c r="W31" s="13">
        <f>'[2]WD 3ME'!V31</f>
        <v>1.989938325927888</v>
      </c>
      <c r="X31" s="13">
        <f>'[2]WD 3ME'!W31</f>
        <v>2.0379135290765467</v>
      </c>
      <c r="Y31" s="13">
        <f>'[2]WD 3ME'!X31</f>
        <v>2.0905355421753451</v>
      </c>
      <c r="Z31" s="13">
        <f>'[2]WD 3ME'!Y31</f>
        <v>2.1480648453883364</v>
      </c>
      <c r="AA31" s="13">
        <f>'[2]WD 3ME'!Z31</f>
        <v>2.2102872537412241</v>
      </c>
      <c r="AB31" s="13">
        <f>'[2]WD 3ME'!AA31</f>
        <v>2.2772674689449941</v>
      </c>
      <c r="AC31" s="13">
        <f>'[2]WD 3ME'!AB31</f>
        <v>2.3561375716923605</v>
      </c>
      <c r="AD31" s="13">
        <f>'[2]WD 3ME'!AC31</f>
        <v>2.4412995102858974</v>
      </c>
      <c r="AE31" s="13">
        <f>'[2]WD 3ME'!AD31</f>
        <v>2.532903628739025</v>
      </c>
      <c r="AF31" s="13">
        <f>'[2]WD 3ME'!AE31</f>
        <v>2.6298058457788884</v>
      </c>
      <c r="AG31" s="13">
        <f>'[2]WD 3ME'!AF31</f>
        <v>2.7305124997437069</v>
      </c>
      <c r="AH31" s="13">
        <f>'[2]WD 3ME'!AG31</f>
        <v>2.8340377983828859</v>
      </c>
      <c r="AI31" s="13">
        <f>'[2]WD 3ME'!AH31</f>
        <v>2.9398378141681984</v>
      </c>
      <c r="AJ31" s="13">
        <f>'[2]WD 3ME'!AI31</f>
        <v>3.047448069659811</v>
      </c>
      <c r="AK31" s="13">
        <f>'[2]WD 3ME'!AJ31</f>
        <v>3.1563741408461103</v>
      </c>
      <c r="AL31" s="13">
        <f>'[2]WD 3ME'!AK31</f>
        <v>3.2660409313180399</v>
      </c>
    </row>
    <row r="32" spans="1:38" x14ac:dyDescent="0.35">
      <c r="A32">
        <f t="shared" si="1"/>
        <v>1</v>
      </c>
      <c r="B32" t="s">
        <v>91</v>
      </c>
      <c r="C32" s="13">
        <f>'[2]WD 3ME'!B32</f>
        <v>1</v>
      </c>
      <c r="D32" s="13">
        <f>'[2]WD 3ME'!C32</f>
        <v>1.04</v>
      </c>
      <c r="E32" s="10">
        <f>'[2]WD 3ME'!D32</f>
        <v>1.0816000000000001</v>
      </c>
      <c r="F32" s="10">
        <f>'[2]WD 3ME'!E32</f>
        <v>1.1248640000000001</v>
      </c>
      <c r="G32" s="10">
        <f>'[2]WD 3ME'!F32</f>
        <v>1.1698585600000002</v>
      </c>
      <c r="H32" s="13">
        <f>'[2]WD 3ME'!G32</f>
        <v>1.2166529024000003</v>
      </c>
      <c r="I32" s="13">
        <f>'[2]WD 3ME'!H32</f>
        <v>1.2653190184960004</v>
      </c>
      <c r="J32" s="13">
        <f>'[2]WD 3ME'!I32</f>
        <v>1.3204049064110617</v>
      </c>
      <c r="K32" s="13">
        <f>'[2]WD 3ME'!J32</f>
        <v>1.3798885844350424</v>
      </c>
      <c r="L32" s="13">
        <f>'[2]WD 3ME'!K32</f>
        <v>1.4683539117301885</v>
      </c>
      <c r="M32" s="13">
        <f>'[2]WD 3ME'!L32</f>
        <v>1.552749043452105</v>
      </c>
      <c r="N32" s="13">
        <f>'[2]WD 3ME'!M32</f>
        <v>1.6172666355517245</v>
      </c>
      <c r="O32" s="13">
        <f>'[2]WD 3ME'!N32</f>
        <v>1.6688538680822298</v>
      </c>
      <c r="P32" s="13">
        <f>'[2]WD 3ME'!O32</f>
        <v>1.7137162096155074</v>
      </c>
      <c r="Q32" s="13">
        <f>'[2]WD 3ME'!P32</f>
        <v>1.7580011582419772</v>
      </c>
      <c r="R32" s="13">
        <f>'[2]WD 3ME'!Q32</f>
        <v>1.8043897777619393</v>
      </c>
      <c r="S32" s="13">
        <f>'[2]WD 3ME'!R32</f>
        <v>1.8355204416082971</v>
      </c>
      <c r="T32" s="13">
        <f>'[2]WD 3ME'!S32</f>
        <v>1.8690838964084109</v>
      </c>
      <c r="U32" s="13">
        <f>'[2]WD 3ME'!T32</f>
        <v>1.9058305638343138</v>
      </c>
      <c r="V32" s="13">
        <f>'[2]WD 3ME'!U32</f>
        <v>1.9459963820217532</v>
      </c>
      <c r="W32" s="13">
        <f>'[2]WD 3ME'!V32</f>
        <v>1.989938325927888</v>
      </c>
      <c r="X32" s="13">
        <f>'[2]WD 3ME'!W32</f>
        <v>2.0379135290765467</v>
      </c>
      <c r="Y32" s="13">
        <f>'[2]WD 3ME'!X32</f>
        <v>2.0905355421753451</v>
      </c>
      <c r="Z32" s="13">
        <f>'[2]WD 3ME'!Y32</f>
        <v>2.1480648453883364</v>
      </c>
      <c r="AA32" s="13">
        <f>'[2]WD 3ME'!Z32</f>
        <v>2.2102872537412241</v>
      </c>
      <c r="AB32" s="13">
        <f>'[2]WD 3ME'!AA32</f>
        <v>2.2772674689449941</v>
      </c>
      <c r="AC32" s="13">
        <f>'[2]WD 3ME'!AB32</f>
        <v>2.3561375716923605</v>
      </c>
      <c r="AD32" s="13">
        <f>'[2]WD 3ME'!AC32</f>
        <v>2.4412995102858974</v>
      </c>
      <c r="AE32" s="13">
        <f>'[2]WD 3ME'!AD32</f>
        <v>2.532903628739025</v>
      </c>
      <c r="AF32" s="13">
        <f>'[2]WD 3ME'!AE32</f>
        <v>2.6298058457788884</v>
      </c>
      <c r="AG32" s="13">
        <f>'[2]WD 3ME'!AF32</f>
        <v>2.7305124997437069</v>
      </c>
      <c r="AH32" s="13">
        <f>'[2]WD 3ME'!AG32</f>
        <v>2.8340377983828859</v>
      </c>
      <c r="AI32" s="13">
        <f>'[2]WD 3ME'!AH32</f>
        <v>2.9398378141681984</v>
      </c>
      <c r="AJ32" s="13">
        <f>'[2]WD 3ME'!AI32</f>
        <v>3.047448069659811</v>
      </c>
      <c r="AK32" s="13">
        <f>'[2]WD 3ME'!AJ32</f>
        <v>3.1563741408461103</v>
      </c>
      <c r="AL32" s="13">
        <f>'[2]WD 3ME'!AK32</f>
        <v>3.2660409313180399</v>
      </c>
    </row>
    <row r="33" spans="1:38" x14ac:dyDescent="0.35">
      <c r="A33">
        <f t="shared" si="1"/>
        <v>1</v>
      </c>
      <c r="B33" t="s">
        <v>92</v>
      </c>
      <c r="C33" s="13">
        <f>'[2]WD 3ME'!B33</f>
        <v>1</v>
      </c>
      <c r="D33" s="13">
        <f>'[2]WD 3ME'!C33</f>
        <v>1.04</v>
      </c>
      <c r="E33" s="10">
        <f>'[2]WD 3ME'!D33</f>
        <v>1.0816000000000001</v>
      </c>
      <c r="F33" s="10">
        <f>'[2]WD 3ME'!E33</f>
        <v>1.1248640000000001</v>
      </c>
      <c r="G33" s="10">
        <f>'[2]WD 3ME'!F33</f>
        <v>1.1698585600000002</v>
      </c>
      <c r="H33" s="13">
        <f>'[2]WD 3ME'!G33</f>
        <v>1.2166529024000003</v>
      </c>
      <c r="I33" s="13">
        <f>'[2]WD 3ME'!H33</f>
        <v>1.2653190184960004</v>
      </c>
      <c r="J33" s="13">
        <f>'[2]WD 3ME'!I33</f>
        <v>1.3204049064110617</v>
      </c>
      <c r="K33" s="13">
        <f>'[2]WD 3ME'!J33</f>
        <v>1.3798885844350424</v>
      </c>
      <c r="L33" s="13">
        <f>'[2]WD 3ME'!K33</f>
        <v>1.4683539117301885</v>
      </c>
      <c r="M33" s="13">
        <f>'[2]WD 3ME'!L33</f>
        <v>1.552749043452105</v>
      </c>
      <c r="N33" s="13">
        <f>'[2]WD 3ME'!M33</f>
        <v>1.6172666355517245</v>
      </c>
      <c r="O33" s="13">
        <f>'[2]WD 3ME'!N33</f>
        <v>1.6688538680822298</v>
      </c>
      <c r="P33" s="13">
        <f>'[2]WD 3ME'!O33</f>
        <v>1.7137162096155074</v>
      </c>
      <c r="Q33" s="13">
        <f>'[2]WD 3ME'!P33</f>
        <v>1.7580011582419772</v>
      </c>
      <c r="R33" s="13">
        <f>'[2]WD 3ME'!Q33</f>
        <v>1.8043897777619393</v>
      </c>
      <c r="S33" s="13">
        <f>'[2]WD 3ME'!R33</f>
        <v>1.8355204416082971</v>
      </c>
      <c r="T33" s="13">
        <f>'[2]WD 3ME'!S33</f>
        <v>1.8690838964084109</v>
      </c>
      <c r="U33" s="13">
        <f>'[2]WD 3ME'!T33</f>
        <v>1.9058305638343138</v>
      </c>
      <c r="V33" s="13">
        <f>'[2]WD 3ME'!U33</f>
        <v>1.9459963820217532</v>
      </c>
      <c r="W33" s="13">
        <f>'[2]WD 3ME'!V33</f>
        <v>1.989938325927888</v>
      </c>
      <c r="X33" s="13">
        <f>'[2]WD 3ME'!W33</f>
        <v>2.0379135290765467</v>
      </c>
      <c r="Y33" s="13">
        <f>'[2]WD 3ME'!X33</f>
        <v>2.0905355421753451</v>
      </c>
      <c r="Z33" s="13">
        <f>'[2]WD 3ME'!Y33</f>
        <v>2.1480648453883364</v>
      </c>
      <c r="AA33" s="13">
        <f>'[2]WD 3ME'!Z33</f>
        <v>2.2102872537412241</v>
      </c>
      <c r="AB33" s="13">
        <f>'[2]WD 3ME'!AA33</f>
        <v>2.2772674689449941</v>
      </c>
      <c r="AC33" s="13">
        <f>'[2]WD 3ME'!AB33</f>
        <v>2.3561375716923605</v>
      </c>
      <c r="AD33" s="13">
        <f>'[2]WD 3ME'!AC33</f>
        <v>2.4412995102858974</v>
      </c>
      <c r="AE33" s="13">
        <f>'[2]WD 3ME'!AD33</f>
        <v>2.532903628739025</v>
      </c>
      <c r="AF33" s="13">
        <f>'[2]WD 3ME'!AE33</f>
        <v>2.6298058457788884</v>
      </c>
      <c r="AG33" s="13">
        <f>'[2]WD 3ME'!AF33</f>
        <v>2.7305124997437069</v>
      </c>
      <c r="AH33" s="13">
        <f>'[2]WD 3ME'!AG33</f>
        <v>2.8340377983828859</v>
      </c>
      <c r="AI33" s="13">
        <f>'[2]WD 3ME'!AH33</f>
        <v>2.9398378141681984</v>
      </c>
      <c r="AJ33" s="13">
        <f>'[2]WD 3ME'!AI33</f>
        <v>3.047448069659811</v>
      </c>
      <c r="AK33" s="13">
        <f>'[2]WD 3ME'!AJ33</f>
        <v>3.1563741408461103</v>
      </c>
      <c r="AL33" s="13">
        <f>'[2]WD 3ME'!AK33</f>
        <v>3.2660409313180399</v>
      </c>
    </row>
    <row r="34" spans="1:38" x14ac:dyDescent="0.35">
      <c r="A34">
        <v>1</v>
      </c>
      <c r="B34" t="s">
        <v>46</v>
      </c>
      <c r="C34" s="13">
        <f>'[2]Prix 3ME NZ50'!C6</f>
        <v>1</v>
      </c>
      <c r="D34" s="13">
        <f>'[2]Prix 3ME NZ50'!D6</f>
        <v>1.012</v>
      </c>
      <c r="E34" s="13">
        <f>'[2]Prix 3ME NZ50'!E6</f>
        <v>1.0241439999999999</v>
      </c>
      <c r="F34" s="13">
        <f>'[2]Prix 3ME NZ50'!F6</f>
        <v>1.036433728</v>
      </c>
      <c r="G34" s="13">
        <f>'[2]Prix 3ME NZ50'!G6</f>
        <v>1.048870932736</v>
      </c>
      <c r="H34" s="13">
        <f>'[2]Prix 3ME NZ50'!H6</f>
        <v>1.0614573839288319</v>
      </c>
      <c r="I34" s="13">
        <f>'[2]Prix 3ME NZ50'!I6</f>
        <v>1.074194872535978</v>
      </c>
      <c r="J34" s="13">
        <f>'[2]Prix 3ME NZ50'!J6</f>
        <v>1.0940787835234267</v>
      </c>
      <c r="K34" s="13">
        <f>'[2]Prix 3ME NZ50'!K6</f>
        <v>1.1143411728930652</v>
      </c>
      <c r="L34" s="13">
        <f>'[2]Prix 3ME NZ50'!L6</f>
        <v>1.1358988939203243</v>
      </c>
      <c r="M34" s="13">
        <f>'[2]Prix 3ME NZ50'!M6</f>
        <v>1.1586674112372517</v>
      </c>
      <c r="N34" s="13">
        <f>'[2]Prix 3ME NZ50'!N6</f>
        <v>1.1794631114381304</v>
      </c>
      <c r="O34" s="13">
        <f>'[2]Prix 3ME NZ50'!O6</f>
        <v>1.1967429745217719</v>
      </c>
      <c r="P34" s="13">
        <f>'[2]Prix 3ME NZ50'!P6</f>
        <v>1.2115542399240689</v>
      </c>
      <c r="Q34" s="13">
        <f>'[2]Prix 3ME NZ50'!Q6</f>
        <v>1.2246481054770975</v>
      </c>
      <c r="R34" s="13">
        <f>'[2]Prix 3ME NZ50'!R6</f>
        <v>1.2364965657816867</v>
      </c>
      <c r="S34" s="13">
        <f>'[2]Prix 3ME NZ50'!S6</f>
        <v>1.2481256783961956</v>
      </c>
      <c r="T34" s="13">
        <f>'[2]Prix 3ME NZ50'!T6</f>
        <v>1.2601341153028824</v>
      </c>
      <c r="U34" s="13">
        <f>'[2]Prix 3ME NZ50'!U6</f>
        <v>1.2720377028272685</v>
      </c>
      <c r="V34" s="13">
        <f>'[2]Prix 3ME NZ50'!V6</f>
        <v>1.2839038980936808</v>
      </c>
      <c r="W34" s="13">
        <f>'[2]Prix 3ME NZ50'!W6</f>
        <v>1.2958917013051687</v>
      </c>
      <c r="X34" s="13">
        <f>'[2]Prix 3ME NZ50'!X6</f>
        <v>1.3083661413154908</v>
      </c>
      <c r="Y34" s="13">
        <f>'[2]Prix 3ME NZ50'!Y6</f>
        <v>1.3215080427310433</v>
      </c>
      <c r="Z34" s="13">
        <f>'[2]Prix 3ME NZ50'!Z6</f>
        <v>1.3351691379031336</v>
      </c>
      <c r="AA34" s="13">
        <f>'[2]Prix 3ME NZ50'!AA6</f>
        <v>1.3495905462844988</v>
      </c>
      <c r="AB34" s="13">
        <f>'[2]Prix 3ME NZ50'!AB6</f>
        <v>1.3648926687804916</v>
      </c>
      <c r="AC34" s="13">
        <f>'[2]Prix 3ME NZ50'!AC6</f>
        <v>1.3822056427491456</v>
      </c>
      <c r="AD34" s="13">
        <f>'[2]Prix 3ME NZ50'!AD6</f>
        <v>1.4020639302388713</v>
      </c>
      <c r="AE34" s="13">
        <f>'[2]Prix 3ME NZ50'!AE6</f>
        <v>1.423653234331913</v>
      </c>
      <c r="AF34" s="13">
        <f>'[2]Prix 3ME NZ50'!AF6</f>
        <v>1.4464200292649871</v>
      </c>
      <c r="AG34" s="13">
        <f>'[2]Prix 3ME NZ50'!AG6</f>
        <v>1.4702053348125856</v>
      </c>
      <c r="AH34" s="13">
        <f>'[2]Prix 3ME NZ50'!AH6</f>
        <v>1.4953787737509039</v>
      </c>
      <c r="AI34" s="13">
        <f>'[2]Prix 3ME NZ50'!AI6</f>
        <v>1.5222139298444231</v>
      </c>
      <c r="AJ34" s="13">
        <f>'[2]Prix 3ME NZ50'!AJ6</f>
        <v>1.5503328146452064</v>
      </c>
      <c r="AK34" s="13">
        <f>'[2]Prix 3ME NZ50'!AK6</f>
        <v>1.5795483669756774</v>
      </c>
      <c r="AL34" s="13">
        <f>'[2]Prix 3ME NZ50'!AL6</f>
        <v>1.6097366538113065</v>
      </c>
    </row>
    <row r="35" spans="1:38" x14ac:dyDescent="0.35">
      <c r="A35">
        <f t="shared" si="1"/>
        <v>1</v>
      </c>
      <c r="B35" t="s">
        <v>47</v>
      </c>
      <c r="C35" s="13">
        <f>'[2]Prix 3ME NZ50'!C7</f>
        <v>1</v>
      </c>
      <c r="D35" s="13">
        <f>'[2]Prix 3ME NZ50'!D7</f>
        <v>1.012</v>
      </c>
      <c r="E35" s="13">
        <f>'[2]Prix 3ME NZ50'!E7</f>
        <v>1.0241439999999999</v>
      </c>
      <c r="F35" s="13">
        <f>'[2]Prix 3ME NZ50'!F7</f>
        <v>1.036433728</v>
      </c>
      <c r="G35" s="13">
        <f>'[2]Prix 3ME NZ50'!G7</f>
        <v>1.048870932736</v>
      </c>
      <c r="H35" s="13">
        <f>'[2]Prix 3ME NZ50'!H7</f>
        <v>1.0614573839288319</v>
      </c>
      <c r="I35" s="13">
        <f>'[2]Prix 3ME NZ50'!I7</f>
        <v>1.074194872535978</v>
      </c>
      <c r="J35" s="13">
        <f>'[2]Prix 3ME NZ50'!J7</f>
        <v>1.0936986274710441</v>
      </c>
      <c r="K35" s="13">
        <f>'[2]Prix 3ME NZ50'!K7</f>
        <v>1.1135686957946236</v>
      </c>
      <c r="L35" s="13">
        <f>'[2]Prix 3ME NZ50'!L7</f>
        <v>1.1346721934451902</v>
      </c>
      <c r="M35" s="13">
        <f>'[2]Prix 3ME NZ50'!M7</f>
        <v>1.1569292823319646</v>
      </c>
      <c r="N35" s="13">
        <f>'[2]Prix 3ME NZ50'!N7</f>
        <v>1.1772967829239396</v>
      </c>
      <c r="O35" s="13">
        <f>'[2]Prix 3ME NZ50'!O7</f>
        <v>1.1942962085244739</v>
      </c>
      <c r="P35" s="13">
        <f>'[2]Prix 3ME NZ50'!P7</f>
        <v>1.2089140494131763</v>
      </c>
      <c r="Q35" s="13">
        <f>'[2]Prix 3ME NZ50'!Q7</f>
        <v>1.221875904646293</v>
      </c>
      <c r="R35" s="13">
        <f>'[2]Prix 3ME NZ50'!R7</f>
        <v>1.2336415234882736</v>
      </c>
      <c r="S35" s="13">
        <f>'[2]Prix 3ME NZ50'!S7</f>
        <v>1.2451750128829053</v>
      </c>
      <c r="T35" s="13">
        <f>'[2]Prix 3ME NZ50'!T7</f>
        <v>1.2570430904642564</v>
      </c>
      <c r="U35" s="13">
        <f>'[2]Prix 3ME NZ50'!U7</f>
        <v>1.2688026066132676</v>
      </c>
      <c r="V35" s="13">
        <f>'[2]Prix 3ME NZ50'!V7</f>
        <v>1.2805327040438894</v>
      </c>
      <c r="W35" s="13">
        <f>'[2]Prix 3ME NZ50'!W7</f>
        <v>1.2923964454887666</v>
      </c>
      <c r="X35" s="13">
        <f>'[2]Prix 3ME NZ50'!X7</f>
        <v>1.3047472526063721</v>
      </c>
      <c r="Y35" s="13">
        <f>'[2]Prix 3ME NZ50'!Y7</f>
        <v>1.3177660027702376</v>
      </c>
      <c r="Z35" s="13">
        <f>'[2]Prix 3ME NZ50'!Z7</f>
        <v>1.3313236051212063</v>
      </c>
      <c r="AA35" s="13">
        <f>'[2]Prix 3ME NZ50'!AA7</f>
        <v>1.3456678952148149</v>
      </c>
      <c r="AB35" s="13">
        <f>'[2]Prix 3ME NZ50'!AB7</f>
        <v>1.3609213171566374</v>
      </c>
      <c r="AC35" s="13">
        <f>'[2]Prix 3ME NZ50'!AC7</f>
        <v>1.3781599290799789</v>
      </c>
      <c r="AD35" s="13">
        <f>'[2]Prix 3ME NZ50'!AD7</f>
        <v>1.3978909054340214</v>
      </c>
      <c r="AE35" s="13">
        <f>'[2]Prix 3ME NZ50'!AE7</f>
        <v>1.4193442716088971</v>
      </c>
      <c r="AF35" s="13">
        <f>'[2]Prix 3ME NZ50'!AF7</f>
        <v>1.4419785321414362</v>
      </c>
      <c r="AG35" s="13">
        <f>'[2]Prix 3ME NZ50'!AG7</f>
        <v>1.4656372900231551</v>
      </c>
      <c r="AH35" s="13">
        <f>'[2]Prix 3ME NZ50'!AH7</f>
        <v>1.4906663703489051</v>
      </c>
      <c r="AI35" s="13">
        <f>'[2]Prix 3ME NZ50'!AI7</f>
        <v>1.5173216031840766</v>
      </c>
      <c r="AJ35" s="13">
        <f>'[2]Prix 3ME NZ50'!AJ7</f>
        <v>1.5452427233130848</v>
      </c>
      <c r="AK35" s="13">
        <f>'[2]Prix 3ME NZ50'!AK7</f>
        <v>1.5742493085231757</v>
      </c>
      <c r="AL35" s="13">
        <f>'[2]Prix 3ME NZ50'!AL7</f>
        <v>1.6042201626673585</v>
      </c>
    </row>
    <row r="36" spans="1:38" x14ac:dyDescent="0.35">
      <c r="A36">
        <f t="shared" si="1"/>
        <v>1</v>
      </c>
      <c r="B36" t="s">
        <v>48</v>
      </c>
      <c r="C36" s="13">
        <f>'[2]Prix 3ME NZ50'!C8</f>
        <v>1</v>
      </c>
      <c r="D36" s="13">
        <f>'[2]Prix 3ME NZ50'!D8</f>
        <v>1.012</v>
      </c>
      <c r="E36" s="13">
        <f>'[2]Prix 3ME NZ50'!E8</f>
        <v>1.0241439999999999</v>
      </c>
      <c r="F36" s="13">
        <f>'[2]Prix 3ME NZ50'!F8</f>
        <v>1.036433728</v>
      </c>
      <c r="G36" s="13">
        <f>'[2]Prix 3ME NZ50'!G8</f>
        <v>1.048870932736</v>
      </c>
      <c r="H36" s="13">
        <f>'[2]Prix 3ME NZ50'!H8</f>
        <v>1.0614573839288319</v>
      </c>
      <c r="I36" s="13">
        <f>'[2]Prix 3ME NZ50'!I8</f>
        <v>1.074194872535978</v>
      </c>
      <c r="J36" s="13">
        <f>'[2]Prix 3ME NZ50'!J8</f>
        <v>1.0904598844226565</v>
      </c>
      <c r="K36" s="13">
        <f>'[2]Prix 3ME NZ50'!K8</f>
        <v>1.1069875699203</v>
      </c>
      <c r="L36" s="13">
        <f>'[2]Prix 3ME NZ50'!L8</f>
        <v>1.1242213072593894</v>
      </c>
      <c r="M36" s="13">
        <f>'[2]Prix 3ME NZ50'!M8</f>
        <v>1.1421212768460107</v>
      </c>
      <c r="N36" s="13">
        <f>'[2]Prix 3ME NZ50'!N8</f>
        <v>1.1588407268598933</v>
      </c>
      <c r="O36" s="13">
        <f>'[2]Prix 3ME NZ50'!O8</f>
        <v>1.1734509626968366</v>
      </c>
      <c r="P36" s="13">
        <f>'[2]Prix 3ME NZ50'!P8</f>
        <v>1.1864209216305712</v>
      </c>
      <c r="Q36" s="13">
        <f>'[2]Prix 3ME NZ50'!Q8</f>
        <v>1.1982581137069404</v>
      </c>
      <c r="R36" s="13">
        <f>'[2]Prix 3ME NZ50'!R8</f>
        <v>1.2093179639324265</v>
      </c>
      <c r="S36" s="13">
        <f>'[2]Prix 3ME NZ50'!S8</f>
        <v>1.2200367904098133</v>
      </c>
      <c r="T36" s="13">
        <f>'[2]Prix 3ME NZ50'!T8</f>
        <v>1.2307090754045202</v>
      </c>
      <c r="U36" s="13">
        <f>'[2]Prix 3ME NZ50'!U8</f>
        <v>1.2412411741218163</v>
      </c>
      <c r="V36" s="13">
        <f>'[2]Prix 3ME NZ50'!V8</f>
        <v>1.2518117847658818</v>
      </c>
      <c r="W36" s="13">
        <f>'[2]Prix 3ME NZ50'!W8</f>
        <v>1.2626185808282944</v>
      </c>
      <c r="X36" s="13">
        <f>'[2]Prix 3ME NZ50'!X8</f>
        <v>1.2739160963585956</v>
      </c>
      <c r="Y36" s="13">
        <f>'[2]Prix 3ME NZ50'!Y8</f>
        <v>1.2858856582804163</v>
      </c>
      <c r="Z36" s="13">
        <f>'[2]Prix 3ME NZ50'!Z8</f>
        <v>1.2985615525726417</v>
      </c>
      <c r="AA36" s="13">
        <f>'[2]Prix 3ME NZ50'!AA8</f>
        <v>1.3122488326915052</v>
      </c>
      <c r="AB36" s="13">
        <f>'[2]Prix 3ME NZ50'!AB8</f>
        <v>1.3270873498059983</v>
      </c>
      <c r="AC36" s="13">
        <f>'[2]Prix 3ME NZ50'!AC8</f>
        <v>1.3436924335879088</v>
      </c>
      <c r="AD36" s="13">
        <f>'[2]Prix 3ME NZ50'!AD8</f>
        <v>1.3623387815292454</v>
      </c>
      <c r="AE36" s="13">
        <f>'[2]Prix 3ME NZ50'!AE8</f>
        <v>1.3826340233372645</v>
      </c>
      <c r="AF36" s="13">
        <f>'[2]Prix 3ME NZ50'!AF8</f>
        <v>1.4041391558032776</v>
      </c>
      <c r="AG36" s="13">
        <f>'[2]Prix 3ME NZ50'!AG8</f>
        <v>1.426719789660432</v>
      </c>
      <c r="AH36" s="13">
        <f>'[2]Prix 3ME NZ50'!AH8</f>
        <v>1.450519005434507</v>
      </c>
      <c r="AI36" s="13">
        <f>'[2]Prix 3ME NZ50'!AI8</f>
        <v>1.4756413803852255</v>
      </c>
      <c r="AJ36" s="13">
        <f>'[2]Prix 3ME NZ50'!AJ8</f>
        <v>1.5018776425410056</v>
      </c>
      <c r="AK36" s="13">
        <f>'[2]Prix 3ME NZ50'!AK8</f>
        <v>1.5291039304120653</v>
      </c>
      <c r="AL36" s="13">
        <f>'[2]Prix 3ME NZ50'!AL8</f>
        <v>1.5572223647052428</v>
      </c>
    </row>
    <row r="37" spans="1:38" x14ac:dyDescent="0.35">
      <c r="A37">
        <f t="shared" si="1"/>
        <v>1</v>
      </c>
      <c r="B37" t="s">
        <v>49</v>
      </c>
      <c r="C37" s="13">
        <f>'[2]Prix 3ME NZ50'!C9</f>
        <v>1</v>
      </c>
      <c r="D37" s="13">
        <f>'[2]Prix 3ME NZ50'!D9</f>
        <v>1.012</v>
      </c>
      <c r="E37" s="13">
        <f>'[2]Prix 3ME NZ50'!E9</f>
        <v>1.0241439999999999</v>
      </c>
      <c r="F37" s="13">
        <f>'[2]Prix 3ME NZ50'!F9</f>
        <v>1.036433728</v>
      </c>
      <c r="G37" s="13">
        <f>'[2]Prix 3ME NZ50'!G9</f>
        <v>1.048870932736</v>
      </c>
      <c r="H37" s="13">
        <f>'[2]Prix 3ME NZ50'!H9</f>
        <v>1.0614573839288319</v>
      </c>
      <c r="I37" s="13">
        <f>'[2]Prix 3ME NZ50'!I9</f>
        <v>1.074194872535978</v>
      </c>
      <c r="J37" s="13">
        <f>'[2]Prix 3ME NZ50'!J9</f>
        <v>1.0882983782852971</v>
      </c>
      <c r="K37" s="13">
        <f>'[2]Prix 3ME NZ50'!K9</f>
        <v>1.1025953894491853</v>
      </c>
      <c r="L37" s="13">
        <f>'[2]Prix 3ME NZ50'!L9</f>
        <v>1.1172464857641491</v>
      </c>
      <c r="M37" s="13">
        <f>'[2]Prix 3ME NZ50'!M9</f>
        <v>1.1322385555983721</v>
      </c>
      <c r="N37" s="13">
        <f>'[2]Prix 3ME NZ50'!N9</f>
        <v>1.146523331543909</v>
      </c>
      <c r="O37" s="13">
        <f>'[2]Prix 3ME NZ50'!O9</f>
        <v>1.1595390449812162</v>
      </c>
      <c r="P37" s="13">
        <f>'[2]Prix 3ME NZ50'!P9</f>
        <v>1.1714092232574271</v>
      </c>
      <c r="Q37" s="13">
        <f>'[2]Prix 3ME NZ50'!Q9</f>
        <v>1.1824958258984959</v>
      </c>
      <c r="R37" s="13">
        <f>'[2]Prix 3ME NZ50'!R9</f>
        <v>1.1930846528988246</v>
      </c>
      <c r="S37" s="13">
        <f>'[2]Prix 3ME NZ50'!S9</f>
        <v>1.2032597811361239</v>
      </c>
      <c r="T37" s="13">
        <f>'[2]Prix 3ME NZ50'!T9</f>
        <v>1.213134005594251</v>
      </c>
      <c r="U37" s="13">
        <f>'[2]Prix 3ME NZ50'!U9</f>
        <v>1.2228469376558055</v>
      </c>
      <c r="V37" s="13">
        <f>'[2]Prix 3ME NZ50'!V9</f>
        <v>1.2326437179070657</v>
      </c>
      <c r="W37" s="13">
        <f>'[2]Prix 3ME NZ50'!W9</f>
        <v>1.2427451187291279</v>
      </c>
      <c r="X37" s="13">
        <f>'[2]Prix 3ME NZ50'!X9</f>
        <v>1.2533396775270258</v>
      </c>
      <c r="Y37" s="13">
        <f>'[2]Prix 3ME NZ50'!Y9</f>
        <v>1.2646090212498284</v>
      </c>
      <c r="Z37" s="13">
        <f>'[2]Prix 3ME NZ50'!Z9</f>
        <v>1.2766964720157041</v>
      </c>
      <c r="AA37" s="13">
        <f>'[2]Prix 3ME NZ50'!AA9</f>
        <v>1.2899452699606191</v>
      </c>
      <c r="AB37" s="13">
        <f>'[2]Prix 3ME NZ50'!AB9</f>
        <v>1.3045068835612199</v>
      </c>
      <c r="AC37" s="13">
        <f>'[2]Prix 3ME NZ50'!AC9</f>
        <v>1.3206891567201717</v>
      </c>
      <c r="AD37" s="13">
        <f>'[2]Prix 3ME NZ50'!AD9</f>
        <v>1.338611634031516</v>
      </c>
      <c r="AE37" s="13">
        <f>'[2]Prix 3ME NZ50'!AE9</f>
        <v>1.3581339547126083</v>
      </c>
      <c r="AF37" s="13">
        <f>'[2]Prix 3ME NZ50'!AF9</f>
        <v>1.3788855179052344</v>
      </c>
      <c r="AG37" s="13">
        <f>'[2]Prix 3ME NZ50'!AG9</f>
        <v>1.4007466220988392</v>
      </c>
      <c r="AH37" s="13">
        <f>'[2]Prix 3ME NZ50'!AH9</f>
        <v>1.4237250380327133</v>
      </c>
      <c r="AI37" s="13">
        <f>'[2]Prix 3ME NZ50'!AI9</f>
        <v>1.4478243982905581</v>
      </c>
      <c r="AJ37" s="13">
        <f>'[2]Prix 3ME NZ50'!AJ9</f>
        <v>1.4729362023478405</v>
      </c>
      <c r="AK37" s="13">
        <f>'[2]Prix 3ME NZ50'!AK9</f>
        <v>1.4989743368003832</v>
      </c>
      <c r="AL37" s="13">
        <f>'[2]Prix 3ME NZ50'!AL9</f>
        <v>1.5258564838002824</v>
      </c>
    </row>
    <row r="38" spans="1:38" x14ac:dyDescent="0.35">
      <c r="A38">
        <f t="shared" si="1"/>
        <v>1</v>
      </c>
      <c r="B38" t="s">
        <v>50</v>
      </c>
      <c r="C38" s="13">
        <f>'[2]Prix 3ME NZ50'!C10</f>
        <v>1</v>
      </c>
      <c r="D38" s="13">
        <f>'[2]Prix 3ME NZ50'!D10</f>
        <v>1.012</v>
      </c>
      <c r="E38" s="13">
        <f>'[2]Prix 3ME NZ50'!E10</f>
        <v>1.0241439999999999</v>
      </c>
      <c r="F38" s="13">
        <f>'[2]Prix 3ME NZ50'!F10</f>
        <v>1.036433728</v>
      </c>
      <c r="G38" s="13">
        <f>'[2]Prix 3ME NZ50'!G10</f>
        <v>1.048870932736</v>
      </c>
      <c r="H38" s="13">
        <f>'[2]Prix 3ME NZ50'!H10</f>
        <v>1.0614573839288319</v>
      </c>
      <c r="I38" s="13">
        <f>'[2]Prix 3ME NZ50'!I10</f>
        <v>1.074194872535978</v>
      </c>
      <c r="J38" s="13">
        <f>'[2]Prix 3ME NZ50'!J10</f>
        <v>1.0972658453572548</v>
      </c>
      <c r="K38" s="13">
        <f>'[2]Prix 3ME NZ50'!K10</f>
        <v>1.1208172825394038</v>
      </c>
      <c r="L38" s="13">
        <f>'[2]Prix 3ME NZ50'!L10</f>
        <v>1.1461830134058231</v>
      </c>
      <c r="M38" s="13">
        <f>'[2]Prix 3ME NZ50'!M10</f>
        <v>1.1732391226741608</v>
      </c>
      <c r="N38" s="13">
        <f>'[2]Prix 3ME NZ50'!N10</f>
        <v>1.1976246608435381</v>
      </c>
      <c r="O38" s="13">
        <f>'[2]Prix 3ME NZ50'!O10</f>
        <v>1.2172555889531951</v>
      </c>
      <c r="P38" s="13">
        <f>'[2]Prix 3ME NZ50'!P10</f>
        <v>1.2336884407570268</v>
      </c>
      <c r="Q38" s="13">
        <f>'[2]Prix 3ME NZ50'!Q10</f>
        <v>1.2478890230113289</v>
      </c>
      <c r="R38" s="13">
        <f>'[2]Prix 3ME NZ50'!R10</f>
        <v>1.2604319898536509</v>
      </c>
      <c r="S38" s="13">
        <f>'[2]Prix 3ME NZ50'!S10</f>
        <v>1.2728627656603908</v>
      </c>
      <c r="T38" s="13">
        <f>'[2]Prix 3ME NZ50'!T10</f>
        <v>1.2860479136729388</v>
      </c>
      <c r="U38" s="13">
        <f>'[2]Prix 3ME NZ50'!U10</f>
        <v>1.2991593325048258</v>
      </c>
      <c r="V38" s="13">
        <f>'[2]Prix 3ME NZ50'!V10</f>
        <v>1.3121665124152968</v>
      </c>
      <c r="W38" s="13">
        <f>'[2]Prix 3ME NZ50'!W10</f>
        <v>1.3251943951386718</v>
      </c>
      <c r="X38" s="13">
        <f>'[2]Prix 3ME NZ50'!X10</f>
        <v>1.3387053191699971</v>
      </c>
      <c r="Y38" s="13">
        <f>'[2]Prix 3ME NZ50'!Y10</f>
        <v>1.3528796667391236</v>
      </c>
      <c r="Z38" s="13">
        <f>'[2]Prix 3ME NZ50'!Z10</f>
        <v>1.3674084003933709</v>
      </c>
      <c r="AA38" s="13">
        <f>'[2]Prix 3ME NZ50'!AA10</f>
        <v>1.3824763347212747</v>
      </c>
      <c r="AB38" s="13">
        <f>'[2]Prix 3ME NZ50'!AB10</f>
        <v>1.398186741332462</v>
      </c>
      <c r="AC38" s="13">
        <f>'[2]Prix 3ME NZ50'!AC10</f>
        <v>1.4161231341182448</v>
      </c>
      <c r="AD38" s="13">
        <f>'[2]Prix 3ME NZ50'!AD10</f>
        <v>1.4370487424069274</v>
      </c>
      <c r="AE38" s="13">
        <f>'[2]Prix 3ME NZ50'!AE10</f>
        <v>1.4597776904647077</v>
      </c>
      <c r="AF38" s="13">
        <f>'[2]Prix 3ME NZ50'!AF10</f>
        <v>1.4836555957614526</v>
      </c>
      <c r="AG38" s="13">
        <f>'[2]Prix 3ME NZ50'!AG10</f>
        <v>1.5085018215115762</v>
      </c>
      <c r="AH38" s="13">
        <f>'[2]Prix 3ME NZ50'!AH10</f>
        <v>1.5348854998282153</v>
      </c>
      <c r="AI38" s="13">
        <f>'[2]Prix 3ME NZ50'!AI10</f>
        <v>1.5632290537128635</v>
      </c>
      <c r="AJ38" s="13">
        <f>'[2]Prix 3ME NZ50'!AJ10</f>
        <v>1.5930059109003631</v>
      </c>
      <c r="AK38" s="13">
        <f>'[2]Prix 3ME NZ50'!AK10</f>
        <v>1.623973352039956</v>
      </c>
      <c r="AL38" s="13">
        <f>'[2]Prix 3ME NZ50'!AL10</f>
        <v>1.6559844993245805</v>
      </c>
    </row>
    <row r="39" spans="1:38" x14ac:dyDescent="0.35">
      <c r="A39">
        <f t="shared" si="1"/>
        <v>1</v>
      </c>
      <c r="B39" t="s">
        <v>51</v>
      </c>
      <c r="C39" s="13">
        <f>'[2]Prix 3ME NZ50'!C11</f>
        <v>1</v>
      </c>
      <c r="D39" s="13">
        <f>'[2]Prix 3ME NZ50'!D11</f>
        <v>1.012</v>
      </c>
      <c r="E39" s="13">
        <f>'[2]Prix 3ME NZ50'!E11</f>
        <v>1.0241439999999999</v>
      </c>
      <c r="F39" s="13">
        <f>'[2]Prix 3ME NZ50'!F11</f>
        <v>1.036433728</v>
      </c>
      <c r="G39" s="13">
        <f>'[2]Prix 3ME NZ50'!G11</f>
        <v>1.048870932736</v>
      </c>
      <c r="H39" s="13">
        <f>'[2]Prix 3ME NZ50'!H11</f>
        <v>1.0614573839288319</v>
      </c>
      <c r="I39" s="13">
        <f>'[2]Prix 3ME NZ50'!I11</f>
        <v>1.074194872535978</v>
      </c>
      <c r="J39" s="13">
        <f>'[2]Prix 3ME NZ50'!J11</f>
        <v>1.0928019502594495</v>
      </c>
      <c r="K39" s="13">
        <f>'[2]Prix 3ME NZ50'!K11</f>
        <v>1.1117466477006632</v>
      </c>
      <c r="L39" s="13">
        <f>'[2]Prix 3ME NZ50'!L11</f>
        <v>1.1317787649317914</v>
      </c>
      <c r="M39" s="13">
        <f>'[2]Prix 3ME NZ50'!M11</f>
        <v>1.1528295433684077</v>
      </c>
      <c r="N39" s="13">
        <f>'[2]Prix 3ME NZ50'!N11</f>
        <v>1.1721870460163506</v>
      </c>
      <c r="O39" s="13">
        <f>'[2]Prix 3ME NZ50'!O11</f>
        <v>1.1885250014158903</v>
      </c>
      <c r="P39" s="13">
        <f>'[2]Prix 3ME NZ50'!P11</f>
        <v>1.202686610311396</v>
      </c>
      <c r="Q39" s="13">
        <f>'[2]Prix 3ME NZ50'!Q11</f>
        <v>1.2153370917157438</v>
      </c>
      <c r="R39" s="13">
        <f>'[2]Prix 3ME NZ50'!R11</f>
        <v>1.2269073117176141</v>
      </c>
      <c r="S39" s="13">
        <f>'[2]Prix 3ME NZ50'!S11</f>
        <v>1.2382152538359998</v>
      </c>
      <c r="T39" s="13">
        <f>'[2]Prix 3ME NZ50'!T11</f>
        <v>1.2497522647207289</v>
      </c>
      <c r="U39" s="13">
        <f>'[2]Prix 3ME NZ50'!U11</f>
        <v>1.2611719585301195</v>
      </c>
      <c r="V39" s="13">
        <f>'[2]Prix 3ME NZ50'!V11</f>
        <v>1.2725810408746054</v>
      </c>
      <c r="W39" s="13">
        <f>'[2]Prix 3ME NZ50'!W11</f>
        <v>1.2841521568088456</v>
      </c>
      <c r="X39" s="13">
        <f>'[2]Prix 3ME NZ50'!X11</f>
        <v>1.2962113500042012</v>
      </c>
      <c r="Y39" s="13">
        <f>'[2]Prix 3ME NZ50'!Y11</f>
        <v>1.3089396222964791</v>
      </c>
      <c r="Z39" s="13">
        <f>'[2]Prix 3ME NZ50'!Z11</f>
        <v>1.3222531152779353</v>
      </c>
      <c r="AA39" s="13">
        <f>'[2]Prix 3ME NZ50'!AA11</f>
        <v>1.3364155058310918</v>
      </c>
      <c r="AB39" s="13">
        <f>'[2]Prix 3ME NZ50'!AB11</f>
        <v>1.3515540573747109</v>
      </c>
      <c r="AC39" s="13">
        <f>'[2]Prix 3ME NZ50'!AC11</f>
        <v>1.3686172709293527</v>
      </c>
      <c r="AD39" s="13">
        <f>'[2]Prix 3ME NZ50'!AD11</f>
        <v>1.3880479574591666</v>
      </c>
      <c r="AE39" s="13">
        <f>'[2]Prix 3ME NZ50'!AE11</f>
        <v>1.4091806857469245</v>
      </c>
      <c r="AF39" s="13">
        <f>'[2]Prix 3ME NZ50'!AF11</f>
        <v>1.431502336297412</v>
      </c>
      <c r="AG39" s="13">
        <f>'[2]Prix 3ME NZ50'!AG11</f>
        <v>1.4548626051574161</v>
      </c>
      <c r="AH39" s="13">
        <f>'[2]Prix 3ME NZ50'!AH11</f>
        <v>1.4795511856348114</v>
      </c>
      <c r="AI39" s="13">
        <f>'[2]Prix 3ME NZ50'!AI11</f>
        <v>1.5057820319987294</v>
      </c>
      <c r="AJ39" s="13">
        <f>'[2]Prix 3ME NZ50'!AJ11</f>
        <v>1.5332366829676976</v>
      </c>
      <c r="AK39" s="13">
        <f>'[2]Prix 3ME NZ50'!AK11</f>
        <v>1.5617503757099631</v>
      </c>
      <c r="AL39" s="13">
        <f>'[2]Prix 3ME NZ50'!AL11</f>
        <v>1.5912083695741279</v>
      </c>
    </row>
    <row r="40" spans="1:38" x14ac:dyDescent="0.35">
      <c r="A40">
        <f t="shared" si="1"/>
        <v>1</v>
      </c>
      <c r="B40" t="s">
        <v>52</v>
      </c>
      <c r="C40" s="13">
        <f>'[2]Prix 3ME NZ50'!C12</f>
        <v>1</v>
      </c>
      <c r="D40" s="13">
        <f>'[2]Prix 3ME NZ50'!D12</f>
        <v>1.012</v>
      </c>
      <c r="E40" s="13">
        <f>'[2]Prix 3ME NZ50'!E12</f>
        <v>1.0241439999999999</v>
      </c>
      <c r="F40" s="13">
        <f>'[2]Prix 3ME NZ50'!F12</f>
        <v>1.036433728</v>
      </c>
      <c r="G40" s="13">
        <f>'[2]Prix 3ME NZ50'!G12</f>
        <v>1.048870932736</v>
      </c>
      <c r="H40" s="13">
        <f>'[2]Prix 3ME NZ50'!H12</f>
        <v>1.0614573839288319</v>
      </c>
      <c r="I40" s="13">
        <f>'[2]Prix 3ME NZ50'!I12</f>
        <v>1.074194872535978</v>
      </c>
      <c r="J40" s="13">
        <f>'[2]Prix 3ME NZ50'!J12</f>
        <v>1.0964132775346089</v>
      </c>
      <c r="K40" s="13">
        <f>'[2]Prix 3ME NZ50'!K12</f>
        <v>1.1190848647237872</v>
      </c>
      <c r="L40" s="13">
        <f>'[2]Prix 3ME NZ50'!L12</f>
        <v>1.143431918568403</v>
      </c>
      <c r="M40" s="13">
        <f>'[2]Prix 3ME NZ50'!M12</f>
        <v>1.1693410582688433</v>
      </c>
      <c r="N40" s="13">
        <f>'[2]Prix 3ME NZ50'!N12</f>
        <v>1.1927662823621117</v>
      </c>
      <c r="O40" s="13">
        <f>'[2]Prix 3ME NZ50'!O12</f>
        <v>1.211768279345032</v>
      </c>
      <c r="P40" s="13">
        <f>'[2]Prix 3ME NZ50'!P12</f>
        <v>1.2277673421420379</v>
      </c>
      <c r="Q40" s="13">
        <f>'[2]Prix 3ME NZ50'!Q12</f>
        <v>1.2416718676840803</v>
      </c>
      <c r="R40" s="13">
        <f>'[2]Prix 3ME NZ50'!R12</f>
        <v>1.2540290477555267</v>
      </c>
      <c r="S40" s="13">
        <f>'[2]Prix 3ME NZ50'!S12</f>
        <v>1.2662453714185897</v>
      </c>
      <c r="T40" s="13">
        <f>'[2]Prix 3ME NZ50'!T12</f>
        <v>1.2791157385835372</v>
      </c>
      <c r="U40" s="13">
        <f>'[2]Prix 3ME NZ50'!U12</f>
        <v>1.2919040516328411</v>
      </c>
      <c r="V40" s="13">
        <f>'[2]Prix 3ME NZ50'!V12</f>
        <v>1.3046060078468866</v>
      </c>
      <c r="W40" s="13">
        <f>'[2]Prix 3ME NZ50'!W12</f>
        <v>1.3173556599079581</v>
      </c>
      <c r="X40" s="13">
        <f>'[2]Prix 3ME NZ50'!X12</f>
        <v>1.3305893151032619</v>
      </c>
      <c r="Y40" s="13">
        <f>'[2]Prix 3ME NZ50'!Y12</f>
        <v>1.3444874740023698</v>
      </c>
      <c r="Z40" s="13">
        <f>'[2]Prix 3ME NZ50'!Z12</f>
        <v>1.3587841065270674</v>
      </c>
      <c r="AA40" s="13">
        <f>'[2]Prix 3ME NZ50'!AA12</f>
        <v>1.3736790893255486</v>
      </c>
      <c r="AB40" s="13">
        <f>'[2]Prix 3ME NZ50'!AB12</f>
        <v>1.3892802762487406</v>
      </c>
      <c r="AC40" s="13">
        <f>'[2]Prix 3ME NZ50'!AC12</f>
        <v>1.4070498988708968</v>
      </c>
      <c r="AD40" s="13">
        <f>'[2]Prix 3ME NZ50'!AD12</f>
        <v>1.4276899892069708</v>
      </c>
      <c r="AE40" s="13">
        <f>'[2]Prix 3ME NZ50'!AE12</f>
        <v>1.4501140722121515</v>
      </c>
      <c r="AF40" s="13">
        <f>'[2]Prix 3ME NZ50'!AF12</f>
        <v>1.4736947454522666</v>
      </c>
      <c r="AG40" s="13">
        <f>'[2]Prix 3ME NZ50'!AG12</f>
        <v>1.4982571654671306</v>
      </c>
      <c r="AH40" s="13">
        <f>'[2]Prix 3ME NZ50'!AH12</f>
        <v>1.5243170938204953</v>
      </c>
      <c r="AI40" s="13">
        <f>'[2]Prix 3ME NZ50'!AI12</f>
        <v>1.5522571376737981</v>
      </c>
      <c r="AJ40" s="13">
        <f>'[2]Prix 3ME NZ50'!AJ12</f>
        <v>1.5815904722748371</v>
      </c>
      <c r="AK40" s="13">
        <f>'[2]Prix 3ME NZ50'!AK12</f>
        <v>1.6120892673368241</v>
      </c>
      <c r="AL40" s="13">
        <f>'[2]Prix 3ME NZ50'!AL12</f>
        <v>1.6436127829892375</v>
      </c>
    </row>
    <row r="41" spans="1:38" x14ac:dyDescent="0.35">
      <c r="A41">
        <f t="shared" si="1"/>
        <v>1</v>
      </c>
      <c r="B41" t="s">
        <v>53</v>
      </c>
      <c r="C41" s="13">
        <f>'[2]Prix 3ME NZ50'!C13</f>
        <v>1</v>
      </c>
      <c r="D41" s="13">
        <f>'[2]Prix 3ME NZ50'!D13</f>
        <v>1.012</v>
      </c>
      <c r="E41" s="13">
        <f>'[2]Prix 3ME NZ50'!E13</f>
        <v>1.0241439999999999</v>
      </c>
      <c r="F41" s="13">
        <f>'[2]Prix 3ME NZ50'!F13</f>
        <v>1.036433728</v>
      </c>
      <c r="G41" s="13">
        <f>'[2]Prix 3ME NZ50'!G13</f>
        <v>1.048870932736</v>
      </c>
      <c r="H41" s="13">
        <f>'[2]Prix 3ME NZ50'!H13</f>
        <v>1.0614573839288319</v>
      </c>
      <c r="I41" s="13">
        <f>'[2]Prix 3ME NZ50'!I13</f>
        <v>1.074194872535978</v>
      </c>
      <c r="J41" s="13">
        <f>'[2]Prix 3ME NZ50'!J13</f>
        <v>1.0909944062826968</v>
      </c>
      <c r="K41" s="13">
        <f>'[2]Prix 3ME NZ50'!K13</f>
        <v>1.1080737183399021</v>
      </c>
      <c r="L41" s="13">
        <f>'[2]Prix 3ME NZ50'!L13</f>
        <v>1.125946120571111</v>
      </c>
      <c r="M41" s="13">
        <f>'[2]Prix 3ME NZ50'!M13</f>
        <v>1.1445651887333033</v>
      </c>
      <c r="N41" s="13">
        <f>'[2]Prix 3ME NZ50'!N13</f>
        <v>1.1618867126849421</v>
      </c>
      <c r="O41" s="13">
        <f>'[2]Prix 3ME NZ50'!O13</f>
        <v>1.176891260184572</v>
      </c>
      <c r="P41" s="13">
        <f>'[2]Prix 3ME NZ50'!P13</f>
        <v>1.1901331854072454</v>
      </c>
      <c r="Q41" s="13">
        <f>'[2]Prix 3ME NZ50'!Q13</f>
        <v>1.2021559917893754</v>
      </c>
      <c r="R41" s="13">
        <f>'[2]Prix 3ME NZ50'!R13</f>
        <v>1.2133323220035517</v>
      </c>
      <c r="S41" s="13">
        <f>'[2]Prix 3ME NZ50'!S13</f>
        <v>1.2241856003751845</v>
      </c>
      <c r="T41" s="13">
        <f>'[2]Prix 3ME NZ50'!T13</f>
        <v>1.2350552388703346</v>
      </c>
      <c r="U41" s="13">
        <f>'[2]Prix 3ME NZ50'!U13</f>
        <v>1.2457899104496468</v>
      </c>
      <c r="V41" s="13">
        <f>'[2]Prix 3ME NZ50'!V13</f>
        <v>1.2565518826881898</v>
      </c>
      <c r="W41" s="13">
        <f>'[2]Prix 3ME NZ50'!W13</f>
        <v>1.2675331169210147</v>
      </c>
      <c r="X41" s="13">
        <f>'[2]Prix 3ME NZ50'!X13</f>
        <v>1.2790044675997048</v>
      </c>
      <c r="Y41" s="13">
        <f>'[2]Prix 3ME NZ50'!Y13</f>
        <v>1.291147187454184</v>
      </c>
      <c r="Z41" s="13">
        <f>'[2]Prix 3ME NZ50'!Z13</f>
        <v>1.3039685987647498</v>
      </c>
      <c r="AA41" s="13">
        <f>'[2]Prix 3ME NZ50'!AA13</f>
        <v>1.3177643117504751</v>
      </c>
      <c r="AB41" s="13">
        <f>'[2]Prix 3ME NZ50'!AB13</f>
        <v>1.3326713047201784</v>
      </c>
      <c r="AC41" s="13">
        <f>'[2]Prix 3ME NZ50'!AC13</f>
        <v>1.3493809459293027</v>
      </c>
      <c r="AD41" s="13">
        <f>'[2]Prix 3ME NZ50'!AD13</f>
        <v>1.3682063008458607</v>
      </c>
      <c r="AE41" s="13">
        <f>'[2]Prix 3ME NZ50'!AE13</f>
        <v>1.3886926793947332</v>
      </c>
      <c r="AF41" s="13">
        <f>'[2]Prix 3ME NZ50'!AF13</f>
        <v>1.4103841630548133</v>
      </c>
      <c r="AG41" s="13">
        <f>'[2]Prix 3ME NZ50'!AG13</f>
        <v>1.4331427304035587</v>
      </c>
      <c r="AH41" s="13">
        <f>'[2]Prix 3ME NZ50'!AH13</f>
        <v>1.4571449229121065</v>
      </c>
      <c r="AI41" s="13">
        <f>'[2]Prix 3ME NZ50'!AI13</f>
        <v>1.4825202805895603</v>
      </c>
      <c r="AJ41" s="13">
        <f>'[2]Prix 3ME NZ50'!AJ13</f>
        <v>1.5090346115529913</v>
      </c>
      <c r="AK41" s="13">
        <f>'[2]Prix 3ME NZ50'!AK13</f>
        <v>1.5365547195360103</v>
      </c>
      <c r="AL41" s="13">
        <f>'[2]Prix 3ME NZ50'!AL13</f>
        <v>1.5649788770340056</v>
      </c>
    </row>
    <row r="42" spans="1:38" x14ac:dyDescent="0.35">
      <c r="A42">
        <f t="shared" si="1"/>
        <v>1</v>
      </c>
      <c r="B42" t="s">
        <v>54</v>
      </c>
      <c r="C42" s="13">
        <f>'[2]Prix 3ME NZ50'!C14</f>
        <v>1</v>
      </c>
      <c r="D42" s="13">
        <f>'[2]Prix 3ME NZ50'!D14</f>
        <v>1.012</v>
      </c>
      <c r="E42" s="13">
        <f>'[2]Prix 3ME NZ50'!E14</f>
        <v>1.0241439999999999</v>
      </c>
      <c r="F42" s="13">
        <f>'[2]Prix 3ME NZ50'!F14</f>
        <v>1.036433728</v>
      </c>
      <c r="G42" s="13">
        <f>'[2]Prix 3ME NZ50'!G14</f>
        <v>1.048870932736</v>
      </c>
      <c r="H42" s="13">
        <f>'[2]Prix 3ME NZ50'!H14</f>
        <v>1.0614573839288319</v>
      </c>
      <c r="I42" s="13">
        <f>'[2]Prix 3ME NZ50'!I14</f>
        <v>1.074194872535978</v>
      </c>
      <c r="J42" s="13">
        <f>'[2]Prix 3ME NZ50'!J14</f>
        <v>1.0946528077571347</v>
      </c>
      <c r="K42" s="13">
        <f>'[2]Prix 3ME NZ50'!K14</f>
        <v>1.1155075901359599</v>
      </c>
      <c r="L42" s="13">
        <f>'[2]Prix 3ME NZ50'!L14</f>
        <v>1.1377511748344773</v>
      </c>
      <c r="M42" s="13">
        <f>'[2]Prix 3ME NZ50'!M14</f>
        <v>1.1612919337371304</v>
      </c>
      <c r="N42" s="13">
        <f>'[2]Prix 3ME NZ50'!N14</f>
        <v>1.1827342025006682</v>
      </c>
      <c r="O42" s="13">
        <f>'[2]Prix 3ME NZ50'!O14</f>
        <v>1.2004375177701541</v>
      </c>
      <c r="P42" s="13">
        <f>'[2]Prix 3ME NZ50'!P14</f>
        <v>1.2155408483848835</v>
      </c>
      <c r="Q42" s="13">
        <f>'[2]Prix 3ME NZ50'!Q14</f>
        <v>1.2288340455604232</v>
      </c>
      <c r="R42" s="13">
        <f>'[2]Prix 3ME NZ50'!R14</f>
        <v>1.2408075939881531</v>
      </c>
      <c r="S42" s="13">
        <f>'[2]Prix 3ME NZ50'!S14</f>
        <v>1.2525810947958025</v>
      </c>
      <c r="T42" s="13">
        <f>'[2]Prix 3ME NZ50'!T14</f>
        <v>1.2648014700727048</v>
      </c>
      <c r="U42" s="13">
        <f>'[2]Prix 3ME NZ50'!U14</f>
        <v>1.2769226010514967</v>
      </c>
      <c r="V42" s="13">
        <f>'[2]Prix 3ME NZ50'!V14</f>
        <v>1.2889942999667641</v>
      </c>
      <c r="W42" s="13">
        <f>'[2]Prix 3ME NZ50'!W14</f>
        <v>1.3011694327237506</v>
      </c>
      <c r="X42" s="13">
        <f>'[2]Prix 3ME NZ50'!X14</f>
        <v>1.3138305546928573</v>
      </c>
      <c r="Y42" s="13">
        <f>'[2]Prix 3ME NZ50'!Y14</f>
        <v>1.3271584108036905</v>
      </c>
      <c r="Z42" s="13">
        <f>'[2]Prix 3ME NZ50'!Z14</f>
        <v>1.3409757770306971</v>
      </c>
      <c r="AA42" s="13">
        <f>'[2]Prix 3ME NZ50'!AA14</f>
        <v>1.3555136317128824</v>
      </c>
      <c r="AB42" s="13">
        <f>'[2]Prix 3ME NZ50'!AB14</f>
        <v>1.3708892905845653</v>
      </c>
      <c r="AC42" s="13">
        <f>'[2]Prix 3ME NZ50'!AC14</f>
        <v>1.3883145490106412</v>
      </c>
      <c r="AD42" s="13">
        <f>'[2]Prix 3ME NZ50'!AD14</f>
        <v>1.4083650724956773</v>
      </c>
      <c r="AE42" s="13">
        <f>'[2]Prix 3ME NZ50'!AE14</f>
        <v>1.4301596387667588</v>
      </c>
      <c r="AF42" s="13">
        <f>'[2]Prix 3ME NZ50'!AF14</f>
        <v>1.453126556668362</v>
      </c>
      <c r="AG42" s="13">
        <f>'[2]Prix 3ME NZ50'!AG14</f>
        <v>1.477102945394773</v>
      </c>
      <c r="AH42" s="13">
        <f>'[2]Prix 3ME NZ50'!AH14</f>
        <v>1.5024943615070419</v>
      </c>
      <c r="AI42" s="13">
        <f>'[2]Prix 3ME NZ50'!AI14</f>
        <v>1.5296011963226332</v>
      </c>
      <c r="AJ42" s="13">
        <f>'[2]Prix 3ME NZ50'!AJ14</f>
        <v>1.5580186998444883</v>
      </c>
      <c r="AK42" s="13">
        <f>'[2]Prix 3ME NZ50'!AK14</f>
        <v>1.5875497862573307</v>
      </c>
      <c r="AL42" s="13">
        <f>'[2]Prix 3ME NZ50'!AL14</f>
        <v>1.6180663899336576</v>
      </c>
    </row>
    <row r="43" spans="1:38" x14ac:dyDescent="0.35">
      <c r="A43">
        <f t="shared" si="1"/>
        <v>1</v>
      </c>
      <c r="B43" t="s">
        <v>55</v>
      </c>
      <c r="C43" s="13">
        <f>'[2]Prix 3ME NZ50'!C15</f>
        <v>1</v>
      </c>
      <c r="D43" s="13">
        <f>'[2]Prix 3ME NZ50'!D15</f>
        <v>1.012</v>
      </c>
      <c r="E43" s="13">
        <f>'[2]Prix 3ME NZ50'!E15</f>
        <v>1.0241439999999999</v>
      </c>
      <c r="F43" s="13">
        <f>'[2]Prix 3ME NZ50'!F15</f>
        <v>1.036433728</v>
      </c>
      <c r="G43" s="13">
        <f>'[2]Prix 3ME NZ50'!G15</f>
        <v>1.048870932736</v>
      </c>
      <c r="H43" s="13">
        <f>'[2]Prix 3ME NZ50'!H15</f>
        <v>1.0614573839288319</v>
      </c>
      <c r="I43" s="13">
        <f>'[2]Prix 3ME NZ50'!I15</f>
        <v>1.074194872535978</v>
      </c>
      <c r="J43" s="13">
        <f>'[2]Prix 3ME NZ50'!J15</f>
        <v>1.1039164685026901</v>
      </c>
      <c r="K43" s="13">
        <f>'[2]Prix 3ME NZ50'!K15</f>
        <v>1.1343313487709283</v>
      </c>
      <c r="L43" s="13">
        <f>'[2]Prix 3ME NZ50'!L15</f>
        <v>1.1676434702927008</v>
      </c>
      <c r="M43" s="13">
        <f>'[2]Prix 3ME NZ50'!M15</f>
        <v>1.2036467414791308</v>
      </c>
      <c r="N43" s="13">
        <f>'[2]Prix 3ME NZ50'!N15</f>
        <v>1.2355233986560681</v>
      </c>
      <c r="O43" s="13">
        <f>'[2]Prix 3ME NZ50'!O15</f>
        <v>1.260060427837401</v>
      </c>
      <c r="P43" s="13">
        <f>'[2]Prix 3ME NZ50'!P15</f>
        <v>1.2798771361889472</v>
      </c>
      <c r="Q43" s="13">
        <f>'[2]Prix 3ME NZ50'!Q15</f>
        <v>1.2963871671118645</v>
      </c>
      <c r="R43" s="13">
        <f>'[2]Prix 3ME NZ50'!R15</f>
        <v>1.3103794002362139</v>
      </c>
      <c r="S43" s="13">
        <f>'[2]Prix 3ME NZ50'!S15</f>
        <v>1.3244830522088646</v>
      </c>
      <c r="T43" s="13">
        <f>'[2]Prix 3ME NZ50'!T15</f>
        <v>1.3401237101939727</v>
      </c>
      <c r="U43" s="13">
        <f>'[2]Prix 3ME NZ50'!U15</f>
        <v>1.3557555792926814</v>
      </c>
      <c r="V43" s="13">
        <f>'[2]Prix 3ME NZ50'!V15</f>
        <v>1.3711437167364575</v>
      </c>
      <c r="W43" s="13">
        <f>'[2]Prix 3ME NZ50'!W15</f>
        <v>1.3863419925163545</v>
      </c>
      <c r="X43" s="13">
        <f>'[2]Prix 3ME NZ50'!X15</f>
        <v>1.4020158066889361</v>
      </c>
      <c r="Y43" s="13">
        <f>'[2]Prix 3ME NZ50'!Y15</f>
        <v>1.418344618351759</v>
      </c>
      <c r="Z43" s="13">
        <f>'[2]Prix 3ME NZ50'!Z15</f>
        <v>1.4346839025607698</v>
      </c>
      <c r="AA43" s="13">
        <f>'[2]Prix 3ME NZ50'!AA15</f>
        <v>1.4511009793428729</v>
      </c>
      <c r="AB43" s="13">
        <f>'[2]Prix 3ME NZ50'!AB15</f>
        <v>1.4676633756323283</v>
      </c>
      <c r="AC43" s="13">
        <f>'[2]Prix 3ME NZ50'!AC15</f>
        <v>1.486900691911496</v>
      </c>
      <c r="AD43" s="13">
        <f>'[2]Prix 3ME NZ50'!AD15</f>
        <v>1.5100535391993735</v>
      </c>
      <c r="AE43" s="13">
        <f>'[2]Prix 3ME NZ50'!AE15</f>
        <v>1.5351606471186914</v>
      </c>
      <c r="AF43" s="13">
        <f>'[2]Prix 3ME NZ50'!AF15</f>
        <v>1.5613571695891997</v>
      </c>
      <c r="AG43" s="13">
        <f>'[2]Prix 3ME NZ50'!AG15</f>
        <v>1.5884172778500052</v>
      </c>
      <c r="AH43" s="13">
        <f>'[2]Prix 3ME NZ50'!AH15</f>
        <v>1.6173264314917688</v>
      </c>
      <c r="AI43" s="13">
        <f>'[2]Prix 3ME NZ50'!AI15</f>
        <v>1.648817644814877</v>
      </c>
      <c r="AJ43" s="13">
        <f>'[2]Prix 3ME NZ50'!AJ15</f>
        <v>1.6820542872542823</v>
      </c>
      <c r="AK43" s="13">
        <f>'[2]Prix 3ME NZ50'!AK15</f>
        <v>1.7166774943845147</v>
      </c>
      <c r="AL43" s="13">
        <f>'[2]Prix 3ME NZ50'!AL15</f>
        <v>1.7524925082161609</v>
      </c>
    </row>
    <row r="44" spans="1:38" x14ac:dyDescent="0.35">
      <c r="A44">
        <f t="shared" si="1"/>
        <v>1</v>
      </c>
      <c r="B44" t="s">
        <v>56</v>
      </c>
      <c r="C44" s="13">
        <f>'[2]Prix 3ME NZ50'!C16</f>
        <v>1</v>
      </c>
      <c r="D44" s="13">
        <f>'[2]Prix 3ME NZ50'!D16</f>
        <v>1.012</v>
      </c>
      <c r="E44" s="13">
        <f>'[2]Prix 3ME NZ50'!E16</f>
        <v>1.0241439999999999</v>
      </c>
      <c r="F44" s="13">
        <f>'[2]Prix 3ME NZ50'!F16</f>
        <v>1.036433728</v>
      </c>
      <c r="G44" s="13">
        <f>'[2]Prix 3ME NZ50'!G16</f>
        <v>1.048870932736</v>
      </c>
      <c r="H44" s="13">
        <f>'[2]Prix 3ME NZ50'!H16</f>
        <v>1.0614573839288319</v>
      </c>
      <c r="I44" s="13">
        <f>'[2]Prix 3ME NZ50'!I16</f>
        <v>1.074194872535978</v>
      </c>
      <c r="J44" s="13">
        <f>'[2]Prix 3ME NZ50'!J16</f>
        <v>1.0908361272687126</v>
      </c>
      <c r="K44" s="13">
        <f>'[2]Prix 3ME NZ50'!K16</f>
        <v>1.1077520953834861</v>
      </c>
      <c r="L44" s="13">
        <f>'[2]Prix 3ME NZ50'!L16</f>
        <v>1.1254353804673003</v>
      </c>
      <c r="M44" s="13">
        <f>'[2]Prix 3ME NZ50'!M16</f>
        <v>1.1438415140013554</v>
      </c>
      <c r="N44" s="13">
        <f>'[2]Prix 3ME NZ50'!N16</f>
        <v>1.1609847558726196</v>
      </c>
      <c r="O44" s="13">
        <f>'[2]Prix 3ME NZ50'!O16</f>
        <v>1.1758725424577983</v>
      </c>
      <c r="P44" s="13">
        <f>'[2]Prix 3ME NZ50'!P16</f>
        <v>1.1890339348542802</v>
      </c>
      <c r="Q44" s="13">
        <f>'[2]Prix 3ME NZ50'!Q16</f>
        <v>1.2010017783780249</v>
      </c>
      <c r="R44" s="13">
        <f>'[2]Prix 3ME NZ50'!R16</f>
        <v>1.2121436173222699</v>
      </c>
      <c r="S44" s="13">
        <f>'[2]Prix 3ME NZ50'!S16</f>
        <v>1.2229570827043126</v>
      </c>
      <c r="T44" s="13">
        <f>'[2]Prix 3ME NZ50'!T16</f>
        <v>1.2337682822097942</v>
      </c>
      <c r="U44" s="13">
        <f>'[2]Prix 3ME NZ50'!U16</f>
        <v>1.2444429692772336</v>
      </c>
      <c r="V44" s="13">
        <f>'[2]Prix 3ME NZ50'!V16</f>
        <v>1.2551482768089559</v>
      </c>
      <c r="W44" s="13">
        <f>'[2]Prix 3ME NZ50'!W16</f>
        <v>1.2660778575853404</v>
      </c>
      <c r="X44" s="13">
        <f>'[2]Prix 3ME NZ50'!X16</f>
        <v>1.2774977333704112</v>
      </c>
      <c r="Y44" s="13">
        <f>'[2]Prix 3ME NZ50'!Y16</f>
        <v>1.2895891788638332</v>
      </c>
      <c r="Z44" s="13">
        <f>'[2]Prix 3ME NZ50'!Z16</f>
        <v>1.3023675006547688</v>
      </c>
      <c r="AA44" s="13">
        <f>'[2]Prix 3ME NZ50'!AA16</f>
        <v>1.3161311052300935</v>
      </c>
      <c r="AB44" s="13">
        <f>'[2]Prix 3ME NZ50'!AB16</f>
        <v>1.331017821590635</v>
      </c>
      <c r="AC44" s="13">
        <f>'[2]Prix 3ME NZ50'!AC16</f>
        <v>1.3476965019584517</v>
      </c>
      <c r="AD44" s="13">
        <f>'[2]Prix 3ME NZ50'!AD16</f>
        <v>1.3664688505348535</v>
      </c>
      <c r="AE44" s="13">
        <f>'[2]Prix 3ME NZ50'!AE16</f>
        <v>1.3868986309590465</v>
      </c>
      <c r="AF44" s="13">
        <f>'[2]Prix 3ME NZ50'!AF16</f>
        <v>1.4085349335583381</v>
      </c>
      <c r="AG44" s="13">
        <f>'[2]Prix 3ME NZ50'!AG16</f>
        <v>1.4312408124396712</v>
      </c>
      <c r="AH44" s="13">
        <f>'[2]Prix 3ME NZ50'!AH16</f>
        <v>1.4551829008443538</v>
      </c>
      <c r="AI44" s="13">
        <f>'[2]Prix 3ME NZ50'!AI16</f>
        <v>1.4804833469802299</v>
      </c>
      <c r="AJ44" s="13">
        <f>'[2]Prix 3ME NZ50'!AJ16</f>
        <v>1.5069153380807199</v>
      </c>
      <c r="AK44" s="13">
        <f>'[2]Prix 3ME NZ50'!AK16</f>
        <v>1.5343484420306275</v>
      </c>
      <c r="AL44" s="13">
        <f>'[2]Prix 3ME NZ50'!AL16</f>
        <v>1.5626820708318039</v>
      </c>
    </row>
    <row r="45" spans="1:38" x14ac:dyDescent="0.35">
      <c r="A45">
        <f t="shared" si="1"/>
        <v>1</v>
      </c>
      <c r="B45" t="s">
        <v>57</v>
      </c>
      <c r="C45" s="13">
        <f>'[2]Prix 3ME NZ50'!C17</f>
        <v>1</v>
      </c>
      <c r="D45" s="13">
        <f>'[2]Prix 3ME NZ50'!D17</f>
        <v>1.012</v>
      </c>
      <c r="E45" s="13">
        <f>'[2]Prix 3ME NZ50'!E17</f>
        <v>1.0241439999999999</v>
      </c>
      <c r="F45" s="13">
        <f>'[2]Prix 3ME NZ50'!F17</f>
        <v>1.036433728</v>
      </c>
      <c r="G45" s="13">
        <f>'[2]Prix 3ME NZ50'!G17</f>
        <v>1.048870932736</v>
      </c>
      <c r="H45" s="13">
        <f>'[2]Prix 3ME NZ50'!H17</f>
        <v>1.0614573839288319</v>
      </c>
      <c r="I45" s="13">
        <f>'[2]Prix 3ME NZ50'!I17</f>
        <v>1.074194872535978</v>
      </c>
      <c r="J45" s="13">
        <f>'[2]Prix 3ME NZ50'!J17</f>
        <v>1.0887043011779129</v>
      </c>
      <c r="K45" s="13">
        <f>'[2]Prix 3ME NZ50'!K17</f>
        <v>1.1034202247669809</v>
      </c>
      <c r="L45" s="13">
        <f>'[2]Prix 3ME NZ50'!L17</f>
        <v>1.1185563315554203</v>
      </c>
      <c r="M45" s="13">
        <f>'[2]Prix 3ME NZ50'!M17</f>
        <v>1.1340944942544884</v>
      </c>
      <c r="N45" s="13">
        <f>'[2]Prix 3ME NZ50'!N17</f>
        <v>1.14883649302411</v>
      </c>
      <c r="O45" s="13">
        <f>'[2]Prix 3ME NZ50'!O17</f>
        <v>1.1621516518960675</v>
      </c>
      <c r="P45" s="13">
        <f>'[2]Prix 3ME NZ50'!P17</f>
        <v>1.1742283649297003</v>
      </c>
      <c r="Q45" s="13">
        <f>'[2]Prix 3ME NZ50'!Q17</f>
        <v>1.1854559255025914</v>
      </c>
      <c r="R45" s="13">
        <f>'[2]Prix 3ME NZ50'!R17</f>
        <v>1.1961332089300107</v>
      </c>
      <c r="S45" s="13">
        <f>'[2]Prix 3ME NZ50'!S17</f>
        <v>1.2064104416945709</v>
      </c>
      <c r="T45" s="13">
        <f>'[2]Prix 3ME NZ50'!T17</f>
        <v>1.2164345389825235</v>
      </c>
      <c r="U45" s="13">
        <f>'[2]Prix 3ME NZ50'!U17</f>
        <v>1.2263013075253564</v>
      </c>
      <c r="V45" s="13">
        <f>'[2]Prix 3ME NZ50'!V17</f>
        <v>1.2362434102746713</v>
      </c>
      <c r="W45" s="13">
        <f>'[2]Prix 3ME NZ50'!W17</f>
        <v>1.2464772817251768</v>
      </c>
      <c r="X45" s="13">
        <f>'[2]Prix 3ME NZ50'!X17</f>
        <v>1.257203853208706</v>
      </c>
      <c r="Y45" s="13">
        <f>'[2]Prix 3ME NZ50'!Y17</f>
        <v>1.2686046953306549</v>
      </c>
      <c r="Z45" s="13">
        <f>'[2]Prix 3ME NZ50'!Z17</f>
        <v>1.2808026536237722</v>
      </c>
      <c r="AA45" s="13">
        <f>'[2]Prix 3ME NZ50'!AA17</f>
        <v>1.2941337969061966</v>
      </c>
      <c r="AB45" s="13">
        <f>'[2]Prix 3ME NZ50'!AB17</f>
        <v>1.3087474119669793</v>
      </c>
      <c r="AC45" s="13">
        <f>'[2]Prix 3ME NZ50'!AC17</f>
        <v>1.3250090874038769</v>
      </c>
      <c r="AD45" s="13">
        <f>'[2]Prix 3ME NZ50'!AD17</f>
        <v>1.3430675049538019</v>
      </c>
      <c r="AE45" s="13">
        <f>'[2]Prix 3ME NZ50'!AE17</f>
        <v>1.3627349773761652</v>
      </c>
      <c r="AF45" s="13">
        <f>'[2]Prix 3ME NZ50'!AF17</f>
        <v>1.383628058103233</v>
      </c>
      <c r="AG45" s="13">
        <f>'[2]Prix 3ME NZ50'!AG17</f>
        <v>1.4056242873179066</v>
      </c>
      <c r="AH45" s="13">
        <f>'[2]Prix 3ME NZ50'!AH17</f>
        <v>1.4287568464390863</v>
      </c>
      <c r="AI45" s="13">
        <f>'[2]Prix 3ME NZ50'!AI17</f>
        <v>1.4530483250888904</v>
      </c>
      <c r="AJ45" s="13">
        <f>'[2]Prix 3ME NZ50'!AJ17</f>
        <v>1.4783712982361321</v>
      </c>
      <c r="AK45" s="13">
        <f>'[2]Prix 3ME NZ50'!AK17</f>
        <v>1.5046325635251687</v>
      </c>
      <c r="AL45" s="13">
        <f>'[2]Prix 3ME NZ50'!AL17</f>
        <v>1.5317468807259838</v>
      </c>
    </row>
    <row r="46" spans="1:38" x14ac:dyDescent="0.35">
      <c r="A46">
        <f t="shared" si="1"/>
        <v>1</v>
      </c>
      <c r="B46" t="s">
        <v>58</v>
      </c>
      <c r="C46" s="13">
        <f>'[2]Prix 3ME NZ50'!C18</f>
        <v>1</v>
      </c>
      <c r="D46" s="13">
        <f>'[2]Prix 3ME NZ50'!D18</f>
        <v>1.012</v>
      </c>
      <c r="E46" s="13">
        <f>'[2]Prix 3ME NZ50'!E18</f>
        <v>1.0241439999999999</v>
      </c>
      <c r="F46" s="13">
        <f>'[2]Prix 3ME NZ50'!F18</f>
        <v>1.036433728</v>
      </c>
      <c r="G46" s="13">
        <f>'[2]Prix 3ME NZ50'!G18</f>
        <v>1.048870932736</v>
      </c>
      <c r="H46" s="13">
        <f>'[2]Prix 3ME NZ50'!H18</f>
        <v>1.0614573839288319</v>
      </c>
      <c r="I46" s="13">
        <f>'[2]Prix 3ME NZ50'!I18</f>
        <v>1.074194872535978</v>
      </c>
      <c r="J46" s="13">
        <f>'[2]Prix 3ME NZ50'!J18</f>
        <v>1.0967913676224239</v>
      </c>
      <c r="K46" s="13">
        <f>'[2]Prix 3ME NZ50'!K18</f>
        <v>1.1198531437822274</v>
      </c>
      <c r="L46" s="13">
        <f>'[2]Prix 3ME NZ50'!L18</f>
        <v>1.1446519525188277</v>
      </c>
      <c r="M46" s="13">
        <f>'[2]Prix 3ME NZ50'!M18</f>
        <v>1.1710697412828717</v>
      </c>
      <c r="N46" s="13">
        <f>'[2]Prix 3ME NZ50'!N18</f>
        <v>1.1949208379269469</v>
      </c>
      <c r="O46" s="13">
        <f>'[2]Prix 3ME NZ50'!O18</f>
        <v>1.2142017483506764</v>
      </c>
      <c r="P46" s="13">
        <f>'[2]Prix 3ME NZ50'!P18</f>
        <v>1.2303931844924503</v>
      </c>
      <c r="Q46" s="13">
        <f>'[2]Prix 3ME NZ50'!Q18</f>
        <v>1.2444290029420635</v>
      </c>
      <c r="R46" s="13">
        <f>'[2]Prix 3ME NZ50'!R18</f>
        <v>1.2568685742727732</v>
      </c>
      <c r="S46" s="13">
        <f>'[2]Prix 3ME NZ50'!S18</f>
        <v>1.2691800014896901</v>
      </c>
      <c r="T46" s="13">
        <f>'[2]Prix 3ME NZ50'!T18</f>
        <v>1.2821899651948194</v>
      </c>
      <c r="U46" s="13">
        <f>'[2]Prix 3ME NZ50'!U18</f>
        <v>1.2951215666611449</v>
      </c>
      <c r="V46" s="13">
        <f>'[2]Prix 3ME NZ50'!V18</f>
        <v>1.3079588810849647</v>
      </c>
      <c r="W46" s="13">
        <f>'[2]Prix 3ME NZ50'!W18</f>
        <v>1.3208319206968551</v>
      </c>
      <c r="X46" s="13">
        <f>'[2]Prix 3ME NZ50'!X18</f>
        <v>1.3341885368998057</v>
      </c>
      <c r="Y46" s="13">
        <f>'[2]Prix 3ME NZ50'!Y18</f>
        <v>1.3482091777830174</v>
      </c>
      <c r="Z46" s="13">
        <f>'[2]Prix 3ME NZ50'!Z18</f>
        <v>1.3626087406953304</v>
      </c>
      <c r="AA46" s="13">
        <f>'[2]Prix 3ME NZ50'!AA18</f>
        <v>1.3775804226809147</v>
      </c>
      <c r="AB46" s="13">
        <f>'[2]Prix 3ME NZ50'!AB18</f>
        <v>1.3932300454942828</v>
      </c>
      <c r="AC46" s="13">
        <f>'[2]Prix 3ME NZ50'!AC18</f>
        <v>1.4110736260399444</v>
      </c>
      <c r="AD46" s="13">
        <f>'[2]Prix 3ME NZ50'!AD18</f>
        <v>1.4318403356371576</v>
      </c>
      <c r="AE46" s="13">
        <f>'[2]Prix 3ME NZ50'!AE18</f>
        <v>1.4543996178035634</v>
      </c>
      <c r="AF46" s="13">
        <f>'[2]Prix 3ME NZ50'!AF18</f>
        <v>1.4781121051837476</v>
      </c>
      <c r="AG46" s="13">
        <f>'[2]Prix 3ME NZ50'!AG18</f>
        <v>1.5028003851390368</v>
      </c>
      <c r="AH46" s="13">
        <f>'[2]Prix 3ME NZ50'!AH18</f>
        <v>1.5290038875856209</v>
      </c>
      <c r="AI46" s="13">
        <f>'[2]Prix 3ME NZ50'!AI18</f>
        <v>1.5571228769012475</v>
      </c>
      <c r="AJ46" s="13">
        <f>'[2]Prix 3ME NZ50'!AJ18</f>
        <v>1.5866529014185706</v>
      </c>
      <c r="AK46" s="13">
        <f>'[2]Prix 3ME NZ50'!AK18</f>
        <v>1.6173595279655488</v>
      </c>
      <c r="AL46" s="13">
        <f>'[2]Prix 3ME NZ50'!AL18</f>
        <v>1.6490992946677283</v>
      </c>
    </row>
    <row r="47" spans="1:38" x14ac:dyDescent="0.35">
      <c r="A47">
        <f t="shared" si="1"/>
        <v>1</v>
      </c>
      <c r="B47" t="s">
        <v>59</v>
      </c>
      <c r="C47" s="13">
        <f>'[2]Prix 3ME NZ50'!C19</f>
        <v>1</v>
      </c>
      <c r="D47" s="13">
        <f>'[2]Prix 3ME NZ50'!D19</f>
        <v>1.012</v>
      </c>
      <c r="E47" s="13">
        <f>'[2]Prix 3ME NZ50'!E19</f>
        <v>1.0241439999999999</v>
      </c>
      <c r="F47" s="13">
        <f>'[2]Prix 3ME NZ50'!F19</f>
        <v>1.036433728</v>
      </c>
      <c r="G47" s="13">
        <f>'[2]Prix 3ME NZ50'!G19</f>
        <v>1.048870932736</v>
      </c>
      <c r="H47" s="13">
        <f>'[2]Prix 3ME NZ50'!H19</f>
        <v>1.0614573839288319</v>
      </c>
      <c r="I47" s="13">
        <f>'[2]Prix 3ME NZ50'!I19</f>
        <v>1.074194872535978</v>
      </c>
      <c r="J47" s="13">
        <f>'[2]Prix 3ME NZ50'!J19</f>
        <v>1.0891119895845054</v>
      </c>
      <c r="K47" s="13">
        <f>'[2]Prix 3ME NZ50'!K19</f>
        <v>1.1042486476091768</v>
      </c>
      <c r="L47" s="13">
        <f>'[2]Prix 3ME NZ50'!L19</f>
        <v>1.1198718743672191</v>
      </c>
      <c r="M47" s="13">
        <f>'[2]Prix 3ME NZ50'!M19</f>
        <v>1.1359585050979504</v>
      </c>
      <c r="N47" s="13">
        <f>'[2]Prix 3ME NZ50'!N19</f>
        <v>1.1511597153286639</v>
      </c>
      <c r="O47" s="13">
        <f>'[2]Prix 3ME NZ50'!O19</f>
        <v>1.1647756220380427</v>
      </c>
      <c r="P47" s="13">
        <f>'[2]Prix 3ME NZ50'!P19</f>
        <v>1.1770597681277828</v>
      </c>
      <c r="Q47" s="13">
        <f>'[2]Prix 3ME NZ50'!Q19</f>
        <v>1.1884288997124763</v>
      </c>
      <c r="R47" s="13">
        <f>'[2]Prix 3ME NZ50'!R19</f>
        <v>1.1991950242978333</v>
      </c>
      <c r="S47" s="13">
        <f>'[2]Prix 3ME NZ50'!S19</f>
        <v>1.2095748056813111</v>
      </c>
      <c r="T47" s="13">
        <f>'[2]Prix 3ME NZ50'!T19</f>
        <v>1.2197494276533714</v>
      </c>
      <c r="U47" s="13">
        <f>'[2]Prix 3ME NZ50'!U19</f>
        <v>1.2297707017712016</v>
      </c>
      <c r="V47" s="13">
        <f>'[2]Prix 3ME NZ50'!V19</f>
        <v>1.2398587590817194</v>
      </c>
      <c r="W47" s="13">
        <f>'[2]Prix 3ME NZ50'!W19</f>
        <v>1.2502256773261184</v>
      </c>
      <c r="X47" s="13">
        <f>'[2]Prix 3ME NZ50'!X19</f>
        <v>1.2610848356689597</v>
      </c>
      <c r="Y47" s="13">
        <f>'[2]Prix 3ME NZ50'!Y19</f>
        <v>1.2726177481269079</v>
      </c>
      <c r="Z47" s="13">
        <f>'[2]Prix 3ME NZ50'!Z19</f>
        <v>1.2849266945867854</v>
      </c>
      <c r="AA47" s="13">
        <f>'[2]Prix 3ME NZ50'!AA19</f>
        <v>1.2983405413580995</v>
      </c>
      <c r="AB47" s="13">
        <f>'[2]Prix 3ME NZ50'!AB19</f>
        <v>1.3130063840533117</v>
      </c>
      <c r="AC47" s="13">
        <f>'[2]Prix 3ME NZ50'!AC19</f>
        <v>1.3293478071190432</v>
      </c>
      <c r="AD47" s="13">
        <f>'[2]Prix 3ME NZ50'!AD19</f>
        <v>1.3475427561636606</v>
      </c>
      <c r="AE47" s="13">
        <f>'[2]Prix 3ME NZ50'!AE19</f>
        <v>1.3673560116477568</v>
      </c>
      <c r="AF47" s="13">
        <f>'[2]Prix 3ME NZ50'!AF19</f>
        <v>1.3883912254231718</v>
      </c>
      <c r="AG47" s="13">
        <f>'[2]Prix 3ME NZ50'!AG19</f>
        <v>1.4105231673693333</v>
      </c>
      <c r="AH47" s="13">
        <f>'[2]Prix 3ME NZ50'!AH19</f>
        <v>1.4338105401055192</v>
      </c>
      <c r="AI47" s="13">
        <f>'[2]Prix 3ME NZ50'!AI19</f>
        <v>1.4582949727436789</v>
      </c>
      <c r="AJ47" s="13">
        <f>'[2]Prix 3ME NZ50'!AJ19</f>
        <v>1.4838300334360508</v>
      </c>
      <c r="AK47" s="13">
        <f>'[2]Prix 3ME NZ50'!AK19</f>
        <v>1.5103154000429651</v>
      </c>
      <c r="AL47" s="13">
        <f>'[2]Prix 3ME NZ50'!AL19</f>
        <v>1.5376628972417341</v>
      </c>
    </row>
    <row r="48" spans="1:38" x14ac:dyDescent="0.35">
      <c r="A48">
        <f t="shared" si="1"/>
        <v>1</v>
      </c>
      <c r="B48" t="s">
        <v>60</v>
      </c>
      <c r="C48" s="13">
        <f>'[2]Prix 3ME NZ50'!C20</f>
        <v>1</v>
      </c>
      <c r="D48" s="13">
        <f>'[2]Prix 3ME NZ50'!D20</f>
        <v>1.012</v>
      </c>
      <c r="E48" s="13">
        <f>'[2]Prix 3ME NZ50'!E20</f>
        <v>1.0241439999999999</v>
      </c>
      <c r="F48" s="13">
        <f>'[2]Prix 3ME NZ50'!F20</f>
        <v>1.036433728</v>
      </c>
      <c r="G48" s="13">
        <f>'[2]Prix 3ME NZ50'!G20</f>
        <v>1.048870932736</v>
      </c>
      <c r="H48" s="13">
        <f>'[2]Prix 3ME NZ50'!H20</f>
        <v>1.0614573839288319</v>
      </c>
      <c r="I48" s="13">
        <f>'[2]Prix 3ME NZ50'!I20</f>
        <v>1.074194872535978</v>
      </c>
      <c r="J48" s="13">
        <f>'[2]Prix 3ME NZ50'!J20</f>
        <v>1.1375856103074897</v>
      </c>
      <c r="K48" s="13">
        <f>'[2]Prix 3ME NZ50'!K20</f>
        <v>1.2027470449182809</v>
      </c>
      <c r="L48" s="13">
        <f>'[2]Prix 3ME NZ50'!L20</f>
        <v>1.2762882018192485</v>
      </c>
      <c r="M48" s="13">
        <f>'[2]Prix 3ME NZ50'!M20</f>
        <v>1.3575869673951795</v>
      </c>
      <c r="N48" s="13">
        <f>'[2]Prix 3ME NZ50'!N20</f>
        <v>1.4273878224445038</v>
      </c>
      <c r="O48" s="13">
        <f>'[2]Prix 3ME NZ50'!O20</f>
        <v>1.4767622554417952</v>
      </c>
      <c r="P48" s="13">
        <f>'[2]Prix 3ME NZ50'!P20</f>
        <v>1.5137099218194774</v>
      </c>
      <c r="Q48" s="13">
        <f>'[2]Prix 3ME NZ50'!Q20</f>
        <v>1.5419116623783373</v>
      </c>
      <c r="R48" s="13">
        <f>'[2]Prix 3ME NZ50'!R20</f>
        <v>1.563240884969002</v>
      </c>
      <c r="S48" s="13">
        <f>'[2]Prix 3ME NZ50'!S20</f>
        <v>1.5858135636208406</v>
      </c>
      <c r="T48" s="13">
        <f>'[2]Prix 3ME NZ50'!T20</f>
        <v>1.6138853745462527</v>
      </c>
      <c r="U48" s="13">
        <f>'[2]Prix 3ME NZ50'!U20</f>
        <v>1.6422771603610067</v>
      </c>
      <c r="V48" s="13">
        <f>'[2]Prix 3ME NZ50'!V20</f>
        <v>1.669719024961926</v>
      </c>
      <c r="W48" s="13">
        <f>'[2]Prix 3ME NZ50'!W20</f>
        <v>1.6959050337698702</v>
      </c>
      <c r="X48" s="13">
        <f>'[2]Prix 3ME NZ50'!X20</f>
        <v>1.7225285970534254</v>
      </c>
      <c r="Y48" s="13">
        <f>'[2]Prix 3ME NZ50'!Y20</f>
        <v>1.7497645005026476</v>
      </c>
      <c r="Z48" s="13">
        <f>'[2]Prix 3ME NZ50'!Z20</f>
        <v>1.7752697954808807</v>
      </c>
      <c r="AA48" s="13">
        <f>'[2]Prix 3ME NZ50'!AA20</f>
        <v>1.7985169793991072</v>
      </c>
      <c r="AB48" s="13">
        <f>'[2]Prix 3ME NZ50'!AB20</f>
        <v>1.8193926198262238</v>
      </c>
      <c r="AC48" s="13">
        <f>'[2]Prix 3ME NZ50'!AC20</f>
        <v>1.8452159321268369</v>
      </c>
      <c r="AD48" s="13">
        <f>'[2]Prix 3ME NZ50'!AD20</f>
        <v>1.8796442981228427</v>
      </c>
      <c r="AE48" s="13">
        <f>'[2]Prix 3ME NZ50'!AE20</f>
        <v>1.9167909698336443</v>
      </c>
      <c r="AF48" s="13">
        <f>'[2]Prix 3ME NZ50'!AF20</f>
        <v>1.9547256179966404</v>
      </c>
      <c r="AG48" s="13">
        <f>'[2]Prix 3ME NZ50'!AG20</f>
        <v>1.9929936270152075</v>
      </c>
      <c r="AH48" s="13">
        <f>'[2]Prix 3ME NZ50'!AH20</f>
        <v>2.0346881370042933</v>
      </c>
      <c r="AI48" s="13">
        <f>'[2]Prix 3ME NZ50'!AI20</f>
        <v>2.0821145476268406</v>
      </c>
      <c r="AJ48" s="13">
        <f>'[2]Prix 3ME NZ50'!AJ20</f>
        <v>2.1328665412917194</v>
      </c>
      <c r="AK48" s="13">
        <f>'[2]Prix 3ME NZ50'!AK20</f>
        <v>2.1859972628085531</v>
      </c>
      <c r="AL48" s="13">
        <f>'[2]Prix 3ME NZ50'!AL20</f>
        <v>2.2410695581576632</v>
      </c>
    </row>
    <row r="49" spans="1:38" x14ac:dyDescent="0.35">
      <c r="A49">
        <f t="shared" si="1"/>
        <v>1</v>
      </c>
      <c r="B49" t="s">
        <v>61</v>
      </c>
      <c r="C49" s="13">
        <f>'[2]Prix 3ME NZ50'!C21</f>
        <v>1</v>
      </c>
      <c r="D49" s="13">
        <f>'[2]Prix 3ME NZ50'!D21</f>
        <v>1.012</v>
      </c>
      <c r="E49" s="13">
        <f>'[2]Prix 3ME NZ50'!E21</f>
        <v>1.0241439999999999</v>
      </c>
      <c r="F49" s="13">
        <f>'[2]Prix 3ME NZ50'!F21</f>
        <v>1.036433728</v>
      </c>
      <c r="G49" s="13">
        <f>'[2]Prix 3ME NZ50'!G21</f>
        <v>1.048870932736</v>
      </c>
      <c r="H49" s="13">
        <f>'[2]Prix 3ME NZ50'!H21</f>
        <v>1.0614573839288319</v>
      </c>
      <c r="I49" s="13">
        <f>'[2]Prix 3ME NZ50'!I21</f>
        <v>1.074194872535978</v>
      </c>
      <c r="J49" s="13">
        <f>'[2]Prix 3ME NZ50'!J21</f>
        <v>1.1310873538334971</v>
      </c>
      <c r="K49" s="13">
        <f>'[2]Prix 3ME NZ50'!K21</f>
        <v>1.1895425877631278</v>
      </c>
      <c r="L49" s="13">
        <f>'[2]Prix 3ME NZ50'!L21</f>
        <v>1.2553194068882489</v>
      </c>
      <c r="M49" s="13">
        <f>'[2]Prix 3ME NZ50'!M21</f>
        <v>1.3278759912299285</v>
      </c>
      <c r="N49" s="13">
        <f>'[2]Prix 3ME NZ50'!N21</f>
        <v>1.3903573498164683</v>
      </c>
      <c r="O49" s="13">
        <f>'[2]Prix 3ME NZ50'!O21</f>
        <v>1.4349380811780024</v>
      </c>
      <c r="P49" s="13">
        <f>'[2]Prix 3ME NZ50'!P21</f>
        <v>1.4685794156169487</v>
      </c>
      <c r="Q49" s="13">
        <f>'[2]Prix 3ME NZ50'!Q21</f>
        <v>1.4945246172870454</v>
      </c>
      <c r="R49" s="13">
        <f>'[2]Prix 3ME NZ50'!R21</f>
        <v>1.5144377764812769</v>
      </c>
      <c r="S49" s="13">
        <f>'[2]Prix 3ME NZ50'!S21</f>
        <v>1.5353759047853368</v>
      </c>
      <c r="T49" s="13">
        <f>'[2]Prix 3ME NZ50'!T21</f>
        <v>1.561048461802174</v>
      </c>
      <c r="U49" s="13">
        <f>'[2]Prix 3ME NZ50'!U21</f>
        <v>1.5869775412049745</v>
      </c>
      <c r="V49" s="13">
        <f>'[2]Prix 3ME NZ50'!V21</f>
        <v>1.612092996330156</v>
      </c>
      <c r="W49" s="13">
        <f>'[2]Prix 3ME NZ50'!W21</f>
        <v>1.6361583360786403</v>
      </c>
      <c r="X49" s="13">
        <f>'[2]Prix 3ME NZ50'!X21</f>
        <v>1.660668561325203</v>
      </c>
      <c r="Y49" s="13">
        <f>'[2]Prix 3ME NZ50'!Y21</f>
        <v>1.6857993597431085</v>
      </c>
      <c r="Z49" s="13">
        <f>'[2]Prix 3ME NZ50'!Z21</f>
        <v>1.7095355841234894</v>
      </c>
      <c r="AA49" s="13">
        <f>'[2]Prix 3ME NZ50'!AA21</f>
        <v>1.7314645346227384</v>
      </c>
      <c r="AB49" s="13">
        <f>'[2]Prix 3ME NZ50'!AB21</f>
        <v>1.7515077045697944</v>
      </c>
      <c r="AC49" s="13">
        <f>'[2]Prix 3ME NZ50'!AC21</f>
        <v>1.7760598977093618</v>
      </c>
      <c r="AD49" s="13">
        <f>'[2]Prix 3ME NZ50'!AD21</f>
        <v>1.808312051051433</v>
      </c>
      <c r="AE49" s="13">
        <f>'[2]Prix 3ME NZ50'!AE21</f>
        <v>1.8431350468632277</v>
      </c>
      <c r="AF49" s="13">
        <f>'[2]Prix 3ME NZ50'!AF21</f>
        <v>1.8788041976839995</v>
      </c>
      <c r="AG49" s="13">
        <f>'[2]Prix 3ME NZ50'!AG21</f>
        <v>1.9149090445381955</v>
      </c>
      <c r="AH49" s="13">
        <f>'[2]Prix 3ME NZ50'!AH21</f>
        <v>1.9541359381817871</v>
      </c>
      <c r="AI49" s="13">
        <f>'[2]Prix 3ME NZ50'!AI21</f>
        <v>1.9984868026672875</v>
      </c>
      <c r="AJ49" s="13">
        <f>'[2]Prix 3ME NZ50'!AJ21</f>
        <v>2.0458582752260726</v>
      </c>
      <c r="AK49" s="13">
        <f>'[2]Prix 3ME NZ50'!AK21</f>
        <v>2.0954169848431818</v>
      </c>
      <c r="AL49" s="13">
        <f>'[2]Prix 3ME NZ50'!AL21</f>
        <v>2.1467725607398669</v>
      </c>
    </row>
    <row r="50" spans="1:38" x14ac:dyDescent="0.35">
      <c r="A50">
        <f t="shared" si="1"/>
        <v>1</v>
      </c>
      <c r="B50" t="s">
        <v>62</v>
      </c>
      <c r="C50" s="13">
        <f>'[2]Prix 3ME NZ50'!C22</f>
        <v>1</v>
      </c>
      <c r="D50" s="13">
        <f>'[2]Prix 3ME NZ50'!D22</f>
        <v>1.012</v>
      </c>
      <c r="E50" s="13">
        <f>'[2]Prix 3ME NZ50'!E22</f>
        <v>1.0241439999999999</v>
      </c>
      <c r="F50" s="13">
        <f>'[2]Prix 3ME NZ50'!F22</f>
        <v>1.036433728</v>
      </c>
      <c r="G50" s="13">
        <f>'[2]Prix 3ME NZ50'!G22</f>
        <v>1.048870932736</v>
      </c>
      <c r="H50" s="13">
        <f>'[2]Prix 3ME NZ50'!H22</f>
        <v>1.0614573839288319</v>
      </c>
      <c r="I50" s="13">
        <f>'[2]Prix 3ME NZ50'!I22</f>
        <v>1.074194872535978</v>
      </c>
      <c r="J50" s="13">
        <f>'[2]Prix 3ME NZ50'!J22</f>
        <v>1.0881064560509284</v>
      </c>
      <c r="K50" s="13">
        <f>'[2]Prix 3ME NZ50'!K22</f>
        <v>1.1022054034689484</v>
      </c>
      <c r="L50" s="13">
        <f>'[2]Prix 3ME NZ50'!L22</f>
        <v>1.1166271845729323</v>
      </c>
      <c r="M50" s="13">
        <f>'[2]Prix 3ME NZ50'!M22</f>
        <v>1.1313610591570218</v>
      </c>
      <c r="N50" s="13">
        <f>'[2]Prix 3ME NZ50'!N22</f>
        <v>1.1454296580216428</v>
      </c>
      <c r="O50" s="13">
        <f>'[2]Prix 3ME NZ50'!O22</f>
        <v>1.1583037922626664</v>
      </c>
      <c r="P50" s="13">
        <f>'[2]Prix 3ME NZ50'!P22</f>
        <v>1.1700763199435547</v>
      </c>
      <c r="Q50" s="13">
        <f>'[2]Prix 3ME NZ50'!Q22</f>
        <v>1.1810962770178925</v>
      </c>
      <c r="R50" s="13">
        <f>'[2]Prix 3ME NZ50'!R22</f>
        <v>1.1916432814074733</v>
      </c>
      <c r="S50" s="13">
        <f>'[2]Prix 3ME NZ50'!S22</f>
        <v>1.201770134148693</v>
      </c>
      <c r="T50" s="13">
        <f>'[2]Prix 3ME NZ50'!T22</f>
        <v>1.2115734980347892</v>
      </c>
      <c r="U50" s="13">
        <f>'[2]Prix 3ME NZ50'!U22</f>
        <v>1.2212136954914434</v>
      </c>
      <c r="V50" s="13">
        <f>'[2]Prix 3ME NZ50'!V22</f>
        <v>1.2309417665887288</v>
      </c>
      <c r="W50" s="13">
        <f>'[2]Prix 3ME NZ50'!W22</f>
        <v>1.2409805346806306</v>
      </c>
      <c r="X50" s="13">
        <f>'[2]Prix 3ME NZ50'!X22</f>
        <v>1.2515126772658631</v>
      </c>
      <c r="Y50" s="13">
        <f>'[2]Prix 3ME NZ50'!Y22</f>
        <v>1.2627198479330457</v>
      </c>
      <c r="Z50" s="13">
        <f>'[2]Prix 3ME NZ50'!Z22</f>
        <v>1.2747550502253109</v>
      </c>
      <c r="AA50" s="13">
        <f>'[2]Prix 3ME NZ50'!AA22</f>
        <v>1.2879649149110965</v>
      </c>
      <c r="AB50" s="13">
        <f>'[2]Prix 3ME NZ50'!AB22</f>
        <v>1.3025019419791071</v>
      </c>
      <c r="AC50" s="13">
        <f>'[2]Prix 3ME NZ50'!AC22</f>
        <v>1.3186466733711997</v>
      </c>
      <c r="AD50" s="13">
        <f>'[2]Prix 3ME NZ50'!AD22</f>
        <v>1.33650487750455</v>
      </c>
      <c r="AE50" s="13">
        <f>'[2]Prix 3ME NZ50'!AE22</f>
        <v>1.3559585697662699</v>
      </c>
      <c r="AF50" s="13">
        <f>'[2]Prix 3ME NZ50'!AF22</f>
        <v>1.3766432228094403</v>
      </c>
      <c r="AG50" s="13">
        <f>'[2]Prix 3ME NZ50'!AG22</f>
        <v>1.3984404392636876</v>
      </c>
      <c r="AH50" s="13">
        <f>'[2]Prix 3ME NZ50'!AH22</f>
        <v>1.4213459755806235</v>
      </c>
      <c r="AI50" s="13">
        <f>'[2]Prix 3ME NZ50'!AI22</f>
        <v>1.4453545013678855</v>
      </c>
      <c r="AJ50" s="13">
        <f>'[2]Prix 3ME NZ50'!AJ22</f>
        <v>1.4703664636958351</v>
      </c>
      <c r="AK50" s="13">
        <f>'[2]Prix 3ME NZ50'!AK22</f>
        <v>1.496299100849567</v>
      </c>
      <c r="AL50" s="13">
        <f>'[2]Prix 3ME NZ50'!AL22</f>
        <v>1.5230714766970521</v>
      </c>
    </row>
    <row r="51" spans="1:38" x14ac:dyDescent="0.35">
      <c r="A51">
        <f t="shared" si="1"/>
        <v>1</v>
      </c>
      <c r="B51" t="s">
        <v>63</v>
      </c>
      <c r="C51" s="13">
        <f>'[2]Prix 3ME NZ50'!C23</f>
        <v>1</v>
      </c>
      <c r="D51" s="13">
        <f>'[2]Prix 3ME NZ50'!D23</f>
        <v>1.012</v>
      </c>
      <c r="E51" s="13">
        <f>'[2]Prix 3ME NZ50'!E23</f>
        <v>1.0241439999999999</v>
      </c>
      <c r="F51" s="13">
        <f>'[2]Prix 3ME NZ50'!F23</f>
        <v>1.036433728</v>
      </c>
      <c r="G51" s="13">
        <f>'[2]Prix 3ME NZ50'!G23</f>
        <v>1.048870932736</v>
      </c>
      <c r="H51" s="13">
        <f>'[2]Prix 3ME NZ50'!H23</f>
        <v>1.0614573839288319</v>
      </c>
      <c r="I51" s="13">
        <f>'[2]Prix 3ME NZ50'!I23</f>
        <v>1.074194872535978</v>
      </c>
      <c r="J51" s="13">
        <f>'[2]Prix 3ME NZ50'!J23</f>
        <v>1.0882621376525192</v>
      </c>
      <c r="K51" s="13">
        <f>'[2]Prix 3ME NZ50'!K23</f>
        <v>1.1025217484833809</v>
      </c>
      <c r="L51" s="13">
        <f>'[2]Prix 3ME NZ50'!L23</f>
        <v>1.1171295432581203</v>
      </c>
      <c r="M51" s="13">
        <f>'[2]Prix 3ME NZ50'!M23</f>
        <v>1.1320728581407564</v>
      </c>
      <c r="N51" s="13">
        <f>'[2]Prix 3ME NZ50'!N23</f>
        <v>1.1463168134162431</v>
      </c>
      <c r="O51" s="13">
        <f>'[2]Prix 3ME NZ50'!O23</f>
        <v>1.1593057924854437</v>
      </c>
      <c r="P51" s="13">
        <f>'[2]Prix 3ME NZ50'!P23</f>
        <v>1.1711575314214853</v>
      </c>
      <c r="Q51" s="13">
        <f>'[2]Prix 3ME NZ50'!Q23</f>
        <v>1.1822315493950288</v>
      </c>
      <c r="R51" s="13">
        <f>'[2]Prix 3ME NZ50'!R23</f>
        <v>1.1928124790410835</v>
      </c>
      <c r="S51" s="13">
        <f>'[2]Prix 3ME NZ50'!S23</f>
        <v>1.2029784914272081</v>
      </c>
      <c r="T51" s="13">
        <f>'[2]Prix 3ME NZ50'!T23</f>
        <v>1.2128393352992981</v>
      </c>
      <c r="U51" s="13">
        <f>'[2]Prix 3ME NZ50'!U23</f>
        <v>1.2225385329016063</v>
      </c>
      <c r="V51" s="13">
        <f>'[2]Prix 3ME NZ50'!V23</f>
        <v>1.2323223388186217</v>
      </c>
      <c r="W51" s="13">
        <f>'[2]Prix 3ME NZ50'!W23</f>
        <v>1.242411912716195</v>
      </c>
      <c r="X51" s="13">
        <f>'[2]Prix 3ME NZ50'!X23</f>
        <v>1.2529946854745544</v>
      </c>
      <c r="Y51" s="13">
        <f>'[2]Prix 3ME NZ50'!Y23</f>
        <v>1.2642522890731094</v>
      </c>
      <c r="Z51" s="13">
        <f>'[2]Prix 3ME NZ50'!Z23</f>
        <v>1.2763298737713482</v>
      </c>
      <c r="AA51" s="13">
        <f>'[2]Prix 3ME NZ50'!AA23</f>
        <v>1.2895713199576115</v>
      </c>
      <c r="AB51" s="13">
        <f>'[2]Prix 3ME NZ50'!AB23</f>
        <v>1.3041282908887384</v>
      </c>
      <c r="AC51" s="13">
        <f>'[2]Prix 3ME NZ50'!AC23</f>
        <v>1.320303475044214</v>
      </c>
      <c r="AD51" s="13">
        <f>'[2]Prix 3ME NZ50'!AD23</f>
        <v>1.3382138156656704</v>
      </c>
      <c r="AE51" s="13">
        <f>'[2]Prix 3ME NZ50'!AE23</f>
        <v>1.357723177257615</v>
      </c>
      <c r="AF51" s="13">
        <f>'[2]Prix 3ME NZ50'!AF23</f>
        <v>1.3784621058216193</v>
      </c>
      <c r="AG51" s="13">
        <f>'[2]Prix 3ME NZ50'!AG23</f>
        <v>1.4003111461076279</v>
      </c>
      <c r="AH51" s="13">
        <f>'[2]Prix 3ME NZ50'!AH23</f>
        <v>1.4232758001996648</v>
      </c>
      <c r="AI51" s="13">
        <f>'[2]Prix 3ME NZ50'!AI23</f>
        <v>1.4473580082046569</v>
      </c>
      <c r="AJ51" s="13">
        <f>'[2]Prix 3ME NZ50'!AJ23</f>
        <v>1.4724509591704225</v>
      </c>
      <c r="AK51" s="13">
        <f>'[2]Prix 3ME NZ50'!AK23</f>
        <v>1.4984691725915233</v>
      </c>
      <c r="AL51" s="13">
        <f>'[2]Prix 3ME NZ50'!AL23</f>
        <v>1.5253305915291564</v>
      </c>
    </row>
    <row r="52" spans="1:38" x14ac:dyDescent="0.35">
      <c r="A52">
        <f t="shared" si="1"/>
        <v>1</v>
      </c>
      <c r="B52" t="s">
        <v>64</v>
      </c>
      <c r="C52" s="13">
        <f>'[2]Prix 3ME NZ50'!C24</f>
        <v>1</v>
      </c>
      <c r="D52" s="13">
        <f>'[2]Prix 3ME NZ50'!D24</f>
        <v>1.012</v>
      </c>
      <c r="E52" s="13">
        <f>'[2]Prix 3ME NZ50'!E24</f>
        <v>1.0241439999999999</v>
      </c>
      <c r="F52" s="13">
        <f>'[2]Prix 3ME NZ50'!F24</f>
        <v>1.036433728</v>
      </c>
      <c r="G52" s="13">
        <f>'[2]Prix 3ME NZ50'!G24</f>
        <v>1.048870932736</v>
      </c>
      <c r="H52" s="13">
        <f>'[2]Prix 3ME NZ50'!H24</f>
        <v>1.0614573839288319</v>
      </c>
      <c r="I52" s="13">
        <f>'[2]Prix 3ME NZ50'!I24</f>
        <v>1.074194872535978</v>
      </c>
      <c r="J52" s="13">
        <f>'[2]Prix 3ME NZ50'!J24</f>
        <v>1.0995928501715879</v>
      </c>
      <c r="K52" s="13">
        <f>'[2]Prix 3ME NZ50'!K24</f>
        <v>1.1255457563221285</v>
      </c>
      <c r="L52" s="13">
        <f>'[2]Prix 3ME NZ50'!L24</f>
        <v>1.1536918716588767</v>
      </c>
      <c r="M52" s="13">
        <f>'[2]Prix 3ME NZ50'!M24</f>
        <v>1.1838785280056952</v>
      </c>
      <c r="N52" s="13">
        <f>'[2]Prix 3ME NZ50'!N24</f>
        <v>1.2108851543970534</v>
      </c>
      <c r="O52" s="13">
        <f>'[2]Prix 3ME NZ50'!O24</f>
        <v>1.2322326916971182</v>
      </c>
      <c r="P52" s="13">
        <f>'[2]Prix 3ME NZ50'!P24</f>
        <v>1.2498495303703532</v>
      </c>
      <c r="Q52" s="13">
        <f>'[2]Prix 3ME NZ50'!Q24</f>
        <v>1.2648581719677876</v>
      </c>
      <c r="R52" s="13">
        <f>'[2]Prix 3ME NZ50'!R24</f>
        <v>1.2779082265734336</v>
      </c>
      <c r="S52" s="13">
        <f>'[2]Prix 3ME NZ50'!S24</f>
        <v>1.2909243296204531</v>
      </c>
      <c r="T52" s="13">
        <f>'[2]Prix 3ME NZ50'!T24</f>
        <v>1.3049686427672806</v>
      </c>
      <c r="U52" s="13">
        <f>'[2]Prix 3ME NZ50'!U24</f>
        <v>1.3189619488715214</v>
      </c>
      <c r="V52" s="13">
        <f>'[2]Prix 3ME NZ50'!V24</f>
        <v>1.3328022085583628</v>
      </c>
      <c r="W52" s="13">
        <f>'[2]Prix 3ME NZ50'!W24</f>
        <v>1.3465894960745035</v>
      </c>
      <c r="X52" s="13">
        <f>'[2]Prix 3ME NZ50'!X24</f>
        <v>1.3608571996829473</v>
      </c>
      <c r="Y52" s="13">
        <f>'[2]Prix 3ME NZ50'!Y24</f>
        <v>1.3757853786162491</v>
      </c>
      <c r="Z52" s="13">
        <f>'[2]Prix 3ME NZ50'!Z24</f>
        <v>1.3909476107811465</v>
      </c>
      <c r="AA52" s="13">
        <f>'[2]Prix 3ME NZ50'!AA24</f>
        <v>1.4064876002710236</v>
      </c>
      <c r="AB52" s="13">
        <f>'[2]Prix 3ME NZ50'!AB24</f>
        <v>1.4224961118927848</v>
      </c>
      <c r="AC52" s="13">
        <f>'[2]Prix 3ME NZ50'!AC24</f>
        <v>1.440887688375792</v>
      </c>
      <c r="AD52" s="13">
        <f>'[2]Prix 3ME NZ50'!AD24</f>
        <v>1.4625925914403866</v>
      </c>
      <c r="AE52" s="13">
        <f>'[2]Prix 3ME NZ50'!AE24</f>
        <v>1.486153640389472</v>
      </c>
      <c r="AF52" s="13">
        <f>'[2]Prix 3ME NZ50'!AF24</f>
        <v>1.5108428130228191</v>
      </c>
      <c r="AG52" s="13">
        <f>'[2]Prix 3ME NZ50'!AG24</f>
        <v>1.5364636602103732</v>
      </c>
      <c r="AH52" s="13">
        <f>'[2]Prix 3ME NZ50'!AH24</f>
        <v>1.5637309840308291</v>
      </c>
      <c r="AI52" s="13">
        <f>'[2]Prix 3ME NZ50'!AI24</f>
        <v>1.5931758811290382</v>
      </c>
      <c r="AJ52" s="13">
        <f>'[2]Prix 3ME NZ50'!AJ24</f>
        <v>1.6241632920889719</v>
      </c>
      <c r="AK52" s="13">
        <f>'[2]Prix 3ME NZ50'!AK24</f>
        <v>1.656409859240408</v>
      </c>
      <c r="AL52" s="13">
        <f>'[2]Prix 3ME NZ50'!AL24</f>
        <v>1.6897519518476638</v>
      </c>
    </row>
    <row r="53" spans="1:38" x14ac:dyDescent="0.35">
      <c r="A53">
        <f t="shared" si="1"/>
        <v>1</v>
      </c>
      <c r="B53" t="s">
        <v>106</v>
      </c>
      <c r="C53" s="13">
        <f ca="1">'[2]Prix 3ME NZ50'!C25</f>
        <v>1</v>
      </c>
      <c r="D53" s="10">
        <f ca="1">'[2]Prix 3ME NZ50'!D25</f>
        <v>1.0241439999999999</v>
      </c>
      <c r="E53" s="10">
        <f ca="1">'[2]Prix 3ME NZ50'!E25</f>
        <v>1.048870932736</v>
      </c>
      <c r="F53" s="10">
        <f ca="1">'[2]Prix 3ME NZ50'!F25</f>
        <v>1.0741948725359782</v>
      </c>
      <c r="G53" s="10">
        <f ca="1">'[2]Prix 3ME NZ50'!G25</f>
        <v>1.1001302335384866</v>
      </c>
      <c r="H53" s="10">
        <f ca="1">'[2]Prix 3ME NZ50'!H25</f>
        <v>1.1266917778970396</v>
      </c>
      <c r="I53" s="10">
        <f ca="1">'[2]Prix 3ME NZ50'!I25</f>
        <v>1.1584554724995129</v>
      </c>
      <c r="J53" s="10">
        <f ca="1">'[2]Prix 3ME NZ50'!J25</f>
        <v>1.2002328430825662</v>
      </c>
      <c r="K53" s="10">
        <f ca="1">'[2]Prix 3ME NZ50'!K25</f>
        <v>1.2432179262999419</v>
      </c>
      <c r="L53" s="10">
        <f ca="1">'[2]Prix 3ME NZ50'!L25</f>
        <v>1.2887045180614352</v>
      </c>
      <c r="M53" s="10">
        <f ca="1">'[2]Prix 3ME NZ50'!M25</f>
        <v>1.336652316917665</v>
      </c>
      <c r="N53" s="10">
        <f ca="1">'[2]Prix 3ME NZ50'!N25</f>
        <v>1.3827439942652417</v>
      </c>
      <c r="O53" s="10">
        <f ca="1">'[2]Prix 3ME NZ50'!O25</f>
        <v>1.4247193119025345</v>
      </c>
      <c r="P53" s="10">
        <f ca="1">'[2]Prix 3ME NZ50'!P25</f>
        <v>1.463927467665247</v>
      </c>
      <c r="Q53" s="10">
        <f ca="1">'[2]Prix 3ME NZ50'!Q25</f>
        <v>1.5012670412970672</v>
      </c>
      <c r="R53" s="10">
        <f ca="1">'[2]Prix 3ME NZ50'!R25</f>
        <v>1.5372819823198849</v>
      </c>
      <c r="S53" s="10">
        <f ca="1">'[2]Prix 3ME NZ50'!S25</f>
        <v>1.5480822962519099</v>
      </c>
      <c r="T53" s="10">
        <f ca="1">'[2]Prix 3ME NZ50'!T25</f>
        <v>1.5595012595386326</v>
      </c>
      <c r="U53" s="10">
        <f ca="1">'[2]Prix 3ME NZ50'!U25</f>
        <v>1.5707309708491395</v>
      </c>
      <c r="V53" s="10">
        <f ca="1">'[2]Prix 3ME NZ50'!V25</f>
        <v>1.5817945519406145</v>
      </c>
      <c r="W53" s="10">
        <f ca="1">'[2]Prix 3ME NZ50'!W25</f>
        <v>1.5928651438437238</v>
      </c>
      <c r="X53" s="10">
        <f ca="1">'[2]Prix 3ME NZ50'!X25</f>
        <v>1.6044437685520905</v>
      </c>
      <c r="Y53" s="10">
        <f ca="1">'[2]Prix 3ME NZ50'!Y25</f>
        <v>1.6167441428533604</v>
      </c>
      <c r="Z53" s="10">
        <f ca="1">'[2]Prix 3ME NZ50'!Z25</f>
        <v>1.6294838042962041</v>
      </c>
      <c r="AA53" s="10">
        <f ca="1">'[2]Prix 3ME NZ50'!AA25</f>
        <v>1.6429145669937886</v>
      </c>
      <c r="AB53" s="10">
        <f ca="1">'[2]Prix 3ME NZ50'!AB25</f>
        <v>1.6571643280507917</v>
      </c>
      <c r="AC53" s="10">
        <f ca="1">'[2]Prix 3ME NZ50'!AC25</f>
        <v>1.6738500346349099</v>
      </c>
      <c r="AD53" s="10">
        <f ca="1">'[2]Prix 3ME NZ50'!AD25</f>
        <v>1.6937261215096895</v>
      </c>
      <c r="AE53" s="10">
        <f ca="1">'[2]Prix 3ME NZ50'!AE25</f>
        <v>1.7155752520651346</v>
      </c>
      <c r="AF53" s="10">
        <f ca="1">'[2]Prix 3ME NZ50'!AF25</f>
        <v>1.7386635823736254</v>
      </c>
      <c r="AG53" s="10">
        <f ca="1">'[2]Prix 3ME NZ50'!AG25</f>
        <v>1.7627789760469494</v>
      </c>
      <c r="AH53" s="10">
        <f ca="1">'[2]Prix 3ME NZ50'!AH25</f>
        <v>1.7884664460959998</v>
      </c>
      <c r="AI53" s="10">
        <f ca="1">'[2]Prix 3ME NZ50'!AI25</f>
        <v>1.8161220246433725</v>
      </c>
      <c r="AJ53" s="10">
        <f ca="1">'[2]Prix 3ME NZ50'!AJ25</f>
        <v>1.8451970894338396</v>
      </c>
      <c r="AK53" s="10">
        <f ca="1">'[2]Prix 3ME NZ50'!AK25</f>
        <v>1.875426936684929</v>
      </c>
      <c r="AL53" s="10">
        <f ca="1">'[2]Prix 3ME NZ50'!AL25</f>
        <v>1.9066424853379449</v>
      </c>
    </row>
    <row r="54" spans="1:38" x14ac:dyDescent="0.35">
      <c r="A54">
        <f t="shared" si="1"/>
        <v>1</v>
      </c>
      <c r="B54" t="s">
        <v>107</v>
      </c>
      <c r="C54" s="10">
        <f ca="1">'[2]Prix 3ME NZ50'!C26</f>
        <v>1</v>
      </c>
      <c r="D54" s="10">
        <f ca="1">'[2]Prix 3ME NZ50'!D26</f>
        <v>1.0241439999999999</v>
      </c>
      <c r="E54" s="10">
        <f ca="1">'[2]Prix 3ME NZ50'!E26</f>
        <v>1.048870932736</v>
      </c>
      <c r="F54" s="10">
        <f ca="1">'[2]Prix 3ME NZ50'!F26</f>
        <v>1.0741948725359782</v>
      </c>
      <c r="G54" s="10">
        <f ca="1">'[2]Prix 3ME NZ50'!G26</f>
        <v>1.1001302335384866</v>
      </c>
      <c r="H54" s="10">
        <f ca="1">'[2]Prix 3ME NZ50'!H26</f>
        <v>1.1266917778970396</v>
      </c>
      <c r="I54" s="10">
        <f ca="1">'[2]Prix 3ME NZ50'!I26</f>
        <v>1.1782191485395308</v>
      </c>
      <c r="J54" s="10">
        <f ca="1">'[2]Prix 3ME NZ50'!J26</f>
        <v>1.2405507422042026</v>
      </c>
      <c r="K54" s="10">
        <f ca="1">'[2]Prix 3ME NZ50'!K26</f>
        <v>1.3049043119560457</v>
      </c>
      <c r="L54" s="10">
        <f ca="1">'[2]Prix 3ME NZ50'!L26</f>
        <v>1.3726802510679443</v>
      </c>
      <c r="M54" s="10">
        <f ca="1">'[2]Prix 3ME NZ50'!M26</f>
        <v>1.4439145398801931</v>
      </c>
      <c r="N54" s="10">
        <f ca="1">'[2]Prix 3ME NZ50'!N26</f>
        <v>1.5139532783925995</v>
      </c>
      <c r="O54" s="10">
        <f ca="1">'[2]Prix 3ME NZ50'!O26</f>
        <v>1.580174296774393</v>
      </c>
      <c r="P54" s="10">
        <f ca="1">'[2]Prix 3ME NZ50'!P26</f>
        <v>1.6438901823664114</v>
      </c>
      <c r="Q54" s="10">
        <f ca="1">'[2]Prix 3ME NZ50'!Q26</f>
        <v>1.705985274201212</v>
      </c>
      <c r="R54" s="10">
        <f ca="1">'[2]Prix 3ME NZ50'!R26</f>
        <v>1.7669907842757284</v>
      </c>
      <c r="S54" s="10">
        <f ca="1">'[2]Prix 3ME NZ50'!S26</f>
        <v>1.7744615364290097</v>
      </c>
      <c r="T54" s="10">
        <f ca="1">'[2]Prix 3ME NZ50'!T26</f>
        <v>1.7825445609152466</v>
      </c>
      <c r="U54" s="10">
        <f ca="1">'[2]Prix 3ME NZ50'!U26</f>
        <v>1.7903122852547999</v>
      </c>
      <c r="V54" s="10">
        <f ca="1">'[2]Prix 3ME NZ50'!V26</f>
        <v>1.7977920492439363</v>
      </c>
      <c r="W54" s="10">
        <f ca="1">'[2]Prix 3ME NZ50'!W26</f>
        <v>1.8051809178515885</v>
      </c>
      <c r="X54" s="10">
        <f ca="1">'[2]Prix 3ME NZ50'!X26</f>
        <v>1.8130442051439262</v>
      </c>
      <c r="Y54" s="10">
        <f ca="1">'[2]Prix 3ME NZ50'!Y26</f>
        <v>1.8216169007859047</v>
      </c>
      <c r="Z54" s="10">
        <f ca="1">'[2]Prix 3ME NZ50'!Z26</f>
        <v>1.830573690272395</v>
      </c>
      <c r="AA54" s="10">
        <f ca="1">'[2]Prix 3ME NZ50'!AA26</f>
        <v>1.8401913676452928</v>
      </c>
      <c r="AB54" s="10">
        <f ca="1">'[2]Prix 3ME NZ50'!AB26</f>
        <v>1.8506049175451311</v>
      </c>
      <c r="AC54" s="10">
        <f ca="1">'[2]Prix 3ME NZ50'!AC26</f>
        <v>1.8636053751058375</v>
      </c>
      <c r="AD54" s="10">
        <f ca="1">'[2]Prix 3ME NZ50'!AD26</f>
        <v>1.8800044222824031</v>
      </c>
      <c r="AE54" s="10">
        <f ca="1">'[2]Prix 3ME NZ50'!AE26</f>
        <v>1.8984212784629679</v>
      </c>
      <c r="AF54" s="10">
        <f ca="1">'[2]Prix 3ME NZ50'!AF26</f>
        <v>1.9180248225350063</v>
      </c>
      <c r="AG54" s="10">
        <f ca="1">'[2]Prix 3ME NZ50'!AG26</f>
        <v>1.9385675265090294</v>
      </c>
      <c r="AH54" s="10">
        <f ca="1">'[2]Prix 3ME NZ50'!AH26</f>
        <v>1.9606346788308309</v>
      </c>
      <c r="AI54" s="10">
        <f ca="1">'[2]Prix 3ME NZ50'!AI26</f>
        <v>1.9846410548831555</v>
      </c>
      <c r="AJ54" s="10">
        <f ca="1">'[2]Prix 3ME NZ50'!AJ26</f>
        <v>2.009966690892798</v>
      </c>
      <c r="AK54" s="10">
        <f ca="1">'[2]Prix 3ME NZ50'!AK26</f>
        <v>2.0363073633651054</v>
      </c>
      <c r="AL54" s="10">
        <f ca="1">'[2]Prix 3ME NZ50'!AL26</f>
        <v>2.0634658932228813</v>
      </c>
    </row>
    <row r="55" spans="1:38" x14ac:dyDescent="0.35">
      <c r="A55">
        <f t="shared" si="1"/>
        <v>1</v>
      </c>
      <c r="B55" t="s">
        <v>104</v>
      </c>
      <c r="C55" s="13">
        <f>'[2]Prix 3ME NZ50'!C27</f>
        <v>1</v>
      </c>
      <c r="D55" s="13">
        <f>'[2]Prix 3ME NZ50'!D27</f>
        <v>1.012</v>
      </c>
      <c r="E55" s="13">
        <f>'[2]Prix 3ME NZ50'!E27</f>
        <v>1.0241439999999999</v>
      </c>
      <c r="F55" s="13">
        <f>'[2]Prix 3ME NZ50'!F27</f>
        <v>1.036433728</v>
      </c>
      <c r="G55" s="13">
        <f>'[2]Prix 3ME NZ50'!G27</f>
        <v>1.048870932736</v>
      </c>
      <c r="H55" s="13">
        <f>'[2]Prix 3ME NZ50'!H27</f>
        <v>1.0614573839288319</v>
      </c>
      <c r="I55" s="13">
        <f>'[2]Prix 3ME NZ50'!I27</f>
        <v>1.074194872535978</v>
      </c>
      <c r="J55" s="13">
        <f>'[2]Prix 3ME NZ50'!J27</f>
        <v>1.1012738154674786</v>
      </c>
      <c r="K55" s="13">
        <f>'[2]Prix 3ME NZ50'!K27</f>
        <v>1.1289614778033783</v>
      </c>
      <c r="L55" s="13">
        <f>'[2]Prix 3ME NZ50'!L27</f>
        <v>1.1591160676284766</v>
      </c>
      <c r="M55" s="13">
        <f>'[2]Prix 3ME NZ50'!M27</f>
        <v>1.1915641464543827</v>
      </c>
      <c r="N55" s="13">
        <f>'[2]Prix 3ME NZ50'!N27</f>
        <v>1.2204641760357469</v>
      </c>
      <c r="O55" s="13">
        <f>'[2]Prix 3ME NZ50'!O27</f>
        <v>1.2430517453537557</v>
      </c>
      <c r="P55" s="13">
        <f>'[2]Prix 3ME NZ50'!P27</f>
        <v>1.2615238640960298</v>
      </c>
      <c r="Q55" s="13">
        <f>'[2]Prix 3ME NZ50'!Q27</f>
        <v>1.2771162258922621</v>
      </c>
      <c r="R55" s="13">
        <f>'[2]Prix 3ME NZ50'!R27</f>
        <v>1.2905325869734545</v>
      </c>
      <c r="S55" s="13">
        <f>'[2]Prix 3ME NZ50'!S27</f>
        <v>1.3039715145765682</v>
      </c>
      <c r="T55" s="13">
        <f>'[2]Prix 3ME NZ50'!T27</f>
        <v>1.3186364653625049</v>
      </c>
      <c r="U55" s="13">
        <f>'[2]Prix 3ME NZ50'!U27</f>
        <v>1.3332668229634093</v>
      </c>
      <c r="V55" s="13">
        <f>'[2]Prix 3ME NZ50'!V27</f>
        <v>1.3477088769328245</v>
      </c>
      <c r="W55" s="13">
        <f>'[2]Prix 3ME NZ50'!W27</f>
        <v>1.3620447379174467</v>
      </c>
      <c r="X55" s="13">
        <f>'[2]Prix 3ME NZ50'!X27</f>
        <v>1.3768591186096419</v>
      </c>
      <c r="Y55" s="13">
        <f>'[2]Prix 3ME NZ50'!Y27</f>
        <v>1.3923318449174602</v>
      </c>
      <c r="Z55" s="13">
        <f>'[2]Prix 3ME NZ50'!Z27</f>
        <v>1.4079516992603789</v>
      </c>
      <c r="AA55" s="13">
        <f>'[2]Prix 3ME NZ50'!AA27</f>
        <v>1.4238326886227686</v>
      </c>
      <c r="AB55" s="13">
        <f>'[2]Prix 3ME NZ50'!AB27</f>
        <v>1.4400565432357513</v>
      </c>
      <c r="AC55" s="13">
        <f>'[2]Prix 3ME NZ50'!AC27</f>
        <v>1.4587769321017741</v>
      </c>
      <c r="AD55" s="13">
        <f>'[2]Prix 3ME NZ50'!AD27</f>
        <v>1.481044776620339</v>
      </c>
      <c r="AE55" s="13">
        <f>'[2]Prix 3ME NZ50'!AE27</f>
        <v>1.5052069127319212</v>
      </c>
      <c r="AF55" s="13">
        <f>'[2]Prix 3ME NZ50'!AF27</f>
        <v>1.5304821229317223</v>
      </c>
      <c r="AG55" s="13">
        <f>'[2]Prix 3ME NZ50'!AG27</f>
        <v>1.5566625356800146</v>
      </c>
      <c r="AH55" s="13">
        <f>'[2]Prix 3ME NZ50'!AH27</f>
        <v>1.5845681810959555</v>
      </c>
      <c r="AI55" s="13">
        <f>'[2]Prix 3ME NZ50'!AI27</f>
        <v>1.6148086587230306</v>
      </c>
      <c r="AJ55" s="13">
        <f>'[2]Prix 3ME NZ50'!AJ27</f>
        <v>1.6466705409637012</v>
      </c>
      <c r="AK55" s="13">
        <f>'[2]Prix 3ME NZ50'!AK27</f>
        <v>1.6798411141256688</v>
      </c>
      <c r="AL55" s="13">
        <f>'[2]Prix 3ME NZ50'!AL27</f>
        <v>1.7141446456110441</v>
      </c>
    </row>
    <row r="56" spans="1:38" x14ac:dyDescent="0.35">
      <c r="A56">
        <f t="shared" si="1"/>
        <v>1</v>
      </c>
      <c r="B56" t="s">
        <v>105</v>
      </c>
      <c r="C56" s="13">
        <f>'[2]Prix 3ME NZ50'!C28</f>
        <v>1</v>
      </c>
      <c r="D56" s="13">
        <f>'[2]Prix 3ME NZ50'!D28</f>
        <v>1.012</v>
      </c>
      <c r="E56" s="13">
        <f>'[2]Prix 3ME NZ50'!E28</f>
        <v>1.0241439999999999</v>
      </c>
      <c r="F56" s="13">
        <f>'[2]Prix 3ME NZ50'!F28</f>
        <v>1.036433728</v>
      </c>
      <c r="G56" s="13">
        <f>'[2]Prix 3ME NZ50'!G28</f>
        <v>1.048870932736</v>
      </c>
      <c r="H56" s="13">
        <f>'[2]Prix 3ME NZ50'!H28</f>
        <v>1.0614573839288319</v>
      </c>
      <c r="I56" s="13">
        <f>'[2]Prix 3ME NZ50'!I28</f>
        <v>1.074194872535978</v>
      </c>
      <c r="J56" s="13">
        <f>'[2]Prix 3ME NZ50'!J28</f>
        <v>1.1047305261089793</v>
      </c>
      <c r="K56" s="13">
        <f>'[2]Prix 3ME NZ50'!K28</f>
        <v>1.1359855138269079</v>
      </c>
      <c r="L56" s="13">
        <f>'[2]Prix 3ME NZ50'!L28</f>
        <v>1.170270299054633</v>
      </c>
      <c r="M56" s="13">
        <f>'[2]Prix 3ME NZ50'!M28</f>
        <v>1.2073687315597617</v>
      </c>
      <c r="N56" s="13">
        <f>'[2]Prix 3ME NZ50'!N28</f>
        <v>1.2401623257325813</v>
      </c>
      <c r="O56" s="13">
        <f>'[2]Prix 3ME NZ50'!O28</f>
        <v>1.2652998774224498</v>
      </c>
      <c r="P56" s="13">
        <f>'[2]Prix 3ME NZ50'!P28</f>
        <v>1.2855307806698757</v>
      </c>
      <c r="Q56" s="13">
        <f>'[2]Prix 3ME NZ50'!Q28</f>
        <v>1.3023234955178788</v>
      </c>
      <c r="R56" s="13">
        <f>'[2]Prix 3ME NZ50'!R28</f>
        <v>1.3164931234839783</v>
      </c>
      <c r="S56" s="13">
        <f>'[2]Prix 3ME NZ50'!S28</f>
        <v>1.3308015408654423</v>
      </c>
      <c r="T56" s="13">
        <f>'[2]Prix 3ME NZ50'!T28</f>
        <v>1.3467427611477625</v>
      </c>
      <c r="U56" s="13">
        <f>'[2]Prix 3ME NZ50'!U28</f>
        <v>1.3626831414440099</v>
      </c>
      <c r="V56" s="13">
        <f>'[2]Prix 3ME NZ50'!V28</f>
        <v>1.3783627157272902</v>
      </c>
      <c r="W56" s="13">
        <f>'[2]Prix 3ME NZ50'!W28</f>
        <v>1.3938266545793028</v>
      </c>
      <c r="X56" s="13">
        <f>'[2]Prix 3ME NZ50'!X28</f>
        <v>1.409765213443104</v>
      </c>
      <c r="Y56" s="13">
        <f>'[2]Prix 3ME NZ50'!Y28</f>
        <v>1.4263577384218968</v>
      </c>
      <c r="Z56" s="13">
        <f>'[2]Prix 3ME NZ50'!Z28</f>
        <v>1.4429186398265368</v>
      </c>
      <c r="AA56" s="13">
        <f>'[2]Prix 3ME NZ50'!AA28</f>
        <v>1.4595008559726952</v>
      </c>
      <c r="AB56" s="13">
        <f>'[2]Prix 3ME NZ50'!AB28</f>
        <v>1.4761675385317088</v>
      </c>
      <c r="AC56" s="13">
        <f>'[2]Prix 3ME NZ50'!AC28</f>
        <v>1.4955640920194555</v>
      </c>
      <c r="AD56" s="13">
        <f>'[2]Prix 3ME NZ50'!AD28</f>
        <v>1.5189895605051769</v>
      </c>
      <c r="AE56" s="13">
        <f>'[2]Prix 3ME NZ50'!AE28</f>
        <v>1.5443877628200005</v>
      </c>
      <c r="AF56" s="13">
        <f>'[2]Prix 3ME NZ50'!AF28</f>
        <v>1.570868091470035</v>
      </c>
      <c r="AG56" s="13">
        <f>'[2]Prix 3ME NZ50'!AG28</f>
        <v>1.5981991860516467</v>
      </c>
      <c r="AH56" s="13">
        <f>'[2]Prix 3ME NZ50'!AH28</f>
        <v>1.6274174659742049</v>
      </c>
      <c r="AI56" s="13">
        <f>'[2]Prix 3ME NZ50'!AI28</f>
        <v>1.6592939629093673</v>
      </c>
      <c r="AJ56" s="13">
        <f>'[2]Prix 3ME NZ50'!AJ28</f>
        <v>1.6929540941616028</v>
      </c>
      <c r="AK56" s="13">
        <f>'[2]Prix 3ME NZ50'!AK28</f>
        <v>1.7280247787757361</v>
      </c>
      <c r="AL56" s="13">
        <f>'[2]Prix 3ME NZ50'!AL28</f>
        <v>1.7643053980744487</v>
      </c>
    </row>
    <row r="57" spans="1:38" x14ac:dyDescent="0.35">
      <c r="A57">
        <f t="shared" si="1"/>
        <v>1</v>
      </c>
      <c r="B57" t="s">
        <v>108</v>
      </c>
      <c r="C57" s="10">
        <f ca="1">'[2]Prix 3ME NZ50'!C29</f>
        <v>1</v>
      </c>
      <c r="D57" s="10">
        <f ca="1">'[2]Prix 3ME NZ50'!D29</f>
        <v>1.0241439999999999</v>
      </c>
      <c r="E57" s="10">
        <f ca="1">'[2]Prix 3ME NZ50'!E29</f>
        <v>1.048870932736</v>
      </c>
      <c r="F57" s="10">
        <f ca="1">'[2]Prix 3ME NZ50'!F29</f>
        <v>1.0741948725359782</v>
      </c>
      <c r="G57" s="10">
        <f ca="1">'[2]Prix 3ME NZ50'!G29</f>
        <v>1.1001302335384866</v>
      </c>
      <c r="H57" s="10">
        <f ca="1">'[2]Prix 3ME NZ50'!H29</f>
        <v>1.1266917778970396</v>
      </c>
      <c r="I57" s="10">
        <f ca="1">'[2]Prix 3ME NZ50'!I29</f>
        <v>1.1402120792318042</v>
      </c>
      <c r="J57" s="10">
        <f ca="1">'[2]Prix 3ME NZ50'!J29</f>
        <v>1.1630163208164406</v>
      </c>
      <c r="K57" s="10">
        <f ca="1">'[2]Prix 3ME NZ50'!K29</f>
        <v>1.1862766472327693</v>
      </c>
      <c r="L57" s="10">
        <f ca="1">'[2]Prix 3ME NZ50'!L29</f>
        <v>1.2111884568246574</v>
      </c>
      <c r="M57" s="10">
        <f ca="1">'[2]Prix 3ME NZ50'!M29</f>
        <v>1.2376410341830235</v>
      </c>
      <c r="N57" s="10">
        <f ca="1">'[2]Prix 3ME NZ50'!N29</f>
        <v>1.261627731993834</v>
      </c>
      <c r="O57" s="10">
        <f ca="1">'[2]Prix 3ME NZ50'!O29</f>
        <v>1.2812224027900494</v>
      </c>
      <c r="P57" s="10">
        <f ca="1">'[2]Prix 3ME NZ50'!P29</f>
        <v>1.2978080387103259</v>
      </c>
      <c r="Q57" s="10">
        <f ca="1">'[2]Prix 3ME NZ50'!Q29</f>
        <v>1.3122963647701642</v>
      </c>
      <c r="R57" s="10">
        <f ca="1">'[2]Prix 3ME NZ50'!R29</f>
        <v>1.3252430882067971</v>
      </c>
      <c r="S57" s="10">
        <f ca="1">'[2]Prix 3ME NZ50'!S29</f>
        <v>1.3427927066513969</v>
      </c>
      <c r="T57" s="10">
        <f ca="1">'[2]Prix 3ME NZ50'!T29</f>
        <v>1.3610403416374544</v>
      </c>
      <c r="U57" s="10">
        <f ca="1">'[2]Prix 3ME NZ50'!U29</f>
        <v>1.3792877769340524</v>
      </c>
      <c r="V57" s="10">
        <f ca="1">'[2]Prix 3ME NZ50'!V29</f>
        <v>1.397553673317367</v>
      </c>
      <c r="W57" s="10">
        <f ca="1">'[2]Prix 3ME NZ50'!W29</f>
        <v>1.4159905364799161</v>
      </c>
      <c r="X57" s="10">
        <f ca="1">'[2]Prix 3ME NZ50'!X29</f>
        <v>1.4350479040714839</v>
      </c>
      <c r="Y57" s="10">
        <f ca="1">'[2]Prix 3ME NZ50'!Y29</f>
        <v>1.4549277843939363</v>
      </c>
      <c r="Z57" s="10">
        <f ca="1">'[2]Prix 3ME NZ50'!Z29</f>
        <v>1.4753877503687953</v>
      </c>
      <c r="AA57" s="10">
        <f ca="1">'[2]Prix 3ME NZ50'!AA29</f>
        <v>1.4966659622405889</v>
      </c>
      <c r="AB57" s="10">
        <f ca="1">'[2]Prix 3ME NZ50'!AB29</f>
        <v>1.5188927153436438</v>
      </c>
      <c r="AC57" s="10">
        <f ca="1">'[2]Prix 3ME NZ50'!AC29</f>
        <v>1.5435744710316834</v>
      </c>
      <c r="AD57" s="10">
        <f ca="1">'[2]Prix 3ME NZ50'!AD29</f>
        <v>1.5714540781673505</v>
      </c>
      <c r="AE57" s="10">
        <f ca="1">'[2]Prix 3ME NZ50'!AE29</f>
        <v>1.6014513471870895</v>
      </c>
      <c r="AF57" s="10">
        <f ca="1">'[2]Prix 3ME NZ50'!AF29</f>
        <v>1.6329130245906116</v>
      </c>
      <c r="AG57" s="10">
        <f ca="1">'[2]Prix 3ME NZ50'!AG29</f>
        <v>1.6656623892820281</v>
      </c>
      <c r="AH57" s="10">
        <f ca="1">'[2]Prix 3ME NZ50'!AH29</f>
        <v>1.7002378855486091</v>
      </c>
      <c r="AI57" s="10">
        <f ca="1">'[2]Prix 3ME NZ50'!AI29</f>
        <v>1.7370483103152152</v>
      </c>
      <c r="AJ57" s="10">
        <f ca="1">'[2]Prix 3ME NZ50'!AJ29</f>
        <v>1.7756029858282201</v>
      </c>
      <c r="AK57" s="10">
        <f ca="1">'[2]Prix 3ME NZ50'!AK29</f>
        <v>1.8156736629607322</v>
      </c>
      <c r="AL57" s="10">
        <f ca="1">'[2]Prix 3ME NZ50'!AL29</f>
        <v>1.8571193039005947</v>
      </c>
    </row>
    <row r="58" spans="1:38" x14ac:dyDescent="0.35">
      <c r="A58">
        <f t="shared" si="1"/>
        <v>1</v>
      </c>
      <c r="B58" t="s">
        <v>65</v>
      </c>
      <c r="C58" s="13">
        <f>'[2]Prix 3ME NZ50'!C30</f>
        <v>1</v>
      </c>
      <c r="D58" s="13">
        <f>'[2]Prix 3ME NZ50'!D30</f>
        <v>1.012</v>
      </c>
      <c r="E58" s="13">
        <f>'[2]Prix 3ME NZ50'!E30</f>
        <v>1.0241439999999999</v>
      </c>
      <c r="F58" s="13">
        <f>'[2]Prix 3ME NZ50'!F30</f>
        <v>1.036433728</v>
      </c>
      <c r="G58" s="13">
        <f>'[2]Prix 3ME NZ50'!G30</f>
        <v>1.048870932736</v>
      </c>
      <c r="H58" s="13">
        <f>'[2]Prix 3ME NZ50'!H30</f>
        <v>1.0614573839288319</v>
      </c>
      <c r="I58" s="13">
        <f>'[2]Prix 3ME NZ50'!I30</f>
        <v>1.074194872535978</v>
      </c>
      <c r="J58" s="13">
        <f>'[2]Prix 3ME NZ50'!J30</f>
        <v>1.1300530059078493</v>
      </c>
      <c r="K58" s="13">
        <f>'[2]Prix 3ME NZ50'!K30</f>
        <v>1.1874407927782116</v>
      </c>
      <c r="L58" s="13">
        <f>'[2]Prix 3ME NZ50'!L30</f>
        <v>1.2519817378339393</v>
      </c>
      <c r="M58" s="13">
        <f>'[2]Prix 3ME NZ50'!M30</f>
        <v>1.3231468016867809</v>
      </c>
      <c r="N58" s="13">
        <f>'[2]Prix 3ME NZ50'!N30</f>
        <v>1.3844630929951411</v>
      </c>
      <c r="O58" s="13">
        <f>'[2]Prix 3ME NZ50'!O30</f>
        <v>1.4282807957869403</v>
      </c>
      <c r="P58" s="13">
        <f>'[2]Prix 3ME NZ50'!P30</f>
        <v>1.4613958509699014</v>
      </c>
      <c r="Q58" s="13">
        <f>'[2]Prix 3ME NZ50'!Q30</f>
        <v>1.4869818722462915</v>
      </c>
      <c r="R58" s="13">
        <f>'[2]Prix 3ME NZ50'!R30</f>
        <v>1.5066696321749586</v>
      </c>
      <c r="S58" s="13">
        <f>'[2]Prix 3ME NZ50'!S30</f>
        <v>1.5273475839580766</v>
      </c>
      <c r="T58" s="13">
        <f>'[2]Prix 3ME NZ50'!T30</f>
        <v>1.5526382441825406</v>
      </c>
      <c r="U58" s="13">
        <f>'[2]Prix 3ME NZ50'!U30</f>
        <v>1.5781753268583916</v>
      </c>
      <c r="V58" s="13">
        <f>'[2]Prix 3ME NZ50'!V30</f>
        <v>1.6029204800687338</v>
      </c>
      <c r="W58" s="13">
        <f>'[2]Prix 3ME NZ50'!W30</f>
        <v>1.6266482662516706</v>
      </c>
      <c r="X58" s="13">
        <f>'[2]Prix 3ME NZ50'!X30</f>
        <v>1.6508221048345944</v>
      </c>
      <c r="Y58" s="13">
        <f>'[2]Prix 3ME NZ50'!Y30</f>
        <v>1.6756178270622744</v>
      </c>
      <c r="Z58" s="13">
        <f>'[2]Prix 3ME NZ50'!Z30</f>
        <v>1.6990724629103258</v>
      </c>
      <c r="AA58" s="13">
        <f>'[2]Prix 3ME NZ50'!AA30</f>
        <v>1.7207915860492826</v>
      </c>
      <c r="AB58" s="13">
        <f>'[2]Prix 3ME NZ50'!AB30</f>
        <v>1.7407022490511821</v>
      </c>
      <c r="AC58" s="13">
        <f>'[2]Prix 3ME NZ50'!AC30</f>
        <v>1.7650521141551077</v>
      </c>
      <c r="AD58" s="13">
        <f>'[2]Prix 3ME NZ50'!AD30</f>
        <v>1.796957872882966</v>
      </c>
      <c r="AE58" s="13">
        <f>'[2]Prix 3ME NZ50'!AE30</f>
        <v>1.8314110018919292</v>
      </c>
      <c r="AF58" s="13">
        <f>'[2]Prix 3ME NZ50'!AF30</f>
        <v>1.8667195463737747</v>
      </c>
      <c r="AG58" s="13">
        <f>'[2]Prix 3ME NZ50'!AG30</f>
        <v>1.9024800759012366</v>
      </c>
      <c r="AH58" s="13">
        <f>'[2]Prix 3ME NZ50'!AH30</f>
        <v>1.941314191288311</v>
      </c>
      <c r="AI58" s="13">
        <f>'[2]Prix 3ME NZ50'!AI30</f>
        <v>1.9851755114199034</v>
      </c>
      <c r="AJ58" s="13">
        <f>'[2]Prix 3ME NZ50'!AJ30</f>
        <v>2.032008895799545</v>
      </c>
      <c r="AK58" s="13">
        <f>'[2]Prix 3ME NZ50'!AK30</f>
        <v>2.0809990370454838</v>
      </c>
      <c r="AL58" s="13">
        <f>'[2]Prix 3ME NZ50'!AL30</f>
        <v>2.1317630110146029</v>
      </c>
    </row>
    <row r="59" spans="1:38" x14ac:dyDescent="0.35">
      <c r="A59">
        <f t="shared" si="1"/>
        <v>1</v>
      </c>
      <c r="B59" t="s">
        <v>66</v>
      </c>
      <c r="C59" s="13">
        <f>'[2]Prix 3ME NZ50'!C31</f>
        <v>1</v>
      </c>
      <c r="D59" s="13">
        <f>'[2]Prix 3ME NZ50'!D31</f>
        <v>1.012</v>
      </c>
      <c r="E59" s="13">
        <f>'[2]Prix 3ME NZ50'!E31</f>
        <v>1.0241439999999999</v>
      </c>
      <c r="F59" s="13">
        <f>'[2]Prix 3ME NZ50'!F31</f>
        <v>1.036433728</v>
      </c>
      <c r="G59" s="13">
        <f>'[2]Prix 3ME NZ50'!G31</f>
        <v>1.048870932736</v>
      </c>
      <c r="H59" s="13">
        <f>'[2]Prix 3ME NZ50'!H31</f>
        <v>1.0614573839288319</v>
      </c>
      <c r="I59" s="13">
        <f>'[2]Prix 3ME NZ50'!I31</f>
        <v>1.074194872535978</v>
      </c>
      <c r="J59" s="13">
        <f>'[2]Prix 3ME NZ50'!J31</f>
        <v>1.0956787699866977</v>
      </c>
      <c r="K59" s="13">
        <f>'[2]Prix 3ME NZ50'!K31</f>
        <v>1.1175923453864316</v>
      </c>
      <c r="L59" s="13">
        <f>'[2]Prix 3ME NZ50'!L31</f>
        <v>1.1410617846395466</v>
      </c>
      <c r="M59" s="13">
        <f>'[2]Prix 3ME NZ50'!M31</f>
        <v>1.165982782654988</v>
      </c>
      <c r="N59" s="13">
        <f>'[2]Prix 3ME NZ50'!N31</f>
        <v>1.1885806732288207</v>
      </c>
      <c r="O59" s="13">
        <f>'[2]Prix 3ME NZ50'!O31</f>
        <v>1.2070408310202607</v>
      </c>
      <c r="P59" s="13">
        <f>'[2]Prix 3ME NZ50'!P31</f>
        <v>1.2226661742242311</v>
      </c>
      <c r="Q59" s="13">
        <f>'[2]Prix 3ME NZ50'!Q31</f>
        <v>1.2363156398355699</v>
      </c>
      <c r="R59" s="13">
        <f>'[2]Prix 3ME NZ50'!R31</f>
        <v>1.2485127601652741</v>
      </c>
      <c r="S59" s="13">
        <f>'[2]Prix 3ME NZ50'!S31</f>
        <v>1.2605443281830822</v>
      </c>
      <c r="T59" s="13">
        <f>'[2]Prix 3ME NZ50'!T31</f>
        <v>1.2731435041273913</v>
      </c>
      <c r="U59" s="13">
        <f>'[2]Prix 3ME NZ50'!U31</f>
        <v>1.2856534538256781</v>
      </c>
      <c r="V59" s="13">
        <f>'[2]Prix 3ME NZ50'!V31</f>
        <v>1.2980924525331523</v>
      </c>
      <c r="W59" s="13">
        <f>'[2]Prix 3ME NZ50'!W31</f>
        <v>1.3106024022314393</v>
      </c>
      <c r="X59" s="13">
        <f>'[2]Prix 3ME NZ50'!X31</f>
        <v>1.3235971837002796</v>
      </c>
      <c r="Y59" s="13">
        <f>'[2]Prix 3ME NZ50'!Y31</f>
        <v>1.3372573994617418</v>
      </c>
      <c r="Z59" s="13">
        <f>'[2]Prix 3ME NZ50'!Z31</f>
        <v>1.3513540713182031</v>
      </c>
      <c r="AA59" s="13">
        <f>'[2]Prix 3ME NZ50'!AA31</f>
        <v>1.3661000522421012</v>
      </c>
      <c r="AB59" s="13">
        <f>'[2]Prix 3ME NZ50'!AB31</f>
        <v>1.3816071437947173</v>
      </c>
      <c r="AC59" s="13">
        <f>'[2]Prix 3ME NZ50'!AC31</f>
        <v>1.3992330899366021</v>
      </c>
      <c r="AD59" s="13">
        <f>'[2]Prix 3ME NZ50'!AD31</f>
        <v>1.4196271997351932</v>
      </c>
      <c r="AE59" s="13">
        <f>'[2]Prix 3ME NZ50'!AE31</f>
        <v>1.4417886342140267</v>
      </c>
      <c r="AF59" s="13">
        <f>'[2]Prix 3ME NZ50'!AF31</f>
        <v>1.4651132349361833</v>
      </c>
      <c r="AG59" s="13">
        <f>'[2]Prix 3ME NZ50'!AG31</f>
        <v>1.4894311495297168</v>
      </c>
      <c r="AH59" s="13">
        <f>'[2]Prix 3ME NZ50'!AH31</f>
        <v>1.5152121595550085</v>
      </c>
      <c r="AI59" s="13">
        <f>'[2]Prix 3ME NZ50'!AI31</f>
        <v>1.5428045698760477</v>
      </c>
      <c r="AJ59" s="13">
        <f>'[2]Prix 3ME NZ50'!AJ31</f>
        <v>1.5717557991726505</v>
      </c>
      <c r="AK59" s="13">
        <f>'[2]Prix 3ME NZ50'!AK31</f>
        <v>1.6018508444423545</v>
      </c>
      <c r="AL59" s="13">
        <f>'[2]Prix 3ME NZ50'!AL31</f>
        <v>1.6329542537936084</v>
      </c>
    </row>
    <row r="60" spans="1:38" x14ac:dyDescent="0.35">
      <c r="A60">
        <f t="shared" si="1"/>
        <v>1</v>
      </c>
      <c r="B60" t="s">
        <v>67</v>
      </c>
      <c r="C60" s="13">
        <f>'[2]Prix 3ME NZ50'!C32</f>
        <v>1</v>
      </c>
      <c r="D60" s="13">
        <f>'[2]Prix 3ME NZ50'!D32</f>
        <v>1.012</v>
      </c>
      <c r="E60" s="13">
        <f>'[2]Prix 3ME NZ50'!E32</f>
        <v>1.0241439999999999</v>
      </c>
      <c r="F60" s="13">
        <f>'[2]Prix 3ME NZ50'!F32</f>
        <v>1.036433728</v>
      </c>
      <c r="G60" s="13">
        <f>'[2]Prix 3ME NZ50'!G32</f>
        <v>1.048870932736</v>
      </c>
      <c r="H60" s="13">
        <f>'[2]Prix 3ME NZ50'!H32</f>
        <v>1.0614573839288319</v>
      </c>
      <c r="I60" s="13">
        <f>'[2]Prix 3ME NZ50'!I32</f>
        <v>1.074194872535978</v>
      </c>
      <c r="J60" s="13">
        <f>'[2]Prix 3ME NZ50'!J32</f>
        <v>1.0956787699866977</v>
      </c>
      <c r="K60" s="13">
        <f>'[2]Prix 3ME NZ50'!K32</f>
        <v>1.1175923453864316</v>
      </c>
      <c r="L60" s="13">
        <f>'[2]Prix 3ME NZ50'!L32</f>
        <v>1.1410617846395466</v>
      </c>
      <c r="M60" s="13">
        <f>'[2]Prix 3ME NZ50'!M32</f>
        <v>1.165982782654988</v>
      </c>
      <c r="N60" s="13">
        <f>'[2]Prix 3ME NZ50'!N32</f>
        <v>1.1885806732288207</v>
      </c>
      <c r="O60" s="13">
        <f>'[2]Prix 3ME NZ50'!O32</f>
        <v>1.2070408310202607</v>
      </c>
      <c r="P60" s="13">
        <f>'[2]Prix 3ME NZ50'!P32</f>
        <v>1.2226661742242311</v>
      </c>
      <c r="Q60" s="13">
        <f>'[2]Prix 3ME NZ50'!Q32</f>
        <v>1.2363156398355699</v>
      </c>
      <c r="R60" s="13">
        <f>'[2]Prix 3ME NZ50'!R32</f>
        <v>1.2485127601652741</v>
      </c>
      <c r="S60" s="13">
        <f>'[2]Prix 3ME NZ50'!S32</f>
        <v>1.2605443281830822</v>
      </c>
      <c r="T60" s="13">
        <f>'[2]Prix 3ME NZ50'!T32</f>
        <v>1.2731435041273913</v>
      </c>
      <c r="U60" s="13">
        <f>'[2]Prix 3ME NZ50'!U32</f>
        <v>1.2856534538256781</v>
      </c>
      <c r="V60" s="13">
        <f>'[2]Prix 3ME NZ50'!V32</f>
        <v>1.2980924525331523</v>
      </c>
      <c r="W60" s="13">
        <f>'[2]Prix 3ME NZ50'!W32</f>
        <v>1.3106024022314393</v>
      </c>
      <c r="X60" s="13">
        <f>'[2]Prix 3ME NZ50'!X32</f>
        <v>1.3235971837002796</v>
      </c>
      <c r="Y60" s="13">
        <f>'[2]Prix 3ME NZ50'!Y32</f>
        <v>1.3372573994617418</v>
      </c>
      <c r="Z60" s="13">
        <f>'[2]Prix 3ME NZ50'!Z32</f>
        <v>1.3513540713182031</v>
      </c>
      <c r="AA60" s="13">
        <f>'[2]Prix 3ME NZ50'!AA32</f>
        <v>1.3661000522421012</v>
      </c>
      <c r="AB60" s="13">
        <f>'[2]Prix 3ME NZ50'!AB32</f>
        <v>1.3816071437947173</v>
      </c>
      <c r="AC60" s="13">
        <f>'[2]Prix 3ME NZ50'!AC32</f>
        <v>1.3992330899366021</v>
      </c>
      <c r="AD60" s="13">
        <f>'[2]Prix 3ME NZ50'!AD32</f>
        <v>1.4196271997351932</v>
      </c>
      <c r="AE60" s="13">
        <f>'[2]Prix 3ME NZ50'!AE32</f>
        <v>1.4417886342140267</v>
      </c>
      <c r="AF60" s="13">
        <f>'[2]Prix 3ME NZ50'!AF32</f>
        <v>1.4651132349361833</v>
      </c>
      <c r="AG60" s="13">
        <f>'[2]Prix 3ME NZ50'!AG32</f>
        <v>1.4894311495297168</v>
      </c>
      <c r="AH60" s="13">
        <f>'[2]Prix 3ME NZ50'!AH32</f>
        <v>1.5152121595550085</v>
      </c>
      <c r="AI60" s="13">
        <f>'[2]Prix 3ME NZ50'!AI32</f>
        <v>1.5428045698760477</v>
      </c>
      <c r="AJ60" s="13">
        <f>'[2]Prix 3ME NZ50'!AJ32</f>
        <v>1.5717557991726505</v>
      </c>
      <c r="AK60" s="13">
        <f>'[2]Prix 3ME NZ50'!AK32</f>
        <v>1.6018508444423545</v>
      </c>
      <c r="AL60" s="13">
        <f>'[2]Prix 3ME NZ50'!AL32</f>
        <v>1.6329542537936084</v>
      </c>
    </row>
    <row r="61" spans="1:38" x14ac:dyDescent="0.35">
      <c r="A61">
        <f t="shared" si="1"/>
        <v>1</v>
      </c>
      <c r="B61" t="s">
        <v>68</v>
      </c>
      <c r="C61" s="13">
        <f>'[2]Prix 3ME NZ50'!C33</f>
        <v>1</v>
      </c>
      <c r="D61" s="13">
        <f>'[2]Prix 3ME NZ50'!D33</f>
        <v>1.012</v>
      </c>
      <c r="E61" s="13">
        <f>'[2]Prix 3ME NZ50'!E33</f>
        <v>1.0241439999999999</v>
      </c>
      <c r="F61" s="13">
        <f>'[2]Prix 3ME NZ50'!F33</f>
        <v>1.036433728</v>
      </c>
      <c r="G61" s="13">
        <f>'[2]Prix 3ME NZ50'!G33</f>
        <v>1.048870932736</v>
      </c>
      <c r="H61" s="13">
        <f>'[2]Prix 3ME NZ50'!H33</f>
        <v>1.0614573839288319</v>
      </c>
      <c r="I61" s="13">
        <f>'[2]Prix 3ME NZ50'!I33</f>
        <v>1.074194872535978</v>
      </c>
      <c r="J61" s="13">
        <f>'[2]Prix 3ME NZ50'!J33</f>
        <v>1.0956787699866977</v>
      </c>
      <c r="K61" s="13">
        <f>'[2]Prix 3ME NZ50'!K33</f>
        <v>1.1175923453864316</v>
      </c>
      <c r="L61" s="13">
        <f>'[2]Prix 3ME NZ50'!L33</f>
        <v>1.1410617846395466</v>
      </c>
      <c r="M61" s="13">
        <f>'[2]Prix 3ME NZ50'!M33</f>
        <v>1.165982782654988</v>
      </c>
      <c r="N61" s="13">
        <f>'[2]Prix 3ME NZ50'!N33</f>
        <v>1.1885806732288207</v>
      </c>
      <c r="O61" s="13">
        <f>'[2]Prix 3ME NZ50'!O33</f>
        <v>1.2070408310202607</v>
      </c>
      <c r="P61" s="13">
        <f>'[2]Prix 3ME NZ50'!P33</f>
        <v>1.2226661742242311</v>
      </c>
      <c r="Q61" s="13">
        <f>'[2]Prix 3ME NZ50'!Q33</f>
        <v>1.2363156398355699</v>
      </c>
      <c r="R61" s="13">
        <f>'[2]Prix 3ME NZ50'!R33</f>
        <v>1.2485127601652741</v>
      </c>
      <c r="S61" s="13">
        <f>'[2]Prix 3ME NZ50'!S33</f>
        <v>1.2605443281830822</v>
      </c>
      <c r="T61" s="13">
        <f>'[2]Prix 3ME NZ50'!T33</f>
        <v>1.2731435041273913</v>
      </c>
      <c r="U61" s="13">
        <f>'[2]Prix 3ME NZ50'!U33</f>
        <v>1.2856534538256781</v>
      </c>
      <c r="V61" s="13">
        <f>'[2]Prix 3ME NZ50'!V33</f>
        <v>1.2980924525331523</v>
      </c>
      <c r="W61" s="13">
        <f>'[2]Prix 3ME NZ50'!W33</f>
        <v>1.3106024022314393</v>
      </c>
      <c r="X61" s="13">
        <f>'[2]Prix 3ME NZ50'!X33</f>
        <v>1.3235971837002796</v>
      </c>
      <c r="Y61" s="13">
        <f>'[2]Prix 3ME NZ50'!Y33</f>
        <v>1.3372573994617418</v>
      </c>
      <c r="Z61" s="13">
        <f>'[2]Prix 3ME NZ50'!Z33</f>
        <v>1.3513540713182031</v>
      </c>
      <c r="AA61" s="13">
        <f>'[2]Prix 3ME NZ50'!AA33</f>
        <v>1.3661000522421012</v>
      </c>
      <c r="AB61" s="13">
        <f>'[2]Prix 3ME NZ50'!AB33</f>
        <v>1.3816071437947173</v>
      </c>
      <c r="AC61" s="13">
        <f>'[2]Prix 3ME NZ50'!AC33</f>
        <v>1.3992330899366021</v>
      </c>
      <c r="AD61" s="13">
        <f>'[2]Prix 3ME NZ50'!AD33</f>
        <v>1.4196271997351932</v>
      </c>
      <c r="AE61" s="13">
        <f>'[2]Prix 3ME NZ50'!AE33</f>
        <v>1.4417886342140267</v>
      </c>
      <c r="AF61" s="13">
        <f>'[2]Prix 3ME NZ50'!AF33</f>
        <v>1.4651132349361833</v>
      </c>
      <c r="AG61" s="13">
        <f>'[2]Prix 3ME NZ50'!AG33</f>
        <v>1.4894311495297168</v>
      </c>
      <c r="AH61" s="13">
        <f>'[2]Prix 3ME NZ50'!AH33</f>
        <v>1.5152121595550085</v>
      </c>
      <c r="AI61" s="13">
        <f>'[2]Prix 3ME NZ50'!AI33</f>
        <v>1.5428045698760477</v>
      </c>
      <c r="AJ61" s="13">
        <f>'[2]Prix 3ME NZ50'!AJ33</f>
        <v>1.5717557991726505</v>
      </c>
      <c r="AK61" s="13">
        <f>'[2]Prix 3ME NZ50'!AK33</f>
        <v>1.6018508444423545</v>
      </c>
      <c r="AL61" s="13">
        <f>'[2]Prix 3ME NZ50'!AL33</f>
        <v>1.6329542537936084</v>
      </c>
    </row>
    <row r="63" spans="1:38" x14ac:dyDescent="0.35">
      <c r="C63" s="13">
        <f ca="1">'[2]Prix 3ME NZ50'!C25</f>
        <v>1</v>
      </c>
      <c r="D63" s="13">
        <f ca="1">'[2]Prix 3ME NZ50'!D25</f>
        <v>1.0241439999999999</v>
      </c>
      <c r="E63" s="13">
        <f ca="1">'[2]Prix 3ME NZ50'!E25</f>
        <v>1.048870932736</v>
      </c>
      <c r="F63" s="13">
        <f ca="1">'[2]Prix 3ME NZ50'!F25</f>
        <v>1.0741948725359782</v>
      </c>
      <c r="G63" s="13">
        <f ca="1">'[2]Prix 3ME NZ50'!G25</f>
        <v>1.1001302335384866</v>
      </c>
      <c r="H63" s="13">
        <f ca="1">'[2]Prix 3ME NZ50'!H25</f>
        <v>1.1266917778970396</v>
      </c>
      <c r="I63" s="13">
        <f ca="1">'[2]Prix 3ME NZ50'!I25</f>
        <v>1.1584554724995129</v>
      </c>
      <c r="J63" s="13">
        <f ca="1">'[2]Prix 3ME NZ50'!J25</f>
        <v>1.2002328430825662</v>
      </c>
      <c r="K63" s="13">
        <f ca="1">'[2]Prix 3ME NZ50'!K25</f>
        <v>1.2432179262999419</v>
      </c>
      <c r="L63" s="13">
        <f ca="1">'[2]Prix 3ME NZ50'!L25</f>
        <v>1.2887045180614352</v>
      </c>
      <c r="M63" s="13">
        <f ca="1">'[2]Prix 3ME NZ50'!M25</f>
        <v>1.336652316917665</v>
      </c>
      <c r="N63" s="13">
        <f ca="1">'[2]Prix 3ME NZ50'!N25</f>
        <v>1.3827439942652417</v>
      </c>
      <c r="O63" s="13">
        <f ca="1">'[2]Prix 3ME NZ50'!O25</f>
        <v>1.4247193119025345</v>
      </c>
      <c r="P63" s="13">
        <f ca="1">'[2]Prix 3ME NZ50'!P25</f>
        <v>1.463927467665247</v>
      </c>
      <c r="Q63" s="13">
        <f ca="1">'[2]Prix 3ME NZ50'!Q25</f>
        <v>1.5012670412970672</v>
      </c>
      <c r="R63" s="13">
        <f ca="1">'[2]Prix 3ME NZ50'!R25</f>
        <v>1.5372819823198849</v>
      </c>
      <c r="S63" s="13">
        <f ca="1">'[2]Prix 3ME NZ50'!S25</f>
        <v>1.5480822962519099</v>
      </c>
      <c r="T63" s="13">
        <f ca="1">'[2]Prix 3ME NZ50'!T25</f>
        <v>1.5595012595386326</v>
      </c>
      <c r="U63" s="13">
        <f ca="1">'[2]Prix 3ME NZ50'!U25</f>
        <v>1.5707309708491395</v>
      </c>
      <c r="V63" s="13">
        <f ca="1">'[2]Prix 3ME NZ50'!V25</f>
        <v>1.5817945519406145</v>
      </c>
      <c r="W63" s="13">
        <f ca="1">'[2]Prix 3ME NZ50'!W25</f>
        <v>1.5928651438437238</v>
      </c>
      <c r="X63" s="13">
        <f ca="1">'[2]Prix 3ME NZ50'!X25</f>
        <v>1.6044437685520905</v>
      </c>
      <c r="Y63" s="13">
        <f ca="1">'[2]Prix 3ME NZ50'!Y25</f>
        <v>1.6167441428533604</v>
      </c>
      <c r="Z63" s="13">
        <f ca="1">'[2]Prix 3ME NZ50'!Z25</f>
        <v>1.6294838042962041</v>
      </c>
      <c r="AA63" s="13">
        <f ca="1">'[2]Prix 3ME NZ50'!AA25</f>
        <v>1.6429145669937886</v>
      </c>
      <c r="AB63" s="13">
        <f ca="1">'[2]Prix 3ME NZ50'!AB25</f>
        <v>1.6571643280507917</v>
      </c>
      <c r="AC63" s="13">
        <f ca="1">'[2]Prix 3ME NZ50'!AC25</f>
        <v>1.6738500346349099</v>
      </c>
      <c r="AD63" s="13">
        <f ca="1">'[2]Prix 3ME NZ50'!AD25</f>
        <v>1.6937261215096895</v>
      </c>
      <c r="AE63" s="13">
        <f ca="1">'[2]Prix 3ME NZ50'!AE25</f>
        <v>1.7155752520651346</v>
      </c>
      <c r="AF63" s="13">
        <f ca="1">'[2]Prix 3ME NZ50'!AF25</f>
        <v>1.7386635823736254</v>
      </c>
      <c r="AG63" s="13">
        <f ca="1">'[2]Prix 3ME NZ50'!AG25</f>
        <v>1.7627789760469494</v>
      </c>
      <c r="AH63" s="13">
        <f ca="1">'[2]Prix 3ME NZ50'!AH25</f>
        <v>1.7884664460959998</v>
      </c>
      <c r="AI63" s="13">
        <f ca="1">'[2]Prix 3ME NZ50'!AI25</f>
        <v>1.8161220246433725</v>
      </c>
      <c r="AJ63" s="13">
        <f ca="1">'[2]Prix 3ME NZ50'!AJ25</f>
        <v>1.8451970894338396</v>
      </c>
      <c r="AK63" s="13">
        <f ca="1">'[2]Prix 3ME NZ50'!AK25</f>
        <v>1.875426936684929</v>
      </c>
      <c r="AL63" s="13">
        <f ca="1">'[2]Prix 3ME NZ50'!AL25</f>
        <v>1.9066424853379449</v>
      </c>
    </row>
    <row r="64" spans="1:38" x14ac:dyDescent="0.35">
      <c r="C64" s="13">
        <f ca="1">'[2]Prix 3ME NZ50'!C26</f>
        <v>1</v>
      </c>
      <c r="D64" s="13">
        <f ca="1">'[2]Prix 3ME NZ50'!D26</f>
        <v>1.0241439999999999</v>
      </c>
      <c r="E64" s="13">
        <f ca="1">'[2]Prix 3ME NZ50'!E26</f>
        <v>1.048870932736</v>
      </c>
      <c r="F64" s="13">
        <f ca="1">'[2]Prix 3ME NZ50'!F26</f>
        <v>1.0741948725359782</v>
      </c>
      <c r="G64" s="13">
        <f ca="1">'[2]Prix 3ME NZ50'!G26</f>
        <v>1.1001302335384866</v>
      </c>
      <c r="H64" s="13">
        <f ca="1">'[2]Prix 3ME NZ50'!H26</f>
        <v>1.1266917778970396</v>
      </c>
      <c r="I64" s="13">
        <f ca="1">'[2]Prix 3ME NZ50'!I26</f>
        <v>1.1782191485395308</v>
      </c>
      <c r="J64" s="13">
        <f ca="1">'[2]Prix 3ME NZ50'!J26</f>
        <v>1.2405507422042026</v>
      </c>
      <c r="K64" s="13">
        <f ca="1">'[2]Prix 3ME NZ50'!K26</f>
        <v>1.3049043119560457</v>
      </c>
      <c r="L64" s="13">
        <f ca="1">'[2]Prix 3ME NZ50'!L26</f>
        <v>1.3726802510679443</v>
      </c>
      <c r="M64" s="13">
        <f ca="1">'[2]Prix 3ME NZ50'!M26</f>
        <v>1.4439145398801931</v>
      </c>
      <c r="N64" s="13">
        <f ca="1">'[2]Prix 3ME NZ50'!N26</f>
        <v>1.5139532783925995</v>
      </c>
      <c r="O64" s="13">
        <f ca="1">'[2]Prix 3ME NZ50'!O26</f>
        <v>1.580174296774393</v>
      </c>
      <c r="P64" s="13">
        <f ca="1">'[2]Prix 3ME NZ50'!P26</f>
        <v>1.6438901823664114</v>
      </c>
      <c r="Q64" s="13">
        <f ca="1">'[2]Prix 3ME NZ50'!Q26</f>
        <v>1.705985274201212</v>
      </c>
      <c r="R64" s="13">
        <f ca="1">'[2]Prix 3ME NZ50'!R26</f>
        <v>1.7669907842757284</v>
      </c>
      <c r="S64" s="13">
        <f ca="1">'[2]Prix 3ME NZ50'!S26</f>
        <v>1.7744615364290097</v>
      </c>
      <c r="T64" s="13">
        <f ca="1">'[2]Prix 3ME NZ50'!T26</f>
        <v>1.7825445609152466</v>
      </c>
      <c r="U64" s="13">
        <f ca="1">'[2]Prix 3ME NZ50'!U26</f>
        <v>1.7903122852547999</v>
      </c>
      <c r="V64" s="13">
        <f ca="1">'[2]Prix 3ME NZ50'!V26</f>
        <v>1.7977920492439363</v>
      </c>
      <c r="W64" s="13">
        <f ca="1">'[2]Prix 3ME NZ50'!W26</f>
        <v>1.8051809178515885</v>
      </c>
      <c r="X64" s="13">
        <f ca="1">'[2]Prix 3ME NZ50'!X26</f>
        <v>1.8130442051439262</v>
      </c>
      <c r="Y64" s="13">
        <f ca="1">'[2]Prix 3ME NZ50'!Y26</f>
        <v>1.8216169007859047</v>
      </c>
      <c r="Z64" s="13">
        <f ca="1">'[2]Prix 3ME NZ50'!Z26</f>
        <v>1.830573690272395</v>
      </c>
      <c r="AA64" s="13">
        <f ca="1">'[2]Prix 3ME NZ50'!AA26</f>
        <v>1.8401913676452928</v>
      </c>
      <c r="AB64" s="13">
        <f ca="1">'[2]Prix 3ME NZ50'!AB26</f>
        <v>1.8506049175451311</v>
      </c>
      <c r="AC64" s="13">
        <f ca="1">'[2]Prix 3ME NZ50'!AC26</f>
        <v>1.8636053751058375</v>
      </c>
      <c r="AD64" s="13">
        <f ca="1">'[2]Prix 3ME NZ50'!AD26</f>
        <v>1.8800044222824031</v>
      </c>
      <c r="AE64" s="13">
        <f ca="1">'[2]Prix 3ME NZ50'!AE26</f>
        <v>1.8984212784629679</v>
      </c>
      <c r="AF64" s="13">
        <f ca="1">'[2]Prix 3ME NZ50'!AF26</f>
        <v>1.9180248225350063</v>
      </c>
      <c r="AG64" s="13">
        <f ca="1">'[2]Prix 3ME NZ50'!AG26</f>
        <v>1.9385675265090294</v>
      </c>
      <c r="AH64" s="13">
        <f ca="1">'[2]Prix 3ME NZ50'!AH26</f>
        <v>1.9606346788308309</v>
      </c>
      <c r="AI64" s="13">
        <f ca="1">'[2]Prix 3ME NZ50'!AI26</f>
        <v>1.9846410548831555</v>
      </c>
      <c r="AJ64" s="13">
        <f ca="1">'[2]Prix 3ME NZ50'!AJ26</f>
        <v>2.009966690892798</v>
      </c>
      <c r="AK64" s="13">
        <f ca="1">'[2]Prix 3ME NZ50'!AK26</f>
        <v>2.0363073633651054</v>
      </c>
      <c r="AL64" s="13">
        <f ca="1">'[2]Prix 3ME NZ50'!AL26</f>
        <v>2.0634658932228813</v>
      </c>
    </row>
    <row r="65" spans="3:38" x14ac:dyDescent="0.35">
      <c r="C65" s="13">
        <f ca="1">'[2]Prix 3ME NZ50'!C29</f>
        <v>1</v>
      </c>
      <c r="D65" s="13">
        <f ca="1">'[2]Prix 3ME NZ50'!D29</f>
        <v>1.0241439999999999</v>
      </c>
      <c r="E65" s="13">
        <f ca="1">'[2]Prix 3ME NZ50'!E29</f>
        <v>1.048870932736</v>
      </c>
      <c r="F65" s="13">
        <f ca="1">'[2]Prix 3ME NZ50'!F29</f>
        <v>1.0741948725359782</v>
      </c>
      <c r="G65" s="13">
        <f ca="1">'[2]Prix 3ME NZ50'!G29</f>
        <v>1.1001302335384866</v>
      </c>
      <c r="H65" s="13">
        <f ca="1">'[2]Prix 3ME NZ50'!H29</f>
        <v>1.1266917778970396</v>
      </c>
      <c r="I65" s="13">
        <f ca="1">'[2]Prix 3ME NZ50'!I29</f>
        <v>1.1402120792318042</v>
      </c>
      <c r="J65" s="13">
        <f ca="1">'[2]Prix 3ME NZ50'!J29</f>
        <v>1.1630163208164406</v>
      </c>
      <c r="K65" s="13">
        <f ca="1">'[2]Prix 3ME NZ50'!K29</f>
        <v>1.1862766472327693</v>
      </c>
      <c r="L65" s="13">
        <f ca="1">'[2]Prix 3ME NZ50'!L29</f>
        <v>1.2111884568246574</v>
      </c>
      <c r="M65" s="13">
        <f ca="1">'[2]Prix 3ME NZ50'!M29</f>
        <v>1.2376410341830235</v>
      </c>
      <c r="N65" s="13">
        <f ca="1">'[2]Prix 3ME NZ50'!N29</f>
        <v>1.261627731993834</v>
      </c>
      <c r="O65" s="13">
        <f ca="1">'[2]Prix 3ME NZ50'!O29</f>
        <v>1.2812224027900494</v>
      </c>
      <c r="P65" s="13">
        <f ca="1">'[2]Prix 3ME NZ50'!P29</f>
        <v>1.2978080387103259</v>
      </c>
      <c r="Q65" s="13">
        <f ca="1">'[2]Prix 3ME NZ50'!Q29</f>
        <v>1.3122963647701642</v>
      </c>
      <c r="R65" s="13">
        <f ca="1">'[2]Prix 3ME NZ50'!R29</f>
        <v>1.3252430882067971</v>
      </c>
      <c r="S65" s="13">
        <f ca="1">'[2]Prix 3ME NZ50'!S29</f>
        <v>1.3427927066513969</v>
      </c>
      <c r="T65" s="13">
        <f ca="1">'[2]Prix 3ME NZ50'!T29</f>
        <v>1.3610403416374544</v>
      </c>
      <c r="U65" s="13">
        <f ca="1">'[2]Prix 3ME NZ50'!U29</f>
        <v>1.3792877769340524</v>
      </c>
      <c r="V65" s="13">
        <f ca="1">'[2]Prix 3ME NZ50'!V29</f>
        <v>1.397553673317367</v>
      </c>
      <c r="W65" s="13">
        <f ca="1">'[2]Prix 3ME NZ50'!W29</f>
        <v>1.4159905364799161</v>
      </c>
      <c r="X65" s="13">
        <f ca="1">'[2]Prix 3ME NZ50'!X29</f>
        <v>1.4350479040714839</v>
      </c>
      <c r="Y65" s="13">
        <f ca="1">'[2]Prix 3ME NZ50'!Y29</f>
        <v>1.4549277843939363</v>
      </c>
      <c r="Z65" s="13">
        <f ca="1">'[2]Prix 3ME NZ50'!Z29</f>
        <v>1.4753877503687953</v>
      </c>
      <c r="AA65" s="13">
        <f ca="1">'[2]Prix 3ME NZ50'!AA29</f>
        <v>1.4966659622405889</v>
      </c>
      <c r="AB65" s="13">
        <f ca="1">'[2]Prix 3ME NZ50'!AB29</f>
        <v>1.5188927153436438</v>
      </c>
      <c r="AC65" s="13">
        <f ca="1">'[2]Prix 3ME NZ50'!AC29</f>
        <v>1.5435744710316834</v>
      </c>
      <c r="AD65" s="13">
        <f ca="1">'[2]Prix 3ME NZ50'!AD29</f>
        <v>1.5714540781673505</v>
      </c>
      <c r="AE65" s="13">
        <f ca="1">'[2]Prix 3ME NZ50'!AE29</f>
        <v>1.6014513471870895</v>
      </c>
      <c r="AF65" s="13">
        <f ca="1">'[2]Prix 3ME NZ50'!AF29</f>
        <v>1.6329130245906116</v>
      </c>
      <c r="AG65" s="13">
        <f ca="1">'[2]Prix 3ME NZ50'!AG29</f>
        <v>1.6656623892820281</v>
      </c>
      <c r="AH65" s="13">
        <f ca="1">'[2]Prix 3ME NZ50'!AH29</f>
        <v>1.7002378855486091</v>
      </c>
      <c r="AI65" s="13">
        <f ca="1">'[2]Prix 3ME NZ50'!AI29</f>
        <v>1.7370483103152152</v>
      </c>
      <c r="AJ65" s="13">
        <f ca="1">'[2]Prix 3ME NZ50'!AJ29</f>
        <v>1.7756029858282201</v>
      </c>
      <c r="AK65" s="13">
        <f ca="1">'[2]Prix 3ME NZ50'!AK29</f>
        <v>1.8156736629607322</v>
      </c>
      <c r="AL65" s="13">
        <f ca="1">'[2]Prix 3ME NZ50'!AL29</f>
        <v>1.8571193039005947</v>
      </c>
    </row>
    <row r="66" spans="3:38" x14ac:dyDescent="0.35">
      <c r="D66" s="22">
        <v>1.7999999999999999E-2</v>
      </c>
      <c r="E66" s="22">
        <v>1.7999999999999999E-2</v>
      </c>
      <c r="F66" s="22">
        <v>1.7999999999999999E-2</v>
      </c>
      <c r="G66" s="22">
        <v>1.7999999999999999E-2</v>
      </c>
      <c r="H66" s="22">
        <v>1.7999999999999999E-2</v>
      </c>
      <c r="I66" s="22">
        <v>1.7999999999999999E-2</v>
      </c>
      <c r="J66" s="21">
        <v>-3.3145281896735712E-2</v>
      </c>
      <c r="K66" s="21">
        <v>-6.112374641327678E-2</v>
      </c>
      <c r="L66" s="21">
        <v>-9.3136619367516715E-2</v>
      </c>
      <c r="M66" s="21">
        <v>-0.12391348470540964</v>
      </c>
      <c r="N66" s="21">
        <v>-0.15422787051759379</v>
      </c>
      <c r="O66" s="21">
        <v>-0.16244776240798053</v>
      </c>
      <c r="P66" s="21">
        <v>-0.17522362756216614</v>
      </c>
      <c r="Q66" s="21">
        <v>-0.2072238132587243</v>
      </c>
      <c r="R66" s="21">
        <v>-0.26837116092134405</v>
      </c>
      <c r="S66" s="21">
        <v>-0.34915466868366696</v>
      </c>
      <c r="T66" s="21">
        <v>-0.2788738302314534</v>
      </c>
      <c r="U66" s="21">
        <v>-0.18496969584662426</v>
      </c>
      <c r="V66" s="21">
        <v>-0.13994152143076677</v>
      </c>
      <c r="W66" s="21">
        <v>-0.12696059977527796</v>
      </c>
      <c r="X66" s="21">
        <v>-0.12354752072049147</v>
      </c>
      <c r="Y66" s="21">
        <v>-8.1221495152391965E-2</v>
      </c>
      <c r="Z66" s="21">
        <v>-4.4620730229725236E-2</v>
      </c>
      <c r="AA66" s="21">
        <v>-2.6021904603119261E-2</v>
      </c>
      <c r="AB66" s="21">
        <v>-1.7353885564333593E-2</v>
      </c>
      <c r="AC66" s="21">
        <v>-1.3539644012998342E-2</v>
      </c>
      <c r="AD66" s="21">
        <v>-1.3363949728436797E-2</v>
      </c>
      <c r="AE66" s="21">
        <v>-1.4959135565705606E-2</v>
      </c>
      <c r="AF66" s="21">
        <v>-1.6771020258953273E-2</v>
      </c>
      <c r="AG66" s="21">
        <v>-1.8580542626411511E-2</v>
      </c>
      <c r="AH66" s="21">
        <v>-1.9745346765489225E-2</v>
      </c>
      <c r="AI66" s="21">
        <v>-1.9256011759717806E-2</v>
      </c>
      <c r="AJ66" s="21">
        <v>-1.8897771478850744E-2</v>
      </c>
      <c r="AK66" s="21">
        <v>-1.8905678645384616E-2</v>
      </c>
      <c r="AL66" s="21">
        <v>-1.9189330947657401E-2</v>
      </c>
    </row>
    <row r="67" spans="3:38" x14ac:dyDescent="0.35">
      <c r="D67" s="22">
        <v>1.7999999999999999E-2</v>
      </c>
      <c r="E67" s="22">
        <v>1.7999999999999999E-2</v>
      </c>
      <c r="F67" s="22">
        <v>1.7999999999999999E-2</v>
      </c>
      <c r="G67" s="22">
        <v>1.7999999999999999E-2</v>
      </c>
      <c r="H67" s="22">
        <v>1.7999999999999999E-2</v>
      </c>
      <c r="I67" s="22">
        <v>1.7999999999999999E-2</v>
      </c>
      <c r="J67" s="21">
        <v>1.7904705889510542E-2</v>
      </c>
      <c r="K67" s="21">
        <v>2.9676991459357982E-2</v>
      </c>
      <c r="L67" s="21">
        <v>2.7912745120332039E-2</v>
      </c>
      <c r="M67" s="21">
        <v>2.5796643603987812E-2</v>
      </c>
      <c r="N67" s="21">
        <v>2.0874448103641141E-2</v>
      </c>
      <c r="O67" s="21">
        <v>1.1148385697600682E-2</v>
      </c>
      <c r="P67" s="21">
        <v>5.2788507047267785E-3</v>
      </c>
      <c r="Q67" s="21">
        <v>2.4922739287798201E-3</v>
      </c>
      <c r="R67" s="21">
        <v>1.1000831289080804E-3</v>
      </c>
      <c r="S67" s="21">
        <v>1.1065922793351834E-3</v>
      </c>
      <c r="T67" s="21">
        <v>8.1320829405084893E-4</v>
      </c>
      <c r="U67" s="21">
        <v>-6.4768008577376079E-4</v>
      </c>
      <c r="V67" s="21">
        <v>-2.0618339300191302E-3</v>
      </c>
      <c r="W67" s="21">
        <v>-3.255091231429863E-3</v>
      </c>
      <c r="X67" s="21">
        <v>-4.9422116556621098E-3</v>
      </c>
      <c r="Y67" s="21">
        <v>-1.0301713910522703E-2</v>
      </c>
      <c r="Z67" s="21">
        <v>-1.5216987810957816E-2</v>
      </c>
      <c r="AA67" s="21">
        <v>-1.8663668044057391E-2</v>
      </c>
      <c r="AB67" s="21">
        <v>-2.1319367619258567E-2</v>
      </c>
      <c r="AC67" s="21">
        <v>-2.2461901532130901E-2</v>
      </c>
      <c r="AD67" s="21">
        <v>-2.123469326414873E-2</v>
      </c>
      <c r="AE67" s="21">
        <v>-2.1134924630811902E-2</v>
      </c>
      <c r="AF67" s="21">
        <v>-2.1989328424683041E-2</v>
      </c>
      <c r="AG67" s="21">
        <v>-2.3261576141525908E-2</v>
      </c>
      <c r="AH67" s="21">
        <v>-2.3553458724231868E-2</v>
      </c>
      <c r="AI67" s="21">
        <v>-2.0152202783580764E-2</v>
      </c>
      <c r="AJ67" s="21">
        <v>-1.8035289569490409E-2</v>
      </c>
      <c r="AK67" s="21">
        <v>-1.7648897984743783E-2</v>
      </c>
      <c r="AL67" s="21">
        <v>-1.8099894275734218E-2</v>
      </c>
    </row>
    <row r="68" spans="3:38" x14ac:dyDescent="0.35">
      <c r="D68" s="22">
        <v>1.7999999999999999E-2</v>
      </c>
      <c r="E68" s="22">
        <v>1.7999999999999999E-2</v>
      </c>
      <c r="F68" s="22">
        <v>1.7999999999999999E-2</v>
      </c>
      <c r="G68" s="22">
        <v>1.7999999999999999E-2</v>
      </c>
      <c r="H68" s="22">
        <v>1.7999999999999999E-2</v>
      </c>
      <c r="I68" s="22">
        <v>1.7999999999999999E-2</v>
      </c>
      <c r="J68" s="21">
        <v>-7.266714809475161E-4</v>
      </c>
      <c r="K68" s="21">
        <v>-1.9958782673135111E-3</v>
      </c>
      <c r="L68" s="21">
        <v>-1.1545640792169243E-2</v>
      </c>
      <c r="M68" s="21">
        <v>-1.8941926624780558E-2</v>
      </c>
      <c r="N68" s="21">
        <v>-2.7342423039937946E-2</v>
      </c>
      <c r="O68" s="21">
        <v>-3.7620440545968692E-2</v>
      </c>
      <c r="P68" s="21">
        <v>-4.5043842632948694E-2</v>
      </c>
      <c r="Q68" s="21">
        <v>-5.1065246358734773E-2</v>
      </c>
      <c r="R68" s="21">
        <v>-5.6961225033180574E-2</v>
      </c>
      <c r="S68" s="21">
        <v>-6.2080366981271839E-2</v>
      </c>
      <c r="T68" s="21">
        <v>-6.6092708702717662E-2</v>
      </c>
      <c r="U68" s="21">
        <v>-7.281505476496708E-2</v>
      </c>
      <c r="V68" s="21">
        <v>-8.200560558239256E-2</v>
      </c>
      <c r="W68" s="21">
        <v>-9.3569841025312739E-2</v>
      </c>
      <c r="X68" s="21">
        <v>-0.10246819262726359</v>
      </c>
      <c r="Y68" s="21">
        <v>-8.93650844196342E-2</v>
      </c>
      <c r="Z68" s="21">
        <v>-7.9021627296291252E-2</v>
      </c>
      <c r="AA68" s="21">
        <v>-7.7657027782938592E-2</v>
      </c>
      <c r="AB68" s="21">
        <v>-8.1818047110183811E-2</v>
      </c>
      <c r="AC68" s="21">
        <v>-8.3140267956111513E-2</v>
      </c>
      <c r="AD68" s="21">
        <v>-5.9431068268660403E-2</v>
      </c>
      <c r="AE68" s="21">
        <v>-3.9994337555287363E-2</v>
      </c>
      <c r="AF68" s="21">
        <v>-3.0860978540285022E-2</v>
      </c>
      <c r="AG68" s="21">
        <v>-2.7214107028668222E-2</v>
      </c>
      <c r="AH68" s="21">
        <v>-2.5064314088326878E-2</v>
      </c>
      <c r="AI68" s="21">
        <v>-1.9819846951849573E-2</v>
      </c>
      <c r="AJ68" s="21">
        <v>-1.6503161871755934E-2</v>
      </c>
      <c r="AK68" s="21">
        <v>-1.5428703982735437E-2</v>
      </c>
      <c r="AL68" s="21">
        <v>-1.5442899211369432E-2</v>
      </c>
    </row>
    <row r="95" spans="3:38" x14ac:dyDescent="0.35">
      <c r="C95" s="3"/>
      <c r="D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35">
      <c r="C96" s="3"/>
      <c r="D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2:38" x14ac:dyDescent="0.35">
      <c r="C97" s="3" t="s">
        <v>43</v>
      </c>
      <c r="D97" s="13">
        <v>-0.19607843137254899</v>
      </c>
      <c r="E97" s="10">
        <v>0.26829268292682928</v>
      </c>
      <c r="F97" s="10">
        <v>0.30769230769230771</v>
      </c>
      <c r="G97" s="10">
        <v>-7.3529411764705843E-2</v>
      </c>
      <c r="H97" s="13">
        <v>-0.41269841269841268</v>
      </c>
      <c r="I97" s="10">
        <f>-H97</f>
        <v>0.41269841269841268</v>
      </c>
      <c r="J97" s="13">
        <v>-3.3145281896735712E-2</v>
      </c>
      <c r="K97" s="13">
        <v>-6.112374641327678E-2</v>
      </c>
      <c r="L97" s="13">
        <v>-9.3136619367516715E-2</v>
      </c>
      <c r="M97" s="13">
        <v>-0.12391348470540964</v>
      </c>
      <c r="N97" s="13">
        <v>-0.15422787051759379</v>
      </c>
      <c r="O97" s="13">
        <v>-0.16244776240798053</v>
      </c>
      <c r="P97" s="13">
        <v>-0.17522362756216614</v>
      </c>
      <c r="Q97" s="13">
        <v>-0.2072238132587243</v>
      </c>
      <c r="R97" s="13">
        <v>-0.26837116092134405</v>
      </c>
      <c r="S97" s="13">
        <v>-0.34915466868366696</v>
      </c>
      <c r="T97" s="13">
        <v>-0.2788738302314534</v>
      </c>
      <c r="U97" s="13">
        <v>-0.18496969584662426</v>
      </c>
      <c r="V97" s="13">
        <v>-0.13994152143076677</v>
      </c>
      <c r="W97" s="13">
        <v>-0.12696059977527796</v>
      </c>
      <c r="X97" s="13">
        <v>-0.12354752072049147</v>
      </c>
      <c r="Y97" s="13">
        <v>-8.1221495152391965E-2</v>
      </c>
      <c r="Z97" s="13">
        <v>-4.4620730229725236E-2</v>
      </c>
      <c r="AA97" s="13">
        <v>-2.6021904603119261E-2</v>
      </c>
      <c r="AB97" s="13">
        <v>-1.7353885564333593E-2</v>
      </c>
      <c r="AC97" s="13">
        <v>-1.3539644012998342E-2</v>
      </c>
      <c r="AD97" s="13">
        <v>-1.3363949728436797E-2</v>
      </c>
      <c r="AE97" s="13">
        <v>-1.4959135565705606E-2</v>
      </c>
      <c r="AF97" s="13">
        <v>-1.6771020258953273E-2</v>
      </c>
      <c r="AG97" s="13">
        <v>-1.8580542626411511E-2</v>
      </c>
      <c r="AH97" s="13">
        <v>-1.9745346765489225E-2</v>
      </c>
      <c r="AI97" s="13">
        <v>-1.9256011759717806E-2</v>
      </c>
      <c r="AJ97" s="13">
        <v>-1.8897771478850744E-2</v>
      </c>
      <c r="AK97" s="13">
        <v>-1.8905678645384616E-2</v>
      </c>
      <c r="AL97" s="13">
        <v>-1.9189330947657401E-2</v>
      </c>
    </row>
    <row r="98" spans="2:38" x14ac:dyDescent="0.35">
      <c r="C98" s="3" t="s">
        <v>44</v>
      </c>
      <c r="D98" s="13">
        <v>-3.8461538461538547E-2</v>
      </c>
      <c r="E98" s="10">
        <v>0.19999999999999996</v>
      </c>
      <c r="F98" s="10">
        <v>6.6666666666666652E-2</v>
      </c>
      <c r="G98" s="10">
        <v>-0.1875</v>
      </c>
      <c r="H98" s="13">
        <v>-0.19230769230769229</v>
      </c>
      <c r="I98" s="10">
        <f>-H98</f>
        <v>0.19230769230769229</v>
      </c>
      <c r="J98" s="13">
        <v>-7.266714809475161E-4</v>
      </c>
      <c r="K98" s="13">
        <v>-1.9958782673135111E-3</v>
      </c>
      <c r="L98" s="13">
        <v>-1.1545640792169243E-2</v>
      </c>
      <c r="M98" s="13">
        <v>-1.8941926624780558E-2</v>
      </c>
      <c r="N98" s="13">
        <v>-2.7342423039937946E-2</v>
      </c>
      <c r="O98" s="13">
        <v>-3.7620440545968692E-2</v>
      </c>
      <c r="P98" s="13">
        <v>-4.5043842632948694E-2</v>
      </c>
      <c r="Q98" s="13">
        <v>-5.1065246358734773E-2</v>
      </c>
      <c r="R98" s="13">
        <v>-5.6961225033180574E-2</v>
      </c>
      <c r="S98" s="13">
        <v>-6.2080366981271839E-2</v>
      </c>
      <c r="T98" s="13">
        <v>-6.6092708702717662E-2</v>
      </c>
      <c r="U98" s="13">
        <v>-7.281505476496708E-2</v>
      </c>
      <c r="V98" s="13">
        <v>-8.200560558239256E-2</v>
      </c>
      <c r="W98" s="13">
        <v>-9.3569841025312739E-2</v>
      </c>
      <c r="X98" s="13">
        <v>-0.10246819262726359</v>
      </c>
      <c r="Y98" s="13">
        <v>-8.93650844196342E-2</v>
      </c>
      <c r="Z98" s="13">
        <v>-7.9021627296291252E-2</v>
      </c>
      <c r="AA98" s="13">
        <v>-7.7657027782938592E-2</v>
      </c>
      <c r="AB98" s="13">
        <v>-8.1818047110183811E-2</v>
      </c>
      <c r="AC98" s="13">
        <v>-8.3140267956111513E-2</v>
      </c>
      <c r="AD98" s="13">
        <v>-5.9431068268660403E-2</v>
      </c>
      <c r="AE98" s="13">
        <v>-3.9994337555287363E-2</v>
      </c>
      <c r="AF98" s="13">
        <v>-3.0860978540285022E-2</v>
      </c>
      <c r="AG98" s="13">
        <v>-2.7214107028668222E-2</v>
      </c>
      <c r="AH98" s="13">
        <v>-2.5064314088326878E-2</v>
      </c>
      <c r="AI98" s="13">
        <v>-1.9819846951849573E-2</v>
      </c>
      <c r="AJ98" s="13">
        <v>-1.6503161871755934E-2</v>
      </c>
      <c r="AK98" s="13">
        <v>-1.5428703982735437E-2</v>
      </c>
      <c r="AL98" s="13">
        <v>-1.5442899211369432E-2</v>
      </c>
    </row>
    <row r="99" spans="2:38" x14ac:dyDescent="0.35">
      <c r="C99" s="3" t="s">
        <v>45</v>
      </c>
      <c r="D99" s="13">
        <v>4.051546391752578</v>
      </c>
      <c r="E99" s="10">
        <v>0.22448979591836737</v>
      </c>
      <c r="F99" s="10">
        <v>-0.23333333333333328</v>
      </c>
      <c r="G99" s="10">
        <v>0</v>
      </c>
      <c r="H99" s="13">
        <v>-2.1739130434782594E-2</v>
      </c>
      <c r="I99" s="10">
        <f>-H99</f>
        <v>2.1739130434782594E-2</v>
      </c>
      <c r="J99" s="13">
        <v>-3.3145281896735712E-2</v>
      </c>
      <c r="K99" s="13">
        <v>-6.112374641327678E-2</v>
      </c>
      <c r="L99" s="13">
        <v>-9.3136619367516715E-2</v>
      </c>
      <c r="M99" s="13">
        <v>-0.12391348470540964</v>
      </c>
      <c r="N99" s="13">
        <v>-0.15422787051759379</v>
      </c>
      <c r="O99" s="13">
        <v>-0.16244776240798053</v>
      </c>
      <c r="P99" s="13">
        <v>-0.17522362756216614</v>
      </c>
      <c r="Q99" s="13">
        <v>-0.2072238132587243</v>
      </c>
      <c r="R99" s="13">
        <v>-0.26837116092134405</v>
      </c>
      <c r="S99" s="13">
        <v>-0.34915466868366696</v>
      </c>
      <c r="T99" s="13">
        <v>-0.2788738302314534</v>
      </c>
      <c r="U99" s="13">
        <v>-0.18496969584662426</v>
      </c>
      <c r="V99" s="13">
        <v>-0.13994152143076677</v>
      </c>
      <c r="W99" s="13">
        <v>-0.12696059977527796</v>
      </c>
      <c r="X99" s="13">
        <v>-0.12354752072049147</v>
      </c>
      <c r="Y99" s="13">
        <v>-8.1221495152391965E-2</v>
      </c>
      <c r="Z99" s="13">
        <v>-4.4620730229725236E-2</v>
      </c>
      <c r="AA99" s="13">
        <v>-2.6021904603119261E-2</v>
      </c>
      <c r="AB99" s="13">
        <v>-1.7353885564333593E-2</v>
      </c>
      <c r="AC99" s="13">
        <v>-1.3539644012998342E-2</v>
      </c>
      <c r="AD99" s="13">
        <v>-1.3363949728436797E-2</v>
      </c>
      <c r="AE99" s="13">
        <v>-1.4959135565705606E-2</v>
      </c>
      <c r="AF99" s="13">
        <v>-1.6771020258953273E-2</v>
      </c>
      <c r="AG99" s="13">
        <v>-1.8580542626411511E-2</v>
      </c>
      <c r="AH99" s="13">
        <v>-1.9745346765489225E-2</v>
      </c>
      <c r="AI99" s="13">
        <v>-1.9256011759717806E-2</v>
      </c>
      <c r="AJ99" s="13">
        <v>-1.8897771478850744E-2</v>
      </c>
      <c r="AK99" s="13">
        <v>-1.8905678645384616E-2</v>
      </c>
      <c r="AL99" s="13">
        <v>-1.9189330947657401E-2</v>
      </c>
    </row>
    <row r="100" spans="2:38" x14ac:dyDescent="0.35">
      <c r="C100" s="3"/>
      <c r="D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2:38" x14ac:dyDescent="0.35">
      <c r="C101" s="3" t="s">
        <v>69</v>
      </c>
      <c r="D101" s="3">
        <v>0.44325896572860601</v>
      </c>
      <c r="E101">
        <v>1.82264336059064</v>
      </c>
      <c r="F101">
        <v>1.9324681228636051</v>
      </c>
      <c r="G101">
        <v>1.7407126787017702</v>
      </c>
      <c r="H101" s="3">
        <v>0.73285164517587154</v>
      </c>
      <c r="I101" s="3">
        <v>1.1456648930907241</v>
      </c>
      <c r="J101" s="3">
        <v>2.2341012954711896</v>
      </c>
      <c r="K101" s="3">
        <v>2.6852780580520599</v>
      </c>
      <c r="L101" s="3">
        <v>3.3465504646301101</v>
      </c>
      <c r="M101" s="3">
        <v>3.7643806934356601</v>
      </c>
      <c r="N101" s="3">
        <v>3.6611979603767297</v>
      </c>
      <c r="O101" s="3">
        <v>3.3044481873512197</v>
      </c>
      <c r="P101" s="3">
        <v>3.0203108191490102</v>
      </c>
      <c r="Q101" s="3">
        <v>2.8098181486129699</v>
      </c>
      <c r="R101" s="3">
        <v>2.65215981006622</v>
      </c>
      <c r="S101" s="3">
        <v>2.6289561390876721</v>
      </c>
      <c r="T101" s="3">
        <v>2.6599038839340103</v>
      </c>
      <c r="U101" s="3">
        <v>2.6224515438079701</v>
      </c>
      <c r="V101" s="3">
        <v>2.5631678700447083</v>
      </c>
      <c r="W101" s="3">
        <v>2.492345631122582</v>
      </c>
      <c r="X101" s="3">
        <v>2.408634781837462</v>
      </c>
      <c r="Y101" s="3">
        <v>2.3100021481513968</v>
      </c>
      <c r="Z101" s="3">
        <v>2.2022635340690533</v>
      </c>
      <c r="AA101" s="3">
        <v>2.0911871790885836</v>
      </c>
      <c r="AB101" s="3">
        <v>1.985545188188544</v>
      </c>
      <c r="AC101" s="3">
        <v>1.9865233302116332</v>
      </c>
      <c r="AD101" s="3">
        <v>2.0187072753906161</v>
      </c>
      <c r="AE101" s="3">
        <v>1.9868454039096759</v>
      </c>
      <c r="AF101" s="3">
        <v>1.9309321343898729</v>
      </c>
      <c r="AG101" s="3">
        <v>1.862739711999891</v>
      </c>
      <c r="AH101" s="3">
        <v>1.8112253844737944</v>
      </c>
      <c r="AI101" s="3">
        <v>1.7615911960601791</v>
      </c>
      <c r="AJ101" s="3">
        <v>1.689413398504253</v>
      </c>
      <c r="AK101" s="3">
        <v>1.6071266233920971</v>
      </c>
      <c r="AL101" s="3">
        <v>1.513379007577895</v>
      </c>
    </row>
    <row r="102" spans="2:38" x14ac:dyDescent="0.35">
      <c r="C102" s="3" t="s">
        <v>93</v>
      </c>
      <c r="D102" s="3">
        <v>2.6879363996382466E-2</v>
      </c>
      <c r="E102">
        <v>2.6879363996382466E-2</v>
      </c>
      <c r="F102">
        <v>2.6879363996382466E-2</v>
      </c>
      <c r="G102">
        <v>2.6879363996382466E-2</v>
      </c>
      <c r="H102" s="3">
        <v>2.6879363996382688E-2</v>
      </c>
      <c r="I102" s="3">
        <v>2.8984848967919197E-2</v>
      </c>
      <c r="J102" s="3">
        <v>2.8984848967919197E-2</v>
      </c>
      <c r="K102" s="3">
        <v>2.8984848967919197E-2</v>
      </c>
      <c r="L102" s="3">
        <v>2.8984848967919197E-2</v>
      </c>
      <c r="M102" s="3">
        <v>2.8984848967919419E-2</v>
      </c>
      <c r="N102" s="3">
        <v>2.7850301389506837E-2</v>
      </c>
      <c r="O102" s="3">
        <v>2.7850301389506837E-2</v>
      </c>
      <c r="P102" s="3">
        <v>2.7850301389506837E-2</v>
      </c>
      <c r="Q102" s="3">
        <v>2.7850301389506837E-2</v>
      </c>
      <c r="R102" s="3">
        <v>2.7850301389507282E-2</v>
      </c>
      <c r="S102" s="3">
        <v>2.5924255140356234E-2</v>
      </c>
      <c r="T102" s="3">
        <v>2.5924255140356234E-2</v>
      </c>
      <c r="U102" s="3">
        <v>2.5924255140356234E-2</v>
      </c>
      <c r="V102" s="3">
        <v>2.5924255140356234E-2</v>
      </c>
      <c r="W102" s="3">
        <v>2.5924255140356012E-2</v>
      </c>
      <c r="X102" s="3">
        <v>2.2960927806794595E-2</v>
      </c>
      <c r="Y102" s="3">
        <v>2.2960927806794595E-2</v>
      </c>
      <c r="Z102" s="3">
        <v>2.2960927806794595E-2</v>
      </c>
      <c r="AA102" s="3">
        <v>2.2960927806794595E-2</v>
      </c>
      <c r="AB102" s="3">
        <v>2.2960927806794595E-2</v>
      </c>
      <c r="AC102" s="3">
        <v>2.0327726783895717E-2</v>
      </c>
      <c r="AD102" s="3">
        <v>2.0327726783895717E-2</v>
      </c>
      <c r="AE102" s="3">
        <v>2.0327726783895717E-2</v>
      </c>
      <c r="AF102" s="3">
        <v>2.0327726783895717E-2</v>
      </c>
      <c r="AG102" s="3">
        <v>2.0327726783895939E-2</v>
      </c>
      <c r="AH102" s="3">
        <v>1.9569079100242748E-2</v>
      </c>
      <c r="AI102" s="3">
        <v>1.9569079100242748E-2</v>
      </c>
      <c r="AJ102" s="3">
        <v>1.9569079100242748E-2</v>
      </c>
      <c r="AK102" s="3">
        <v>1.9569079100242748E-2</v>
      </c>
      <c r="AL102" s="3">
        <v>1.9569079100242526E-2</v>
      </c>
    </row>
    <row r="103" spans="2:38" x14ac:dyDescent="0.35">
      <c r="C103" s="3"/>
      <c r="D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2:38" x14ac:dyDescent="0.35">
      <c r="C104" s="3"/>
      <c r="D104" s="3"/>
      <c r="E104" s="3"/>
      <c r="F104" s="3"/>
      <c r="G104" s="3"/>
      <c r="H104" s="3"/>
      <c r="I104" s="3"/>
      <c r="J104" s="14">
        <v>0.49350148545069117</v>
      </c>
      <c r="K104" s="14">
        <v>0.49350148545069117</v>
      </c>
      <c r="L104" s="14">
        <v>0.49350148545069095</v>
      </c>
      <c r="M104" s="14">
        <v>0.49350148545069139</v>
      </c>
      <c r="N104" s="14">
        <v>5.9233708122113482E-2</v>
      </c>
      <c r="O104" s="14">
        <v>5.9233708122113482E-2</v>
      </c>
      <c r="P104" s="14">
        <v>5.9233708122113482E-2</v>
      </c>
      <c r="Q104" s="14">
        <v>5.9233708122113482E-2</v>
      </c>
      <c r="R104" s="14">
        <v>5.9233708122113704E-2</v>
      </c>
      <c r="S104" s="14">
        <v>8.2616122022804772E-2</v>
      </c>
      <c r="T104" s="14">
        <v>8.2616122022804772E-2</v>
      </c>
      <c r="U104" s="14">
        <v>8.2616122022804772E-2</v>
      </c>
      <c r="V104" s="14">
        <v>8.2616122022804772E-2</v>
      </c>
      <c r="W104" s="14">
        <v>8.261612202280455E-2</v>
      </c>
      <c r="X104" s="14">
        <v>5.8310241025137266E-2</v>
      </c>
      <c r="Y104" s="14">
        <v>5.8310241025137266E-2</v>
      </c>
      <c r="Z104" s="14">
        <v>5.8310241025137266E-2</v>
      </c>
      <c r="AA104" s="14">
        <v>5.8310241025137266E-2</v>
      </c>
      <c r="AB104" s="14">
        <v>5.831024102513771E-2</v>
      </c>
      <c r="AC104" s="14">
        <v>4.509595561950186E-2</v>
      </c>
      <c r="AD104" s="14">
        <v>4.509595561950186E-2</v>
      </c>
      <c r="AE104" s="14">
        <v>4.509595561950186E-2</v>
      </c>
      <c r="AF104" s="14">
        <v>4.509595561950186E-2</v>
      </c>
      <c r="AG104" s="14">
        <v>4.5095955619502304E-2</v>
      </c>
      <c r="AH104" s="14">
        <v>3.6777519679261239E-2</v>
      </c>
      <c r="AI104" s="14">
        <v>3.6777519679261239E-2</v>
      </c>
      <c r="AJ104" s="14">
        <v>3.6777519679261239E-2</v>
      </c>
      <c r="AK104" s="14">
        <v>3.6777519679261239E-2</v>
      </c>
      <c r="AL104" s="14">
        <v>3.6777519679261461E-2</v>
      </c>
    </row>
    <row r="105" spans="2:38" x14ac:dyDescent="0.3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2:38" x14ac:dyDescent="0.35">
      <c r="B106" s="6" t="s">
        <v>40</v>
      </c>
      <c r="C106" s="3"/>
      <c r="D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2:38" x14ac:dyDescent="0.35">
      <c r="B107" s="7"/>
      <c r="C107" s="8">
        <v>2020</v>
      </c>
      <c r="D107" s="8">
        <v>2030</v>
      </c>
      <c r="E107" s="8">
        <v>2050</v>
      </c>
    </row>
    <row r="108" spans="2:38" x14ac:dyDescent="0.35">
      <c r="B108" s="7" t="s">
        <v>41</v>
      </c>
      <c r="C108" s="7">
        <v>20</v>
      </c>
      <c r="D108" s="7">
        <v>100</v>
      </c>
      <c r="E108" s="7">
        <v>500</v>
      </c>
    </row>
    <row r="139" spans="4:143" x14ac:dyDescent="0.35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24"/>
  <sheetViews>
    <sheetView topLeftCell="A4" workbookViewId="0"/>
  </sheetViews>
  <sheetFormatPr baseColWidth="10" defaultRowHeight="14.5" x14ac:dyDescent="0.35"/>
  <sheetData>
    <row r="1" spans="2:38" x14ac:dyDescent="0.35"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2:38" x14ac:dyDescent="0.35">
      <c r="B2" t="s">
        <v>70</v>
      </c>
      <c r="C2">
        <v>1</v>
      </c>
      <c r="D2" s="10">
        <f t="shared" ref="D2:AL9" si="0">C2*(1+D$78)</f>
        <v>1</v>
      </c>
      <c r="E2" s="10">
        <f t="shared" si="0"/>
        <v>1</v>
      </c>
      <c r="F2" s="10">
        <f t="shared" si="0"/>
        <v>1</v>
      </c>
      <c r="G2" s="10">
        <f t="shared" si="0"/>
        <v>1</v>
      </c>
      <c r="H2" s="10">
        <f t="shared" si="0"/>
        <v>1</v>
      </c>
      <c r="I2" s="10">
        <f t="shared" si="0"/>
        <v>1</v>
      </c>
      <c r="J2" s="10">
        <f t="shared" si="0"/>
        <v>1</v>
      </c>
      <c r="K2" s="10">
        <f t="shared" si="0"/>
        <v>1</v>
      </c>
      <c r="L2" s="10">
        <f t="shared" si="0"/>
        <v>1</v>
      </c>
      <c r="M2" s="10">
        <f t="shared" si="0"/>
        <v>1</v>
      </c>
      <c r="N2" s="10">
        <f t="shared" si="0"/>
        <v>1</v>
      </c>
      <c r="O2" s="10">
        <f t="shared" si="0"/>
        <v>1</v>
      </c>
      <c r="P2" s="10">
        <f t="shared" si="0"/>
        <v>1</v>
      </c>
      <c r="Q2" s="10">
        <f t="shared" si="0"/>
        <v>1</v>
      </c>
      <c r="R2" s="10">
        <f t="shared" si="0"/>
        <v>1</v>
      </c>
      <c r="S2" s="10">
        <f t="shared" si="0"/>
        <v>1</v>
      </c>
      <c r="T2" s="10">
        <f t="shared" si="0"/>
        <v>1</v>
      </c>
      <c r="U2" s="10">
        <f t="shared" si="0"/>
        <v>1</v>
      </c>
      <c r="V2" s="10">
        <f t="shared" si="0"/>
        <v>1</v>
      </c>
      <c r="W2" s="10">
        <f t="shared" si="0"/>
        <v>1</v>
      </c>
      <c r="X2" s="10">
        <f t="shared" si="0"/>
        <v>1</v>
      </c>
      <c r="Y2" s="10">
        <f t="shared" si="0"/>
        <v>1</v>
      </c>
      <c r="Z2" s="10">
        <f t="shared" si="0"/>
        <v>1</v>
      </c>
      <c r="AA2" s="10">
        <f t="shared" si="0"/>
        <v>1</v>
      </c>
      <c r="AB2" s="10">
        <f t="shared" si="0"/>
        <v>1</v>
      </c>
      <c r="AC2" s="10">
        <f t="shared" si="0"/>
        <v>1</v>
      </c>
      <c r="AD2" s="10">
        <f t="shared" si="0"/>
        <v>1</v>
      </c>
      <c r="AE2" s="10">
        <f t="shared" si="0"/>
        <v>1</v>
      </c>
      <c r="AF2" s="10">
        <f t="shared" si="0"/>
        <v>1</v>
      </c>
      <c r="AG2" s="10">
        <f t="shared" si="0"/>
        <v>1</v>
      </c>
      <c r="AH2" s="10">
        <f t="shared" si="0"/>
        <v>1</v>
      </c>
      <c r="AI2" s="10">
        <f t="shared" si="0"/>
        <v>1</v>
      </c>
      <c r="AJ2" s="10">
        <f t="shared" si="0"/>
        <v>1</v>
      </c>
      <c r="AK2" s="10">
        <f t="shared" si="0"/>
        <v>1</v>
      </c>
      <c r="AL2" s="10">
        <f t="shared" si="0"/>
        <v>1</v>
      </c>
    </row>
    <row r="3" spans="2:38" x14ac:dyDescent="0.35">
      <c r="B3" t="s">
        <v>71</v>
      </c>
      <c r="C3">
        <v>1</v>
      </c>
      <c r="D3" s="10">
        <f t="shared" si="0"/>
        <v>1</v>
      </c>
      <c r="E3" s="10">
        <f t="shared" si="0"/>
        <v>1</v>
      </c>
      <c r="F3" s="10">
        <f t="shared" si="0"/>
        <v>1</v>
      </c>
      <c r="G3" s="10">
        <f t="shared" si="0"/>
        <v>1</v>
      </c>
      <c r="H3" s="10">
        <f t="shared" si="0"/>
        <v>1</v>
      </c>
      <c r="I3" s="10">
        <f t="shared" si="0"/>
        <v>1</v>
      </c>
      <c r="J3" s="10">
        <f t="shared" si="0"/>
        <v>1</v>
      </c>
      <c r="K3" s="10">
        <f t="shared" si="0"/>
        <v>1</v>
      </c>
      <c r="L3" s="10">
        <f t="shared" si="0"/>
        <v>1</v>
      </c>
      <c r="M3" s="10">
        <f t="shared" si="0"/>
        <v>1</v>
      </c>
      <c r="N3" s="10">
        <f t="shared" si="0"/>
        <v>1</v>
      </c>
      <c r="O3" s="10">
        <f t="shared" si="0"/>
        <v>1</v>
      </c>
      <c r="P3" s="10">
        <f t="shared" si="0"/>
        <v>1</v>
      </c>
      <c r="Q3" s="10">
        <f t="shared" si="0"/>
        <v>1</v>
      </c>
      <c r="R3" s="10">
        <f t="shared" si="0"/>
        <v>1</v>
      </c>
      <c r="S3" s="10">
        <f t="shared" si="0"/>
        <v>1</v>
      </c>
      <c r="T3" s="10">
        <f t="shared" si="0"/>
        <v>1</v>
      </c>
      <c r="U3" s="10">
        <f t="shared" si="0"/>
        <v>1</v>
      </c>
      <c r="V3" s="10">
        <f t="shared" si="0"/>
        <v>1</v>
      </c>
      <c r="W3" s="10">
        <f t="shared" si="0"/>
        <v>1</v>
      </c>
      <c r="X3" s="10">
        <f t="shared" si="0"/>
        <v>1</v>
      </c>
      <c r="Y3" s="10">
        <f t="shared" si="0"/>
        <v>1</v>
      </c>
      <c r="Z3" s="10">
        <f t="shared" si="0"/>
        <v>1</v>
      </c>
      <c r="AA3" s="10">
        <f t="shared" si="0"/>
        <v>1</v>
      </c>
      <c r="AB3" s="10">
        <f t="shared" si="0"/>
        <v>1</v>
      </c>
      <c r="AC3" s="10">
        <f t="shared" si="0"/>
        <v>1</v>
      </c>
      <c r="AD3" s="10">
        <f t="shared" si="0"/>
        <v>1</v>
      </c>
      <c r="AE3" s="10">
        <f t="shared" si="0"/>
        <v>1</v>
      </c>
      <c r="AF3" s="10">
        <f t="shared" si="0"/>
        <v>1</v>
      </c>
      <c r="AG3" s="10">
        <f t="shared" si="0"/>
        <v>1</v>
      </c>
      <c r="AH3" s="10">
        <f t="shared" si="0"/>
        <v>1</v>
      </c>
      <c r="AI3" s="10">
        <f t="shared" si="0"/>
        <v>1</v>
      </c>
      <c r="AJ3" s="10">
        <f t="shared" si="0"/>
        <v>1</v>
      </c>
      <c r="AK3" s="10">
        <f t="shared" si="0"/>
        <v>1</v>
      </c>
      <c r="AL3" s="10">
        <f t="shared" si="0"/>
        <v>1</v>
      </c>
    </row>
    <row r="4" spans="2:38" x14ac:dyDescent="0.35">
      <c r="B4" t="s">
        <v>72</v>
      </c>
      <c r="C4">
        <v>1</v>
      </c>
      <c r="D4" s="10">
        <f t="shared" si="0"/>
        <v>1</v>
      </c>
      <c r="E4" s="10">
        <f t="shared" si="0"/>
        <v>1</v>
      </c>
      <c r="F4" s="10">
        <f t="shared" si="0"/>
        <v>1</v>
      </c>
      <c r="G4" s="10">
        <f t="shared" si="0"/>
        <v>1</v>
      </c>
      <c r="H4" s="10">
        <f t="shared" si="0"/>
        <v>1</v>
      </c>
      <c r="I4" s="10">
        <f t="shared" si="0"/>
        <v>1</v>
      </c>
      <c r="J4" s="10">
        <f t="shared" si="0"/>
        <v>1</v>
      </c>
      <c r="K4" s="10">
        <f t="shared" si="0"/>
        <v>1</v>
      </c>
      <c r="L4" s="10">
        <f t="shared" si="0"/>
        <v>1</v>
      </c>
      <c r="M4" s="10">
        <f t="shared" si="0"/>
        <v>1</v>
      </c>
      <c r="N4" s="10">
        <f t="shared" si="0"/>
        <v>1</v>
      </c>
      <c r="O4" s="10">
        <f t="shared" si="0"/>
        <v>1</v>
      </c>
      <c r="P4" s="10">
        <f t="shared" si="0"/>
        <v>1</v>
      </c>
      <c r="Q4" s="10">
        <f t="shared" si="0"/>
        <v>1</v>
      </c>
      <c r="R4" s="10">
        <f t="shared" si="0"/>
        <v>1</v>
      </c>
      <c r="S4" s="10">
        <f t="shared" si="0"/>
        <v>1</v>
      </c>
      <c r="T4" s="10">
        <f t="shared" si="0"/>
        <v>1</v>
      </c>
      <c r="U4" s="10">
        <f t="shared" si="0"/>
        <v>1</v>
      </c>
      <c r="V4" s="10">
        <f t="shared" si="0"/>
        <v>1</v>
      </c>
      <c r="W4" s="10">
        <f t="shared" si="0"/>
        <v>1</v>
      </c>
      <c r="X4" s="10">
        <f t="shared" si="0"/>
        <v>1</v>
      </c>
      <c r="Y4" s="10">
        <f t="shared" si="0"/>
        <v>1</v>
      </c>
      <c r="Z4" s="10">
        <f t="shared" si="0"/>
        <v>1</v>
      </c>
      <c r="AA4" s="10">
        <f t="shared" si="0"/>
        <v>1</v>
      </c>
      <c r="AB4" s="10">
        <f t="shared" si="0"/>
        <v>1</v>
      </c>
      <c r="AC4" s="10">
        <f t="shared" si="0"/>
        <v>1</v>
      </c>
      <c r="AD4" s="10">
        <f t="shared" si="0"/>
        <v>1</v>
      </c>
      <c r="AE4" s="10">
        <f t="shared" si="0"/>
        <v>1</v>
      </c>
      <c r="AF4" s="10">
        <f t="shared" si="0"/>
        <v>1</v>
      </c>
      <c r="AG4" s="10">
        <f t="shared" si="0"/>
        <v>1</v>
      </c>
      <c r="AH4" s="10">
        <f t="shared" si="0"/>
        <v>1</v>
      </c>
      <c r="AI4" s="10">
        <f t="shared" si="0"/>
        <v>1</v>
      </c>
      <c r="AJ4" s="10">
        <f t="shared" si="0"/>
        <v>1</v>
      </c>
      <c r="AK4" s="10">
        <f t="shared" si="0"/>
        <v>1</v>
      </c>
      <c r="AL4" s="10">
        <f t="shared" si="0"/>
        <v>1</v>
      </c>
    </row>
    <row r="5" spans="2:38" x14ac:dyDescent="0.35">
      <c r="B5" t="s">
        <v>73</v>
      </c>
      <c r="C5">
        <v>1</v>
      </c>
      <c r="D5" s="10">
        <f t="shared" si="0"/>
        <v>1</v>
      </c>
      <c r="E5" s="10">
        <f t="shared" si="0"/>
        <v>1</v>
      </c>
      <c r="F5" s="10">
        <f t="shared" si="0"/>
        <v>1</v>
      </c>
      <c r="G5" s="10">
        <f t="shared" si="0"/>
        <v>1</v>
      </c>
      <c r="H5" s="10">
        <f t="shared" si="0"/>
        <v>1</v>
      </c>
      <c r="I5" s="10">
        <f t="shared" si="0"/>
        <v>1</v>
      </c>
      <c r="J5" s="10">
        <f t="shared" si="0"/>
        <v>1</v>
      </c>
      <c r="K5" s="10">
        <f t="shared" si="0"/>
        <v>1</v>
      </c>
      <c r="L5" s="10">
        <f t="shared" si="0"/>
        <v>1</v>
      </c>
      <c r="M5" s="10">
        <f t="shared" si="0"/>
        <v>1</v>
      </c>
      <c r="N5" s="10">
        <f t="shared" si="0"/>
        <v>1</v>
      </c>
      <c r="O5" s="10">
        <f t="shared" si="0"/>
        <v>1</v>
      </c>
      <c r="P5" s="10">
        <f t="shared" si="0"/>
        <v>1</v>
      </c>
      <c r="Q5" s="10">
        <f t="shared" si="0"/>
        <v>1</v>
      </c>
      <c r="R5" s="10">
        <f t="shared" si="0"/>
        <v>1</v>
      </c>
      <c r="S5" s="10">
        <f t="shared" si="0"/>
        <v>1</v>
      </c>
      <c r="T5" s="10">
        <f t="shared" si="0"/>
        <v>1</v>
      </c>
      <c r="U5" s="10">
        <f t="shared" si="0"/>
        <v>1</v>
      </c>
      <c r="V5" s="10">
        <f t="shared" si="0"/>
        <v>1</v>
      </c>
      <c r="W5" s="10">
        <f t="shared" si="0"/>
        <v>1</v>
      </c>
      <c r="X5" s="10">
        <f t="shared" si="0"/>
        <v>1</v>
      </c>
      <c r="Y5" s="10">
        <f t="shared" si="0"/>
        <v>1</v>
      </c>
      <c r="Z5" s="10">
        <f t="shared" si="0"/>
        <v>1</v>
      </c>
      <c r="AA5" s="10">
        <f t="shared" si="0"/>
        <v>1</v>
      </c>
      <c r="AB5" s="10">
        <f t="shared" si="0"/>
        <v>1</v>
      </c>
      <c r="AC5" s="10">
        <f t="shared" si="0"/>
        <v>1</v>
      </c>
      <c r="AD5" s="10">
        <f t="shared" si="0"/>
        <v>1</v>
      </c>
      <c r="AE5" s="10">
        <f t="shared" si="0"/>
        <v>1</v>
      </c>
      <c r="AF5" s="10">
        <f t="shared" si="0"/>
        <v>1</v>
      </c>
      <c r="AG5" s="10">
        <f t="shared" si="0"/>
        <v>1</v>
      </c>
      <c r="AH5" s="10">
        <f t="shared" si="0"/>
        <v>1</v>
      </c>
      <c r="AI5" s="10">
        <f t="shared" si="0"/>
        <v>1</v>
      </c>
      <c r="AJ5" s="10">
        <f t="shared" si="0"/>
        <v>1</v>
      </c>
      <c r="AK5" s="10">
        <f t="shared" si="0"/>
        <v>1</v>
      </c>
      <c r="AL5" s="10">
        <f t="shared" si="0"/>
        <v>1</v>
      </c>
    </row>
    <row r="6" spans="2:38" x14ac:dyDescent="0.35">
      <c r="B6" t="s">
        <v>74</v>
      </c>
      <c r="C6">
        <v>1</v>
      </c>
      <c r="D6" s="10">
        <f t="shared" si="0"/>
        <v>1</v>
      </c>
      <c r="E6" s="10">
        <f t="shared" si="0"/>
        <v>1</v>
      </c>
      <c r="F6" s="10">
        <f t="shared" si="0"/>
        <v>1</v>
      </c>
      <c r="G6" s="10">
        <f t="shared" si="0"/>
        <v>1</v>
      </c>
      <c r="H6" s="10">
        <f t="shared" si="0"/>
        <v>1</v>
      </c>
      <c r="I6" s="10">
        <f t="shared" si="0"/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  <c r="Q6" s="10">
        <f t="shared" si="0"/>
        <v>1</v>
      </c>
      <c r="R6" s="10">
        <f t="shared" si="0"/>
        <v>1</v>
      </c>
      <c r="S6" s="10">
        <f t="shared" si="0"/>
        <v>1</v>
      </c>
      <c r="T6" s="10">
        <f t="shared" si="0"/>
        <v>1</v>
      </c>
      <c r="U6" s="10">
        <f t="shared" si="0"/>
        <v>1</v>
      </c>
      <c r="V6" s="10">
        <f t="shared" si="0"/>
        <v>1</v>
      </c>
      <c r="W6" s="10">
        <f t="shared" si="0"/>
        <v>1</v>
      </c>
      <c r="X6" s="10">
        <f t="shared" si="0"/>
        <v>1</v>
      </c>
      <c r="Y6" s="10">
        <f t="shared" si="0"/>
        <v>1</v>
      </c>
      <c r="Z6" s="10">
        <f t="shared" si="0"/>
        <v>1</v>
      </c>
      <c r="AA6" s="10">
        <f t="shared" si="0"/>
        <v>1</v>
      </c>
      <c r="AB6" s="10">
        <f t="shared" si="0"/>
        <v>1</v>
      </c>
      <c r="AC6" s="10">
        <f t="shared" si="0"/>
        <v>1</v>
      </c>
      <c r="AD6" s="10">
        <f t="shared" si="0"/>
        <v>1</v>
      </c>
      <c r="AE6" s="10">
        <f t="shared" si="0"/>
        <v>1</v>
      </c>
      <c r="AF6" s="10">
        <f t="shared" si="0"/>
        <v>1</v>
      </c>
      <c r="AG6" s="10">
        <f t="shared" si="0"/>
        <v>1</v>
      </c>
      <c r="AH6" s="10">
        <f t="shared" si="0"/>
        <v>1</v>
      </c>
      <c r="AI6" s="10">
        <f t="shared" si="0"/>
        <v>1</v>
      </c>
      <c r="AJ6" s="10">
        <f t="shared" si="0"/>
        <v>1</v>
      </c>
      <c r="AK6" s="10">
        <f t="shared" si="0"/>
        <v>1</v>
      </c>
      <c r="AL6" s="10">
        <f t="shared" si="0"/>
        <v>1</v>
      </c>
    </row>
    <row r="7" spans="2:38" x14ac:dyDescent="0.35">
      <c r="B7" t="s">
        <v>75</v>
      </c>
      <c r="C7">
        <v>1</v>
      </c>
      <c r="D7" s="10">
        <f t="shared" si="0"/>
        <v>1</v>
      </c>
      <c r="E7" s="10">
        <f t="shared" si="0"/>
        <v>1</v>
      </c>
      <c r="F7" s="10">
        <f t="shared" si="0"/>
        <v>1</v>
      </c>
      <c r="G7" s="10">
        <f t="shared" si="0"/>
        <v>1</v>
      </c>
      <c r="H7" s="10">
        <f t="shared" si="0"/>
        <v>1</v>
      </c>
      <c r="I7" s="10">
        <f t="shared" si="0"/>
        <v>1</v>
      </c>
      <c r="J7" s="10">
        <f t="shared" si="0"/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  <c r="Q7" s="10">
        <f t="shared" si="0"/>
        <v>1</v>
      </c>
      <c r="R7" s="10">
        <f t="shared" si="0"/>
        <v>1</v>
      </c>
      <c r="S7" s="10">
        <f t="shared" si="0"/>
        <v>1</v>
      </c>
      <c r="T7" s="10">
        <f t="shared" si="0"/>
        <v>1</v>
      </c>
      <c r="U7" s="10">
        <f t="shared" si="0"/>
        <v>1</v>
      </c>
      <c r="V7" s="10">
        <f t="shared" si="0"/>
        <v>1</v>
      </c>
      <c r="W7" s="10">
        <f t="shared" si="0"/>
        <v>1</v>
      </c>
      <c r="X7" s="10">
        <f t="shared" si="0"/>
        <v>1</v>
      </c>
      <c r="Y7" s="10">
        <f t="shared" si="0"/>
        <v>1</v>
      </c>
      <c r="Z7" s="10">
        <f t="shared" si="0"/>
        <v>1</v>
      </c>
      <c r="AA7" s="10">
        <f t="shared" si="0"/>
        <v>1</v>
      </c>
      <c r="AB7" s="10">
        <f t="shared" si="0"/>
        <v>1</v>
      </c>
      <c r="AC7" s="10">
        <f t="shared" si="0"/>
        <v>1</v>
      </c>
      <c r="AD7" s="10">
        <f t="shared" si="0"/>
        <v>1</v>
      </c>
      <c r="AE7" s="10">
        <f t="shared" si="0"/>
        <v>1</v>
      </c>
      <c r="AF7" s="10">
        <f t="shared" si="0"/>
        <v>1</v>
      </c>
      <c r="AG7" s="10">
        <f t="shared" si="0"/>
        <v>1</v>
      </c>
      <c r="AH7" s="10">
        <f t="shared" si="0"/>
        <v>1</v>
      </c>
      <c r="AI7" s="10">
        <f t="shared" si="0"/>
        <v>1</v>
      </c>
      <c r="AJ7" s="10">
        <f t="shared" si="0"/>
        <v>1</v>
      </c>
      <c r="AK7" s="10">
        <f t="shared" si="0"/>
        <v>1</v>
      </c>
      <c r="AL7" s="10">
        <f t="shared" si="0"/>
        <v>1</v>
      </c>
    </row>
    <row r="8" spans="2:38" x14ac:dyDescent="0.35">
      <c r="B8" t="s">
        <v>76</v>
      </c>
      <c r="C8">
        <v>1</v>
      </c>
      <c r="D8" s="10">
        <f t="shared" si="0"/>
        <v>1</v>
      </c>
      <c r="E8" s="10">
        <f t="shared" si="0"/>
        <v>1</v>
      </c>
      <c r="F8" s="10">
        <f t="shared" si="0"/>
        <v>1</v>
      </c>
      <c r="G8" s="10">
        <f t="shared" si="0"/>
        <v>1</v>
      </c>
      <c r="H8" s="10">
        <f t="shared" si="0"/>
        <v>1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0">
        <f t="shared" si="0"/>
        <v>1</v>
      </c>
      <c r="M8" s="10">
        <f t="shared" si="0"/>
        <v>1</v>
      </c>
      <c r="N8" s="10">
        <f t="shared" si="0"/>
        <v>1</v>
      </c>
      <c r="O8" s="10">
        <f t="shared" si="0"/>
        <v>1</v>
      </c>
      <c r="P8" s="10">
        <f t="shared" si="0"/>
        <v>1</v>
      </c>
      <c r="Q8" s="10">
        <f t="shared" si="0"/>
        <v>1</v>
      </c>
      <c r="R8" s="10">
        <f t="shared" si="0"/>
        <v>1</v>
      </c>
      <c r="S8" s="10">
        <f t="shared" si="0"/>
        <v>1</v>
      </c>
      <c r="T8" s="10">
        <f t="shared" si="0"/>
        <v>1</v>
      </c>
      <c r="U8" s="10">
        <f t="shared" si="0"/>
        <v>1</v>
      </c>
      <c r="V8" s="10">
        <f t="shared" si="0"/>
        <v>1</v>
      </c>
      <c r="W8" s="10">
        <f t="shared" si="0"/>
        <v>1</v>
      </c>
      <c r="X8" s="10">
        <f t="shared" si="0"/>
        <v>1</v>
      </c>
      <c r="Y8" s="10">
        <f t="shared" si="0"/>
        <v>1</v>
      </c>
      <c r="Z8" s="10">
        <f t="shared" si="0"/>
        <v>1</v>
      </c>
      <c r="AA8" s="10">
        <f t="shared" si="0"/>
        <v>1</v>
      </c>
      <c r="AB8" s="10">
        <f t="shared" si="0"/>
        <v>1</v>
      </c>
      <c r="AC8" s="10">
        <f t="shared" si="0"/>
        <v>1</v>
      </c>
      <c r="AD8" s="10">
        <f t="shared" si="0"/>
        <v>1</v>
      </c>
      <c r="AE8" s="10">
        <f t="shared" si="0"/>
        <v>1</v>
      </c>
      <c r="AF8" s="10">
        <f t="shared" si="0"/>
        <v>1</v>
      </c>
      <c r="AG8" s="10">
        <f t="shared" si="0"/>
        <v>1</v>
      </c>
      <c r="AH8" s="10">
        <f t="shared" si="0"/>
        <v>1</v>
      </c>
      <c r="AI8" s="10">
        <f t="shared" si="0"/>
        <v>1</v>
      </c>
      <c r="AJ8" s="10">
        <f t="shared" si="0"/>
        <v>1</v>
      </c>
      <c r="AK8" s="10">
        <f t="shared" si="0"/>
        <v>1</v>
      </c>
      <c r="AL8" s="10">
        <f t="shared" si="0"/>
        <v>1</v>
      </c>
    </row>
    <row r="9" spans="2:38" x14ac:dyDescent="0.35">
      <c r="B9" t="s">
        <v>77</v>
      </c>
      <c r="C9">
        <v>1</v>
      </c>
      <c r="D9" s="10">
        <f t="shared" si="0"/>
        <v>1</v>
      </c>
      <c r="E9" s="10">
        <f t="shared" si="0"/>
        <v>1</v>
      </c>
      <c r="F9" s="10">
        <f t="shared" si="0"/>
        <v>1</v>
      </c>
      <c r="G9" s="10">
        <f t="shared" si="0"/>
        <v>1</v>
      </c>
      <c r="H9" s="10">
        <f t="shared" si="0"/>
        <v>1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0">
        <f t="shared" si="0"/>
        <v>1</v>
      </c>
      <c r="M9" s="10">
        <f t="shared" si="0"/>
        <v>1</v>
      </c>
      <c r="N9" s="10">
        <f t="shared" ref="N9:AL9" si="1">M9*(1+N$78)</f>
        <v>1</v>
      </c>
      <c r="O9" s="10">
        <f t="shared" si="1"/>
        <v>1</v>
      </c>
      <c r="P9" s="10">
        <f t="shared" si="1"/>
        <v>1</v>
      </c>
      <c r="Q9" s="10">
        <f t="shared" si="1"/>
        <v>1</v>
      </c>
      <c r="R9" s="10">
        <f t="shared" si="1"/>
        <v>1</v>
      </c>
      <c r="S9" s="10">
        <f t="shared" si="1"/>
        <v>1</v>
      </c>
      <c r="T9" s="10">
        <f t="shared" si="1"/>
        <v>1</v>
      </c>
      <c r="U9" s="10">
        <f t="shared" si="1"/>
        <v>1</v>
      </c>
      <c r="V9" s="10">
        <f t="shared" si="1"/>
        <v>1</v>
      </c>
      <c r="W9" s="10">
        <f t="shared" si="1"/>
        <v>1</v>
      </c>
      <c r="X9" s="10">
        <f t="shared" si="1"/>
        <v>1</v>
      </c>
      <c r="Y9" s="10">
        <f t="shared" si="1"/>
        <v>1</v>
      </c>
      <c r="Z9" s="10">
        <f t="shared" si="1"/>
        <v>1</v>
      </c>
      <c r="AA9" s="10">
        <f t="shared" si="1"/>
        <v>1</v>
      </c>
      <c r="AB9" s="10">
        <f t="shared" si="1"/>
        <v>1</v>
      </c>
      <c r="AC9" s="10">
        <f t="shared" si="1"/>
        <v>1</v>
      </c>
      <c r="AD9" s="10">
        <f t="shared" si="1"/>
        <v>1</v>
      </c>
      <c r="AE9" s="10">
        <f t="shared" si="1"/>
        <v>1</v>
      </c>
      <c r="AF9" s="10">
        <f t="shared" si="1"/>
        <v>1</v>
      </c>
      <c r="AG9" s="10">
        <f t="shared" si="1"/>
        <v>1</v>
      </c>
      <c r="AH9" s="10">
        <f t="shared" si="1"/>
        <v>1</v>
      </c>
      <c r="AI9" s="10">
        <f t="shared" si="1"/>
        <v>1</v>
      </c>
      <c r="AJ9" s="10">
        <f t="shared" si="1"/>
        <v>1</v>
      </c>
      <c r="AK9" s="10">
        <f t="shared" si="1"/>
        <v>1</v>
      </c>
      <c r="AL9" s="10">
        <f t="shared" si="1"/>
        <v>1</v>
      </c>
    </row>
    <row r="10" spans="2:38" x14ac:dyDescent="0.35">
      <c r="B10" t="s">
        <v>78</v>
      </c>
      <c r="C10">
        <v>1</v>
      </c>
      <c r="D10" s="10">
        <f t="shared" ref="D10:AL17" si="2">C10*(1+D$78)</f>
        <v>1</v>
      </c>
      <c r="E10" s="10">
        <f t="shared" si="2"/>
        <v>1</v>
      </c>
      <c r="F10" s="10">
        <f t="shared" si="2"/>
        <v>1</v>
      </c>
      <c r="G10" s="10">
        <f t="shared" si="2"/>
        <v>1</v>
      </c>
      <c r="H10" s="10">
        <f t="shared" si="2"/>
        <v>1</v>
      </c>
      <c r="I10" s="10">
        <f t="shared" si="2"/>
        <v>1</v>
      </c>
      <c r="J10" s="10">
        <f t="shared" si="2"/>
        <v>1</v>
      </c>
      <c r="K10" s="10">
        <f t="shared" si="2"/>
        <v>1</v>
      </c>
      <c r="L10" s="10">
        <f t="shared" si="2"/>
        <v>1</v>
      </c>
      <c r="M10" s="10">
        <f t="shared" si="2"/>
        <v>1</v>
      </c>
      <c r="N10" s="10">
        <f t="shared" si="2"/>
        <v>1</v>
      </c>
      <c r="O10" s="10">
        <f t="shared" si="2"/>
        <v>1</v>
      </c>
      <c r="P10" s="10">
        <f t="shared" si="2"/>
        <v>1</v>
      </c>
      <c r="Q10" s="10">
        <f t="shared" si="2"/>
        <v>1</v>
      </c>
      <c r="R10" s="10">
        <f t="shared" si="2"/>
        <v>1</v>
      </c>
      <c r="S10" s="10">
        <f t="shared" si="2"/>
        <v>1</v>
      </c>
      <c r="T10" s="10">
        <f t="shared" si="2"/>
        <v>1</v>
      </c>
      <c r="U10" s="10">
        <f t="shared" si="2"/>
        <v>1</v>
      </c>
      <c r="V10" s="10">
        <f t="shared" si="2"/>
        <v>1</v>
      </c>
      <c r="W10" s="10">
        <f t="shared" si="2"/>
        <v>1</v>
      </c>
      <c r="X10" s="10">
        <f t="shared" si="2"/>
        <v>1</v>
      </c>
      <c r="Y10" s="10">
        <f t="shared" si="2"/>
        <v>1</v>
      </c>
      <c r="Z10" s="10">
        <f t="shared" si="2"/>
        <v>1</v>
      </c>
      <c r="AA10" s="10">
        <f t="shared" si="2"/>
        <v>1</v>
      </c>
      <c r="AB10" s="10">
        <f t="shared" si="2"/>
        <v>1</v>
      </c>
      <c r="AC10" s="10">
        <f t="shared" si="2"/>
        <v>1</v>
      </c>
      <c r="AD10" s="10">
        <f t="shared" si="2"/>
        <v>1</v>
      </c>
      <c r="AE10" s="10">
        <f t="shared" si="2"/>
        <v>1</v>
      </c>
      <c r="AF10" s="10">
        <f t="shared" si="2"/>
        <v>1</v>
      </c>
      <c r="AG10" s="10">
        <f t="shared" si="2"/>
        <v>1</v>
      </c>
      <c r="AH10" s="10">
        <f t="shared" si="2"/>
        <v>1</v>
      </c>
      <c r="AI10" s="10">
        <f t="shared" si="2"/>
        <v>1</v>
      </c>
      <c r="AJ10" s="10">
        <f t="shared" si="2"/>
        <v>1</v>
      </c>
      <c r="AK10" s="10">
        <f t="shared" si="2"/>
        <v>1</v>
      </c>
      <c r="AL10" s="10">
        <f t="shared" si="2"/>
        <v>1</v>
      </c>
    </row>
    <row r="11" spans="2:38" x14ac:dyDescent="0.35">
      <c r="B11" t="s">
        <v>79</v>
      </c>
      <c r="C11">
        <v>1</v>
      </c>
      <c r="D11" s="10">
        <f t="shared" si="2"/>
        <v>1</v>
      </c>
      <c r="E11" s="10">
        <f t="shared" si="2"/>
        <v>1</v>
      </c>
      <c r="F11" s="10">
        <f t="shared" si="2"/>
        <v>1</v>
      </c>
      <c r="G11" s="10">
        <f t="shared" si="2"/>
        <v>1</v>
      </c>
      <c r="H11" s="10">
        <f t="shared" si="2"/>
        <v>1</v>
      </c>
      <c r="I11" s="10">
        <f t="shared" si="2"/>
        <v>1</v>
      </c>
      <c r="J11" s="10">
        <f t="shared" si="2"/>
        <v>1</v>
      </c>
      <c r="K11" s="10">
        <f t="shared" si="2"/>
        <v>1</v>
      </c>
      <c r="L11" s="10">
        <f t="shared" si="2"/>
        <v>1</v>
      </c>
      <c r="M11" s="10">
        <f t="shared" si="2"/>
        <v>1</v>
      </c>
      <c r="N11" s="10">
        <f t="shared" si="2"/>
        <v>1</v>
      </c>
      <c r="O11" s="10">
        <f t="shared" si="2"/>
        <v>1</v>
      </c>
      <c r="P11" s="10">
        <f t="shared" si="2"/>
        <v>1</v>
      </c>
      <c r="Q11" s="10">
        <f t="shared" si="2"/>
        <v>1</v>
      </c>
      <c r="R11" s="10">
        <f t="shared" si="2"/>
        <v>1</v>
      </c>
      <c r="S11" s="10">
        <f t="shared" si="2"/>
        <v>1</v>
      </c>
      <c r="T11" s="10">
        <f t="shared" si="2"/>
        <v>1</v>
      </c>
      <c r="U11" s="10">
        <f t="shared" si="2"/>
        <v>1</v>
      </c>
      <c r="V11" s="10">
        <f t="shared" si="2"/>
        <v>1</v>
      </c>
      <c r="W11" s="10">
        <f t="shared" si="2"/>
        <v>1</v>
      </c>
      <c r="X11" s="10">
        <f t="shared" si="2"/>
        <v>1</v>
      </c>
      <c r="Y11" s="10">
        <f t="shared" si="2"/>
        <v>1</v>
      </c>
      <c r="Z11" s="10">
        <f t="shared" si="2"/>
        <v>1</v>
      </c>
      <c r="AA11" s="10">
        <f t="shared" si="2"/>
        <v>1</v>
      </c>
      <c r="AB11" s="10">
        <f t="shared" si="2"/>
        <v>1</v>
      </c>
      <c r="AC11" s="10">
        <f t="shared" si="2"/>
        <v>1</v>
      </c>
      <c r="AD11" s="10">
        <f t="shared" si="2"/>
        <v>1</v>
      </c>
      <c r="AE11" s="10">
        <f t="shared" si="2"/>
        <v>1</v>
      </c>
      <c r="AF11" s="10">
        <f t="shared" si="2"/>
        <v>1</v>
      </c>
      <c r="AG11" s="10">
        <f t="shared" si="2"/>
        <v>1</v>
      </c>
      <c r="AH11" s="10">
        <f t="shared" si="2"/>
        <v>1</v>
      </c>
      <c r="AI11" s="10">
        <f t="shared" si="2"/>
        <v>1</v>
      </c>
      <c r="AJ11" s="10">
        <f t="shared" si="2"/>
        <v>1</v>
      </c>
      <c r="AK11" s="10">
        <f t="shared" si="2"/>
        <v>1</v>
      </c>
      <c r="AL11" s="10">
        <f t="shared" si="2"/>
        <v>1</v>
      </c>
    </row>
    <row r="12" spans="2:38" x14ac:dyDescent="0.35">
      <c r="B12" t="s">
        <v>80</v>
      </c>
      <c r="C12">
        <v>1</v>
      </c>
      <c r="D12" s="10">
        <f t="shared" si="2"/>
        <v>1</v>
      </c>
      <c r="E12" s="10">
        <f t="shared" si="2"/>
        <v>1</v>
      </c>
      <c r="F12" s="10">
        <f t="shared" si="2"/>
        <v>1</v>
      </c>
      <c r="G12" s="10">
        <f t="shared" si="2"/>
        <v>1</v>
      </c>
      <c r="H12" s="10">
        <f t="shared" si="2"/>
        <v>1</v>
      </c>
      <c r="I12" s="10">
        <f t="shared" si="2"/>
        <v>1</v>
      </c>
      <c r="J12" s="10">
        <f t="shared" si="2"/>
        <v>1</v>
      </c>
      <c r="K12" s="10">
        <f t="shared" si="2"/>
        <v>1</v>
      </c>
      <c r="L12" s="10">
        <f t="shared" si="2"/>
        <v>1</v>
      </c>
      <c r="M12" s="10">
        <f t="shared" si="2"/>
        <v>1</v>
      </c>
      <c r="N12" s="10">
        <f t="shared" si="2"/>
        <v>1</v>
      </c>
      <c r="O12" s="10">
        <f t="shared" si="2"/>
        <v>1</v>
      </c>
      <c r="P12" s="10">
        <f t="shared" si="2"/>
        <v>1</v>
      </c>
      <c r="Q12" s="10">
        <f t="shared" si="2"/>
        <v>1</v>
      </c>
      <c r="R12" s="10">
        <f t="shared" si="2"/>
        <v>1</v>
      </c>
      <c r="S12" s="10">
        <f t="shared" si="2"/>
        <v>1</v>
      </c>
      <c r="T12" s="10">
        <f t="shared" si="2"/>
        <v>1</v>
      </c>
      <c r="U12" s="10">
        <f t="shared" si="2"/>
        <v>1</v>
      </c>
      <c r="V12" s="10">
        <f t="shared" si="2"/>
        <v>1</v>
      </c>
      <c r="W12" s="10">
        <f t="shared" si="2"/>
        <v>1</v>
      </c>
      <c r="X12" s="10">
        <f t="shared" si="2"/>
        <v>1</v>
      </c>
      <c r="Y12" s="10">
        <f t="shared" si="2"/>
        <v>1</v>
      </c>
      <c r="Z12" s="10">
        <f t="shared" si="2"/>
        <v>1</v>
      </c>
      <c r="AA12" s="10">
        <f t="shared" si="2"/>
        <v>1</v>
      </c>
      <c r="AB12" s="10">
        <f t="shared" si="2"/>
        <v>1</v>
      </c>
      <c r="AC12" s="10">
        <f t="shared" si="2"/>
        <v>1</v>
      </c>
      <c r="AD12" s="10">
        <f t="shared" si="2"/>
        <v>1</v>
      </c>
      <c r="AE12" s="10">
        <f t="shared" si="2"/>
        <v>1</v>
      </c>
      <c r="AF12" s="10">
        <f t="shared" si="2"/>
        <v>1</v>
      </c>
      <c r="AG12" s="10">
        <f t="shared" si="2"/>
        <v>1</v>
      </c>
      <c r="AH12" s="10">
        <f t="shared" si="2"/>
        <v>1</v>
      </c>
      <c r="AI12" s="10">
        <f t="shared" si="2"/>
        <v>1</v>
      </c>
      <c r="AJ12" s="10">
        <f t="shared" si="2"/>
        <v>1</v>
      </c>
      <c r="AK12" s="10">
        <f t="shared" si="2"/>
        <v>1</v>
      </c>
      <c r="AL12" s="10">
        <f t="shared" si="2"/>
        <v>1</v>
      </c>
    </row>
    <row r="13" spans="2:38" x14ac:dyDescent="0.35">
      <c r="B13" t="s">
        <v>81</v>
      </c>
      <c r="C13">
        <v>1</v>
      </c>
      <c r="D13" s="10">
        <f t="shared" si="2"/>
        <v>1</v>
      </c>
      <c r="E13" s="10">
        <f t="shared" si="2"/>
        <v>1</v>
      </c>
      <c r="F13" s="10">
        <f t="shared" si="2"/>
        <v>1</v>
      </c>
      <c r="G13" s="10">
        <f t="shared" si="2"/>
        <v>1</v>
      </c>
      <c r="H13" s="10">
        <f t="shared" si="2"/>
        <v>1</v>
      </c>
      <c r="I13" s="10">
        <f t="shared" si="2"/>
        <v>1</v>
      </c>
      <c r="J13" s="10">
        <f t="shared" si="2"/>
        <v>1</v>
      </c>
      <c r="K13" s="10">
        <f t="shared" si="2"/>
        <v>1</v>
      </c>
      <c r="L13" s="10">
        <f t="shared" si="2"/>
        <v>1</v>
      </c>
      <c r="M13" s="10">
        <f t="shared" si="2"/>
        <v>1</v>
      </c>
      <c r="N13" s="10">
        <f t="shared" si="2"/>
        <v>1</v>
      </c>
      <c r="O13" s="10">
        <f t="shared" si="2"/>
        <v>1</v>
      </c>
      <c r="P13" s="10">
        <f t="shared" si="2"/>
        <v>1</v>
      </c>
      <c r="Q13" s="10">
        <f t="shared" si="2"/>
        <v>1</v>
      </c>
      <c r="R13" s="10">
        <f t="shared" si="2"/>
        <v>1</v>
      </c>
      <c r="S13" s="10">
        <f t="shared" si="2"/>
        <v>1</v>
      </c>
      <c r="T13" s="10">
        <f t="shared" si="2"/>
        <v>1</v>
      </c>
      <c r="U13" s="10">
        <f t="shared" si="2"/>
        <v>1</v>
      </c>
      <c r="V13" s="10">
        <f t="shared" si="2"/>
        <v>1</v>
      </c>
      <c r="W13" s="10">
        <f t="shared" si="2"/>
        <v>1</v>
      </c>
      <c r="X13" s="10">
        <f t="shared" si="2"/>
        <v>1</v>
      </c>
      <c r="Y13" s="10">
        <f t="shared" si="2"/>
        <v>1</v>
      </c>
      <c r="Z13" s="10">
        <f t="shared" si="2"/>
        <v>1</v>
      </c>
      <c r="AA13" s="10">
        <f t="shared" si="2"/>
        <v>1</v>
      </c>
      <c r="AB13" s="10">
        <f t="shared" si="2"/>
        <v>1</v>
      </c>
      <c r="AC13" s="10">
        <f t="shared" si="2"/>
        <v>1</v>
      </c>
      <c r="AD13" s="10">
        <f t="shared" si="2"/>
        <v>1</v>
      </c>
      <c r="AE13" s="10">
        <f t="shared" si="2"/>
        <v>1</v>
      </c>
      <c r="AF13" s="10">
        <f t="shared" si="2"/>
        <v>1</v>
      </c>
      <c r="AG13" s="10">
        <f t="shared" si="2"/>
        <v>1</v>
      </c>
      <c r="AH13" s="10">
        <f t="shared" si="2"/>
        <v>1</v>
      </c>
      <c r="AI13" s="10">
        <f t="shared" si="2"/>
        <v>1</v>
      </c>
      <c r="AJ13" s="10">
        <f t="shared" si="2"/>
        <v>1</v>
      </c>
      <c r="AK13" s="10">
        <f t="shared" si="2"/>
        <v>1</v>
      </c>
      <c r="AL13" s="10">
        <f t="shared" si="2"/>
        <v>1</v>
      </c>
    </row>
    <row r="14" spans="2:38" x14ac:dyDescent="0.35">
      <c r="B14" t="s">
        <v>82</v>
      </c>
      <c r="C14">
        <v>1</v>
      </c>
      <c r="D14" s="10">
        <f t="shared" si="2"/>
        <v>1</v>
      </c>
      <c r="E14" s="10">
        <f t="shared" si="2"/>
        <v>1</v>
      </c>
      <c r="F14" s="10">
        <f t="shared" si="2"/>
        <v>1</v>
      </c>
      <c r="G14" s="10">
        <f t="shared" si="2"/>
        <v>1</v>
      </c>
      <c r="H14" s="10">
        <f t="shared" si="2"/>
        <v>1</v>
      </c>
      <c r="I14" s="10">
        <f t="shared" si="2"/>
        <v>1</v>
      </c>
      <c r="J14" s="10">
        <f t="shared" si="2"/>
        <v>1</v>
      </c>
      <c r="K14" s="10">
        <f t="shared" si="2"/>
        <v>1</v>
      </c>
      <c r="L14" s="10">
        <f t="shared" si="2"/>
        <v>1</v>
      </c>
      <c r="M14" s="10">
        <f t="shared" si="2"/>
        <v>1</v>
      </c>
      <c r="N14" s="10">
        <f t="shared" si="2"/>
        <v>1</v>
      </c>
      <c r="O14" s="10">
        <f t="shared" si="2"/>
        <v>1</v>
      </c>
      <c r="P14" s="10">
        <f t="shared" si="2"/>
        <v>1</v>
      </c>
      <c r="Q14" s="10">
        <f t="shared" si="2"/>
        <v>1</v>
      </c>
      <c r="R14" s="10">
        <f t="shared" si="2"/>
        <v>1</v>
      </c>
      <c r="S14" s="10">
        <f t="shared" si="2"/>
        <v>1</v>
      </c>
      <c r="T14" s="10">
        <f t="shared" si="2"/>
        <v>1</v>
      </c>
      <c r="U14" s="10">
        <f t="shared" si="2"/>
        <v>1</v>
      </c>
      <c r="V14" s="10">
        <f t="shared" si="2"/>
        <v>1</v>
      </c>
      <c r="W14" s="10">
        <f t="shared" si="2"/>
        <v>1</v>
      </c>
      <c r="X14" s="10">
        <f t="shared" si="2"/>
        <v>1</v>
      </c>
      <c r="Y14" s="10">
        <f t="shared" si="2"/>
        <v>1</v>
      </c>
      <c r="Z14" s="10">
        <f t="shared" si="2"/>
        <v>1</v>
      </c>
      <c r="AA14" s="10">
        <f t="shared" si="2"/>
        <v>1</v>
      </c>
      <c r="AB14" s="10">
        <f t="shared" si="2"/>
        <v>1</v>
      </c>
      <c r="AC14" s="10">
        <f t="shared" si="2"/>
        <v>1</v>
      </c>
      <c r="AD14" s="10">
        <f t="shared" si="2"/>
        <v>1</v>
      </c>
      <c r="AE14" s="10">
        <f t="shared" si="2"/>
        <v>1</v>
      </c>
      <c r="AF14" s="10">
        <f t="shared" si="2"/>
        <v>1</v>
      </c>
      <c r="AG14" s="10">
        <f t="shared" si="2"/>
        <v>1</v>
      </c>
      <c r="AH14" s="10">
        <f t="shared" si="2"/>
        <v>1</v>
      </c>
      <c r="AI14" s="10">
        <f t="shared" si="2"/>
        <v>1</v>
      </c>
      <c r="AJ14" s="10">
        <f t="shared" si="2"/>
        <v>1</v>
      </c>
      <c r="AK14" s="10">
        <f t="shared" si="2"/>
        <v>1</v>
      </c>
      <c r="AL14" s="10">
        <f t="shared" si="2"/>
        <v>1</v>
      </c>
    </row>
    <row r="15" spans="2:38" x14ac:dyDescent="0.35">
      <c r="B15" t="s">
        <v>83</v>
      </c>
      <c r="C15">
        <v>1</v>
      </c>
      <c r="D15" s="10">
        <f t="shared" si="2"/>
        <v>1</v>
      </c>
      <c r="E15" s="10">
        <f t="shared" si="2"/>
        <v>1</v>
      </c>
      <c r="F15" s="10">
        <f t="shared" si="2"/>
        <v>1</v>
      </c>
      <c r="G15" s="10">
        <f t="shared" si="2"/>
        <v>1</v>
      </c>
      <c r="H15" s="10">
        <f t="shared" si="2"/>
        <v>1</v>
      </c>
      <c r="I15" s="10">
        <f t="shared" si="2"/>
        <v>1</v>
      </c>
      <c r="J15" s="10">
        <f t="shared" si="2"/>
        <v>1</v>
      </c>
      <c r="K15" s="10">
        <f t="shared" si="2"/>
        <v>1</v>
      </c>
      <c r="L15" s="10">
        <f t="shared" si="2"/>
        <v>1</v>
      </c>
      <c r="M15" s="10">
        <f t="shared" si="2"/>
        <v>1</v>
      </c>
      <c r="N15" s="10">
        <f t="shared" si="2"/>
        <v>1</v>
      </c>
      <c r="O15" s="10">
        <f t="shared" si="2"/>
        <v>1</v>
      </c>
      <c r="P15" s="10">
        <f t="shared" si="2"/>
        <v>1</v>
      </c>
      <c r="Q15" s="10">
        <f t="shared" si="2"/>
        <v>1</v>
      </c>
      <c r="R15" s="10">
        <f t="shared" si="2"/>
        <v>1</v>
      </c>
      <c r="S15" s="10">
        <f t="shared" si="2"/>
        <v>1</v>
      </c>
      <c r="T15" s="10">
        <f t="shared" si="2"/>
        <v>1</v>
      </c>
      <c r="U15" s="10">
        <f t="shared" si="2"/>
        <v>1</v>
      </c>
      <c r="V15" s="10">
        <f t="shared" si="2"/>
        <v>1</v>
      </c>
      <c r="W15" s="10">
        <f t="shared" si="2"/>
        <v>1</v>
      </c>
      <c r="X15" s="10">
        <f t="shared" si="2"/>
        <v>1</v>
      </c>
      <c r="Y15" s="10">
        <f t="shared" si="2"/>
        <v>1</v>
      </c>
      <c r="Z15" s="10">
        <f t="shared" si="2"/>
        <v>1</v>
      </c>
      <c r="AA15" s="10">
        <f t="shared" si="2"/>
        <v>1</v>
      </c>
      <c r="AB15" s="10">
        <f t="shared" si="2"/>
        <v>1</v>
      </c>
      <c r="AC15" s="10">
        <f t="shared" si="2"/>
        <v>1</v>
      </c>
      <c r="AD15" s="10">
        <f t="shared" si="2"/>
        <v>1</v>
      </c>
      <c r="AE15" s="10">
        <f t="shared" si="2"/>
        <v>1</v>
      </c>
      <c r="AF15" s="10">
        <f t="shared" si="2"/>
        <v>1</v>
      </c>
      <c r="AG15" s="10">
        <f t="shared" si="2"/>
        <v>1</v>
      </c>
      <c r="AH15" s="10">
        <f t="shared" si="2"/>
        <v>1</v>
      </c>
      <c r="AI15" s="10">
        <f t="shared" si="2"/>
        <v>1</v>
      </c>
      <c r="AJ15" s="10">
        <f t="shared" si="2"/>
        <v>1</v>
      </c>
      <c r="AK15" s="10">
        <f t="shared" si="2"/>
        <v>1</v>
      </c>
      <c r="AL15" s="10">
        <f t="shared" si="2"/>
        <v>1</v>
      </c>
    </row>
    <row r="16" spans="2:38" x14ac:dyDescent="0.35">
      <c r="B16" t="s">
        <v>84</v>
      </c>
      <c r="C16">
        <v>1</v>
      </c>
      <c r="D16" s="10">
        <f t="shared" si="2"/>
        <v>1</v>
      </c>
      <c r="E16" s="10">
        <f t="shared" si="2"/>
        <v>1</v>
      </c>
      <c r="F16" s="10">
        <f t="shared" si="2"/>
        <v>1</v>
      </c>
      <c r="G16" s="10">
        <f t="shared" si="2"/>
        <v>1</v>
      </c>
      <c r="H16" s="10">
        <f t="shared" si="2"/>
        <v>1</v>
      </c>
      <c r="I16" s="10">
        <f t="shared" si="2"/>
        <v>1</v>
      </c>
      <c r="J16" s="10">
        <f t="shared" si="2"/>
        <v>1</v>
      </c>
      <c r="K16" s="10">
        <f t="shared" si="2"/>
        <v>1</v>
      </c>
      <c r="L16" s="10">
        <f t="shared" si="2"/>
        <v>1</v>
      </c>
      <c r="M16" s="10">
        <f t="shared" si="2"/>
        <v>1</v>
      </c>
      <c r="N16" s="10">
        <f t="shared" si="2"/>
        <v>1</v>
      </c>
      <c r="O16" s="10">
        <f t="shared" si="2"/>
        <v>1</v>
      </c>
      <c r="P16" s="10">
        <f t="shared" si="2"/>
        <v>1</v>
      </c>
      <c r="Q16" s="10">
        <f t="shared" si="2"/>
        <v>1</v>
      </c>
      <c r="R16" s="10">
        <f t="shared" si="2"/>
        <v>1</v>
      </c>
      <c r="S16" s="10">
        <f t="shared" si="2"/>
        <v>1</v>
      </c>
      <c r="T16" s="10">
        <f t="shared" si="2"/>
        <v>1</v>
      </c>
      <c r="U16" s="10">
        <f t="shared" si="2"/>
        <v>1</v>
      </c>
      <c r="V16" s="10">
        <f t="shared" si="2"/>
        <v>1</v>
      </c>
      <c r="W16" s="10">
        <f t="shared" si="2"/>
        <v>1</v>
      </c>
      <c r="X16" s="10">
        <f t="shared" si="2"/>
        <v>1</v>
      </c>
      <c r="Y16" s="10">
        <f t="shared" si="2"/>
        <v>1</v>
      </c>
      <c r="Z16" s="10">
        <f t="shared" si="2"/>
        <v>1</v>
      </c>
      <c r="AA16" s="10">
        <f t="shared" si="2"/>
        <v>1</v>
      </c>
      <c r="AB16" s="10">
        <f t="shared" si="2"/>
        <v>1</v>
      </c>
      <c r="AC16" s="10">
        <f t="shared" si="2"/>
        <v>1</v>
      </c>
      <c r="AD16" s="10">
        <f t="shared" si="2"/>
        <v>1</v>
      </c>
      <c r="AE16" s="10">
        <f t="shared" si="2"/>
        <v>1</v>
      </c>
      <c r="AF16" s="10">
        <f t="shared" si="2"/>
        <v>1</v>
      </c>
      <c r="AG16" s="10">
        <f t="shared" si="2"/>
        <v>1</v>
      </c>
      <c r="AH16" s="10">
        <f t="shared" si="2"/>
        <v>1</v>
      </c>
      <c r="AI16" s="10">
        <f t="shared" si="2"/>
        <v>1</v>
      </c>
      <c r="AJ16" s="10">
        <f t="shared" si="2"/>
        <v>1</v>
      </c>
      <c r="AK16" s="10">
        <f t="shared" si="2"/>
        <v>1</v>
      </c>
      <c r="AL16" s="10">
        <f t="shared" si="2"/>
        <v>1</v>
      </c>
    </row>
    <row r="17" spans="2:38" x14ac:dyDescent="0.35">
      <c r="B17" t="s">
        <v>85</v>
      </c>
      <c r="C17">
        <v>1</v>
      </c>
      <c r="D17" s="10">
        <f t="shared" si="2"/>
        <v>1</v>
      </c>
      <c r="E17" s="10">
        <f t="shared" si="2"/>
        <v>1</v>
      </c>
      <c r="F17" s="10">
        <f t="shared" si="2"/>
        <v>1</v>
      </c>
      <c r="G17" s="10">
        <f t="shared" si="2"/>
        <v>1</v>
      </c>
      <c r="H17" s="10">
        <f t="shared" si="2"/>
        <v>1</v>
      </c>
      <c r="I17" s="10">
        <f t="shared" si="2"/>
        <v>1</v>
      </c>
      <c r="J17" s="10">
        <f t="shared" si="2"/>
        <v>1</v>
      </c>
      <c r="K17" s="10">
        <f t="shared" si="2"/>
        <v>1</v>
      </c>
      <c r="L17" s="10">
        <f t="shared" si="2"/>
        <v>1</v>
      </c>
      <c r="M17" s="10">
        <f t="shared" si="2"/>
        <v>1</v>
      </c>
      <c r="N17" s="10">
        <f t="shared" ref="N17:AL17" si="3">M17*(1+N$78)</f>
        <v>1</v>
      </c>
      <c r="O17" s="10">
        <f t="shared" si="3"/>
        <v>1</v>
      </c>
      <c r="P17" s="10">
        <f t="shared" si="3"/>
        <v>1</v>
      </c>
      <c r="Q17" s="10">
        <f t="shared" si="3"/>
        <v>1</v>
      </c>
      <c r="R17" s="10">
        <f t="shared" si="3"/>
        <v>1</v>
      </c>
      <c r="S17" s="10">
        <f t="shared" si="3"/>
        <v>1</v>
      </c>
      <c r="T17" s="10">
        <f t="shared" si="3"/>
        <v>1</v>
      </c>
      <c r="U17" s="10">
        <f t="shared" si="3"/>
        <v>1</v>
      </c>
      <c r="V17" s="10">
        <f t="shared" si="3"/>
        <v>1</v>
      </c>
      <c r="W17" s="10">
        <f t="shared" si="3"/>
        <v>1</v>
      </c>
      <c r="X17" s="10">
        <f t="shared" si="3"/>
        <v>1</v>
      </c>
      <c r="Y17" s="10">
        <f t="shared" si="3"/>
        <v>1</v>
      </c>
      <c r="Z17" s="10">
        <f t="shared" si="3"/>
        <v>1</v>
      </c>
      <c r="AA17" s="10">
        <f t="shared" si="3"/>
        <v>1</v>
      </c>
      <c r="AB17" s="10">
        <f t="shared" si="3"/>
        <v>1</v>
      </c>
      <c r="AC17" s="10">
        <f t="shared" si="3"/>
        <v>1</v>
      </c>
      <c r="AD17" s="10">
        <f t="shared" si="3"/>
        <v>1</v>
      </c>
      <c r="AE17" s="10">
        <f t="shared" si="3"/>
        <v>1</v>
      </c>
      <c r="AF17" s="10">
        <f t="shared" si="3"/>
        <v>1</v>
      </c>
      <c r="AG17" s="10">
        <f t="shared" si="3"/>
        <v>1</v>
      </c>
      <c r="AH17" s="10">
        <f t="shared" si="3"/>
        <v>1</v>
      </c>
      <c r="AI17" s="10">
        <f t="shared" si="3"/>
        <v>1</v>
      </c>
      <c r="AJ17" s="10">
        <f t="shared" si="3"/>
        <v>1</v>
      </c>
      <c r="AK17" s="10">
        <f t="shared" si="3"/>
        <v>1</v>
      </c>
      <c r="AL17" s="10">
        <f t="shared" si="3"/>
        <v>1</v>
      </c>
    </row>
    <row r="18" spans="2:38" x14ac:dyDescent="0.35">
      <c r="B18" t="s">
        <v>86</v>
      </c>
      <c r="C18">
        <v>1</v>
      </c>
      <c r="D18" s="10">
        <f t="shared" ref="D18:AL24" si="4">C18*(1+D$78)</f>
        <v>1</v>
      </c>
      <c r="E18" s="10">
        <f t="shared" si="4"/>
        <v>1</v>
      </c>
      <c r="F18" s="10">
        <f t="shared" si="4"/>
        <v>1</v>
      </c>
      <c r="G18" s="10">
        <f t="shared" si="4"/>
        <v>1</v>
      </c>
      <c r="H18" s="10">
        <f t="shared" si="4"/>
        <v>1</v>
      </c>
      <c r="I18" s="10">
        <f t="shared" si="4"/>
        <v>1</v>
      </c>
      <c r="J18" s="10">
        <f t="shared" si="4"/>
        <v>1</v>
      </c>
      <c r="K18" s="10">
        <f t="shared" si="4"/>
        <v>1</v>
      </c>
      <c r="L18" s="10">
        <f t="shared" si="4"/>
        <v>1</v>
      </c>
      <c r="M18" s="10">
        <f t="shared" si="4"/>
        <v>1</v>
      </c>
      <c r="N18" s="10">
        <f t="shared" si="4"/>
        <v>1</v>
      </c>
      <c r="O18" s="10">
        <f t="shared" si="4"/>
        <v>1</v>
      </c>
      <c r="P18" s="10">
        <f t="shared" si="4"/>
        <v>1</v>
      </c>
      <c r="Q18" s="10">
        <f t="shared" si="4"/>
        <v>1</v>
      </c>
      <c r="R18" s="10">
        <f t="shared" si="4"/>
        <v>1</v>
      </c>
      <c r="S18" s="10">
        <f t="shared" si="4"/>
        <v>1</v>
      </c>
      <c r="T18" s="10">
        <f t="shared" si="4"/>
        <v>1</v>
      </c>
      <c r="U18" s="10">
        <f t="shared" si="4"/>
        <v>1</v>
      </c>
      <c r="V18" s="10">
        <f t="shared" si="4"/>
        <v>1</v>
      </c>
      <c r="W18" s="10">
        <f t="shared" si="4"/>
        <v>1</v>
      </c>
      <c r="X18" s="10">
        <f t="shared" si="4"/>
        <v>1</v>
      </c>
      <c r="Y18" s="10">
        <f t="shared" si="4"/>
        <v>1</v>
      </c>
      <c r="Z18" s="10">
        <f t="shared" si="4"/>
        <v>1</v>
      </c>
      <c r="AA18" s="10">
        <f t="shared" si="4"/>
        <v>1</v>
      </c>
      <c r="AB18" s="10">
        <f t="shared" si="4"/>
        <v>1</v>
      </c>
      <c r="AC18" s="10">
        <f t="shared" si="4"/>
        <v>1</v>
      </c>
      <c r="AD18" s="10">
        <f t="shared" si="4"/>
        <v>1</v>
      </c>
      <c r="AE18" s="10">
        <f t="shared" si="4"/>
        <v>1</v>
      </c>
      <c r="AF18" s="10">
        <f t="shared" si="4"/>
        <v>1</v>
      </c>
      <c r="AG18" s="10">
        <f t="shared" si="4"/>
        <v>1</v>
      </c>
      <c r="AH18" s="10">
        <f t="shared" si="4"/>
        <v>1</v>
      </c>
      <c r="AI18" s="10">
        <f t="shared" si="4"/>
        <v>1</v>
      </c>
      <c r="AJ18" s="10">
        <f t="shared" si="4"/>
        <v>1</v>
      </c>
      <c r="AK18" s="10">
        <f t="shared" si="4"/>
        <v>1</v>
      </c>
      <c r="AL18" s="10">
        <f t="shared" si="4"/>
        <v>1</v>
      </c>
    </row>
    <row r="19" spans="2:38" x14ac:dyDescent="0.35">
      <c r="B19" t="s">
        <v>87</v>
      </c>
      <c r="C19">
        <v>1</v>
      </c>
      <c r="D19" s="10">
        <f t="shared" si="4"/>
        <v>1</v>
      </c>
      <c r="E19" s="10">
        <f t="shared" si="4"/>
        <v>1</v>
      </c>
      <c r="F19" s="10">
        <f t="shared" si="4"/>
        <v>1</v>
      </c>
      <c r="G19" s="10">
        <f t="shared" si="4"/>
        <v>1</v>
      </c>
      <c r="H19" s="10">
        <f t="shared" si="4"/>
        <v>1</v>
      </c>
      <c r="I19" s="10">
        <f t="shared" si="4"/>
        <v>1</v>
      </c>
      <c r="J19" s="10">
        <f t="shared" si="4"/>
        <v>1</v>
      </c>
      <c r="K19" s="10">
        <f t="shared" si="4"/>
        <v>1</v>
      </c>
      <c r="L19" s="10">
        <f t="shared" si="4"/>
        <v>1</v>
      </c>
      <c r="M19" s="10">
        <f t="shared" si="4"/>
        <v>1</v>
      </c>
      <c r="N19" s="10">
        <f t="shared" si="4"/>
        <v>1</v>
      </c>
      <c r="O19" s="10">
        <f t="shared" si="4"/>
        <v>1</v>
      </c>
      <c r="P19" s="10">
        <f t="shared" si="4"/>
        <v>1</v>
      </c>
      <c r="Q19" s="10">
        <f t="shared" si="4"/>
        <v>1</v>
      </c>
      <c r="R19" s="10">
        <f t="shared" si="4"/>
        <v>1</v>
      </c>
      <c r="S19" s="10">
        <f t="shared" si="4"/>
        <v>1</v>
      </c>
      <c r="T19" s="10">
        <f t="shared" si="4"/>
        <v>1</v>
      </c>
      <c r="U19" s="10">
        <f t="shared" si="4"/>
        <v>1</v>
      </c>
      <c r="V19" s="10">
        <f t="shared" si="4"/>
        <v>1</v>
      </c>
      <c r="W19" s="10">
        <f t="shared" si="4"/>
        <v>1</v>
      </c>
      <c r="X19" s="10">
        <f t="shared" si="4"/>
        <v>1</v>
      </c>
      <c r="Y19" s="10">
        <f t="shared" si="4"/>
        <v>1</v>
      </c>
      <c r="Z19" s="10">
        <f t="shared" si="4"/>
        <v>1</v>
      </c>
      <c r="AA19" s="10">
        <f t="shared" si="4"/>
        <v>1</v>
      </c>
      <c r="AB19" s="10">
        <f t="shared" si="4"/>
        <v>1</v>
      </c>
      <c r="AC19" s="10">
        <f t="shared" si="4"/>
        <v>1</v>
      </c>
      <c r="AD19" s="10">
        <f t="shared" si="4"/>
        <v>1</v>
      </c>
      <c r="AE19" s="10">
        <f t="shared" si="4"/>
        <v>1</v>
      </c>
      <c r="AF19" s="10">
        <f t="shared" si="4"/>
        <v>1</v>
      </c>
      <c r="AG19" s="10">
        <f t="shared" si="4"/>
        <v>1</v>
      </c>
      <c r="AH19" s="10">
        <f t="shared" si="4"/>
        <v>1</v>
      </c>
      <c r="AI19" s="10">
        <f t="shared" si="4"/>
        <v>1</v>
      </c>
      <c r="AJ19" s="10">
        <f t="shared" si="4"/>
        <v>1</v>
      </c>
      <c r="AK19" s="10">
        <f t="shared" si="4"/>
        <v>1</v>
      </c>
      <c r="AL19" s="10">
        <f t="shared" si="4"/>
        <v>1</v>
      </c>
    </row>
    <row r="20" spans="2:38" x14ac:dyDescent="0.35">
      <c r="B20" t="s">
        <v>88</v>
      </c>
      <c r="C20">
        <v>1</v>
      </c>
      <c r="D20" s="10">
        <f t="shared" si="4"/>
        <v>1</v>
      </c>
      <c r="E20" s="10">
        <f t="shared" si="4"/>
        <v>1</v>
      </c>
      <c r="F20" s="10">
        <f t="shared" si="4"/>
        <v>1</v>
      </c>
      <c r="G20" s="10">
        <f t="shared" si="4"/>
        <v>1</v>
      </c>
      <c r="H20" s="10">
        <f t="shared" si="4"/>
        <v>1</v>
      </c>
      <c r="I20" s="10">
        <f t="shared" si="4"/>
        <v>1</v>
      </c>
      <c r="J20" s="10">
        <f t="shared" si="4"/>
        <v>1</v>
      </c>
      <c r="K20" s="10">
        <f t="shared" si="4"/>
        <v>1</v>
      </c>
      <c r="L20" s="10">
        <f t="shared" si="4"/>
        <v>1</v>
      </c>
      <c r="M20" s="10">
        <f t="shared" si="4"/>
        <v>1</v>
      </c>
      <c r="N20" s="10">
        <f t="shared" si="4"/>
        <v>1</v>
      </c>
      <c r="O20" s="10">
        <f t="shared" si="4"/>
        <v>1</v>
      </c>
      <c r="P20" s="10">
        <f t="shared" si="4"/>
        <v>1</v>
      </c>
      <c r="Q20" s="10">
        <f t="shared" si="4"/>
        <v>1</v>
      </c>
      <c r="R20" s="10">
        <f t="shared" si="4"/>
        <v>1</v>
      </c>
      <c r="S20" s="10">
        <f t="shared" si="4"/>
        <v>1</v>
      </c>
      <c r="T20" s="10">
        <f t="shared" si="4"/>
        <v>1</v>
      </c>
      <c r="U20" s="10">
        <f t="shared" si="4"/>
        <v>1</v>
      </c>
      <c r="V20" s="10">
        <f t="shared" si="4"/>
        <v>1</v>
      </c>
      <c r="W20" s="10">
        <f t="shared" si="4"/>
        <v>1</v>
      </c>
      <c r="X20" s="10">
        <f t="shared" si="4"/>
        <v>1</v>
      </c>
      <c r="Y20" s="10">
        <f t="shared" si="4"/>
        <v>1</v>
      </c>
      <c r="Z20" s="10">
        <f t="shared" si="4"/>
        <v>1</v>
      </c>
      <c r="AA20" s="10">
        <f t="shared" si="4"/>
        <v>1</v>
      </c>
      <c r="AB20" s="10">
        <f t="shared" si="4"/>
        <v>1</v>
      </c>
      <c r="AC20" s="10">
        <f t="shared" si="4"/>
        <v>1</v>
      </c>
      <c r="AD20" s="10">
        <f t="shared" si="4"/>
        <v>1</v>
      </c>
      <c r="AE20" s="10">
        <f t="shared" si="4"/>
        <v>1</v>
      </c>
      <c r="AF20" s="10">
        <f t="shared" si="4"/>
        <v>1</v>
      </c>
      <c r="AG20" s="10">
        <f t="shared" si="4"/>
        <v>1</v>
      </c>
      <c r="AH20" s="10">
        <f t="shared" si="4"/>
        <v>1</v>
      </c>
      <c r="AI20" s="10">
        <f t="shared" si="4"/>
        <v>1</v>
      </c>
      <c r="AJ20" s="10">
        <f t="shared" si="4"/>
        <v>1</v>
      </c>
      <c r="AK20" s="10">
        <f t="shared" si="4"/>
        <v>1</v>
      </c>
      <c r="AL20" s="10">
        <f t="shared" si="4"/>
        <v>1</v>
      </c>
    </row>
    <row r="21" spans="2:38" x14ac:dyDescent="0.35">
      <c r="B21" t="s">
        <v>89</v>
      </c>
      <c r="C21">
        <v>1</v>
      </c>
      <c r="D21" s="10">
        <f t="shared" si="4"/>
        <v>1</v>
      </c>
      <c r="E21" s="10">
        <f t="shared" si="4"/>
        <v>1</v>
      </c>
      <c r="F21" s="10">
        <f t="shared" si="4"/>
        <v>1</v>
      </c>
      <c r="G21" s="10">
        <f t="shared" si="4"/>
        <v>1</v>
      </c>
      <c r="H21" s="10">
        <f t="shared" si="4"/>
        <v>1</v>
      </c>
      <c r="I21" s="10">
        <f t="shared" si="4"/>
        <v>1</v>
      </c>
      <c r="J21" s="10">
        <f t="shared" si="4"/>
        <v>1</v>
      </c>
      <c r="K21" s="10">
        <f t="shared" si="4"/>
        <v>1</v>
      </c>
      <c r="L21" s="10">
        <f t="shared" si="4"/>
        <v>1</v>
      </c>
      <c r="M21" s="10">
        <f t="shared" si="4"/>
        <v>1</v>
      </c>
      <c r="N21" s="10">
        <f t="shared" si="4"/>
        <v>1</v>
      </c>
      <c r="O21" s="10">
        <f t="shared" si="4"/>
        <v>1</v>
      </c>
      <c r="P21" s="10">
        <f t="shared" si="4"/>
        <v>1</v>
      </c>
      <c r="Q21" s="10">
        <f t="shared" si="4"/>
        <v>1</v>
      </c>
      <c r="R21" s="10">
        <f t="shared" si="4"/>
        <v>1</v>
      </c>
      <c r="S21" s="10">
        <f t="shared" si="4"/>
        <v>1</v>
      </c>
      <c r="T21" s="10">
        <f t="shared" si="4"/>
        <v>1</v>
      </c>
      <c r="U21" s="10">
        <f t="shared" si="4"/>
        <v>1</v>
      </c>
      <c r="V21" s="10">
        <f t="shared" si="4"/>
        <v>1</v>
      </c>
      <c r="W21" s="10">
        <f t="shared" si="4"/>
        <v>1</v>
      </c>
      <c r="X21" s="10">
        <f t="shared" si="4"/>
        <v>1</v>
      </c>
      <c r="Y21" s="10">
        <f t="shared" si="4"/>
        <v>1</v>
      </c>
      <c r="Z21" s="10">
        <f t="shared" si="4"/>
        <v>1</v>
      </c>
      <c r="AA21" s="10">
        <f t="shared" si="4"/>
        <v>1</v>
      </c>
      <c r="AB21" s="10">
        <f t="shared" si="4"/>
        <v>1</v>
      </c>
      <c r="AC21" s="10">
        <f t="shared" si="4"/>
        <v>1</v>
      </c>
      <c r="AD21" s="10">
        <f t="shared" si="4"/>
        <v>1</v>
      </c>
      <c r="AE21" s="10">
        <f t="shared" si="4"/>
        <v>1</v>
      </c>
      <c r="AF21" s="10">
        <f t="shared" si="4"/>
        <v>1</v>
      </c>
      <c r="AG21" s="10">
        <f t="shared" si="4"/>
        <v>1</v>
      </c>
      <c r="AH21" s="10">
        <f t="shared" si="4"/>
        <v>1</v>
      </c>
      <c r="AI21" s="10">
        <f t="shared" si="4"/>
        <v>1</v>
      </c>
      <c r="AJ21" s="10">
        <f t="shared" si="4"/>
        <v>1</v>
      </c>
      <c r="AK21" s="10">
        <f t="shared" si="4"/>
        <v>1</v>
      </c>
      <c r="AL21" s="10">
        <f t="shared" si="4"/>
        <v>1</v>
      </c>
    </row>
    <row r="22" spans="2:38" x14ac:dyDescent="0.35">
      <c r="B22" t="s">
        <v>90</v>
      </c>
      <c r="C22">
        <v>1</v>
      </c>
      <c r="D22" s="10">
        <f t="shared" si="4"/>
        <v>1</v>
      </c>
      <c r="E22" s="10">
        <f t="shared" si="4"/>
        <v>1</v>
      </c>
      <c r="F22" s="10">
        <f t="shared" si="4"/>
        <v>1</v>
      </c>
      <c r="G22" s="10">
        <f t="shared" si="4"/>
        <v>1</v>
      </c>
      <c r="H22" s="10">
        <f t="shared" si="4"/>
        <v>1</v>
      </c>
      <c r="I22" s="10">
        <f t="shared" si="4"/>
        <v>1</v>
      </c>
      <c r="J22" s="10">
        <f t="shared" si="4"/>
        <v>1</v>
      </c>
      <c r="K22" s="10">
        <f t="shared" si="4"/>
        <v>1</v>
      </c>
      <c r="L22" s="10">
        <f t="shared" si="4"/>
        <v>1</v>
      </c>
      <c r="M22" s="10">
        <f t="shared" si="4"/>
        <v>1</v>
      </c>
      <c r="N22" s="10">
        <f t="shared" si="4"/>
        <v>1</v>
      </c>
      <c r="O22" s="10">
        <f t="shared" si="4"/>
        <v>1</v>
      </c>
      <c r="P22" s="10">
        <f t="shared" si="4"/>
        <v>1</v>
      </c>
      <c r="Q22" s="10">
        <f t="shared" si="4"/>
        <v>1</v>
      </c>
      <c r="R22" s="10">
        <f t="shared" si="4"/>
        <v>1</v>
      </c>
      <c r="S22" s="10">
        <f t="shared" si="4"/>
        <v>1</v>
      </c>
      <c r="T22" s="10">
        <f t="shared" si="4"/>
        <v>1</v>
      </c>
      <c r="U22" s="10">
        <f t="shared" si="4"/>
        <v>1</v>
      </c>
      <c r="V22" s="10">
        <f t="shared" si="4"/>
        <v>1</v>
      </c>
      <c r="W22" s="10">
        <f t="shared" si="4"/>
        <v>1</v>
      </c>
      <c r="X22" s="10">
        <f t="shared" si="4"/>
        <v>1</v>
      </c>
      <c r="Y22" s="10">
        <f t="shared" si="4"/>
        <v>1</v>
      </c>
      <c r="Z22" s="10">
        <f t="shared" si="4"/>
        <v>1</v>
      </c>
      <c r="AA22" s="10">
        <f t="shared" si="4"/>
        <v>1</v>
      </c>
      <c r="AB22" s="10">
        <f t="shared" si="4"/>
        <v>1</v>
      </c>
      <c r="AC22" s="10">
        <f t="shared" si="4"/>
        <v>1</v>
      </c>
      <c r="AD22" s="10">
        <f t="shared" si="4"/>
        <v>1</v>
      </c>
      <c r="AE22" s="10">
        <f t="shared" si="4"/>
        <v>1</v>
      </c>
      <c r="AF22" s="10">
        <f t="shared" si="4"/>
        <v>1</v>
      </c>
      <c r="AG22" s="10">
        <f t="shared" si="4"/>
        <v>1</v>
      </c>
      <c r="AH22" s="10">
        <f t="shared" si="4"/>
        <v>1</v>
      </c>
      <c r="AI22" s="10">
        <f t="shared" si="4"/>
        <v>1</v>
      </c>
      <c r="AJ22" s="10">
        <f t="shared" si="4"/>
        <v>1</v>
      </c>
      <c r="AK22" s="10">
        <f t="shared" si="4"/>
        <v>1</v>
      </c>
      <c r="AL22" s="10">
        <f t="shared" si="4"/>
        <v>1</v>
      </c>
    </row>
    <row r="23" spans="2:38" x14ac:dyDescent="0.35">
      <c r="B23" t="s">
        <v>91</v>
      </c>
      <c r="C23">
        <v>1</v>
      </c>
      <c r="D23" s="10">
        <f t="shared" si="4"/>
        <v>1</v>
      </c>
      <c r="E23" s="10">
        <f t="shared" si="4"/>
        <v>1</v>
      </c>
      <c r="F23" s="10">
        <f t="shared" si="4"/>
        <v>1</v>
      </c>
      <c r="G23" s="10">
        <f t="shared" si="4"/>
        <v>1</v>
      </c>
      <c r="H23" s="10">
        <f t="shared" si="4"/>
        <v>1</v>
      </c>
      <c r="I23" s="10">
        <f t="shared" si="4"/>
        <v>1</v>
      </c>
      <c r="J23" s="10">
        <f t="shared" si="4"/>
        <v>1</v>
      </c>
      <c r="K23" s="10">
        <f t="shared" si="4"/>
        <v>1</v>
      </c>
      <c r="L23" s="10">
        <f t="shared" si="4"/>
        <v>1</v>
      </c>
      <c r="M23" s="10">
        <f t="shared" si="4"/>
        <v>1</v>
      </c>
      <c r="N23" s="10">
        <f t="shared" si="4"/>
        <v>1</v>
      </c>
      <c r="O23" s="10">
        <f t="shared" si="4"/>
        <v>1</v>
      </c>
      <c r="P23" s="10">
        <f t="shared" si="4"/>
        <v>1</v>
      </c>
      <c r="Q23" s="10">
        <f t="shared" si="4"/>
        <v>1</v>
      </c>
      <c r="R23" s="10">
        <f t="shared" si="4"/>
        <v>1</v>
      </c>
      <c r="S23" s="10">
        <f t="shared" si="4"/>
        <v>1</v>
      </c>
      <c r="T23" s="10">
        <f t="shared" si="4"/>
        <v>1</v>
      </c>
      <c r="U23" s="10">
        <f t="shared" si="4"/>
        <v>1</v>
      </c>
      <c r="V23" s="10">
        <f t="shared" si="4"/>
        <v>1</v>
      </c>
      <c r="W23" s="10">
        <f t="shared" si="4"/>
        <v>1</v>
      </c>
      <c r="X23" s="10">
        <f t="shared" si="4"/>
        <v>1</v>
      </c>
      <c r="Y23" s="10">
        <f t="shared" si="4"/>
        <v>1</v>
      </c>
      <c r="Z23" s="10">
        <f t="shared" si="4"/>
        <v>1</v>
      </c>
      <c r="AA23" s="10">
        <f t="shared" si="4"/>
        <v>1</v>
      </c>
      <c r="AB23" s="10">
        <f t="shared" si="4"/>
        <v>1</v>
      </c>
      <c r="AC23" s="10">
        <f t="shared" si="4"/>
        <v>1</v>
      </c>
      <c r="AD23" s="10">
        <f t="shared" si="4"/>
        <v>1</v>
      </c>
      <c r="AE23" s="10">
        <f t="shared" si="4"/>
        <v>1</v>
      </c>
      <c r="AF23" s="10">
        <f t="shared" si="4"/>
        <v>1</v>
      </c>
      <c r="AG23" s="10">
        <f t="shared" si="4"/>
        <v>1</v>
      </c>
      <c r="AH23" s="10">
        <f t="shared" si="4"/>
        <v>1</v>
      </c>
      <c r="AI23" s="10">
        <f t="shared" si="4"/>
        <v>1</v>
      </c>
      <c r="AJ23" s="10">
        <f t="shared" si="4"/>
        <v>1</v>
      </c>
      <c r="AK23" s="10">
        <f t="shared" si="4"/>
        <v>1</v>
      </c>
      <c r="AL23" s="10">
        <f t="shared" si="4"/>
        <v>1</v>
      </c>
    </row>
    <row r="24" spans="2:38" x14ac:dyDescent="0.35">
      <c r="B24" t="s">
        <v>92</v>
      </c>
      <c r="C24">
        <v>1</v>
      </c>
      <c r="D24" s="10">
        <f t="shared" si="4"/>
        <v>1</v>
      </c>
      <c r="E24" s="10">
        <f t="shared" si="4"/>
        <v>1</v>
      </c>
      <c r="F24" s="10">
        <f t="shared" si="4"/>
        <v>1</v>
      </c>
      <c r="G24" s="10">
        <f t="shared" si="4"/>
        <v>1</v>
      </c>
      <c r="H24" s="10">
        <f t="shared" si="4"/>
        <v>1</v>
      </c>
      <c r="I24" s="10">
        <f t="shared" si="4"/>
        <v>1</v>
      </c>
      <c r="J24" s="10">
        <f t="shared" si="4"/>
        <v>1</v>
      </c>
      <c r="K24" s="10">
        <f t="shared" si="4"/>
        <v>1</v>
      </c>
      <c r="L24" s="10">
        <f t="shared" si="4"/>
        <v>1</v>
      </c>
      <c r="M24" s="10">
        <f t="shared" si="4"/>
        <v>1</v>
      </c>
      <c r="N24" s="10">
        <f t="shared" si="4"/>
        <v>1</v>
      </c>
      <c r="O24" s="10">
        <f t="shared" si="4"/>
        <v>1</v>
      </c>
      <c r="P24" s="10">
        <f t="shared" si="4"/>
        <v>1</v>
      </c>
      <c r="Q24" s="10">
        <f t="shared" si="4"/>
        <v>1</v>
      </c>
      <c r="R24" s="10">
        <f t="shared" si="4"/>
        <v>1</v>
      </c>
      <c r="S24" s="10">
        <f t="shared" si="4"/>
        <v>1</v>
      </c>
      <c r="T24" s="10">
        <f t="shared" si="4"/>
        <v>1</v>
      </c>
      <c r="U24" s="10">
        <f t="shared" si="4"/>
        <v>1</v>
      </c>
      <c r="V24" s="10">
        <f t="shared" si="4"/>
        <v>1</v>
      </c>
      <c r="W24" s="10">
        <f t="shared" si="4"/>
        <v>1</v>
      </c>
      <c r="X24" s="10">
        <f t="shared" si="4"/>
        <v>1</v>
      </c>
      <c r="Y24" s="10">
        <f t="shared" si="4"/>
        <v>1</v>
      </c>
      <c r="Z24" s="10">
        <f t="shared" si="4"/>
        <v>1</v>
      </c>
      <c r="AA24" s="10">
        <f t="shared" si="4"/>
        <v>1</v>
      </c>
      <c r="AB24" s="10">
        <f t="shared" si="4"/>
        <v>1</v>
      </c>
      <c r="AC24" s="10">
        <f t="shared" si="4"/>
        <v>1</v>
      </c>
      <c r="AD24" s="10">
        <f t="shared" si="4"/>
        <v>1</v>
      </c>
      <c r="AE24" s="10">
        <f t="shared" si="4"/>
        <v>1</v>
      </c>
      <c r="AF24" s="10">
        <f t="shared" si="4"/>
        <v>1</v>
      </c>
      <c r="AG24" s="10">
        <f t="shared" si="4"/>
        <v>1</v>
      </c>
      <c r="AH24" s="10">
        <f t="shared" si="4"/>
        <v>1</v>
      </c>
      <c r="AI24" s="10">
        <f t="shared" si="4"/>
        <v>1</v>
      </c>
      <c r="AJ24" s="10">
        <f t="shared" si="4"/>
        <v>1</v>
      </c>
      <c r="AK24" s="10">
        <f t="shared" si="4"/>
        <v>1</v>
      </c>
      <c r="AL24" s="10">
        <f t="shared" si="4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5:B6"/>
    </sheetView>
  </sheetViews>
  <sheetFormatPr baseColWidth="10" defaultColWidth="8.81640625" defaultRowHeight="14.5" x14ac:dyDescent="0.35"/>
  <cols>
    <col min="1" max="1" width="28.26953125" customWidth="1"/>
    <col min="2" max="2" width="31.7265625" customWidth="1"/>
    <col min="3" max="3" width="9.7265625" bestFit="1" customWidth="1"/>
    <col min="4" max="4" width="10.81640625" customWidth="1"/>
    <col min="5" max="5" width="12.26953125" customWidth="1"/>
    <col min="6" max="6" width="7.453125" customWidth="1"/>
  </cols>
  <sheetData>
    <row r="1" spans="1:38" x14ac:dyDescent="0.35">
      <c r="A1">
        <f>SUM(A2:A249)</f>
        <v>1</v>
      </c>
      <c r="B1" s="4"/>
      <c r="C1" s="3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5">
      <c r="A2">
        <f>IF(B2="","",1)</f>
        <v>1</v>
      </c>
      <c r="B2" t="s">
        <v>20</v>
      </c>
      <c r="C2" s="3">
        <v>0</v>
      </c>
      <c r="D2" s="3" t="e">
        <v>#N/A</v>
      </c>
      <c r="E2" s="3" t="e">
        <v>#N/A</v>
      </c>
      <c r="F2" s="3" t="e">
        <v>#N/A</v>
      </c>
      <c r="G2" s="3" t="e">
        <v>#N/A</v>
      </c>
      <c r="H2" s="3">
        <f>C13</f>
        <v>20</v>
      </c>
      <c r="I2" s="3" t="e">
        <v>#N/A</v>
      </c>
      <c r="J2" s="3" t="e">
        <v>#N/A</v>
      </c>
      <c r="K2" s="3" t="e">
        <v>#N/A</v>
      </c>
      <c r="L2" s="3" t="e">
        <v>#N/A</v>
      </c>
      <c r="M2" s="3" t="e">
        <v>#N/A</v>
      </c>
      <c r="N2" s="3" t="e">
        <v>#N/A</v>
      </c>
      <c r="O2" s="3" t="e">
        <v>#N/A</v>
      </c>
      <c r="P2" s="3" t="e">
        <v>#N/A</v>
      </c>
      <c r="Q2" s="3" t="e">
        <v>#N/A</v>
      </c>
      <c r="R2" s="3">
        <f>D13</f>
        <v>100</v>
      </c>
      <c r="S2" s="3" t="e">
        <v>#N/A</v>
      </c>
      <c r="T2" s="3" t="e">
        <v>#N/A</v>
      </c>
      <c r="U2" s="3" t="e">
        <v>#N/A</v>
      </c>
      <c r="V2" s="3" t="e">
        <v>#N/A</v>
      </c>
      <c r="W2" s="3" t="e">
        <v>#N/A</v>
      </c>
      <c r="X2" s="3" t="e">
        <v>#N/A</v>
      </c>
      <c r="Y2" s="3" t="e">
        <v>#N/A</v>
      </c>
      <c r="Z2" s="3" t="e">
        <v>#N/A</v>
      </c>
      <c r="AA2" s="3" t="e">
        <v>#N/A</v>
      </c>
      <c r="AB2" s="3" t="e">
        <v>#N/A</v>
      </c>
      <c r="AC2" s="3" t="e">
        <v>#N/A</v>
      </c>
      <c r="AD2" s="3" t="e">
        <v>#N/A</v>
      </c>
      <c r="AE2" s="3" t="e">
        <v>#N/A</v>
      </c>
      <c r="AF2" s="3" t="e">
        <v>#N/A</v>
      </c>
      <c r="AG2" s="3" t="e">
        <v>#N/A</v>
      </c>
      <c r="AH2" s="3" t="e">
        <v>#N/A</v>
      </c>
      <c r="AI2" s="3" t="e">
        <v>#N/A</v>
      </c>
      <c r="AJ2" s="3" t="e">
        <v>#N/A</v>
      </c>
      <c r="AK2" s="3" t="e">
        <v>#N/A</v>
      </c>
      <c r="AL2" s="3">
        <f>E13</f>
        <v>500</v>
      </c>
    </row>
    <row r="3" spans="1:38" x14ac:dyDescent="0.3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3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x14ac:dyDescent="0.3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x14ac:dyDescent="0.35">
      <c r="C6" s="3"/>
      <c r="D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x14ac:dyDescent="0.35">
      <c r="C7" s="3"/>
      <c r="D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x14ac:dyDescent="0.35">
      <c r="C8" s="3"/>
      <c r="D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x14ac:dyDescent="0.35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x14ac:dyDescent="0.3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x14ac:dyDescent="0.35">
      <c r="B11" s="6" t="s">
        <v>40</v>
      </c>
      <c r="C11" s="3"/>
      <c r="D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35">
      <c r="B12" s="7"/>
      <c r="C12" s="8">
        <v>2020</v>
      </c>
      <c r="D12" s="8">
        <v>2030</v>
      </c>
      <c r="E12" s="8">
        <v>2050</v>
      </c>
    </row>
    <row r="13" spans="1:38" x14ac:dyDescent="0.35">
      <c r="B13" s="7" t="s">
        <v>41</v>
      </c>
      <c r="C13" s="7">
        <v>20</v>
      </c>
      <c r="D13" s="7">
        <v>100</v>
      </c>
      <c r="E13" s="7">
        <v>500</v>
      </c>
    </row>
    <row r="44" spans="4:143" x14ac:dyDescent="0.35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0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B33" sqref="B33"/>
    </sheetView>
  </sheetViews>
  <sheetFormatPr baseColWidth="10" defaultColWidth="8.81640625" defaultRowHeight="14.5" x14ac:dyDescent="0.35"/>
  <cols>
    <col min="2" max="2" width="24" customWidth="1"/>
    <col min="3" max="3" width="13.26953125" customWidth="1"/>
    <col min="4" max="4" width="9.7265625" bestFit="1" customWidth="1"/>
    <col min="5" max="5" width="11.7265625" bestFit="1" customWidth="1"/>
    <col min="6" max="9" width="12.7265625" bestFit="1" customWidth="1"/>
    <col min="10" max="18" width="9.1796875" bestFit="1" customWidth="1"/>
    <col min="19" max="38" width="9" bestFit="1" customWidth="1"/>
  </cols>
  <sheetData>
    <row r="1" spans="1:38" x14ac:dyDescent="0.35">
      <c r="A1">
        <f>SUM(A2:A266)</f>
        <v>30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s="5" customFormat="1" x14ac:dyDescent="0.35">
      <c r="A2" s="5">
        <f>IF(B2="","",1)</f>
        <v>1</v>
      </c>
      <c r="B2" t="s">
        <v>6</v>
      </c>
      <c r="C2" s="1">
        <v>2.1481542016112701E-10</v>
      </c>
      <c r="D2" s="5">
        <v>1.28693193172147E-3</v>
      </c>
      <c r="E2" s="5">
        <v>7.8350983699504804E-3</v>
      </c>
      <c r="F2" s="5">
        <v>3.3088338645488997E-2</v>
      </c>
      <c r="G2" s="5">
        <v>4.0977857978402997E-2</v>
      </c>
      <c r="H2" s="5">
        <v>2.7751582246100699E-2</v>
      </c>
      <c r="I2" s="5">
        <v>1.8700261988548499E-2</v>
      </c>
      <c r="J2" s="5">
        <v>5.2390439644498001E-3</v>
      </c>
      <c r="K2" s="5">
        <v>-1.53487983536958E-3</v>
      </c>
      <c r="L2" s="5">
        <v>4.3464630943165104E-3</v>
      </c>
      <c r="M2" s="5">
        <v>1.39514631736591E-2</v>
      </c>
      <c r="N2" s="5">
        <v>1.9720954615855501E-2</v>
      </c>
      <c r="O2" s="5">
        <v>2.26816045255076E-2</v>
      </c>
      <c r="P2" s="5">
        <v>2.3685617155308699E-2</v>
      </c>
      <c r="Q2" s="5">
        <v>2.3814551995403801E-2</v>
      </c>
      <c r="R2" s="5">
        <v>2.3701191377486198E-2</v>
      </c>
      <c r="S2" s="5">
        <v>1.3990860516848699E-4</v>
      </c>
      <c r="T2" s="5">
        <v>-3.06962311019206E-3</v>
      </c>
      <c r="U2" s="5">
        <v>-3.1515869122663701E-3</v>
      </c>
      <c r="V2" s="5">
        <v>-3.0906002162714701E-3</v>
      </c>
      <c r="W2" s="5">
        <v>-3.4744717897826501E-3</v>
      </c>
      <c r="X2" s="5">
        <v>-4.2687857470566498E-3</v>
      </c>
      <c r="Y2" s="5">
        <v>-5.3065992053617497E-3</v>
      </c>
      <c r="Z2" s="5">
        <v>-6.4711681218593796E-3</v>
      </c>
      <c r="AA2" s="5">
        <v>-7.6984991881240798E-3</v>
      </c>
      <c r="AB2" s="5">
        <v>-8.9639951912748091E-3</v>
      </c>
      <c r="AC2" s="5">
        <v>-8.9751787687539098E-3</v>
      </c>
      <c r="AD2" s="5">
        <v>-7.8048833117010203E-3</v>
      </c>
      <c r="AE2" s="5">
        <v>-7.1686290356841502E-3</v>
      </c>
      <c r="AF2" s="5">
        <v>-6.8736625701375396E-3</v>
      </c>
      <c r="AG2" s="5">
        <v>-6.7272956563794103E-3</v>
      </c>
      <c r="AH2" s="5">
        <v>-6.6158359807695199E-3</v>
      </c>
      <c r="AI2" s="5">
        <v>-6.5052391675690597E-3</v>
      </c>
      <c r="AJ2" s="5">
        <v>-6.3929700437157996E-3</v>
      </c>
      <c r="AK2" s="5">
        <v>-6.2627552837381502E-3</v>
      </c>
      <c r="AL2" s="5">
        <v>-6.1057632823040197E-3</v>
      </c>
    </row>
    <row r="3" spans="1:38" s="5" customFormat="1" x14ac:dyDescent="0.35">
      <c r="A3" s="5">
        <f t="shared" ref="A3:A31" si="0">IF(B3="","",1)</f>
        <v>1</v>
      </c>
      <c r="B3" s="5" t="s">
        <v>7</v>
      </c>
      <c r="C3" s="5">
        <v>0</v>
      </c>
      <c r="D3" s="5">
        <v>-9.0504209498047505E-3</v>
      </c>
      <c r="E3" s="5">
        <v>-9.0504209498047505E-3</v>
      </c>
      <c r="F3" s="5">
        <v>-9.0504209498047505E-3</v>
      </c>
      <c r="G3" s="5">
        <v>-9.0504209498047505E-3</v>
      </c>
      <c r="H3" s="5">
        <v>-9.0504209498047505E-3</v>
      </c>
      <c r="I3" s="5">
        <v>-9.0504209498047505E-3</v>
      </c>
      <c r="J3" s="5">
        <v>-9.0504209498047505E-3</v>
      </c>
      <c r="K3" s="5">
        <v>-9.0504209498047505E-3</v>
      </c>
      <c r="L3" s="5">
        <v>-9.0504209498047505E-3</v>
      </c>
      <c r="M3" s="5">
        <v>-9.0504209498047505E-3</v>
      </c>
      <c r="N3" s="5">
        <v>-9.0504209498047505E-3</v>
      </c>
      <c r="O3" s="5">
        <v>-9.0504209498047505E-3</v>
      </c>
      <c r="P3" s="5">
        <v>-9.0504209498047505E-3</v>
      </c>
      <c r="Q3" s="5">
        <v>-9.0504209498047505E-3</v>
      </c>
      <c r="R3" s="5">
        <v>-9.0504209498047505E-3</v>
      </c>
      <c r="S3" s="5">
        <v>2.6034871691269699E-2</v>
      </c>
      <c r="T3" s="5">
        <v>2.6034871691269699E-2</v>
      </c>
      <c r="U3" s="5">
        <v>2.6034871691269699E-2</v>
      </c>
      <c r="V3" s="5">
        <v>2.6034871691269699E-2</v>
      </c>
      <c r="W3" s="5">
        <v>2.6034871691269699E-2</v>
      </c>
      <c r="X3" s="5">
        <v>2.6034871691269699E-2</v>
      </c>
      <c r="Y3" s="5">
        <v>2.6034871691269699E-2</v>
      </c>
      <c r="Z3" s="5">
        <v>2.6034871691269699E-2</v>
      </c>
      <c r="AA3" s="5">
        <v>2.6034871691269699E-2</v>
      </c>
      <c r="AB3" s="5">
        <v>2.6034871691269699E-2</v>
      </c>
      <c r="AC3" s="5">
        <v>2.6034871691269699E-2</v>
      </c>
      <c r="AD3" s="5">
        <v>2.6034871691269699E-2</v>
      </c>
      <c r="AE3" s="5">
        <v>2.6034871691269699E-2</v>
      </c>
      <c r="AF3" s="5">
        <v>2.6034871691269699E-2</v>
      </c>
      <c r="AG3" s="5">
        <v>2.6034871691269699E-2</v>
      </c>
      <c r="AH3" s="5">
        <v>2.6034871691269699E-2</v>
      </c>
      <c r="AI3" s="5">
        <v>2.6034871691269699E-2</v>
      </c>
      <c r="AJ3" s="5">
        <v>2.6034871691269699E-2</v>
      </c>
      <c r="AK3" s="5">
        <v>2.6034871691269699E-2</v>
      </c>
      <c r="AL3" s="5">
        <v>2.6034871691269699E-2</v>
      </c>
    </row>
    <row r="4" spans="1:38" s="5" customFormat="1" x14ac:dyDescent="0.35">
      <c r="A4" s="5">
        <f t="shared" si="0"/>
        <v>1</v>
      </c>
      <c r="B4" t="s">
        <v>8</v>
      </c>
      <c r="C4" s="5">
        <v>0</v>
      </c>
      <c r="D4" s="5">
        <v>-1.6491169134511801E-2</v>
      </c>
      <c r="E4" s="5">
        <v>-1.6491169134511801E-2</v>
      </c>
      <c r="F4" s="5">
        <v>-1.6491169134511801E-2</v>
      </c>
      <c r="G4" s="5">
        <v>-1.6491169134511801E-2</v>
      </c>
      <c r="H4" s="5">
        <v>-1.6491169134511801E-2</v>
      </c>
      <c r="I4" s="5">
        <v>-1.6491169134511801E-2</v>
      </c>
      <c r="J4" s="5">
        <v>-1.6491169134511801E-2</v>
      </c>
      <c r="K4" s="5">
        <v>-1.6491169134511801E-2</v>
      </c>
      <c r="L4" s="5">
        <v>-1.6491169134511801E-2</v>
      </c>
      <c r="M4" s="5">
        <v>-1.6491169134511801E-2</v>
      </c>
      <c r="N4" s="5">
        <v>-1.6491169134511801E-2</v>
      </c>
      <c r="O4" s="5">
        <v>-1.6491169134511801E-2</v>
      </c>
      <c r="P4" s="5">
        <v>-1.6491169134511801E-2</v>
      </c>
      <c r="Q4" s="5">
        <v>-1.6491169134511801E-2</v>
      </c>
      <c r="R4" s="5">
        <v>-1.6491169134511801E-2</v>
      </c>
      <c r="S4" s="5">
        <v>3.2288102678018897E-2</v>
      </c>
      <c r="T4" s="5">
        <v>3.2288102678018897E-2</v>
      </c>
      <c r="U4" s="5">
        <v>3.2288102678018897E-2</v>
      </c>
      <c r="V4" s="5">
        <v>3.2288102678018897E-2</v>
      </c>
      <c r="W4" s="5">
        <v>3.2288102678018897E-2</v>
      </c>
      <c r="X4" s="5">
        <v>3.2288102678018897E-2</v>
      </c>
      <c r="Y4" s="5">
        <v>3.2288102678018897E-2</v>
      </c>
      <c r="Z4" s="5">
        <v>3.2288102678018897E-2</v>
      </c>
      <c r="AA4" s="5">
        <v>3.2288102678018897E-2</v>
      </c>
      <c r="AB4" s="5">
        <v>3.2288102678018897E-2</v>
      </c>
      <c r="AC4" s="5">
        <v>3.2288102678018897E-2</v>
      </c>
      <c r="AD4" s="5">
        <v>3.2288102678018897E-2</v>
      </c>
      <c r="AE4" s="5">
        <v>3.2288102678018897E-2</v>
      </c>
      <c r="AF4" s="5">
        <v>3.2288102678018897E-2</v>
      </c>
      <c r="AG4" s="5">
        <v>3.2288102678018897E-2</v>
      </c>
      <c r="AH4" s="5">
        <v>3.2288102678018897E-2</v>
      </c>
      <c r="AI4" s="5">
        <v>3.2288102678018897E-2</v>
      </c>
      <c r="AJ4" s="5">
        <v>3.2288102678018897E-2</v>
      </c>
      <c r="AK4" s="5">
        <v>3.2288102678018897E-2</v>
      </c>
      <c r="AL4" s="5">
        <v>3.2288102678018897E-2</v>
      </c>
    </row>
    <row r="5" spans="1:38" s="5" customFormat="1" x14ac:dyDescent="0.35">
      <c r="A5" s="5">
        <f t="shared" si="0"/>
        <v>1</v>
      </c>
      <c r="B5" t="s">
        <v>9</v>
      </c>
      <c r="C5" s="5">
        <v>0</v>
      </c>
      <c r="D5" s="5">
        <v>3.4354582502435301E-3</v>
      </c>
      <c r="E5" s="5">
        <v>3.4354582502435301E-3</v>
      </c>
      <c r="F5" s="5">
        <v>3.4354582502435301E-3</v>
      </c>
      <c r="G5" s="5">
        <v>3.4354582502435301E-3</v>
      </c>
      <c r="H5" s="5">
        <v>3.4354582502435301E-3</v>
      </c>
      <c r="I5" s="5">
        <v>3.4354582502435301E-3</v>
      </c>
      <c r="J5" s="5">
        <v>3.4354582502435301E-3</v>
      </c>
      <c r="K5" s="5">
        <v>3.4354582502435301E-3</v>
      </c>
      <c r="L5" s="5">
        <v>3.4354582502435301E-3</v>
      </c>
      <c r="M5" s="5">
        <v>3.4354582502435301E-3</v>
      </c>
      <c r="N5" s="5">
        <v>3.4354582502435301E-3</v>
      </c>
      <c r="O5" s="5">
        <v>3.4354582502435301E-3</v>
      </c>
      <c r="P5" s="5">
        <v>3.4354582502435301E-3</v>
      </c>
      <c r="Q5" s="5">
        <v>3.4354582502435301E-3</v>
      </c>
      <c r="R5" s="5">
        <v>3.4354582502435301E-3</v>
      </c>
      <c r="S5" s="5">
        <v>2.6617239995105402E-2</v>
      </c>
      <c r="T5" s="5">
        <v>2.6617239995105402E-2</v>
      </c>
      <c r="U5" s="5">
        <v>2.6617239995105402E-2</v>
      </c>
      <c r="V5" s="5">
        <v>2.6617239995105402E-2</v>
      </c>
      <c r="W5" s="5">
        <v>2.6617239995105402E-2</v>
      </c>
      <c r="X5" s="5">
        <v>2.6617239995105402E-2</v>
      </c>
      <c r="Y5" s="5">
        <v>2.6617239995105402E-2</v>
      </c>
      <c r="Z5" s="5">
        <v>2.6617239995105402E-2</v>
      </c>
      <c r="AA5" s="5">
        <v>2.6617239995105402E-2</v>
      </c>
      <c r="AB5" s="5">
        <v>2.6617239995105402E-2</v>
      </c>
      <c r="AC5" s="5">
        <v>2.6617239995105402E-2</v>
      </c>
      <c r="AD5" s="5">
        <v>2.6617239995105402E-2</v>
      </c>
      <c r="AE5" s="5">
        <v>2.6617239995105402E-2</v>
      </c>
      <c r="AF5" s="5">
        <v>2.6617239995105402E-2</v>
      </c>
      <c r="AG5" s="5">
        <v>2.6617239995105402E-2</v>
      </c>
      <c r="AH5" s="5">
        <v>2.6617239995105402E-2</v>
      </c>
      <c r="AI5" s="5">
        <v>2.6617239995105402E-2</v>
      </c>
      <c r="AJ5" s="5">
        <v>2.6617239995105402E-2</v>
      </c>
      <c r="AK5" s="5">
        <v>2.6617239995105402E-2</v>
      </c>
      <c r="AL5" s="5">
        <v>2.6617239995105402E-2</v>
      </c>
    </row>
    <row r="6" spans="1:38" s="5" customFormat="1" x14ac:dyDescent="0.35">
      <c r="A6" s="5">
        <f t="shared" si="0"/>
        <v>1</v>
      </c>
      <c r="B6" t="s">
        <v>10</v>
      </c>
      <c r="C6" s="5">
        <v>0</v>
      </c>
      <c r="D6" s="5">
        <v>1.6092044986498601E-2</v>
      </c>
      <c r="E6" s="5">
        <v>1.6092044986498601E-2</v>
      </c>
      <c r="F6" s="5">
        <v>1.6092044986498601E-2</v>
      </c>
      <c r="G6" s="5">
        <v>1.6092044986498601E-2</v>
      </c>
      <c r="H6" s="5">
        <v>1.6092044986498601E-2</v>
      </c>
      <c r="I6" s="5">
        <v>1.6092044986498601E-2</v>
      </c>
      <c r="J6" s="5">
        <v>1.6092044986498601E-2</v>
      </c>
      <c r="K6" s="5">
        <v>1.6092044986498601E-2</v>
      </c>
      <c r="L6" s="5">
        <v>1.6092044986498601E-2</v>
      </c>
      <c r="M6" s="5">
        <v>1.6092044986498601E-2</v>
      </c>
      <c r="N6" s="5">
        <v>1.6092044986498601E-2</v>
      </c>
      <c r="O6" s="5">
        <v>1.6092044986498601E-2</v>
      </c>
      <c r="P6" s="5">
        <v>1.6092044986498601E-2</v>
      </c>
      <c r="Q6" s="5">
        <v>1.6092044986498601E-2</v>
      </c>
      <c r="R6" s="5">
        <v>1.6092044986498601E-2</v>
      </c>
      <c r="S6" s="5">
        <v>1.7052164176044399E-2</v>
      </c>
      <c r="T6" s="5">
        <v>1.7052164176044399E-2</v>
      </c>
      <c r="U6" s="5">
        <v>1.7052164176044399E-2</v>
      </c>
      <c r="V6" s="5">
        <v>1.7052164176044399E-2</v>
      </c>
      <c r="W6" s="5">
        <v>1.7052164176044399E-2</v>
      </c>
      <c r="X6" s="5">
        <v>1.7052164176044399E-2</v>
      </c>
      <c r="Y6" s="5">
        <v>1.7052164176044399E-2</v>
      </c>
      <c r="Z6" s="5">
        <v>1.7052164176044399E-2</v>
      </c>
      <c r="AA6" s="5">
        <v>1.7052164176044399E-2</v>
      </c>
      <c r="AB6" s="5">
        <v>1.7052164176044399E-2</v>
      </c>
      <c r="AC6" s="5">
        <v>1.7052164176044399E-2</v>
      </c>
      <c r="AD6" s="5">
        <v>1.7052164176044399E-2</v>
      </c>
      <c r="AE6" s="5">
        <v>1.7052164176044399E-2</v>
      </c>
      <c r="AF6" s="5">
        <v>1.7052164176044399E-2</v>
      </c>
      <c r="AG6" s="5">
        <v>1.7052164176044399E-2</v>
      </c>
      <c r="AH6" s="5">
        <v>1.7052164176044399E-2</v>
      </c>
      <c r="AI6" s="5">
        <v>1.7052164176044399E-2</v>
      </c>
      <c r="AJ6" s="5">
        <v>1.7052164176044399E-2</v>
      </c>
      <c r="AK6" s="5">
        <v>1.7052164176044399E-2</v>
      </c>
      <c r="AL6" s="5">
        <v>1.7052164176044399E-2</v>
      </c>
    </row>
    <row r="7" spans="1:38" s="5" customFormat="1" x14ac:dyDescent="0.35">
      <c r="A7" s="5">
        <f t="shared" si="0"/>
        <v>1</v>
      </c>
      <c r="B7" t="s">
        <v>11</v>
      </c>
      <c r="C7" s="5">
        <v>0</v>
      </c>
      <c r="D7" s="5">
        <v>2.3796620749754701E-3</v>
      </c>
      <c r="E7" s="5">
        <v>2.3796620749754701E-3</v>
      </c>
      <c r="F7" s="5">
        <v>2.3796620749754701E-3</v>
      </c>
      <c r="G7" s="5">
        <v>2.3796620749754701E-3</v>
      </c>
      <c r="H7" s="5">
        <v>2.3796620749754701E-3</v>
      </c>
      <c r="I7" s="5">
        <v>2.3796620749754701E-3</v>
      </c>
      <c r="J7" s="5">
        <v>2.3796620749754701E-3</v>
      </c>
      <c r="K7" s="5">
        <v>2.3796620749754701E-3</v>
      </c>
      <c r="L7" s="5">
        <v>2.3796620749754701E-3</v>
      </c>
      <c r="M7" s="5">
        <v>2.3796620749754701E-3</v>
      </c>
      <c r="N7" s="5">
        <v>2.3796620749754701E-3</v>
      </c>
      <c r="O7" s="5">
        <v>2.3796620749754701E-3</v>
      </c>
      <c r="P7" s="5">
        <v>2.3796620749754701E-3</v>
      </c>
      <c r="Q7" s="5">
        <v>2.3796620749754701E-3</v>
      </c>
      <c r="R7" s="5">
        <v>2.3796620749754701E-3</v>
      </c>
      <c r="S7" s="5">
        <v>2.8020201167307E-2</v>
      </c>
      <c r="T7" s="5">
        <v>2.8020201167307E-2</v>
      </c>
      <c r="U7" s="5">
        <v>2.8020201167307E-2</v>
      </c>
      <c r="V7" s="5">
        <v>2.8020201167307E-2</v>
      </c>
      <c r="W7" s="5">
        <v>2.8020201167307E-2</v>
      </c>
      <c r="X7" s="5">
        <v>2.8020201167307E-2</v>
      </c>
      <c r="Y7" s="5">
        <v>2.8020201167307E-2</v>
      </c>
      <c r="Z7" s="5">
        <v>2.8020201167307E-2</v>
      </c>
      <c r="AA7" s="5">
        <v>2.8020201167307E-2</v>
      </c>
      <c r="AB7" s="5">
        <v>2.8020201167307E-2</v>
      </c>
      <c r="AC7" s="5">
        <v>2.8020201167307E-2</v>
      </c>
      <c r="AD7" s="5">
        <v>2.8020201167307E-2</v>
      </c>
      <c r="AE7" s="5">
        <v>2.8020201167307E-2</v>
      </c>
      <c r="AF7" s="5">
        <v>2.8020201167307E-2</v>
      </c>
      <c r="AG7" s="5">
        <v>2.8020201167307E-2</v>
      </c>
      <c r="AH7" s="5">
        <v>2.8020201167307E-2</v>
      </c>
      <c r="AI7" s="5">
        <v>2.8020201167307E-2</v>
      </c>
      <c r="AJ7" s="5">
        <v>2.8020201167307E-2</v>
      </c>
      <c r="AK7" s="5">
        <v>2.8020201167307E-2</v>
      </c>
      <c r="AL7" s="5">
        <v>2.8020201167307E-2</v>
      </c>
    </row>
    <row r="8" spans="1:38" s="5" customFormat="1" x14ac:dyDescent="0.35">
      <c r="A8" s="5">
        <f t="shared" si="0"/>
        <v>1</v>
      </c>
      <c r="B8" t="s">
        <v>12</v>
      </c>
      <c r="C8" s="5">
        <v>0</v>
      </c>
      <c r="D8" s="5">
        <v>-4.6477430768770804E-3</v>
      </c>
      <c r="E8" s="5">
        <v>-4.6477430768770804E-3</v>
      </c>
      <c r="F8" s="5">
        <v>-4.6477430768770804E-3</v>
      </c>
      <c r="G8" s="5">
        <v>-4.6477430768770804E-3</v>
      </c>
      <c r="H8" s="5">
        <v>-4.6477430768770804E-3</v>
      </c>
      <c r="I8" s="5">
        <v>-4.6477430768770804E-3</v>
      </c>
      <c r="J8" s="5">
        <v>-4.6477430768770804E-3</v>
      </c>
      <c r="K8" s="5">
        <v>-4.6477430768770804E-3</v>
      </c>
      <c r="L8" s="5">
        <v>-4.6477430768770804E-3</v>
      </c>
      <c r="M8" s="5">
        <v>-4.6477430768770804E-3</v>
      </c>
      <c r="N8" s="5">
        <v>-4.6477430768770804E-3</v>
      </c>
      <c r="O8" s="5">
        <v>-4.6477430768770804E-3</v>
      </c>
      <c r="P8" s="5">
        <v>-4.6477430768770804E-3</v>
      </c>
      <c r="Q8" s="5">
        <v>-4.6477430768770804E-3</v>
      </c>
      <c r="R8" s="5">
        <v>-4.6477430768770804E-3</v>
      </c>
      <c r="S8" s="5">
        <v>3.0375599348572799E-2</v>
      </c>
      <c r="T8" s="5">
        <v>3.0375599348572799E-2</v>
      </c>
      <c r="U8" s="5">
        <v>3.0375599348572799E-2</v>
      </c>
      <c r="V8" s="5">
        <v>3.0375599348572799E-2</v>
      </c>
      <c r="W8" s="5">
        <v>3.0375599348572799E-2</v>
      </c>
      <c r="X8" s="5">
        <v>3.0375599348572799E-2</v>
      </c>
      <c r="Y8" s="5">
        <v>3.0375599348572799E-2</v>
      </c>
      <c r="Z8" s="5">
        <v>3.0375599348572799E-2</v>
      </c>
      <c r="AA8" s="5">
        <v>3.0375599348572799E-2</v>
      </c>
      <c r="AB8" s="5">
        <v>3.0375599348572799E-2</v>
      </c>
      <c r="AC8" s="5">
        <v>3.0375599348572799E-2</v>
      </c>
      <c r="AD8" s="5">
        <v>3.0375599348572799E-2</v>
      </c>
      <c r="AE8" s="5">
        <v>3.0375599348572799E-2</v>
      </c>
      <c r="AF8" s="5">
        <v>3.0375599348572799E-2</v>
      </c>
      <c r="AG8" s="5">
        <v>3.0375599348572799E-2</v>
      </c>
      <c r="AH8" s="5">
        <v>3.0375599348572799E-2</v>
      </c>
      <c r="AI8" s="5">
        <v>3.0375599348572799E-2</v>
      </c>
      <c r="AJ8" s="5">
        <v>3.0375599348572799E-2</v>
      </c>
      <c r="AK8" s="5">
        <v>3.0375599348572799E-2</v>
      </c>
      <c r="AL8" s="5">
        <v>3.0375599348572799E-2</v>
      </c>
    </row>
    <row r="9" spans="1:38" s="5" customFormat="1" x14ac:dyDescent="0.35">
      <c r="A9" s="5">
        <f t="shared" si="0"/>
        <v>1</v>
      </c>
      <c r="B9" t="s">
        <v>13</v>
      </c>
      <c r="C9" s="5">
        <v>0</v>
      </c>
      <c r="D9" s="5">
        <v>-1.14591054603777E-2</v>
      </c>
      <c r="E9" s="5">
        <v>-1.14591054603777E-2</v>
      </c>
      <c r="F9" s="5">
        <v>-1.14591054603777E-2</v>
      </c>
      <c r="G9" s="5">
        <v>-1.14591054603777E-2</v>
      </c>
      <c r="H9" s="5">
        <v>-1.14591054603777E-2</v>
      </c>
      <c r="I9" s="5">
        <v>-1.14591054603777E-2</v>
      </c>
      <c r="J9" s="5">
        <v>-1.14591054603777E-2</v>
      </c>
      <c r="K9" s="5">
        <v>-1.14591054603777E-2</v>
      </c>
      <c r="L9" s="5">
        <v>-1.14591054603777E-2</v>
      </c>
      <c r="M9" s="5">
        <v>-1.14591054603777E-2</v>
      </c>
      <c r="N9" s="5">
        <v>-1.14591054603777E-2</v>
      </c>
      <c r="O9" s="5">
        <v>-1.14591054603777E-2</v>
      </c>
      <c r="P9" s="5">
        <v>-1.14591054603777E-2</v>
      </c>
      <c r="Q9" s="5">
        <v>-1.14591054603777E-2</v>
      </c>
      <c r="R9" s="5">
        <v>-1.14591054603777E-2</v>
      </c>
      <c r="S9" s="5">
        <v>2.8160517522583701E-2</v>
      </c>
      <c r="T9" s="5">
        <v>2.8160517522583701E-2</v>
      </c>
      <c r="U9" s="5">
        <v>2.8160517522583701E-2</v>
      </c>
      <c r="V9" s="5">
        <v>2.8160517522583701E-2</v>
      </c>
      <c r="W9" s="5">
        <v>2.8160517522583701E-2</v>
      </c>
      <c r="X9" s="5">
        <v>2.8160517522583701E-2</v>
      </c>
      <c r="Y9" s="5">
        <v>2.8160517522583701E-2</v>
      </c>
      <c r="Z9" s="5">
        <v>2.8160517522583701E-2</v>
      </c>
      <c r="AA9" s="5">
        <v>2.8160517522583701E-2</v>
      </c>
      <c r="AB9" s="5">
        <v>2.8160517522583701E-2</v>
      </c>
      <c r="AC9" s="5">
        <v>2.8160517522583701E-2</v>
      </c>
      <c r="AD9" s="5">
        <v>2.8160517522583701E-2</v>
      </c>
      <c r="AE9" s="5">
        <v>2.8160517522583701E-2</v>
      </c>
      <c r="AF9" s="5">
        <v>2.8160517522583701E-2</v>
      </c>
      <c r="AG9" s="5">
        <v>2.8160517522583701E-2</v>
      </c>
      <c r="AH9" s="5">
        <v>2.8160517522583701E-2</v>
      </c>
      <c r="AI9" s="5">
        <v>2.8160517522583701E-2</v>
      </c>
      <c r="AJ9" s="5">
        <v>2.8160517522583701E-2</v>
      </c>
      <c r="AK9" s="5">
        <v>2.8160517522583701E-2</v>
      </c>
      <c r="AL9" s="5">
        <v>2.8160517522583701E-2</v>
      </c>
    </row>
    <row r="10" spans="1:38" s="5" customFormat="1" x14ac:dyDescent="0.35">
      <c r="A10" s="5">
        <f t="shared" si="0"/>
        <v>1</v>
      </c>
      <c r="B10" t="s">
        <v>14</v>
      </c>
      <c r="C10" s="5">
        <v>0</v>
      </c>
      <c r="D10" s="5">
        <v>-1.31437003960233E-2</v>
      </c>
      <c r="E10" s="5">
        <v>-1.31437003960233E-2</v>
      </c>
      <c r="F10" s="5">
        <v>-1.31437003960233E-2</v>
      </c>
      <c r="G10" s="5">
        <v>-1.31437003960233E-2</v>
      </c>
      <c r="H10" s="5">
        <v>-1.31437003960233E-2</v>
      </c>
      <c r="I10" s="5">
        <v>-1.31437003960233E-2</v>
      </c>
      <c r="J10" s="5">
        <v>-1.31437003960233E-2</v>
      </c>
      <c r="K10" s="5">
        <v>-1.31437003960233E-2</v>
      </c>
      <c r="L10" s="5">
        <v>-1.31437003960233E-2</v>
      </c>
      <c r="M10" s="5">
        <v>-1.31437003960233E-2</v>
      </c>
      <c r="N10" s="5">
        <v>-1.31437003960233E-2</v>
      </c>
      <c r="O10" s="5">
        <v>-1.31437003960233E-2</v>
      </c>
      <c r="P10" s="5">
        <v>-1.31437003960233E-2</v>
      </c>
      <c r="Q10" s="5">
        <v>-1.31437003960233E-2</v>
      </c>
      <c r="R10" s="5">
        <v>-1.31437003960233E-2</v>
      </c>
      <c r="S10" s="5">
        <v>3.5076242956159999E-2</v>
      </c>
      <c r="T10" s="5">
        <v>3.5076242956159999E-2</v>
      </c>
      <c r="U10" s="5">
        <v>3.5076242956159999E-2</v>
      </c>
      <c r="V10" s="5">
        <v>3.5076242956159999E-2</v>
      </c>
      <c r="W10" s="5">
        <v>3.5076242956159999E-2</v>
      </c>
      <c r="X10" s="5">
        <v>3.5076242956159999E-2</v>
      </c>
      <c r="Y10" s="5">
        <v>3.5076242956159999E-2</v>
      </c>
      <c r="Z10" s="5">
        <v>3.5076242956159999E-2</v>
      </c>
      <c r="AA10" s="5">
        <v>3.5076242956159999E-2</v>
      </c>
      <c r="AB10" s="5">
        <v>3.5076242956159999E-2</v>
      </c>
      <c r="AC10" s="5">
        <v>3.5076242956159999E-2</v>
      </c>
      <c r="AD10" s="5">
        <v>3.5076242956159999E-2</v>
      </c>
      <c r="AE10" s="5">
        <v>3.5076242956159999E-2</v>
      </c>
      <c r="AF10" s="5">
        <v>3.5076242956159999E-2</v>
      </c>
      <c r="AG10" s="5">
        <v>3.5076242956159999E-2</v>
      </c>
      <c r="AH10" s="5">
        <v>3.5076242956159999E-2</v>
      </c>
      <c r="AI10" s="5">
        <v>3.5076242956159999E-2</v>
      </c>
      <c r="AJ10" s="5">
        <v>3.5076242956159999E-2</v>
      </c>
      <c r="AK10" s="5">
        <v>3.5076242956159999E-2</v>
      </c>
      <c r="AL10" s="5">
        <v>3.5076242956159999E-2</v>
      </c>
    </row>
    <row r="11" spans="1:38" s="5" customFormat="1" x14ac:dyDescent="0.35">
      <c r="A11" s="5">
        <f t="shared" si="0"/>
        <v>1</v>
      </c>
      <c r="B11" t="s">
        <v>15</v>
      </c>
      <c r="C11" s="5">
        <v>0</v>
      </c>
      <c r="D11" s="5">
        <v>1.1988865280324801E-3</v>
      </c>
      <c r="E11" s="5">
        <v>1.1988865280324801E-3</v>
      </c>
      <c r="F11" s="5">
        <v>1.1988865280324801E-3</v>
      </c>
      <c r="G11" s="5">
        <v>1.1988865280324801E-3</v>
      </c>
      <c r="H11" s="5">
        <v>1.1988865280324801E-3</v>
      </c>
      <c r="I11" s="5">
        <v>1.1988865280324801E-3</v>
      </c>
      <c r="J11" s="5">
        <v>1.1988865280324801E-3</v>
      </c>
      <c r="K11" s="5">
        <v>1.1988865280324801E-3</v>
      </c>
      <c r="L11" s="5">
        <v>1.1988865280324801E-3</v>
      </c>
      <c r="M11" s="5">
        <v>1.1988865280324801E-3</v>
      </c>
      <c r="N11" s="5">
        <v>1.1988865280324801E-3</v>
      </c>
      <c r="O11" s="5">
        <v>1.1988865280324801E-3</v>
      </c>
      <c r="P11" s="5">
        <v>1.1988865280324801E-3</v>
      </c>
      <c r="Q11" s="5">
        <v>1.1988865280324801E-3</v>
      </c>
      <c r="R11" s="5">
        <v>1.1988865280324801E-3</v>
      </c>
      <c r="S11" s="5">
        <v>1.7708460033683902E-2</v>
      </c>
      <c r="T11" s="5">
        <v>1.7708460033683902E-2</v>
      </c>
      <c r="U11" s="5">
        <v>1.7708460033683902E-2</v>
      </c>
      <c r="V11" s="5">
        <v>1.7708460033683902E-2</v>
      </c>
      <c r="W11" s="5">
        <v>1.7708460033683902E-2</v>
      </c>
      <c r="X11" s="5">
        <v>1.7708460033683902E-2</v>
      </c>
      <c r="Y11" s="5">
        <v>1.7708460033683902E-2</v>
      </c>
      <c r="Z11" s="5">
        <v>1.7708460033683902E-2</v>
      </c>
      <c r="AA11" s="5">
        <v>1.7708460033683902E-2</v>
      </c>
      <c r="AB11" s="5">
        <v>1.7708460033683902E-2</v>
      </c>
      <c r="AC11" s="5">
        <v>1.7708460033683902E-2</v>
      </c>
      <c r="AD11" s="5">
        <v>1.7708460033683902E-2</v>
      </c>
      <c r="AE11" s="5">
        <v>1.7708460033683902E-2</v>
      </c>
      <c r="AF11" s="5">
        <v>1.7708460033683902E-2</v>
      </c>
      <c r="AG11" s="5">
        <v>1.7708460033683902E-2</v>
      </c>
      <c r="AH11" s="5">
        <v>1.7708460033683902E-2</v>
      </c>
      <c r="AI11" s="5">
        <v>1.7708460033683902E-2</v>
      </c>
      <c r="AJ11" s="5">
        <v>1.7708460033683902E-2</v>
      </c>
      <c r="AK11" s="5">
        <v>1.7708460033683902E-2</v>
      </c>
      <c r="AL11" s="5">
        <v>1.7708460033683902E-2</v>
      </c>
    </row>
    <row r="12" spans="1:38" s="5" customFormat="1" x14ac:dyDescent="0.35">
      <c r="A12" s="5">
        <f t="shared" si="0"/>
        <v>1</v>
      </c>
      <c r="B12" t="s">
        <v>16</v>
      </c>
      <c r="C12" s="5">
        <v>0</v>
      </c>
      <c r="D12" s="5">
        <v>-5.0365986894391297E-3</v>
      </c>
      <c r="E12" s="5">
        <v>-5.0365986894391297E-3</v>
      </c>
      <c r="F12" s="5">
        <v>-5.0365986894391297E-3</v>
      </c>
      <c r="G12" s="5">
        <v>-5.0365986894391297E-3</v>
      </c>
      <c r="H12" s="5">
        <v>-5.0365986894391297E-3</v>
      </c>
      <c r="I12" s="5">
        <v>-5.0365986894391297E-3</v>
      </c>
      <c r="J12" s="5">
        <v>-5.0365986894391297E-3</v>
      </c>
      <c r="K12" s="5">
        <v>-5.0365986894391297E-3</v>
      </c>
      <c r="L12" s="5">
        <v>-5.0365986894391297E-3</v>
      </c>
      <c r="M12" s="5">
        <v>-5.0365986894391297E-3</v>
      </c>
      <c r="N12" s="5">
        <v>-5.0365986894391297E-3</v>
      </c>
      <c r="O12" s="5">
        <v>-5.0365986894391297E-3</v>
      </c>
      <c r="P12" s="5">
        <v>-5.0365986894391297E-3</v>
      </c>
      <c r="Q12" s="5">
        <v>-5.0365986894391297E-3</v>
      </c>
      <c r="R12" s="5">
        <v>-5.0365986894391297E-3</v>
      </c>
      <c r="S12" s="5">
        <v>2.3342351177922299E-2</v>
      </c>
      <c r="T12" s="5">
        <v>2.3342351177922299E-2</v>
      </c>
      <c r="U12" s="5">
        <v>2.3342351177922299E-2</v>
      </c>
      <c r="V12" s="5">
        <v>2.3342351177922299E-2</v>
      </c>
      <c r="W12" s="5">
        <v>2.3342351177922299E-2</v>
      </c>
      <c r="X12" s="5">
        <v>2.3342351177922299E-2</v>
      </c>
      <c r="Y12" s="5">
        <v>2.3342351177922299E-2</v>
      </c>
      <c r="Z12" s="5">
        <v>2.3342351177922299E-2</v>
      </c>
      <c r="AA12" s="5">
        <v>2.3342351177922299E-2</v>
      </c>
      <c r="AB12" s="5">
        <v>2.3342351177922299E-2</v>
      </c>
      <c r="AC12" s="5">
        <v>2.3342351177922299E-2</v>
      </c>
      <c r="AD12" s="5">
        <v>2.3342351177922299E-2</v>
      </c>
      <c r="AE12" s="5">
        <v>2.3342351177922299E-2</v>
      </c>
      <c r="AF12" s="5">
        <v>2.3342351177922299E-2</v>
      </c>
      <c r="AG12" s="5">
        <v>2.3342351177922299E-2</v>
      </c>
      <c r="AH12" s="5">
        <v>2.3342351177922299E-2</v>
      </c>
      <c r="AI12" s="5">
        <v>2.3342351177922299E-2</v>
      </c>
      <c r="AJ12" s="5">
        <v>2.3342351177922299E-2</v>
      </c>
      <c r="AK12" s="5">
        <v>2.3342351177922299E-2</v>
      </c>
      <c r="AL12" s="5">
        <v>2.3342351177922299E-2</v>
      </c>
    </row>
    <row r="13" spans="1:38" s="5" customFormat="1" x14ac:dyDescent="0.35">
      <c r="A13" s="5">
        <f t="shared" si="0"/>
        <v>1</v>
      </c>
      <c r="B13" t="s">
        <v>17</v>
      </c>
      <c r="C13" s="5">
        <v>0</v>
      </c>
      <c r="D13" s="5">
        <v>-5.03192153959284E-3</v>
      </c>
      <c r="E13" s="5">
        <v>-5.03192153959284E-3</v>
      </c>
      <c r="F13" s="5">
        <v>-5.03192153959284E-3</v>
      </c>
      <c r="G13" s="5">
        <v>-5.03192153959284E-3</v>
      </c>
      <c r="H13" s="5">
        <v>-5.03192153959284E-3</v>
      </c>
      <c r="I13" s="5">
        <v>-5.03192153959284E-3</v>
      </c>
      <c r="J13" s="5">
        <v>-5.03192153959284E-3</v>
      </c>
      <c r="K13" s="5">
        <v>-5.03192153959284E-3</v>
      </c>
      <c r="L13" s="5">
        <v>-5.03192153959284E-3</v>
      </c>
      <c r="M13" s="5">
        <v>-5.03192153959284E-3</v>
      </c>
      <c r="N13" s="5">
        <v>-5.03192153959284E-3</v>
      </c>
      <c r="O13" s="5">
        <v>-5.03192153959284E-3</v>
      </c>
      <c r="P13" s="5">
        <v>-5.03192153959284E-3</v>
      </c>
      <c r="Q13" s="5">
        <v>-5.03192153959284E-3</v>
      </c>
      <c r="R13" s="5">
        <v>-5.03192153959284E-3</v>
      </c>
      <c r="S13" s="5">
        <v>2.3339905538867899E-2</v>
      </c>
      <c r="T13" s="5">
        <v>2.3339905538867899E-2</v>
      </c>
      <c r="U13" s="5">
        <v>2.3339905538867899E-2</v>
      </c>
      <c r="V13" s="5">
        <v>2.3339905538867899E-2</v>
      </c>
      <c r="W13" s="5">
        <v>2.3339905538867899E-2</v>
      </c>
      <c r="X13" s="5">
        <v>2.3339905538867899E-2</v>
      </c>
      <c r="Y13" s="5">
        <v>2.3339905538867899E-2</v>
      </c>
      <c r="Z13" s="5">
        <v>2.3339905538867899E-2</v>
      </c>
      <c r="AA13" s="5">
        <v>2.3339905538867899E-2</v>
      </c>
      <c r="AB13" s="5">
        <v>2.3339905538867899E-2</v>
      </c>
      <c r="AC13" s="5">
        <v>2.3339905538867899E-2</v>
      </c>
      <c r="AD13" s="5">
        <v>2.3339905538867899E-2</v>
      </c>
      <c r="AE13" s="5">
        <v>2.3339905538867899E-2</v>
      </c>
      <c r="AF13" s="5">
        <v>2.3339905538867899E-2</v>
      </c>
      <c r="AG13" s="5">
        <v>2.3339905538867899E-2</v>
      </c>
      <c r="AH13" s="5">
        <v>2.3339905538867899E-2</v>
      </c>
      <c r="AI13" s="5">
        <v>2.3339905538867899E-2</v>
      </c>
      <c r="AJ13" s="5">
        <v>2.3339905538867899E-2</v>
      </c>
      <c r="AK13" s="5">
        <v>2.3339905538867899E-2</v>
      </c>
      <c r="AL13" s="5">
        <v>2.3339905538867899E-2</v>
      </c>
    </row>
    <row r="14" spans="1:38" s="5" customFormat="1" x14ac:dyDescent="0.35">
      <c r="A14" s="5">
        <f t="shared" si="0"/>
        <v>1</v>
      </c>
      <c r="B14" t="s">
        <v>18</v>
      </c>
      <c r="C14" s="5">
        <v>0</v>
      </c>
      <c r="D14" s="5">
        <v>-1.15207788112946E-2</v>
      </c>
      <c r="E14" s="5">
        <v>-1.15207788112946E-2</v>
      </c>
      <c r="F14" s="5">
        <v>-1.15207788112946E-2</v>
      </c>
      <c r="G14" s="5">
        <v>-1.15207788112946E-2</v>
      </c>
      <c r="H14" s="5">
        <v>-1.15207788112946E-2</v>
      </c>
      <c r="I14" s="5">
        <v>-1.15207788112946E-2</v>
      </c>
      <c r="J14" s="5">
        <v>-1.15207788112946E-2</v>
      </c>
      <c r="K14" s="5">
        <v>-1.15207788112946E-2</v>
      </c>
      <c r="L14" s="5">
        <v>-1.15207788112946E-2</v>
      </c>
      <c r="M14" s="5">
        <v>-1.15207788112946E-2</v>
      </c>
      <c r="N14" s="5">
        <v>-1.15207788112946E-2</v>
      </c>
      <c r="O14" s="5">
        <v>-1.15207788112946E-2</v>
      </c>
      <c r="P14" s="5">
        <v>-1.15207788112946E-2</v>
      </c>
      <c r="Q14" s="5">
        <v>-1.15207788112946E-2</v>
      </c>
      <c r="R14" s="5">
        <v>-1.15207788112946E-2</v>
      </c>
      <c r="S14" s="5">
        <v>2.9668067801652501E-2</v>
      </c>
      <c r="T14" s="5">
        <v>2.9668067801652501E-2</v>
      </c>
      <c r="U14" s="5">
        <v>2.9668067801652501E-2</v>
      </c>
      <c r="V14" s="5">
        <v>2.9668067801652501E-2</v>
      </c>
      <c r="W14" s="5">
        <v>2.9668067801652501E-2</v>
      </c>
      <c r="X14" s="5">
        <v>2.9668067801652501E-2</v>
      </c>
      <c r="Y14" s="5">
        <v>2.9668067801652501E-2</v>
      </c>
      <c r="Z14" s="5">
        <v>2.9668067801652501E-2</v>
      </c>
      <c r="AA14" s="5">
        <v>2.9668067801652501E-2</v>
      </c>
      <c r="AB14" s="5">
        <v>2.9668067801652501E-2</v>
      </c>
      <c r="AC14" s="5">
        <v>2.9668067801652501E-2</v>
      </c>
      <c r="AD14" s="5">
        <v>2.9668067801652501E-2</v>
      </c>
      <c r="AE14" s="5">
        <v>2.9668067801652501E-2</v>
      </c>
      <c r="AF14" s="5">
        <v>2.9668067801652501E-2</v>
      </c>
      <c r="AG14" s="5">
        <v>2.9668067801652501E-2</v>
      </c>
      <c r="AH14" s="5">
        <v>2.9668067801652501E-2</v>
      </c>
      <c r="AI14" s="5">
        <v>2.9668067801652501E-2</v>
      </c>
      <c r="AJ14" s="5">
        <v>2.9668067801652501E-2</v>
      </c>
      <c r="AK14" s="5">
        <v>2.9668067801652501E-2</v>
      </c>
      <c r="AL14" s="5">
        <v>2.9668067801652501E-2</v>
      </c>
    </row>
    <row r="15" spans="1:38" s="5" customFormat="1" x14ac:dyDescent="0.35">
      <c r="A15" s="5">
        <f t="shared" si="0"/>
        <v>1</v>
      </c>
      <c r="B15" t="s">
        <v>19</v>
      </c>
      <c r="C15" s="5">
        <v>0</v>
      </c>
      <c r="D15" s="1">
        <v>3.6493798894147102E-5</v>
      </c>
      <c r="E15" s="1">
        <v>3.6493798894147102E-5</v>
      </c>
      <c r="F15" s="1">
        <v>3.6493798894147102E-5</v>
      </c>
      <c r="G15" s="1">
        <v>3.6493798894147102E-5</v>
      </c>
      <c r="H15" s="1">
        <v>3.6493798894147102E-5</v>
      </c>
      <c r="I15" s="1">
        <v>3.6493798894147102E-5</v>
      </c>
      <c r="J15" s="1">
        <v>3.6493798894147102E-5</v>
      </c>
      <c r="K15" s="1">
        <v>3.6493798894147102E-5</v>
      </c>
      <c r="L15" s="1">
        <v>3.6493798894147102E-5</v>
      </c>
      <c r="M15" s="1">
        <v>3.6493798894147102E-5</v>
      </c>
      <c r="N15" s="1">
        <v>3.6493798894147102E-5</v>
      </c>
      <c r="O15" s="1">
        <v>3.6493798894147102E-5</v>
      </c>
      <c r="P15" s="1">
        <v>3.6493798894147102E-5</v>
      </c>
      <c r="Q15" s="1">
        <v>3.6493798894147102E-5</v>
      </c>
      <c r="R15" s="1">
        <v>3.6493798894147102E-5</v>
      </c>
      <c r="S15" s="5">
        <v>2.4005207122940402E-2</v>
      </c>
      <c r="T15" s="5">
        <v>2.4005207122940402E-2</v>
      </c>
      <c r="U15" s="5">
        <v>2.4005207122940402E-2</v>
      </c>
      <c r="V15" s="5">
        <v>2.4005207122940402E-2</v>
      </c>
      <c r="W15" s="5">
        <v>2.4005207122940402E-2</v>
      </c>
      <c r="X15" s="5">
        <v>2.4005207122940402E-2</v>
      </c>
      <c r="Y15" s="5">
        <v>2.4005207122940402E-2</v>
      </c>
      <c r="Z15" s="5">
        <v>2.4005207122940402E-2</v>
      </c>
      <c r="AA15" s="5">
        <v>2.4005207122940402E-2</v>
      </c>
      <c r="AB15" s="5">
        <v>2.4005207122940402E-2</v>
      </c>
      <c r="AC15" s="5">
        <v>2.4005207122940402E-2</v>
      </c>
      <c r="AD15" s="5">
        <v>2.4005207122940402E-2</v>
      </c>
      <c r="AE15" s="5">
        <v>2.4005207122940402E-2</v>
      </c>
      <c r="AF15" s="5">
        <v>2.4005207122940402E-2</v>
      </c>
      <c r="AG15" s="5">
        <v>2.4005207122940402E-2</v>
      </c>
      <c r="AH15" s="5">
        <v>2.4005207122940402E-2</v>
      </c>
      <c r="AI15" s="5">
        <v>2.4005207122940402E-2</v>
      </c>
      <c r="AJ15" s="5">
        <v>2.4005207122940402E-2</v>
      </c>
      <c r="AK15" s="5">
        <v>2.4005207122940402E-2</v>
      </c>
      <c r="AL15" s="5">
        <v>2.4005207122940402E-2</v>
      </c>
    </row>
    <row r="16" spans="1:38" s="5" customFormat="1" x14ac:dyDescent="0.35">
      <c r="A16" s="5">
        <f t="shared" si="0"/>
        <v>1</v>
      </c>
      <c r="B16" t="s">
        <v>21</v>
      </c>
      <c r="C16" s="5">
        <v>0</v>
      </c>
      <c r="D16" s="5">
        <v>6.1834745295691697E-2</v>
      </c>
      <c r="E16" s="5">
        <v>6.1834745295691697E-2</v>
      </c>
      <c r="F16" s="5">
        <v>6.1834745295691697E-2</v>
      </c>
      <c r="G16" s="5">
        <v>6.1834745295691697E-2</v>
      </c>
      <c r="H16" s="5">
        <v>6.1834745295691697E-2</v>
      </c>
      <c r="I16" s="5">
        <v>6.1834745295691697E-2</v>
      </c>
      <c r="J16" s="5">
        <v>6.1834745295691697E-2</v>
      </c>
      <c r="K16" s="5">
        <v>6.1834745295691697E-2</v>
      </c>
      <c r="L16" s="5">
        <v>6.1834745295691697E-2</v>
      </c>
      <c r="M16" s="5">
        <v>6.1834745295691697E-2</v>
      </c>
      <c r="N16" s="5">
        <v>6.1834745295691697E-2</v>
      </c>
      <c r="O16" s="5">
        <v>6.1834745295691697E-2</v>
      </c>
      <c r="P16" s="5">
        <v>6.1834745295691697E-2</v>
      </c>
      <c r="Q16" s="5">
        <v>6.1834745295691697E-2</v>
      </c>
      <c r="R16" s="5">
        <v>6.1834745295691697E-2</v>
      </c>
      <c r="S16" s="5">
        <v>2.5790430439224001E-2</v>
      </c>
      <c r="T16" s="5">
        <v>2.5790430439224001E-2</v>
      </c>
      <c r="U16" s="5">
        <v>2.5790430439224001E-2</v>
      </c>
      <c r="V16" s="5">
        <v>2.5790430439224001E-2</v>
      </c>
      <c r="W16" s="5">
        <v>2.5790430439224001E-2</v>
      </c>
      <c r="X16" s="5">
        <v>2.5790430439224001E-2</v>
      </c>
      <c r="Y16" s="5">
        <v>2.5790430439224001E-2</v>
      </c>
      <c r="Z16" s="5">
        <v>2.5790430439224001E-2</v>
      </c>
      <c r="AA16" s="5">
        <v>2.5790430439224001E-2</v>
      </c>
      <c r="AB16" s="5">
        <v>2.5790430439224001E-2</v>
      </c>
      <c r="AC16" s="5">
        <v>2.5790430439224001E-2</v>
      </c>
      <c r="AD16" s="5">
        <v>2.5790430439224001E-2</v>
      </c>
      <c r="AE16" s="5">
        <v>2.5790430439224001E-2</v>
      </c>
      <c r="AF16" s="5">
        <v>2.5790430439224001E-2</v>
      </c>
      <c r="AG16" s="5">
        <v>2.5790430439224001E-2</v>
      </c>
      <c r="AH16" s="5">
        <v>2.5790430439224001E-2</v>
      </c>
      <c r="AI16" s="5">
        <v>2.5790430439224001E-2</v>
      </c>
      <c r="AJ16" s="5">
        <v>2.5790430439224001E-2</v>
      </c>
      <c r="AK16" s="5">
        <v>2.5790430439224001E-2</v>
      </c>
      <c r="AL16" s="5">
        <v>2.5790430439224001E-2</v>
      </c>
    </row>
    <row r="17" spans="1:38" s="5" customFormat="1" x14ac:dyDescent="0.35">
      <c r="A17" s="5">
        <f t="shared" si="0"/>
        <v>1</v>
      </c>
      <c r="B17" t="s">
        <v>22</v>
      </c>
      <c r="C17" s="5">
        <v>0</v>
      </c>
      <c r="D17" s="5">
        <v>-6.4760568328210893E-2</v>
      </c>
      <c r="E17" s="5">
        <v>-6.4760568328210893E-2</v>
      </c>
      <c r="F17" s="5">
        <v>-6.4760568328210893E-2</v>
      </c>
      <c r="G17" s="5">
        <v>-6.4760568328210893E-2</v>
      </c>
      <c r="H17" s="5">
        <v>-6.4760568328210893E-2</v>
      </c>
      <c r="I17" s="5">
        <v>-6.4760568328210893E-2</v>
      </c>
      <c r="J17" s="5">
        <v>-6.4760568328210893E-2</v>
      </c>
      <c r="K17" s="5">
        <v>-6.4760568328210893E-2</v>
      </c>
      <c r="L17" s="5">
        <v>-6.4760568328210893E-2</v>
      </c>
      <c r="M17" s="5">
        <v>-6.4760568328210893E-2</v>
      </c>
      <c r="N17" s="5">
        <v>-6.4760568328210893E-2</v>
      </c>
      <c r="O17" s="5">
        <v>-6.4760568328210893E-2</v>
      </c>
      <c r="P17" s="5">
        <v>-6.4760568328210893E-2</v>
      </c>
      <c r="Q17" s="5">
        <v>-6.4760568328210893E-2</v>
      </c>
      <c r="R17" s="5">
        <v>-6.4760568328210893E-2</v>
      </c>
      <c r="S17" s="5">
        <v>2.2025226187605201E-2</v>
      </c>
      <c r="T17" s="5">
        <v>2.2025226187605201E-2</v>
      </c>
      <c r="U17" s="5">
        <v>2.2025226187605201E-2</v>
      </c>
      <c r="V17" s="5">
        <v>2.2025226187605201E-2</v>
      </c>
      <c r="W17" s="5">
        <v>2.2025226187605201E-2</v>
      </c>
      <c r="X17" s="5">
        <v>2.2025226187605201E-2</v>
      </c>
      <c r="Y17" s="5">
        <v>2.2025226187605201E-2</v>
      </c>
      <c r="Z17" s="5">
        <v>2.2025226187605201E-2</v>
      </c>
      <c r="AA17" s="5">
        <v>2.2025226187605201E-2</v>
      </c>
      <c r="AB17" s="5">
        <v>2.2025226187605201E-2</v>
      </c>
      <c r="AC17" s="5">
        <v>2.2025226187605201E-2</v>
      </c>
      <c r="AD17" s="5">
        <v>2.2025226187605201E-2</v>
      </c>
      <c r="AE17" s="5">
        <v>2.2025226187605201E-2</v>
      </c>
      <c r="AF17" s="5">
        <v>2.2025226187605201E-2</v>
      </c>
      <c r="AG17" s="5">
        <v>2.2025226187605201E-2</v>
      </c>
      <c r="AH17" s="5">
        <v>2.2025226187605201E-2</v>
      </c>
      <c r="AI17" s="5">
        <v>2.2025226187605201E-2</v>
      </c>
      <c r="AJ17" s="5">
        <v>2.2025226187605201E-2</v>
      </c>
      <c r="AK17" s="5">
        <v>2.2025226187605201E-2</v>
      </c>
      <c r="AL17" s="5">
        <v>2.2025226187605201E-2</v>
      </c>
    </row>
    <row r="18" spans="1:38" s="5" customFormat="1" x14ac:dyDescent="0.35">
      <c r="A18" s="5">
        <f t="shared" si="0"/>
        <v>1</v>
      </c>
      <c r="B18" t="s">
        <v>23</v>
      </c>
      <c r="C18">
        <v>0</v>
      </c>
      <c r="D18">
        <v>3.60909480725028E-2</v>
      </c>
      <c r="E18">
        <v>3.60909480725028E-2</v>
      </c>
      <c r="F18">
        <v>3.60909480725028E-2</v>
      </c>
      <c r="G18">
        <v>3.60909480725028E-2</v>
      </c>
      <c r="H18">
        <v>3.60909480725028E-2</v>
      </c>
      <c r="I18">
        <v>3.60909480725028E-2</v>
      </c>
      <c r="J18">
        <v>3.60909480725028E-2</v>
      </c>
      <c r="K18">
        <v>3.60909480725028E-2</v>
      </c>
      <c r="L18">
        <v>3.60909480725028E-2</v>
      </c>
      <c r="M18">
        <v>3.60909480725028E-2</v>
      </c>
      <c r="N18">
        <v>3.60909480725028E-2</v>
      </c>
      <c r="O18">
        <v>3.60909480725028E-2</v>
      </c>
      <c r="P18">
        <v>3.60909480725028E-2</v>
      </c>
      <c r="Q18">
        <v>3.60909480725028E-2</v>
      </c>
      <c r="R18">
        <v>3.60909480725028E-2</v>
      </c>
      <c r="S18">
        <v>9.6677033468143495E-3</v>
      </c>
      <c r="T18">
        <v>9.6677033468143495E-3</v>
      </c>
      <c r="U18">
        <v>9.6677033468143495E-3</v>
      </c>
      <c r="V18">
        <v>9.6677033468143495E-3</v>
      </c>
      <c r="W18">
        <v>9.6677033468143495E-3</v>
      </c>
      <c r="X18">
        <v>9.6677033468143495E-3</v>
      </c>
      <c r="Y18">
        <v>9.6677033468143495E-3</v>
      </c>
      <c r="Z18">
        <v>9.6677033468143495E-3</v>
      </c>
      <c r="AA18">
        <v>9.6677033468143495E-3</v>
      </c>
      <c r="AB18">
        <v>9.6677033468143495E-3</v>
      </c>
      <c r="AC18">
        <v>9.6677033468143495E-3</v>
      </c>
      <c r="AD18">
        <v>9.6677033468143495E-3</v>
      </c>
      <c r="AE18">
        <v>9.6677033468143495E-3</v>
      </c>
      <c r="AF18">
        <v>9.6677033468143495E-3</v>
      </c>
      <c r="AG18">
        <v>9.6677033468143495E-3</v>
      </c>
      <c r="AH18">
        <v>9.6677033468143495E-3</v>
      </c>
      <c r="AI18">
        <v>9.6677033468143495E-3</v>
      </c>
      <c r="AJ18">
        <v>9.6677033468143495E-3</v>
      </c>
      <c r="AK18">
        <v>9.6677033468143495E-3</v>
      </c>
      <c r="AL18">
        <v>9.6677033468143495E-3</v>
      </c>
    </row>
    <row r="19" spans="1:38" s="5" customFormat="1" x14ac:dyDescent="0.35">
      <c r="A19" s="5">
        <f t="shared" si="0"/>
        <v>1</v>
      </c>
      <c r="B19" t="s">
        <v>24</v>
      </c>
      <c r="C19">
        <v>0</v>
      </c>
      <c r="D19">
        <v>-7.43102128172637E-3</v>
      </c>
      <c r="E19">
        <v>-7.43102128172637E-3</v>
      </c>
      <c r="F19">
        <v>-7.43102128172637E-3</v>
      </c>
      <c r="G19">
        <v>-7.43102128172637E-3</v>
      </c>
      <c r="H19">
        <v>-7.43102128172637E-3</v>
      </c>
      <c r="I19">
        <v>-7.43102128172637E-3</v>
      </c>
      <c r="J19">
        <v>-7.43102128172637E-3</v>
      </c>
      <c r="K19">
        <v>-7.43102128172637E-3</v>
      </c>
      <c r="L19">
        <v>-7.43102128172637E-3</v>
      </c>
      <c r="M19">
        <v>-7.43102128172637E-3</v>
      </c>
      <c r="N19">
        <v>-7.43102128172637E-3</v>
      </c>
      <c r="O19">
        <v>-7.43102128172637E-3</v>
      </c>
      <c r="P19">
        <v>-7.43102128172637E-3</v>
      </c>
      <c r="Q19">
        <v>-7.43102128172637E-3</v>
      </c>
      <c r="R19">
        <v>-7.43102128172637E-3</v>
      </c>
      <c r="S19">
        <v>3.0743317142722E-2</v>
      </c>
      <c r="T19">
        <v>3.0743317142722E-2</v>
      </c>
      <c r="U19">
        <v>3.0743317142722E-2</v>
      </c>
      <c r="V19">
        <v>3.0743317142722E-2</v>
      </c>
      <c r="W19">
        <v>3.0743317142722E-2</v>
      </c>
      <c r="X19">
        <v>3.0743317142722E-2</v>
      </c>
      <c r="Y19">
        <v>3.0743317142722E-2</v>
      </c>
      <c r="Z19">
        <v>3.0743317142722E-2</v>
      </c>
      <c r="AA19">
        <v>3.0743317142722E-2</v>
      </c>
      <c r="AB19">
        <v>3.0743317142722E-2</v>
      </c>
      <c r="AC19">
        <v>3.0743317142722E-2</v>
      </c>
      <c r="AD19">
        <v>3.0743317142722E-2</v>
      </c>
      <c r="AE19">
        <v>3.0743317142722E-2</v>
      </c>
      <c r="AF19">
        <v>3.0743317142722E-2</v>
      </c>
      <c r="AG19">
        <v>3.0743317142722E-2</v>
      </c>
      <c r="AH19">
        <v>3.0743317142722E-2</v>
      </c>
      <c r="AI19">
        <v>3.0743317142722E-2</v>
      </c>
      <c r="AJ19">
        <v>3.0743317142722E-2</v>
      </c>
      <c r="AK19">
        <v>3.0743317142722E-2</v>
      </c>
      <c r="AL19">
        <v>3.0743317142722E-2</v>
      </c>
    </row>
    <row r="20" spans="1:38" s="5" customFormat="1" x14ac:dyDescent="0.35">
      <c r="A20" s="5">
        <f t="shared" si="0"/>
        <v>1</v>
      </c>
      <c r="B20" t="s">
        <v>25</v>
      </c>
      <c r="C20">
        <v>0</v>
      </c>
      <c r="D20">
        <v>-3.4525241339306401E-2</v>
      </c>
      <c r="E20">
        <v>-3.4525241339306401E-2</v>
      </c>
      <c r="F20">
        <v>-3.4525241339306401E-2</v>
      </c>
      <c r="G20">
        <v>-3.4525241339306401E-2</v>
      </c>
      <c r="H20">
        <v>-3.4525241339306401E-2</v>
      </c>
      <c r="I20">
        <v>-3.4525241339306401E-2</v>
      </c>
      <c r="J20">
        <v>-3.4525241339306401E-2</v>
      </c>
      <c r="K20">
        <v>-3.4525241339306401E-2</v>
      </c>
      <c r="L20">
        <v>-3.4525241339306401E-2</v>
      </c>
      <c r="M20">
        <v>-3.4525241339306401E-2</v>
      </c>
      <c r="N20">
        <v>-3.4525241339306401E-2</v>
      </c>
      <c r="O20">
        <v>-3.4525241339306401E-2</v>
      </c>
      <c r="P20">
        <v>-3.4525241339306401E-2</v>
      </c>
      <c r="Q20">
        <v>-3.4525241339306401E-2</v>
      </c>
      <c r="R20">
        <v>-3.4525241339306401E-2</v>
      </c>
      <c r="S20">
        <v>-1.96415845248505E-3</v>
      </c>
      <c r="T20">
        <v>-1.96415845248505E-3</v>
      </c>
      <c r="U20">
        <v>-1.96415845248505E-3</v>
      </c>
      <c r="V20">
        <v>-1.96415845248505E-3</v>
      </c>
      <c r="W20">
        <v>-1.96415845248505E-3</v>
      </c>
      <c r="X20">
        <v>-1.96415845248505E-3</v>
      </c>
      <c r="Y20">
        <v>-1.96415845248505E-3</v>
      </c>
      <c r="Z20">
        <v>-1.96415845248505E-3</v>
      </c>
      <c r="AA20">
        <v>-1.96415845248505E-3</v>
      </c>
      <c r="AB20">
        <v>-1.96415845248505E-3</v>
      </c>
      <c r="AC20">
        <v>-1.96415845248505E-3</v>
      </c>
      <c r="AD20">
        <v>-1.96415845248505E-3</v>
      </c>
      <c r="AE20">
        <v>-1.96415845248505E-3</v>
      </c>
      <c r="AF20">
        <v>-1.96415845248505E-3</v>
      </c>
      <c r="AG20">
        <v>-1.96415845248505E-3</v>
      </c>
      <c r="AH20">
        <v>-1.96415845248505E-3</v>
      </c>
      <c r="AI20">
        <v>-1.96415845248505E-3</v>
      </c>
      <c r="AJ20">
        <v>-1.96415845248505E-3</v>
      </c>
      <c r="AK20">
        <v>-1.96415845248505E-3</v>
      </c>
      <c r="AL20">
        <v>-1.96415845248505E-3</v>
      </c>
    </row>
    <row r="21" spans="1:38" s="5" customFormat="1" x14ac:dyDescent="0.35">
      <c r="A21" s="5">
        <f t="shared" si="0"/>
        <v>1</v>
      </c>
      <c r="B21" t="s">
        <v>26</v>
      </c>
      <c r="C21">
        <v>0</v>
      </c>
      <c r="D21">
        <v>-3.8630097384984102E-2</v>
      </c>
      <c r="E21">
        <v>-3.8630097384984102E-2</v>
      </c>
      <c r="F21">
        <v>-3.8630097384984102E-2</v>
      </c>
      <c r="G21">
        <v>-3.8630097384984102E-2</v>
      </c>
      <c r="H21">
        <v>-3.8630097384984102E-2</v>
      </c>
      <c r="I21">
        <v>-3.8630097384984102E-2</v>
      </c>
      <c r="J21">
        <v>-3.8630097384984102E-2</v>
      </c>
      <c r="K21">
        <v>-3.8630097384984102E-2</v>
      </c>
      <c r="L21">
        <v>-3.8630097384984102E-2</v>
      </c>
      <c r="M21">
        <v>-3.8630097384984102E-2</v>
      </c>
      <c r="N21">
        <v>-3.8630097384984102E-2</v>
      </c>
      <c r="O21">
        <v>-3.8630097384984102E-2</v>
      </c>
      <c r="P21">
        <v>-3.8630097384984102E-2</v>
      </c>
      <c r="Q21">
        <v>-3.8630097384984102E-2</v>
      </c>
      <c r="R21">
        <v>-3.8630097384984102E-2</v>
      </c>
      <c r="S21">
        <v>-2.8007875327673501E-3</v>
      </c>
      <c r="T21">
        <v>-2.8007875327673501E-3</v>
      </c>
      <c r="U21">
        <v>-2.8007875327673501E-3</v>
      </c>
      <c r="V21">
        <v>-2.8007875327673501E-3</v>
      </c>
      <c r="W21">
        <v>-2.8007875327673501E-3</v>
      </c>
      <c r="X21">
        <v>-2.8007875327673501E-3</v>
      </c>
      <c r="Y21">
        <v>-2.8007875327673501E-3</v>
      </c>
      <c r="Z21">
        <v>-2.8007875327673501E-3</v>
      </c>
      <c r="AA21">
        <v>-2.8007875327673501E-3</v>
      </c>
      <c r="AB21">
        <v>-2.8007875327673501E-3</v>
      </c>
      <c r="AC21">
        <v>-2.8007875327673501E-3</v>
      </c>
      <c r="AD21">
        <v>-2.8007875327673501E-3</v>
      </c>
      <c r="AE21">
        <v>-2.8007875327673501E-3</v>
      </c>
      <c r="AF21">
        <v>-2.8007875327673501E-3</v>
      </c>
      <c r="AG21">
        <v>-2.8007875327673501E-3</v>
      </c>
      <c r="AH21">
        <v>-2.8007875327673501E-3</v>
      </c>
      <c r="AI21">
        <v>-2.8007875327673501E-3</v>
      </c>
      <c r="AJ21">
        <v>-2.8007875327673501E-3</v>
      </c>
      <c r="AK21">
        <v>-2.8007875327673501E-3</v>
      </c>
      <c r="AL21">
        <v>-2.8007875327673501E-3</v>
      </c>
    </row>
    <row r="22" spans="1:38" s="5" customFormat="1" x14ac:dyDescent="0.35">
      <c r="A22" s="5">
        <f t="shared" si="0"/>
        <v>1</v>
      </c>
      <c r="B22" t="s">
        <v>27</v>
      </c>
      <c r="C22">
        <v>0</v>
      </c>
      <c r="D22">
        <v>0.26996873467964499</v>
      </c>
      <c r="E22">
        <v>0.53993746935928999</v>
      </c>
      <c r="F22">
        <v>0.80990620403893598</v>
      </c>
      <c r="G22">
        <v>1.07987493871858</v>
      </c>
      <c r="H22">
        <v>1.34984367339822</v>
      </c>
      <c r="I22">
        <v>1.61981240807787</v>
      </c>
      <c r="J22">
        <v>1.88978114275751</v>
      </c>
      <c r="K22">
        <v>2.15974987743716</v>
      </c>
      <c r="L22">
        <v>2.4297186121168002</v>
      </c>
      <c r="M22">
        <v>2.6996873467964502</v>
      </c>
      <c r="N22">
        <v>2.9696560814760899</v>
      </c>
      <c r="O22">
        <v>3.2396248161557399</v>
      </c>
      <c r="P22">
        <v>3.5095935508353899</v>
      </c>
      <c r="Q22">
        <v>3.7795622855150302</v>
      </c>
      <c r="R22">
        <v>4.0495310201946797</v>
      </c>
      <c r="S22">
        <v>4.9095122557319701</v>
      </c>
      <c r="T22">
        <v>5.9521239543495899</v>
      </c>
      <c r="U22">
        <v>7.2161505507149704</v>
      </c>
      <c r="V22">
        <v>8.7486129606778604</v>
      </c>
      <c r="W22">
        <v>10.606517726844899</v>
      </c>
      <c r="X22">
        <v>12.8589776225693</v>
      </c>
      <c r="Y22">
        <v>15.589782599356999</v>
      </c>
      <c r="Z22">
        <v>18.900516715157998</v>
      </c>
      <c r="AA22">
        <v>22.914336991120098</v>
      </c>
      <c r="AB22">
        <v>27.780554767665102</v>
      </c>
      <c r="AC22">
        <v>33.680189983167097</v>
      </c>
      <c r="AD22">
        <v>40.832704990562299</v>
      </c>
      <c r="AE22">
        <v>49.504168405213598</v>
      </c>
      <c r="AF22">
        <v>60.017152673528997</v>
      </c>
      <c r="AG22">
        <v>72.762733545046999</v>
      </c>
      <c r="AH22">
        <v>88.215037820057404</v>
      </c>
      <c r="AI22">
        <v>106.94888053891501</v>
      </c>
      <c r="AJ22">
        <v>129.66114770430201</v>
      </c>
      <c r="AK22">
        <v>157.196719958931</v>
      </c>
      <c r="AL22">
        <v>190.579901561573</v>
      </c>
    </row>
    <row r="23" spans="1:38" s="5" customFormat="1" x14ac:dyDescent="0.35">
      <c r="A23" s="5">
        <f t="shared" si="0"/>
        <v>1</v>
      </c>
      <c r="B23" s="5" t="s">
        <v>28</v>
      </c>
      <c r="C23">
        <v>0</v>
      </c>
      <c r="D23">
        <v>-194.19847606236601</v>
      </c>
      <c r="E23">
        <v>-388.39695212473299</v>
      </c>
      <c r="F23">
        <v>-582.59542818709997</v>
      </c>
      <c r="G23">
        <v>-776.79390424946598</v>
      </c>
      <c r="H23">
        <v>-970.99238031183302</v>
      </c>
      <c r="I23">
        <v>-1165.1908563741999</v>
      </c>
      <c r="J23">
        <v>-1359.3893324365599</v>
      </c>
      <c r="K23">
        <v>-1553.5878084989299</v>
      </c>
      <c r="L23">
        <v>-1747.7862845612999</v>
      </c>
      <c r="M23">
        <v>-1941.9847606236599</v>
      </c>
      <c r="N23">
        <v>-2136.1832366860299</v>
      </c>
      <c r="O23">
        <v>-2330.3817127483999</v>
      </c>
      <c r="P23">
        <v>-2524.5801888107599</v>
      </c>
      <c r="Q23">
        <v>-2718.7786648731299</v>
      </c>
      <c r="R23">
        <v>-2912.9771409354998</v>
      </c>
      <c r="S23">
        <v>-3221.0933513066998</v>
      </c>
      <c r="T23">
        <v>-3529.2095616779102</v>
      </c>
      <c r="U23">
        <v>-3837.3257720491201</v>
      </c>
      <c r="V23">
        <v>-4145.4419824203296</v>
      </c>
      <c r="W23">
        <v>-4453.55819279153</v>
      </c>
      <c r="X23">
        <v>-4761.6744031627404</v>
      </c>
      <c r="Y23">
        <v>-5069.7906135339499</v>
      </c>
      <c r="Z23">
        <v>-5377.9068239051603</v>
      </c>
      <c r="AA23">
        <v>-5686.0230342763598</v>
      </c>
      <c r="AB23">
        <v>-5994.1392446475702</v>
      </c>
      <c r="AC23">
        <v>-6302.2554550187797</v>
      </c>
      <c r="AD23">
        <v>-6610.3716653899801</v>
      </c>
      <c r="AE23">
        <v>-6918.4878757611896</v>
      </c>
      <c r="AF23">
        <v>-7226.6040861324</v>
      </c>
      <c r="AG23">
        <v>-7534.7202965036104</v>
      </c>
      <c r="AH23">
        <v>-7842.8365068748099</v>
      </c>
      <c r="AI23">
        <v>-8150.9527172460203</v>
      </c>
      <c r="AJ23">
        <v>-8459.0689276172307</v>
      </c>
      <c r="AK23">
        <v>-8767.1851379884301</v>
      </c>
      <c r="AL23">
        <v>-9075.3013483596405</v>
      </c>
    </row>
    <row r="24" spans="1:38" s="5" customFormat="1" x14ac:dyDescent="0.35">
      <c r="A24" s="5">
        <f t="shared" si="0"/>
        <v>1</v>
      </c>
      <c r="B24" s="5" t="s">
        <v>29</v>
      </c>
      <c r="C24">
        <v>0</v>
      </c>
      <c r="D24">
        <v>9.0634221060872804</v>
      </c>
      <c r="E24">
        <v>18.1268442121745</v>
      </c>
      <c r="F24">
        <v>27.190266318261799</v>
      </c>
      <c r="G24">
        <v>36.2536884243491</v>
      </c>
      <c r="H24">
        <v>45.317110530436402</v>
      </c>
      <c r="I24">
        <v>54.380532636523697</v>
      </c>
      <c r="J24">
        <v>63.443954742610998</v>
      </c>
      <c r="K24">
        <v>72.5073768486982</v>
      </c>
      <c r="L24">
        <v>81.570798954785502</v>
      </c>
      <c r="M24">
        <v>90.634221060872804</v>
      </c>
      <c r="N24">
        <v>99.697643166960106</v>
      </c>
      <c r="O24">
        <v>108.761065273047</v>
      </c>
      <c r="P24">
        <v>117.824487379134</v>
      </c>
      <c r="Q24">
        <v>126.887909485222</v>
      </c>
      <c r="R24">
        <v>135.95133159130901</v>
      </c>
      <c r="S24">
        <v>141.41396179092399</v>
      </c>
      <c r="T24">
        <v>147.09608471891701</v>
      </c>
      <c r="U24">
        <v>153.00651976376301</v>
      </c>
      <c r="V24">
        <v>159.154440683817</v>
      </c>
      <c r="W24">
        <v>165.54938984618201</v>
      </c>
      <c r="X24">
        <v>172.20129303768701</v>
      </c>
      <c r="Y24">
        <v>179.12047487099301</v>
      </c>
      <c r="Z24">
        <v>186.31767480972599</v>
      </c>
      <c r="AA24">
        <v>193.80406383750901</v>
      </c>
      <c r="AB24">
        <v>201.59126179677099</v>
      </c>
      <c r="AC24">
        <v>209.69135542424601</v>
      </c>
      <c r="AD24">
        <v>218.116917111145</v>
      </c>
      <c r="AE24">
        <v>226.88102441713301</v>
      </c>
      <c r="AF24">
        <v>235.99728036838999</v>
      </c>
      <c r="AG24">
        <v>245.47983457126301</v>
      </c>
      <c r="AH24">
        <v>255.34340517428299</v>
      </c>
      <c r="AI24">
        <v>265.60330171263098</v>
      </c>
      <c r="AJ24">
        <v>276.27544887051499</v>
      </c>
      <c r="AK24">
        <v>287.376411198337</v>
      </c>
      <c r="AL24">
        <v>298.92341882300701</v>
      </c>
    </row>
    <row r="25" spans="1:38" s="5" customFormat="1" x14ac:dyDescent="0.35">
      <c r="A25" s="5">
        <f t="shared" si="0"/>
        <v>1</v>
      </c>
      <c r="B25" s="5" t="s">
        <v>30</v>
      </c>
      <c r="C25">
        <v>0</v>
      </c>
      <c r="D25">
        <v>121.29565997639</v>
      </c>
      <c r="E25">
        <v>242.59131995278</v>
      </c>
      <c r="F25">
        <v>363.88697992917099</v>
      </c>
      <c r="G25">
        <v>485.18263990556102</v>
      </c>
      <c r="H25">
        <v>606.47829988195099</v>
      </c>
      <c r="I25">
        <v>727.77395985834198</v>
      </c>
      <c r="J25">
        <v>849.06961983473195</v>
      </c>
      <c r="K25">
        <v>970.36527981112295</v>
      </c>
      <c r="L25">
        <v>1091.66093978751</v>
      </c>
      <c r="M25">
        <v>1212.9565997638999</v>
      </c>
      <c r="N25">
        <v>1334.2522597402899</v>
      </c>
      <c r="O25">
        <v>1455.5479197166801</v>
      </c>
      <c r="P25">
        <v>1576.8435796930701</v>
      </c>
      <c r="Q25">
        <v>1698.13923966946</v>
      </c>
      <c r="R25">
        <v>1819.43489964585</v>
      </c>
      <c r="S25">
        <v>1879.8444032023101</v>
      </c>
      <c r="T25">
        <v>1942.2596438811199</v>
      </c>
      <c r="U25">
        <v>2006.74721685635</v>
      </c>
      <c r="V25">
        <v>2073.37592841795</v>
      </c>
      <c r="W25">
        <v>2142.2168693859398</v>
      </c>
      <c r="X25">
        <v>2213.3434909622702</v>
      </c>
      <c r="Y25">
        <v>2286.8316831009201</v>
      </c>
      <c r="Z25">
        <v>2362.7598554802598</v>
      </c>
      <c r="AA25">
        <v>2441.2090211637801</v>
      </c>
      <c r="AB25">
        <v>2522.2628830385602</v>
      </c>
      <c r="AC25">
        <v>2606.0079231237501</v>
      </c>
      <c r="AD25">
        <v>2692.5334948442501</v>
      </c>
      <c r="AE25">
        <v>2781.93191836813</v>
      </c>
      <c r="AF25">
        <v>2874.2985791094302</v>
      </c>
      <c r="AG25">
        <v>2969.7320295015402</v>
      </c>
      <c r="AH25">
        <v>3068.3340941496499</v>
      </c>
      <c r="AI25">
        <v>3170.2099784745001</v>
      </c>
      <c r="AJ25">
        <v>3275.4683809634498</v>
      </c>
      <c r="AK25">
        <v>3384.2216091484202</v>
      </c>
      <c r="AL25">
        <v>3496.58569943463</v>
      </c>
    </row>
    <row r="26" spans="1:38" s="5" customFormat="1" x14ac:dyDescent="0.35">
      <c r="A26" s="5">
        <f t="shared" si="0"/>
        <v>1</v>
      </c>
      <c r="B26" s="5" t="s">
        <v>31</v>
      </c>
      <c r="C26">
        <v>0</v>
      </c>
      <c r="D26">
        <v>-0.16866777189330101</v>
      </c>
      <c r="E26">
        <v>-0.33733554378660202</v>
      </c>
      <c r="F26">
        <v>-0.50600331567990398</v>
      </c>
      <c r="G26">
        <v>-0.67467108757320504</v>
      </c>
      <c r="H26">
        <v>-0.843338859466506</v>
      </c>
      <c r="I26">
        <v>-1.0120066313598</v>
      </c>
      <c r="J26">
        <v>-1.1806744032531</v>
      </c>
      <c r="K26">
        <v>-1.3493421751464101</v>
      </c>
      <c r="L26">
        <v>-1.5180099470397099</v>
      </c>
      <c r="M26">
        <v>-1.68667771893301</v>
      </c>
      <c r="N26">
        <v>-1.8553454908263101</v>
      </c>
      <c r="O26">
        <v>-2.0240132627196101</v>
      </c>
      <c r="P26">
        <v>-2.1926810346129102</v>
      </c>
      <c r="Q26">
        <v>-2.3613488065062098</v>
      </c>
      <c r="R26">
        <v>-2.5300165783995201</v>
      </c>
      <c r="S26">
        <v>-2.5662456860177998</v>
      </c>
      <c r="T26">
        <v>-2.6024747936360901</v>
      </c>
      <c r="U26">
        <v>-2.63870390125438</v>
      </c>
      <c r="V26">
        <v>-2.6749330088726699</v>
      </c>
      <c r="W26">
        <v>-2.7111621164909598</v>
      </c>
      <c r="X26">
        <v>-2.7473912241092502</v>
      </c>
      <c r="Y26">
        <v>-2.7836203317275401</v>
      </c>
      <c r="Z26">
        <v>-2.8198494393458202</v>
      </c>
      <c r="AA26">
        <v>-2.8560785469641101</v>
      </c>
      <c r="AB26">
        <v>-2.8923076545824</v>
      </c>
      <c r="AC26">
        <v>-2.9285367622006899</v>
      </c>
      <c r="AD26">
        <v>-2.9647658698189798</v>
      </c>
      <c r="AE26">
        <v>-3.0009949774372702</v>
      </c>
      <c r="AF26">
        <v>-3.0372240850555499</v>
      </c>
      <c r="AG26">
        <v>-3.0734531926738402</v>
      </c>
      <c r="AH26">
        <v>-3.1096823002921301</v>
      </c>
      <c r="AI26">
        <v>-3.14591140791042</v>
      </c>
      <c r="AJ26">
        <v>-3.1821405155287099</v>
      </c>
      <c r="AK26">
        <v>-3.2183696231469998</v>
      </c>
      <c r="AL26">
        <v>-3.2545987307652902</v>
      </c>
    </row>
    <row r="27" spans="1:38" x14ac:dyDescent="0.35">
      <c r="A27" s="5">
        <f t="shared" si="0"/>
        <v>1</v>
      </c>
      <c r="B27" t="s">
        <v>1</v>
      </c>
      <c r="C27" s="1">
        <v>-9.9999999999999797E-11</v>
      </c>
      <c r="D27" s="1">
        <v>-1.0399999999999899E-10</v>
      </c>
      <c r="E27" s="1">
        <v>-1.08159999999999E-10</v>
      </c>
      <c r="F27" s="1">
        <v>-1.12486399999999E-10</v>
      </c>
      <c r="G27" s="1">
        <v>-1.1698585599999901E-10</v>
      </c>
      <c r="H27" s="1">
        <v>-1.21665290239999E-10</v>
      </c>
      <c r="I27">
        <v>-7.1221454301277701E-3</v>
      </c>
      <c r="J27">
        <v>-1.9684199729596799E-2</v>
      </c>
      <c r="K27">
        <v>-3.4183341932044697E-2</v>
      </c>
      <c r="L27">
        <v>-4.8892651116666998E-2</v>
      </c>
      <c r="M27">
        <v>-5.96566919104599E-2</v>
      </c>
      <c r="N27">
        <v>-6.1046890570736097E-2</v>
      </c>
      <c r="O27">
        <v>-5.88559194924917E-2</v>
      </c>
      <c r="P27">
        <v>-5.3663069979325101E-2</v>
      </c>
      <c r="Q27">
        <v>-4.8725079602807198E-2</v>
      </c>
      <c r="R27">
        <v>-4.3479958935571397E-2</v>
      </c>
      <c r="S27" s="5">
        <v>-4.3479958935571397E-2</v>
      </c>
      <c r="T27" s="5">
        <v>-4.3479958935571397E-2</v>
      </c>
      <c r="U27" s="5">
        <v>-4.3479958935571397E-2</v>
      </c>
      <c r="V27" s="5">
        <v>-4.3479958935571397E-2</v>
      </c>
      <c r="W27" s="5">
        <v>-4.3479958935571397E-2</v>
      </c>
      <c r="X27" s="5">
        <v>-4.3479958935571397E-2</v>
      </c>
      <c r="Y27" s="5">
        <v>-4.3479958935571397E-2</v>
      </c>
      <c r="Z27" s="5">
        <v>-4.3479958935571397E-2</v>
      </c>
      <c r="AA27" s="5">
        <v>-4.3479958935571397E-2</v>
      </c>
      <c r="AB27" s="5">
        <v>-4.3479958935571397E-2</v>
      </c>
      <c r="AC27" s="5">
        <v>-4.3479958935571397E-2</v>
      </c>
      <c r="AD27" s="5">
        <v>-4.3479958935571397E-2</v>
      </c>
      <c r="AE27" s="5">
        <v>-4.3479958935571397E-2</v>
      </c>
      <c r="AF27" s="5">
        <v>-4.3479958935571397E-2</v>
      </c>
      <c r="AG27" s="5">
        <v>-4.3479958935571397E-2</v>
      </c>
      <c r="AH27" s="5">
        <v>-4.3479958935571397E-2</v>
      </c>
      <c r="AI27" s="5">
        <v>-4.3479958935571397E-2</v>
      </c>
      <c r="AJ27" s="5">
        <v>-4.3479958935571397E-2</v>
      </c>
      <c r="AK27" s="5">
        <v>-4.3479958935571397E-2</v>
      </c>
      <c r="AL27" s="5">
        <v>-4.3479958935571397E-2</v>
      </c>
    </row>
    <row r="28" spans="1:38" x14ac:dyDescent="0.35">
      <c r="A28" s="5">
        <f t="shared" si="0"/>
        <v>1</v>
      </c>
      <c r="B28" t="s">
        <v>2</v>
      </c>
      <c r="C28">
        <v>-3.2781502856806699E-2</v>
      </c>
      <c r="D28">
        <v>-8.6998061302454799E-2</v>
      </c>
      <c r="E28">
        <v>-0.14121461974810301</v>
      </c>
      <c r="F28">
        <v>-0.195431178193751</v>
      </c>
      <c r="G28">
        <v>-0.24964773663939899</v>
      </c>
      <c r="H28">
        <v>-0.30386429508504698</v>
      </c>
      <c r="I28">
        <v>-0.74505566006727397</v>
      </c>
      <c r="J28">
        <v>-0.93085251336835595</v>
      </c>
      <c r="K28">
        <v>-1.1569994520431099</v>
      </c>
      <c r="L28">
        <v>-1.3997442046662201</v>
      </c>
      <c r="M28">
        <v>-1.6197610598908601</v>
      </c>
      <c r="N28">
        <v>-1.7746990089308701</v>
      </c>
      <c r="O28">
        <v>-1.90051775400894</v>
      </c>
      <c r="P28">
        <v>-1.98954837062736</v>
      </c>
      <c r="Q28">
        <v>-2.0681371923274599</v>
      </c>
      <c r="R28">
        <v>-2.1393350435870402</v>
      </c>
      <c r="S28" s="5">
        <v>-2.1393350435870402</v>
      </c>
      <c r="T28" s="5">
        <v>-2.1393350435870402</v>
      </c>
      <c r="U28" s="5">
        <v>-2.1393350435870402</v>
      </c>
      <c r="V28" s="5">
        <v>-2.1393350435870402</v>
      </c>
      <c r="W28" s="5">
        <v>-2.1393350435870402</v>
      </c>
      <c r="X28" s="5">
        <v>-2.1393350435870402</v>
      </c>
      <c r="Y28" s="5">
        <v>-2.1393350435870402</v>
      </c>
      <c r="Z28" s="5">
        <v>-2.1393350435870402</v>
      </c>
      <c r="AA28" s="5">
        <v>-2.1393350435870402</v>
      </c>
      <c r="AB28" s="5">
        <v>-2.1393350435870402</v>
      </c>
      <c r="AC28" s="5">
        <v>-2.1393350435870402</v>
      </c>
      <c r="AD28" s="5">
        <v>-2.1393350435870402</v>
      </c>
      <c r="AE28" s="5">
        <v>-2.1393350435870402</v>
      </c>
      <c r="AF28" s="5">
        <v>-2.1393350435870402</v>
      </c>
      <c r="AG28" s="5">
        <v>-2.1393350435870402</v>
      </c>
      <c r="AH28" s="5">
        <v>-2.1393350435870402</v>
      </c>
      <c r="AI28" s="5">
        <v>-2.1393350435870402</v>
      </c>
      <c r="AJ28" s="5">
        <v>-2.1393350435870402</v>
      </c>
      <c r="AK28" s="5">
        <v>-2.1393350435870402</v>
      </c>
      <c r="AL28" s="5">
        <v>-2.1393350435870402</v>
      </c>
    </row>
    <row r="29" spans="1:38" x14ac:dyDescent="0.35">
      <c r="A29" s="5">
        <f t="shared" si="0"/>
        <v>1</v>
      </c>
      <c r="B29" t="s">
        <v>3</v>
      </c>
      <c r="C29">
        <v>-9.5027064857459403E-2</v>
      </c>
      <c r="D29">
        <v>-7.6526387407766197E-2</v>
      </c>
      <c r="E29">
        <v>-5.8025709958073102E-2</v>
      </c>
      <c r="F29">
        <v>-3.9525032508379999E-2</v>
      </c>
      <c r="G29">
        <v>-2.10243550586868E-2</v>
      </c>
      <c r="H29">
        <v>-2.5236776089937098E-3</v>
      </c>
      <c r="I29">
        <v>-7.8407704804536904E-2</v>
      </c>
      <c r="J29">
        <v>-0.14704851373139899</v>
      </c>
      <c r="K29">
        <v>-0.197316080422861</v>
      </c>
      <c r="L29">
        <v>-0.225142554728684</v>
      </c>
      <c r="M29">
        <v>-0.227125208093401</v>
      </c>
      <c r="N29">
        <v>-0.238534611368033</v>
      </c>
      <c r="O29">
        <v>-0.25263581435578902</v>
      </c>
      <c r="P29">
        <v>-0.266873019574003</v>
      </c>
      <c r="Q29">
        <v>-0.27959292719001999</v>
      </c>
      <c r="R29">
        <v>-0.29035294930538602</v>
      </c>
      <c r="S29" s="5">
        <v>-0.29035294930538602</v>
      </c>
      <c r="T29" s="5">
        <v>-0.29035294930538602</v>
      </c>
      <c r="U29" s="5">
        <v>-0.29035294930538602</v>
      </c>
      <c r="V29" s="5">
        <v>-0.29035294930538602</v>
      </c>
      <c r="W29" s="5">
        <v>-0.29035294930538602</v>
      </c>
      <c r="X29" s="5">
        <v>-0.29035294930538602</v>
      </c>
      <c r="Y29" s="5">
        <v>-0.29035294930538602</v>
      </c>
      <c r="Z29" s="5">
        <v>-0.29035294930538602</v>
      </c>
      <c r="AA29" s="5">
        <v>-0.29035294930538602</v>
      </c>
      <c r="AB29" s="5">
        <v>-0.29035294930538602</v>
      </c>
      <c r="AC29" s="5">
        <v>-0.29035294930538602</v>
      </c>
      <c r="AD29" s="5">
        <v>-0.29035294930538602</v>
      </c>
      <c r="AE29" s="5">
        <v>-0.29035294930538602</v>
      </c>
      <c r="AF29" s="5">
        <v>-0.29035294930538602</v>
      </c>
      <c r="AG29" s="5">
        <v>-0.29035294930538602</v>
      </c>
      <c r="AH29" s="5">
        <v>-0.29035294930538602</v>
      </c>
      <c r="AI29" s="5">
        <v>-0.29035294930538602</v>
      </c>
      <c r="AJ29" s="5">
        <v>-0.29035294930538602</v>
      </c>
      <c r="AK29" s="5">
        <v>-0.29035294930538602</v>
      </c>
      <c r="AL29" s="5">
        <v>-0.29035294930538602</v>
      </c>
    </row>
    <row r="30" spans="1:38" x14ac:dyDescent="0.35">
      <c r="A30" s="5">
        <f t="shared" si="0"/>
        <v>1</v>
      </c>
      <c r="B30" t="s">
        <v>4</v>
      </c>
      <c r="C30">
        <v>-0.162525638397339</v>
      </c>
      <c r="D30">
        <v>-0.13002150635750601</v>
      </c>
      <c r="E30">
        <v>-9.7517374317674696E-2</v>
      </c>
      <c r="F30">
        <v>-6.5013242277842498E-2</v>
      </c>
      <c r="G30">
        <v>-3.2509110238010397E-2</v>
      </c>
      <c r="H30" s="1">
        <v>-4.97819817828833E-6</v>
      </c>
      <c r="I30" s="1">
        <v>-1.44484686882183E-6</v>
      </c>
      <c r="J30">
        <v>-0.14561510590278801</v>
      </c>
      <c r="K30">
        <v>-0.32036522436305898</v>
      </c>
      <c r="L30">
        <v>-0.38701531200587902</v>
      </c>
      <c r="M30">
        <v>-0.39985414075863102</v>
      </c>
      <c r="N30">
        <v>-0.42452159056029898</v>
      </c>
      <c r="O30">
        <v>-0.45343299506787599</v>
      </c>
      <c r="P30">
        <v>-0.483549365658894</v>
      </c>
      <c r="Q30">
        <v>-0.51297843551461397</v>
      </c>
      <c r="R30">
        <v>-0.54124820143652996</v>
      </c>
      <c r="S30" s="5">
        <v>-0.54124820143652996</v>
      </c>
      <c r="T30" s="5">
        <v>-0.54124820143652996</v>
      </c>
      <c r="U30" s="5">
        <v>-0.54124820143652996</v>
      </c>
      <c r="V30" s="5">
        <v>-0.54124820143652996</v>
      </c>
      <c r="W30" s="5">
        <v>-0.54124820143652996</v>
      </c>
      <c r="X30" s="5">
        <v>-0.54124820143652996</v>
      </c>
      <c r="Y30" s="5">
        <v>-0.54124820143652996</v>
      </c>
      <c r="Z30" s="5">
        <v>-0.54124820143652996</v>
      </c>
      <c r="AA30" s="5">
        <v>-0.54124820143652996</v>
      </c>
      <c r="AB30" s="5">
        <v>-0.54124820143652996</v>
      </c>
      <c r="AC30" s="5">
        <v>-0.54124820143652996</v>
      </c>
      <c r="AD30" s="5">
        <v>-0.54124820143652996</v>
      </c>
      <c r="AE30" s="5">
        <v>-0.54124820143652996</v>
      </c>
      <c r="AF30" s="5">
        <v>-0.54124820143652996</v>
      </c>
      <c r="AG30" s="5">
        <v>-0.54124820143652996</v>
      </c>
      <c r="AH30" s="5">
        <v>-0.54124820143652996</v>
      </c>
      <c r="AI30" s="5">
        <v>-0.54124820143652996</v>
      </c>
      <c r="AJ30" s="5">
        <v>-0.54124820143652996</v>
      </c>
      <c r="AK30" s="5">
        <v>-0.54124820143652996</v>
      </c>
      <c r="AL30" s="5">
        <v>-0.54124820143652996</v>
      </c>
    </row>
    <row r="31" spans="1:38" x14ac:dyDescent="0.35">
      <c r="A31" s="5">
        <f t="shared" si="0"/>
        <v>1</v>
      </c>
      <c r="B31" s="5" t="s">
        <v>32</v>
      </c>
      <c r="C31" s="5">
        <v>2.2612116948755E-3</v>
      </c>
      <c r="D31" s="5">
        <v>2.6618680085099301E-3</v>
      </c>
      <c r="E31" s="5">
        <v>3.1335152346798401E-3</v>
      </c>
      <c r="F31" s="5">
        <v>3.6887320087171001E-3</v>
      </c>
      <c r="G31" s="5">
        <v>4.3423257310329999E-3</v>
      </c>
      <c r="H31" s="5">
        <v>5.1117274743277003E-3</v>
      </c>
      <c r="I31" s="5">
        <v>6.0174568630484903E-3</v>
      </c>
      <c r="J31" s="5">
        <v>7.0836693232382997E-3</v>
      </c>
      <c r="K31" s="5">
        <v>8.3388002977002797E-3</v>
      </c>
      <c r="L31" s="5">
        <v>9.8163236074292008E-3</v>
      </c>
      <c r="M31" s="5">
        <v>1.1555644184493299E-2</v>
      </c>
      <c r="N31" s="5">
        <v>1.3603148985181701E-2</v>
      </c>
      <c r="O31" s="5">
        <v>1.60134441108323E-2</v>
      </c>
      <c r="P31" s="5">
        <v>1.8850811129841199E-2</v>
      </c>
      <c r="Q31" s="5">
        <v>2.21909214403519E-2</v>
      </c>
      <c r="R31" s="5">
        <v>2.6122854394967102E-2</v>
      </c>
      <c r="S31" s="5">
        <v>2.74950323833776E-2</v>
      </c>
      <c r="T31" s="5">
        <v>2.8939287963440499E-2</v>
      </c>
      <c r="U31" s="5">
        <v>3.0459407217764901E-2</v>
      </c>
      <c r="V31" s="5">
        <v>3.2059375103827899E-2</v>
      </c>
      <c r="W31" s="5">
        <v>3.3743385900448203E-2</v>
      </c>
      <c r="X31" s="5">
        <v>3.5515854202991498E-2</v>
      </c>
      <c r="Y31" s="5">
        <v>3.7381426496129903E-2</v>
      </c>
      <c r="Z31" s="5">
        <v>3.9344993334493997E-2</v>
      </c>
      <c r="AA31">
        <v>4.1411702163148899E-2</v>
      </c>
      <c r="AB31">
        <v>4.3586970811502701E-2</v>
      </c>
      <c r="AC31">
        <v>4.58765016960202E-2</v>
      </c>
      <c r="AD31">
        <v>4.8286296768976701E-2</v>
      </c>
      <c r="AE31">
        <v>5.0822673252436598E-2</v>
      </c>
      <c r="AF31">
        <v>5.3492280198705298E-2</v>
      </c>
      <c r="AG31">
        <v>5.6302115920665599E-2</v>
      </c>
      <c r="AH31">
        <v>5.9259546337693501E-2</v>
      </c>
      <c r="AI31">
        <v>6.2372324285245702E-2</v>
      </c>
      <c r="AJ31">
        <v>6.5648609838737895E-2</v>
      </c>
      <c r="AK31">
        <v>6.9096991704994198E-2</v>
      </c>
      <c r="AL31">
        <v>7.2726509737343598E-2</v>
      </c>
    </row>
    <row r="32" spans="1:38" s="5" customFormat="1" x14ac:dyDescent="0.3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2:38" s="5" customFormat="1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2:38" s="5" customFormat="1" x14ac:dyDescent="0.3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2:38" s="5" customFormat="1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2:38" x14ac:dyDescent="0.3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2:38" x14ac:dyDescent="0.3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2:38" x14ac:dyDescent="0.3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2:38" x14ac:dyDescent="0.3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2:38" x14ac:dyDescent="0.3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2:38" x14ac:dyDescent="0.35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2:38" x14ac:dyDescent="0.3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2:38" x14ac:dyDescent="0.3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2:38" x14ac:dyDescent="0.3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2:38" x14ac:dyDescent="0.3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2:38" x14ac:dyDescent="0.3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2:38" x14ac:dyDescent="0.3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2:38" x14ac:dyDescent="0.35">
      <c r="B48" s="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2:143" x14ac:dyDescent="0.3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2:143" x14ac:dyDescent="0.3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2:143" x14ac:dyDescent="0.3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2:143" x14ac:dyDescent="0.3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2:143" x14ac:dyDescent="0.3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2:143" x14ac:dyDescent="0.3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2:143" x14ac:dyDescent="0.3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2:143" x14ac:dyDescent="0.3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2:143" x14ac:dyDescent="0.3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2:143" x14ac:dyDescent="0.3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2:143" x14ac:dyDescent="0.3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2:143" x14ac:dyDescent="0.3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2:143" x14ac:dyDescent="0.35">
      <c r="H61" s="1"/>
      <c r="P61" s="1"/>
      <c r="Q61" s="1"/>
      <c r="R61" s="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</row>
    <row r="62" spans="2:143" x14ac:dyDescent="0.3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2:143" x14ac:dyDescent="0.3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2:143" x14ac:dyDescent="0.3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spans="3:38" x14ac:dyDescent="0.3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3:38" x14ac:dyDescent="0.35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spans="3:38" x14ac:dyDescent="0.3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3:38" x14ac:dyDescent="0.3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3:38" x14ac:dyDescent="0.3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spans="3:38" x14ac:dyDescent="0.3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 spans="3:38" x14ac:dyDescent="0.3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3:38" x14ac:dyDescent="0.3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spans="3:38" x14ac:dyDescent="0.3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3:38" x14ac:dyDescent="0.3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3:38" x14ac:dyDescent="0.3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3:38" x14ac:dyDescent="0.3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3:38" x14ac:dyDescent="0.3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spans="3:38" x14ac:dyDescent="0.3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 spans="3:38" x14ac:dyDescent="0.3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spans="3:38" x14ac:dyDescent="0.3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3:38" x14ac:dyDescent="0.3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3:38" x14ac:dyDescent="0.3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spans="3:38" x14ac:dyDescent="0.3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3:38" x14ac:dyDescent="0.3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3:38" x14ac:dyDescent="0.3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3:38" x14ac:dyDescent="0.3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3:38" x14ac:dyDescent="0.3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3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3:38" x14ac:dyDescent="0.3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3:38" x14ac:dyDescent="0.3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9" sqref="C9"/>
    </sheetView>
  </sheetViews>
  <sheetFormatPr baseColWidth="10" defaultColWidth="8.81640625" defaultRowHeight="14.5" x14ac:dyDescent="0.35"/>
  <cols>
    <col min="1" max="1" width="28.26953125" customWidth="1"/>
    <col min="2" max="2" width="27.7265625" bestFit="1" customWidth="1"/>
  </cols>
  <sheetData>
    <row r="1" spans="1:38" x14ac:dyDescent="0.35">
      <c r="A1">
        <f>SUM(A2:A224)</f>
        <v>9</v>
      </c>
      <c r="B1" s="4"/>
      <c r="C1" s="3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5">
      <c r="A2">
        <f t="shared" ref="A2:A10" si="0">IF(B2="","",1)</f>
        <v>1</v>
      </c>
      <c r="B2" t="s">
        <v>33</v>
      </c>
      <c r="C2" s="3">
        <v>6.1515789010213998E-2</v>
      </c>
      <c r="D2" s="3" t="e">
        <v>#N/A</v>
      </c>
      <c r="E2" s="3" t="e">
        <v>#N/A</v>
      </c>
      <c r="F2" s="3" t="e">
        <v>#N/A</v>
      </c>
      <c r="G2" s="3" t="e">
        <v>#N/A</v>
      </c>
      <c r="H2" s="3">
        <v>6.1515789010214102E-2</v>
      </c>
      <c r="I2" s="3" t="e">
        <v>#N/A</v>
      </c>
      <c r="J2" s="3" t="e">
        <v>#N/A</v>
      </c>
      <c r="K2" s="3" t="e">
        <v>#N/A</v>
      </c>
      <c r="L2" s="3" t="e">
        <v>#N/A</v>
      </c>
      <c r="M2" s="3" t="e">
        <v>#N/A</v>
      </c>
      <c r="N2" s="3" t="e">
        <v>#N/A</v>
      </c>
      <c r="O2" s="3" t="e">
        <v>#N/A</v>
      </c>
      <c r="P2" s="3" t="e">
        <v>#N/A</v>
      </c>
      <c r="Q2" s="3" t="e">
        <v>#N/A</v>
      </c>
      <c r="R2" s="3" t="e">
        <v>#N/A</v>
      </c>
      <c r="S2" s="3" t="e">
        <v>#N/A</v>
      </c>
      <c r="T2" s="3" t="e">
        <v>#N/A</v>
      </c>
      <c r="U2" s="3" t="e">
        <v>#N/A</v>
      </c>
      <c r="V2" s="3" t="e">
        <v>#N/A</v>
      </c>
      <c r="W2" s="3" t="e">
        <v>#N/A</v>
      </c>
      <c r="X2" s="3" t="e">
        <v>#N/A</v>
      </c>
      <c r="Y2" s="3" t="e">
        <v>#N/A</v>
      </c>
      <c r="Z2" s="3" t="e">
        <v>#N/A</v>
      </c>
      <c r="AA2" s="3" t="e">
        <v>#N/A</v>
      </c>
      <c r="AB2" s="3" t="e">
        <v>#N/A</v>
      </c>
      <c r="AC2" s="3" t="e">
        <v>#N/A</v>
      </c>
      <c r="AD2" s="3" t="e">
        <v>#N/A</v>
      </c>
      <c r="AE2" s="3" t="e">
        <v>#N/A</v>
      </c>
      <c r="AF2" s="3" t="e">
        <v>#N/A</v>
      </c>
      <c r="AG2" s="3" t="e">
        <v>#N/A</v>
      </c>
      <c r="AH2" s="3" t="e">
        <v>#N/A</v>
      </c>
      <c r="AI2" s="3" t="e">
        <v>#N/A</v>
      </c>
      <c r="AJ2" s="3" t="e">
        <v>#N/A</v>
      </c>
      <c r="AK2" s="3" t="e">
        <v>#N/A</v>
      </c>
      <c r="AL2" s="3">
        <v>6.1515789010214601E-2</v>
      </c>
    </row>
    <row r="3" spans="1:38" x14ac:dyDescent="0.35">
      <c r="A3">
        <f t="shared" si="0"/>
        <v>1</v>
      </c>
      <c r="B3" t="s">
        <v>34</v>
      </c>
      <c r="C3">
        <v>1.9096191625379198E-2</v>
      </c>
      <c r="D3" s="3" t="e">
        <v>#N/A</v>
      </c>
      <c r="E3" s="3" t="e">
        <v>#N/A</v>
      </c>
      <c r="F3" s="3" t="e">
        <v>#N/A</v>
      </c>
      <c r="G3" s="3" t="e">
        <v>#N/A</v>
      </c>
      <c r="H3">
        <v>1.9096191625379198E-2</v>
      </c>
      <c r="I3" s="3" t="e">
        <v>#N/A</v>
      </c>
      <c r="J3" s="3" t="e">
        <v>#N/A</v>
      </c>
      <c r="K3" s="3" t="e">
        <v>#N/A</v>
      </c>
      <c r="L3" s="3" t="e">
        <v>#N/A</v>
      </c>
      <c r="M3" s="3" t="e">
        <v>#N/A</v>
      </c>
      <c r="N3" s="3" t="e">
        <v>#N/A</v>
      </c>
      <c r="O3" s="3" t="e">
        <v>#N/A</v>
      </c>
      <c r="P3" s="3" t="e">
        <v>#N/A</v>
      </c>
      <c r="Q3" s="3" t="e">
        <v>#N/A</v>
      </c>
      <c r="R3" s="3" t="e">
        <v>#N/A</v>
      </c>
      <c r="S3" s="3" t="e">
        <v>#N/A</v>
      </c>
      <c r="T3" s="3" t="e">
        <v>#N/A</v>
      </c>
      <c r="U3" s="3" t="e">
        <v>#N/A</v>
      </c>
      <c r="V3" s="3" t="e">
        <v>#N/A</v>
      </c>
      <c r="W3" s="3" t="e">
        <v>#N/A</v>
      </c>
      <c r="X3" s="3" t="e">
        <v>#N/A</v>
      </c>
      <c r="Y3" s="3" t="e">
        <v>#N/A</v>
      </c>
      <c r="Z3" s="3" t="e">
        <v>#N/A</v>
      </c>
      <c r="AA3" s="3" t="e">
        <v>#N/A</v>
      </c>
      <c r="AB3" s="3" t="e">
        <v>#N/A</v>
      </c>
      <c r="AC3" s="3" t="e">
        <v>#N/A</v>
      </c>
      <c r="AD3" s="3" t="e">
        <v>#N/A</v>
      </c>
      <c r="AE3" s="3" t="e">
        <v>#N/A</v>
      </c>
      <c r="AF3" s="3" t="e">
        <v>#N/A</v>
      </c>
      <c r="AG3" s="3" t="e">
        <v>#N/A</v>
      </c>
      <c r="AH3" s="3" t="e">
        <v>#N/A</v>
      </c>
      <c r="AI3" s="3" t="e">
        <v>#N/A</v>
      </c>
      <c r="AJ3" s="3" t="e">
        <v>#N/A</v>
      </c>
      <c r="AK3" s="3" t="e">
        <v>#N/A</v>
      </c>
      <c r="AL3">
        <v>1.0000000000000001E-5</v>
      </c>
    </row>
    <row r="4" spans="1:38" x14ac:dyDescent="0.35">
      <c r="A4">
        <f t="shared" si="0"/>
        <v>1</v>
      </c>
      <c r="B4" t="s">
        <v>35</v>
      </c>
      <c r="C4">
        <v>2.1019342378894201E-2</v>
      </c>
      <c r="D4" s="3" t="e">
        <v>#N/A</v>
      </c>
      <c r="E4" s="3" t="e">
        <v>#N/A</v>
      </c>
      <c r="F4" s="3" t="e">
        <v>#N/A</v>
      </c>
      <c r="G4" s="3" t="e">
        <v>#N/A</v>
      </c>
      <c r="H4">
        <v>2.1019342378894201E-2</v>
      </c>
      <c r="I4" s="3" t="e">
        <v>#N/A</v>
      </c>
      <c r="J4" s="3" t="e">
        <v>#N/A</v>
      </c>
      <c r="K4" s="3" t="e">
        <v>#N/A</v>
      </c>
      <c r="L4" s="3" t="e">
        <v>#N/A</v>
      </c>
      <c r="M4" s="3" t="e">
        <v>#N/A</v>
      </c>
      <c r="N4" s="3" t="e">
        <v>#N/A</v>
      </c>
      <c r="O4" s="3" t="e">
        <v>#N/A</v>
      </c>
      <c r="P4" s="3" t="e">
        <v>#N/A</v>
      </c>
      <c r="Q4" s="3" t="e">
        <v>#N/A</v>
      </c>
      <c r="R4" s="3" t="e">
        <v>#N/A</v>
      </c>
      <c r="S4" s="3" t="e">
        <v>#N/A</v>
      </c>
      <c r="T4" s="3" t="e">
        <v>#N/A</v>
      </c>
      <c r="U4" s="3" t="e">
        <v>#N/A</v>
      </c>
      <c r="V4" s="3" t="e">
        <v>#N/A</v>
      </c>
      <c r="W4" s="3" t="e">
        <v>#N/A</v>
      </c>
      <c r="X4" s="3" t="e">
        <v>#N/A</v>
      </c>
      <c r="Y4" s="3" t="e">
        <v>#N/A</v>
      </c>
      <c r="Z4" s="3" t="e">
        <v>#N/A</v>
      </c>
      <c r="AA4" s="3" t="e">
        <v>#N/A</v>
      </c>
      <c r="AB4" s="3" t="e">
        <v>#N/A</v>
      </c>
      <c r="AC4" s="3" t="e">
        <v>#N/A</v>
      </c>
      <c r="AD4" s="3" t="e">
        <v>#N/A</v>
      </c>
      <c r="AE4" s="3" t="e">
        <v>#N/A</v>
      </c>
      <c r="AF4" s="3" t="e">
        <v>#N/A</v>
      </c>
      <c r="AG4" s="3" t="e">
        <v>#N/A</v>
      </c>
      <c r="AH4" s="3" t="e">
        <v>#N/A</v>
      </c>
      <c r="AI4" s="3" t="e">
        <v>#N/A</v>
      </c>
      <c r="AJ4" s="3" t="e">
        <v>#N/A</v>
      </c>
      <c r="AK4" s="3" t="e">
        <v>#N/A</v>
      </c>
      <c r="AL4">
        <v>2.1019342378894398E-2</v>
      </c>
    </row>
    <row r="5" spans="1:38" x14ac:dyDescent="0.35">
      <c r="A5">
        <f t="shared" si="0"/>
        <v>1</v>
      </c>
      <c r="B5" t="s">
        <v>36</v>
      </c>
      <c r="C5">
        <v>0.105173056578504</v>
      </c>
      <c r="D5" s="3" t="e">
        <v>#N/A</v>
      </c>
      <c r="E5" s="3" t="e">
        <v>#N/A</v>
      </c>
      <c r="F5" s="3" t="e">
        <v>#N/A</v>
      </c>
      <c r="G5" s="3" t="e">
        <v>#N/A</v>
      </c>
      <c r="H5">
        <v>0.105173056578504</v>
      </c>
      <c r="I5" s="3" t="e">
        <v>#N/A</v>
      </c>
      <c r="J5" s="3" t="e">
        <v>#N/A</v>
      </c>
      <c r="K5" s="3" t="e">
        <v>#N/A</v>
      </c>
      <c r="L5" s="3" t="e">
        <v>#N/A</v>
      </c>
      <c r="M5" s="3" t="e">
        <v>#N/A</v>
      </c>
      <c r="N5" s="3" t="e">
        <v>#N/A</v>
      </c>
      <c r="O5" s="3" t="e">
        <v>#N/A</v>
      </c>
      <c r="P5" s="3" t="e">
        <v>#N/A</v>
      </c>
      <c r="Q5" s="3" t="e">
        <v>#N/A</v>
      </c>
      <c r="R5" s="3" t="e">
        <v>#N/A</v>
      </c>
      <c r="S5" s="3" t="e">
        <v>#N/A</v>
      </c>
      <c r="T5" s="3" t="e">
        <v>#N/A</v>
      </c>
      <c r="U5" s="3" t="e">
        <v>#N/A</v>
      </c>
      <c r="V5" s="3" t="e">
        <v>#N/A</v>
      </c>
      <c r="W5" s="3" t="e">
        <v>#N/A</v>
      </c>
      <c r="X5" s="3" t="e">
        <v>#N/A</v>
      </c>
      <c r="Y5" s="3" t="e">
        <v>#N/A</v>
      </c>
      <c r="Z5" s="3" t="e">
        <v>#N/A</v>
      </c>
      <c r="AA5" s="3" t="e">
        <v>#N/A</v>
      </c>
      <c r="AB5" s="3" t="e">
        <v>#N/A</v>
      </c>
      <c r="AC5" s="3" t="e">
        <v>#N/A</v>
      </c>
      <c r="AD5" s="3" t="e">
        <v>#N/A</v>
      </c>
      <c r="AE5" s="3" t="e">
        <v>#N/A</v>
      </c>
      <c r="AF5" s="3" t="e">
        <v>#N/A</v>
      </c>
      <c r="AG5" s="3" t="e">
        <v>#N/A</v>
      </c>
      <c r="AH5" s="3" t="e">
        <v>#N/A</v>
      </c>
      <c r="AI5" s="3" t="e">
        <v>#N/A</v>
      </c>
      <c r="AJ5" s="3" t="e">
        <v>#N/A</v>
      </c>
      <c r="AK5" s="3" t="e">
        <v>#N/A</v>
      </c>
      <c r="AL5">
        <v>0.10517305657850499</v>
      </c>
    </row>
    <row r="6" spans="1:38" x14ac:dyDescent="0.35">
      <c r="A6">
        <f t="shared" si="0"/>
        <v>1</v>
      </c>
      <c r="B6" t="s">
        <v>37</v>
      </c>
      <c r="C6">
        <v>0.72577008495494999</v>
      </c>
      <c r="D6" s="3" t="e">
        <v>#N/A</v>
      </c>
      <c r="E6" s="3" t="e">
        <v>#N/A</v>
      </c>
      <c r="F6" s="3" t="e">
        <v>#N/A</v>
      </c>
      <c r="G6" s="3" t="e">
        <v>#N/A</v>
      </c>
      <c r="H6">
        <v>0.72577008495495099</v>
      </c>
      <c r="I6" s="3" t="e">
        <v>#N/A</v>
      </c>
      <c r="J6" s="3" t="e">
        <v>#N/A</v>
      </c>
      <c r="K6" s="3" t="e">
        <v>#N/A</v>
      </c>
      <c r="L6" s="3" t="e">
        <v>#N/A</v>
      </c>
      <c r="M6" s="3" t="e">
        <v>#N/A</v>
      </c>
      <c r="N6" s="3" t="e">
        <v>#N/A</v>
      </c>
      <c r="O6" s="3" t="e">
        <v>#N/A</v>
      </c>
      <c r="P6" s="3" t="e">
        <v>#N/A</v>
      </c>
      <c r="Q6" s="3" t="e">
        <v>#N/A</v>
      </c>
      <c r="R6" s="3" t="e">
        <v>#N/A</v>
      </c>
      <c r="S6" s="3" t="e">
        <v>#N/A</v>
      </c>
      <c r="T6" s="3" t="e">
        <v>#N/A</v>
      </c>
      <c r="U6" s="3" t="e">
        <v>#N/A</v>
      </c>
      <c r="V6" s="3" t="e">
        <v>#N/A</v>
      </c>
      <c r="W6" s="3" t="e">
        <v>#N/A</v>
      </c>
      <c r="X6" s="3" t="e">
        <v>#N/A</v>
      </c>
      <c r="Y6" s="3" t="e">
        <v>#N/A</v>
      </c>
      <c r="Z6" s="3" t="e">
        <v>#N/A</v>
      </c>
      <c r="AA6" s="3" t="e">
        <v>#N/A</v>
      </c>
      <c r="AB6" s="3" t="e">
        <v>#N/A</v>
      </c>
      <c r="AC6" s="3" t="e">
        <v>#N/A</v>
      </c>
      <c r="AD6" s="3" t="e">
        <v>#N/A</v>
      </c>
      <c r="AE6" s="3" t="e">
        <v>#N/A</v>
      </c>
      <c r="AF6" s="3" t="e">
        <v>#N/A</v>
      </c>
      <c r="AG6" s="3" t="e">
        <v>#N/A</v>
      </c>
      <c r="AH6" s="3" t="e">
        <v>#N/A</v>
      </c>
      <c r="AI6" s="3" t="e">
        <v>#N/A</v>
      </c>
      <c r="AJ6" s="3" t="e">
        <v>#N/A</v>
      </c>
      <c r="AK6" s="3" t="e">
        <v>#N/A</v>
      </c>
      <c r="AL6">
        <v>0.3</v>
      </c>
    </row>
    <row r="7" spans="1:38" x14ac:dyDescent="0.35">
      <c r="A7">
        <f t="shared" si="0"/>
        <v>1</v>
      </c>
      <c r="B7" t="s">
        <v>38</v>
      </c>
      <c r="C7">
        <v>1.4464495890775799E-2</v>
      </c>
      <c r="D7" s="3" t="e">
        <v>#N/A</v>
      </c>
      <c r="E7" s="3" t="e">
        <v>#N/A</v>
      </c>
      <c r="F7" s="3" t="e">
        <v>#N/A</v>
      </c>
      <c r="G7" s="3" t="e">
        <v>#N/A</v>
      </c>
      <c r="H7">
        <v>1.4464495890775799E-2</v>
      </c>
      <c r="I7" s="3" t="e">
        <v>#N/A</v>
      </c>
      <c r="J7" s="3" t="e">
        <v>#N/A</v>
      </c>
      <c r="K7" s="3" t="e">
        <v>#N/A</v>
      </c>
      <c r="L7" s="3" t="e">
        <v>#N/A</v>
      </c>
      <c r="M7" s="3" t="e">
        <v>#N/A</v>
      </c>
      <c r="N7" s="3" t="e">
        <v>#N/A</v>
      </c>
      <c r="O7" s="3" t="e">
        <v>#N/A</v>
      </c>
      <c r="P7" s="3" t="e">
        <v>#N/A</v>
      </c>
      <c r="Q7" s="3" t="e">
        <v>#N/A</v>
      </c>
      <c r="R7" s="3" t="e">
        <v>#N/A</v>
      </c>
      <c r="S7" s="3" t="e">
        <v>#N/A</v>
      </c>
      <c r="T7" s="3" t="e">
        <v>#N/A</v>
      </c>
      <c r="U7" s="3" t="e">
        <v>#N/A</v>
      </c>
      <c r="V7" s="3" t="e">
        <v>#N/A</v>
      </c>
      <c r="W7" s="3" t="e">
        <v>#N/A</v>
      </c>
      <c r="X7" s="3" t="e">
        <v>#N/A</v>
      </c>
      <c r="Y7" s="3" t="e">
        <v>#N/A</v>
      </c>
      <c r="Z7" s="3" t="e">
        <v>#N/A</v>
      </c>
      <c r="AA7" s="3" t="e">
        <v>#N/A</v>
      </c>
      <c r="AB7" s="3" t="e">
        <v>#N/A</v>
      </c>
      <c r="AC7" s="3" t="e">
        <v>#N/A</v>
      </c>
      <c r="AD7" s="3" t="e">
        <v>#N/A</v>
      </c>
      <c r="AE7" s="3" t="e">
        <v>#N/A</v>
      </c>
      <c r="AF7" s="3" t="e">
        <v>#N/A</v>
      </c>
      <c r="AG7" s="3" t="e">
        <v>#N/A</v>
      </c>
      <c r="AH7" s="3" t="e">
        <v>#N/A</v>
      </c>
      <c r="AI7" s="3" t="e">
        <v>#N/A</v>
      </c>
      <c r="AJ7" s="3" t="e">
        <v>#N/A</v>
      </c>
      <c r="AK7" s="3" t="e">
        <v>#N/A</v>
      </c>
      <c r="AL7">
        <v>1.44644958907759E-2</v>
      </c>
    </row>
    <row r="8" spans="1:38" x14ac:dyDescent="0.35">
      <c r="A8">
        <f t="shared" si="0"/>
        <v>1</v>
      </c>
      <c r="B8" t="s">
        <v>39</v>
      </c>
      <c r="C8">
        <v>1.7180069751184901E-3</v>
      </c>
      <c r="D8" s="3" t="e">
        <v>#N/A</v>
      </c>
      <c r="E8" s="3" t="e">
        <v>#N/A</v>
      </c>
      <c r="F8" s="3" t="e">
        <v>#N/A</v>
      </c>
      <c r="G8" s="3" t="e">
        <v>#N/A</v>
      </c>
      <c r="H8">
        <v>1.7180069751184901E-3</v>
      </c>
      <c r="I8" s="3" t="e">
        <v>#N/A</v>
      </c>
      <c r="J8" s="3" t="e">
        <v>#N/A</v>
      </c>
      <c r="K8" s="3" t="e">
        <v>#N/A</v>
      </c>
      <c r="L8" s="3" t="e">
        <v>#N/A</v>
      </c>
      <c r="M8" s="3" t="e">
        <v>#N/A</v>
      </c>
      <c r="N8" s="3" t="e">
        <v>#N/A</v>
      </c>
      <c r="O8" s="3" t="e">
        <v>#N/A</v>
      </c>
      <c r="P8" s="3" t="e">
        <v>#N/A</v>
      </c>
      <c r="Q8" s="3" t="e">
        <v>#N/A</v>
      </c>
      <c r="R8" s="3" t="e">
        <v>#N/A</v>
      </c>
      <c r="S8" s="3" t="e">
        <v>#N/A</v>
      </c>
      <c r="T8" s="3" t="e">
        <v>#N/A</v>
      </c>
      <c r="U8" s="3" t="e">
        <v>#N/A</v>
      </c>
      <c r="V8" s="3" t="e">
        <v>#N/A</v>
      </c>
      <c r="W8" s="3" t="e">
        <v>#N/A</v>
      </c>
      <c r="X8" s="3" t="e">
        <v>#N/A</v>
      </c>
      <c r="Y8" s="3" t="e">
        <v>#N/A</v>
      </c>
      <c r="Z8" s="3" t="e">
        <v>#N/A</v>
      </c>
      <c r="AA8" s="3" t="e">
        <v>#N/A</v>
      </c>
      <c r="AB8" s="3" t="e">
        <v>#N/A</v>
      </c>
      <c r="AC8" s="3" t="e">
        <v>#N/A</v>
      </c>
      <c r="AD8" s="3" t="e">
        <v>#N/A</v>
      </c>
      <c r="AE8" s="3" t="e">
        <v>#N/A</v>
      </c>
      <c r="AF8" s="3" t="e">
        <v>#N/A</v>
      </c>
      <c r="AG8" s="3" t="e">
        <v>#N/A</v>
      </c>
      <c r="AH8" s="3" t="e">
        <v>#N/A</v>
      </c>
      <c r="AI8" s="3" t="e">
        <v>#N/A</v>
      </c>
      <c r="AJ8" s="3" t="e">
        <v>#N/A</v>
      </c>
      <c r="AK8" s="3" t="e">
        <v>#N/A</v>
      </c>
      <c r="AL8">
        <v>1.71800697511851E-3</v>
      </c>
    </row>
    <row r="9" spans="1:38" x14ac:dyDescent="0.35">
      <c r="A9">
        <f t="shared" si="0"/>
        <v>1</v>
      </c>
      <c r="B9" t="s">
        <v>32</v>
      </c>
      <c r="C9">
        <v>1.36621186897453E-2</v>
      </c>
      <c r="D9" s="3" t="e">
        <v>#N/A</v>
      </c>
      <c r="E9" s="3" t="e">
        <v>#N/A</v>
      </c>
      <c r="F9" s="3" t="e">
        <v>#N/A</v>
      </c>
      <c r="G9" s="3" t="e">
        <v>#N/A</v>
      </c>
      <c r="H9">
        <v>1.36621186897453E-2</v>
      </c>
      <c r="I9" s="3" t="e">
        <v>#N/A</v>
      </c>
      <c r="J9" s="3" t="e">
        <v>#N/A</v>
      </c>
      <c r="K9" s="3" t="e">
        <v>#N/A</v>
      </c>
      <c r="L9" s="3" t="e">
        <v>#N/A</v>
      </c>
      <c r="M9" s="3" t="e">
        <v>#N/A</v>
      </c>
      <c r="N9" s="3" t="e">
        <v>#N/A</v>
      </c>
      <c r="O9" s="3" t="e">
        <v>#N/A</v>
      </c>
      <c r="P9" s="3" t="e">
        <v>#N/A</v>
      </c>
      <c r="Q9" s="3" t="e">
        <v>#N/A</v>
      </c>
      <c r="R9" s="3" t="e">
        <v>#N/A</v>
      </c>
      <c r="S9" s="3" t="e">
        <v>#N/A</v>
      </c>
      <c r="T9" s="3" t="e">
        <v>#N/A</v>
      </c>
      <c r="U9" s="3" t="e">
        <v>#N/A</v>
      </c>
      <c r="V9" s="3" t="e">
        <v>#N/A</v>
      </c>
      <c r="W9" s="3" t="e">
        <v>#N/A</v>
      </c>
      <c r="X9" s="3" t="e">
        <v>#N/A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 t="e">
        <v>#N/A</v>
      </c>
      <c r="AE9" s="3" t="e">
        <v>#N/A</v>
      </c>
      <c r="AF9" s="3" t="e">
        <v>#N/A</v>
      </c>
      <c r="AG9" s="3" t="e">
        <v>#N/A</v>
      </c>
      <c r="AH9" s="3" t="e">
        <v>#N/A</v>
      </c>
      <c r="AI9" s="3" t="e">
        <v>#N/A</v>
      </c>
      <c r="AJ9" s="3" t="e">
        <v>#N/A</v>
      </c>
      <c r="AK9" s="3" t="e">
        <v>#N/A</v>
      </c>
      <c r="AL9">
        <v>0.3</v>
      </c>
    </row>
    <row r="10" spans="1:38" x14ac:dyDescent="0.35">
      <c r="A10">
        <f t="shared" si="0"/>
        <v>1</v>
      </c>
      <c r="B10" t="s">
        <v>5</v>
      </c>
      <c r="C10">
        <v>3.7580972023872797E-2</v>
      </c>
      <c r="D10" s="3" t="e">
        <v>#N/A</v>
      </c>
      <c r="E10" s="3" t="e">
        <v>#N/A</v>
      </c>
      <c r="F10" s="3" t="e">
        <v>#N/A</v>
      </c>
      <c r="G10" s="3" t="e">
        <v>#N/A</v>
      </c>
      <c r="H10">
        <v>3.7580972023872901E-2</v>
      </c>
      <c r="I10" s="3" t="e">
        <v>#N/A</v>
      </c>
      <c r="J10" s="3" t="e">
        <v>#N/A</v>
      </c>
      <c r="K10" s="3" t="e">
        <v>#N/A</v>
      </c>
      <c r="L10" s="3" t="e">
        <v>#N/A</v>
      </c>
      <c r="M10" s="3" t="e">
        <v>#N/A</v>
      </c>
      <c r="N10" s="3" t="e">
        <v>#N/A</v>
      </c>
      <c r="O10" s="3" t="e">
        <v>#N/A</v>
      </c>
      <c r="P10" s="3" t="e">
        <v>#N/A</v>
      </c>
      <c r="Q10" s="3" t="e">
        <v>#N/A</v>
      </c>
      <c r="R10" s="3" t="e">
        <v>#N/A</v>
      </c>
      <c r="S10" s="3" t="e">
        <v>#N/A</v>
      </c>
      <c r="T10" s="3" t="e">
        <v>#N/A</v>
      </c>
      <c r="U10" s="3" t="e">
        <v>#N/A</v>
      </c>
      <c r="V10" s="3" t="e">
        <v>#N/A</v>
      </c>
      <c r="W10" s="3" t="e">
        <v>#N/A</v>
      </c>
      <c r="X10" s="3" t="e">
        <v>#N/A</v>
      </c>
      <c r="Y10" s="3" t="e">
        <v>#N/A</v>
      </c>
      <c r="Z10" s="3" t="e">
        <v>#N/A</v>
      </c>
      <c r="AA10" s="3" t="e">
        <v>#N/A</v>
      </c>
      <c r="AB10" s="3" t="e">
        <v>#N/A</v>
      </c>
      <c r="AC10" s="3" t="e">
        <v>#N/A</v>
      </c>
      <c r="AD10" s="3" t="e">
        <v>#N/A</v>
      </c>
      <c r="AE10" s="3" t="e">
        <v>#N/A</v>
      </c>
      <c r="AF10" s="3" t="e">
        <v>#N/A</v>
      </c>
      <c r="AG10" s="3" t="e">
        <v>#N/A</v>
      </c>
      <c r="AH10" s="3" t="e">
        <v>#N/A</v>
      </c>
      <c r="AI10" s="3" t="e">
        <v>#N/A</v>
      </c>
      <c r="AJ10" s="3" t="e">
        <v>#N/A</v>
      </c>
      <c r="AK10" s="3" t="e">
        <v>#N/A</v>
      </c>
      <c r="AL10">
        <f>1-SUM(AL2:AL9)</f>
        <v>0.19609930916649154</v>
      </c>
    </row>
    <row r="19" spans="4:143" x14ac:dyDescent="0.3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baseline</vt:lpstr>
      <vt:lpstr>nz50</vt:lpstr>
      <vt:lpstr>prix</vt:lpstr>
      <vt:lpstr>carbontax_s1</vt:lpstr>
      <vt:lpstr>baseline_fittarget</vt:lpstr>
      <vt:lpstr>share_elec_enr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JACQUETIN Florian</cp:lastModifiedBy>
  <dcterms:created xsi:type="dcterms:W3CDTF">2020-06-04T12:49:11Z</dcterms:created>
  <dcterms:modified xsi:type="dcterms:W3CDTF">2022-01-20T15:29:47Z</dcterms:modified>
</cp:coreProperties>
</file>